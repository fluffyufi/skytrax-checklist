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Dashboard" sheetId="2" state="visible" r:id="rId2"/>
    <sheet name="Flights" sheetId="3" state="visible" r:id="rId3"/>
    <sheet name="Checks" sheetId="4" state="visible" r:id="rId4"/>
    <sheet name="Documents" sheetId="5" state="visible" r:id="rId5"/>
    <sheet name="ISOP Register" sheetId="6" state="visible" r:id="rId6"/>
    <sheet name="Requirements" sheetId="7" state="visible" r:id="rId7"/>
    <sheet name="Settings" sheetId="8" state="visible" r:id="rId8"/>
    <sheet name="P01 MH0001 08OCT" sheetId="9" state="visible" r:id="rId9"/>
    <sheet name="P02 MH0727 09OCT" sheetId="10" state="visible" r:id="rId10"/>
    <sheet name="P03 MH0720 10OCT" sheetId="11" state="visible" r:id="rId11"/>
    <sheet name="P04 MH0088 10OCT" sheetId="12" state="visible" r:id="rId12"/>
    <sheet name="P05 MH0089 15OCT" sheetId="13" state="visible" r:id="rId13"/>
    <sheet name="P06 MH0002 15OCT" sheetId="14" state="visible" r:id="rId14"/>
    <sheet name="P07 MH0003 09OCT" sheetId="15" state="visible" r:id="rId15"/>
    <sheet name="P08 MH0752 10OCT" sheetId="16" state="visible" r:id="rId16"/>
    <sheet name="P09 MH0753 11OCT" sheetId="17" state="visible" r:id="rId17"/>
    <sheet name="P10 MH1140 12OCT" sheetId="18" state="visible" r:id="rId18"/>
    <sheet name="P11 MH1149 12OCT" sheetId="19" state="visible" r:id="rId19"/>
    <sheet name="P12 MH0139 12OCT" sheetId="20" state="visible" r:id="rId20"/>
    <sheet name="P13 MH0138 14OCT" sheetId="21" state="visible" r:id="rId21"/>
    <sheet name="P14 MH0004 15OCT" sheetId="22" state="visible" r:id="rId22"/>
    <sheet name="P15 MH0003 25OCT" sheetId="23" state="visible" r:id="rId23"/>
    <sheet name="P16 MH0072 26OCT" sheetId="24" state="visible" r:id="rId24"/>
    <sheet name="P17 MH0073 27OCT" sheetId="25" state="visible" r:id="rId25"/>
    <sheet name="P18 MH0052 27OCT" sheetId="26" state="visible" r:id="rId26"/>
    <sheet name="P19 MH0053 29OCT" sheetId="27" state="visible" r:id="rId27"/>
    <sheet name="P20 MH1450 29OCT" sheetId="28" state="visible" r:id="rId28"/>
    <sheet name="P21 MH1437 30OCT" sheetId="29" state="visible" r:id="rId29"/>
    <sheet name="P22 MH0002 30OCT" sheetId="30" state="visible" r:id="rId30"/>
  </sheets>
  <definedNames>
    <definedName name="AsOfUTC">Settings!$B$6</definedName>
    <definedName name="UpliftWindowH">Settings!$B$7</definedName>
    <definedName name="T24EarlyH">Settings!$B$8</definedName>
    <definedName name="T12EarlyH">Settings!$B$9</definedName>
    <definedName name="TZ_STN">Settings!$A$13:$A$22</definedName>
    <definedName name="TZ_STD">Settings!$C$13:$C$22</definedName>
    <definedName name="TZ_DST">Settings!$D$13:$D$22</definedName>
    <definedName name="TZ_DSTS">Settings!$E$13:$E$22</definedName>
    <definedName name="TZ_DSTE">Settings!$F$13:$F$22</definedName>
    <definedName name="L_Status">Settings!$H$4:$H$9</definedName>
    <definedName name="L_CA">Settings!$I$4:$I$5</definedName>
    <definedName name="_xlnm.Print_Area" localSheetId="1">'Dashboard'!$B$1:$R$94</definedName>
    <definedName name="_xlnm._FilterDatabase" localSheetId="2" hidden="1">'Flights'!$A$4:$AY$26</definedName>
    <definedName name="_xlnm.Print_Titles" localSheetId="2">'Flights'!$4:$4,'Flights'!$A:$F</definedName>
    <definedName name="_xlnm._FilterDatabase" localSheetId="3" hidden="1">'Checks'!$A$4:$AS$748</definedName>
    <definedName name="_xlnm.Print_Titles" localSheetId="3">'Checks'!$4:$4,'Checks'!$A:$C</definedName>
    <definedName name="_xlnm.Print_Area" localSheetId="3">'Checks'!$A$1:$AH$748</definedName>
    <definedName name="_xlnm.Print_Titles" localSheetId="4">'Documents'!$4:$4,'Documents'!$A:$B</definedName>
    <definedName name="_xlnm.Print_Titles" localSheetId="5">'ISOP Register'!$4:$4</definedName>
    <definedName name="_xlnm._FilterDatabase" localSheetId="6" hidden="1">'Requirements'!$A$4:$N$161</definedName>
    <definedName name="_xlnm.Print_Titles" localSheetId="6">'Requirements'!$4:$4,'Requirements'!$A:$B</definedName>
    <definedName name="_xlnm.Print_Area" localSheetId="7">'Settings'!$A$1:$F$23</definedName>
    <definedName name="_xlnm.Print_Titles" localSheetId="8">'P01 MH0001 08OCT'!$21:$21</definedName>
    <definedName name="_xlnm.Print_Area" localSheetId="8">'P01 MH0001 08OCT'!$A$1:$H$50</definedName>
    <definedName name="_xlnm.Print_Titles" localSheetId="9">'P02 MH0727 09OCT'!$21:$21</definedName>
    <definedName name="_xlnm.Print_Area" localSheetId="9">'P02 MH0727 09OCT'!$A$1:$H$64</definedName>
    <definedName name="_xlnm.Print_Titles" localSheetId="10">'P03 MH0720 10OCT'!$21:$21</definedName>
    <definedName name="_xlnm.Print_Area" localSheetId="10">'P03 MH0720 10OCT'!$A$1:$H$46</definedName>
    <definedName name="_xlnm.Print_Titles" localSheetId="11">'P04 MH0088 10OCT'!$21:$21</definedName>
    <definedName name="_xlnm.Print_Area" localSheetId="11">'P04 MH0088 10OCT'!$A$1:$H$72</definedName>
    <definedName name="_xlnm.Print_Titles" localSheetId="12">'P05 MH0089 15OCT'!$21:$21</definedName>
    <definedName name="_xlnm.Print_Area" localSheetId="12">'P05 MH0089 15OCT'!$A$1:$H$54</definedName>
    <definedName name="_xlnm.Print_Titles" localSheetId="13">'P06 MH0002 15OCT'!$21:$21</definedName>
    <definedName name="_xlnm.Print_Area" localSheetId="13">'P06 MH0002 15OCT'!$A$1:$H$72</definedName>
    <definedName name="_xlnm.Print_Titles" localSheetId="14">'P07 MH0003 09OCT'!$21:$21</definedName>
    <definedName name="_xlnm.Print_Area" localSheetId="14">'P07 MH0003 09OCT'!$A$1:$H$74</definedName>
    <definedName name="_xlnm.Print_Titles" localSheetId="15">'P08 MH0752 10OCT'!$21:$21</definedName>
    <definedName name="_xlnm.Print_Area" localSheetId="15">'P08 MH0752 10OCT'!$A$1:$H$46</definedName>
    <definedName name="_xlnm.Print_Titles" localSheetId="16">'P09 MH0753 11OCT'!$21:$21</definedName>
    <definedName name="_xlnm.Print_Area" localSheetId="16">'P09 MH0753 11OCT'!$A$1:$H$64</definedName>
    <definedName name="_xlnm.Print_Titles" localSheetId="17">'P10 MH1140 12OCT'!$21:$21</definedName>
    <definedName name="_xlnm.Print_Area" localSheetId="17">'P10 MH1140 12OCT'!$A$1:$H$60</definedName>
    <definedName name="_xlnm.Print_Titles" localSheetId="18">'P11 MH1149 12OCT'!$22:$22</definedName>
    <definedName name="_xlnm.Print_Area" localSheetId="18">'P11 MH1149 12OCT'!$A$1:$H$49</definedName>
    <definedName name="_xlnm.Print_Titles" localSheetId="19">'P12 MH0139 12OCT'!$21:$21</definedName>
    <definedName name="_xlnm.Print_Area" localSheetId="19">'P12 MH0139 12OCT'!$A$1:$H$72</definedName>
    <definedName name="_xlnm.Print_Titles" localSheetId="20">'P13 MH0138 14OCT'!$21:$21</definedName>
    <definedName name="_xlnm.Print_Area" localSheetId="20">'P13 MH0138 14OCT'!$A$1:$H$54</definedName>
    <definedName name="_xlnm.Print_Titles" localSheetId="21">'P14 MH0004 15OCT'!$21:$21</definedName>
    <definedName name="_xlnm.Print_Area" localSheetId="21">'P14 MH0004 15OCT'!$A$1:$H$50</definedName>
    <definedName name="_xlnm.Print_Titles" localSheetId="22">'P15 MH0003 25OCT'!$21:$21</definedName>
    <definedName name="_xlnm.Print_Area" localSheetId="22">'P15 MH0003 25OCT'!$A$1:$H$50</definedName>
    <definedName name="_xlnm.Print_Titles" localSheetId="23">'P16 MH0072 26OCT'!$21:$21</definedName>
    <definedName name="_xlnm.Print_Area" localSheetId="23">'P16 MH0072 26OCT'!$A$1:$H$50</definedName>
    <definedName name="_xlnm.Print_Titles" localSheetId="24">'P17 MH0073 27OCT'!$21:$21</definedName>
    <definedName name="_xlnm.Print_Area" localSheetId="24">'P17 MH0073 27OCT'!$A$1:$H$68</definedName>
    <definedName name="_xlnm.Print_Titles" localSheetId="25">'P18 MH0052 27OCT'!$21:$21</definedName>
    <definedName name="_xlnm.Print_Area" localSheetId="25">'P18 MH0052 27OCT'!$A$1:$H$70</definedName>
    <definedName name="_xlnm.Print_Titles" localSheetId="26">'P19 MH0053 29OCT'!$21:$21</definedName>
    <definedName name="_xlnm.Print_Area" localSheetId="26">'P19 MH0053 29OCT'!$A$1:$H$50</definedName>
    <definedName name="_xlnm.Print_Titles" localSheetId="27">'P20 MH1450 29OCT'!$21:$21</definedName>
    <definedName name="_xlnm.Print_Area" localSheetId="27">'P20 MH1450 29OCT'!$A$1:$H$46</definedName>
    <definedName name="_xlnm.Print_Titles" localSheetId="28">'P21 MH1437 30OCT'!$22:$22</definedName>
    <definedName name="_xlnm.Print_Area" localSheetId="28">'P21 MH1437 30OCT'!$A$1:$H$63</definedName>
    <definedName name="_xlnm.Print_Titles" localSheetId="29">'P22 MH0002 30OCT'!$21:$21</definedName>
    <definedName name="_xlnm.Print_Area" localSheetId="29">'P22 MH0002 30OCT'!$A$1:$H$72</definedName>
  </definedNames>
  <calcPr calcId="124519" fullCalcOnLoad="1"/>
</workbook>
</file>

<file path=xl/styles.xml><?xml version="1.0" encoding="utf-8"?>
<styleSheet xmlns="http://schemas.openxmlformats.org/spreadsheetml/2006/main">
  <numFmts count="7">
    <numFmt numFmtId="164" formatCode="dd-mmm-yy hh:mm"/>
    <numFmt numFmtId="165" formatCode="yyyy-mm-dd h:mm:ss"/>
    <numFmt numFmtId="166" formatCode="dd-mmm-yy"/>
    <numFmt numFmtId="167" formatCode="0.0%"/>
    <numFmt numFmtId="168" formatCode="dd-mmm"/>
    <numFmt numFmtId="169" formatCode="dd-mmm hh:mm"/>
    <numFmt numFmtId="170" formatCode="#,##0;-#,##0;0"/>
  </numFmts>
  <fonts count="37">
    <font>
      <name val="Calibri"/>
      <family val="2"/>
      <color theme="1"/>
      <sz val="11"/>
      <scheme val="minor"/>
    </font>
    <font>
      <name val="Arial"/>
      <b val="1"/>
      <color rgb="001F3864"/>
      <sz val="16"/>
    </font>
    <font>
      <name val="Arial"/>
      <i val="1"/>
      <color rgb="00595959"/>
      <sz val="9"/>
    </font>
    <font>
      <name val="Arial"/>
      <b val="1"/>
      <color rgb="001F3864"/>
      <sz val="13"/>
    </font>
    <font>
      <name val="Arial"/>
      <color rgb="00000000"/>
      <sz val="10"/>
    </font>
    <font>
      <name val="Arial"/>
      <b val="1"/>
      <color rgb="001F3864"/>
      <sz val="11"/>
    </font>
    <font>
      <name val="Arial"/>
      <color rgb="000000FF"/>
      <sz val="10"/>
    </font>
    <font>
      <name val="Arial"/>
      <color rgb="00000000"/>
      <sz val="9"/>
    </font>
    <font>
      <name val="Arial"/>
      <b val="1"/>
      <color rgb="000000FF"/>
      <sz val="10"/>
    </font>
    <font>
      <name val="Arial"/>
      <b val="1"/>
      <color rgb="00000000"/>
      <sz val="10"/>
    </font>
    <font>
      <name val="Arial"/>
      <i val="1"/>
      <color rgb="00595959"/>
      <sz val="8"/>
    </font>
    <font>
      <name val="Arial"/>
      <b val="1"/>
      <color rgb="001F3864"/>
      <sz val="10"/>
    </font>
    <font>
      <name val="Arial"/>
      <b val="1"/>
      <color rgb="00FFFFFF"/>
      <sz val="9"/>
    </font>
    <font>
      <name val="Arial"/>
      <color rgb="000000FF"/>
      <sz val="9"/>
    </font>
    <font>
      <name val="Arial"/>
      <b val="1"/>
      <color rgb="001F3864"/>
      <sz val="9"/>
    </font>
    <font>
      <name val="Arial"/>
      <b val="1"/>
      <color rgb="00000000"/>
      <sz val="9"/>
    </font>
    <font>
      <name val="Arial"/>
      <b val="1"/>
      <color rgb="00C00000"/>
      <sz val="9"/>
    </font>
    <font>
      <name val="Arial"/>
      <color rgb="00595959"/>
      <sz val="9"/>
    </font>
    <font>
      <name val="Arial"/>
      <b val="1"/>
      <color rgb="00FFFFFF"/>
      <sz val="16"/>
    </font>
    <font>
      <name val="Arial"/>
      <b val="1"/>
      <color rgb="00595959"/>
      <sz val="10"/>
    </font>
    <font>
      <name val="Arial"/>
      <b val="1"/>
      <color rgb="00FFFFFF"/>
      <sz val="12"/>
    </font>
    <font>
      <name val="Arial"/>
      <b val="1"/>
      <color rgb="001F3864"/>
      <sz val="20"/>
    </font>
    <font>
      <name val="Arial"/>
      <b val="1"/>
      <color rgb="00FFFFFF"/>
      <sz val="10"/>
    </font>
    <font>
      <name val="Arial"/>
      <color rgb="00595959"/>
      <sz val="10"/>
    </font>
    <font>
      <name val="Arial"/>
      <i val="1"/>
      <color rgb="00595959"/>
      <sz val="10"/>
    </font>
    <font>
      <name val="Arial"/>
      <i val="1"/>
      <color rgb="00FFFFFF"/>
      <sz val="9"/>
    </font>
    <font>
      <name val="Arial"/>
      <color rgb="00595959"/>
      <sz val="8"/>
    </font>
    <font>
      <name val="Arial"/>
      <b val="1"/>
      <i val="1"/>
      <color rgb="00006100"/>
      <sz val="9"/>
    </font>
    <font>
      <name val="Arial"/>
      <b val="1"/>
      <color rgb="00000000"/>
      <sz val="8.5"/>
    </font>
    <font>
      <name val="Arial"/>
      <b val="1"/>
      <color rgb="00FFFFFF"/>
      <sz val="8.5"/>
    </font>
    <font>
      <name val="Arial"/>
      <color rgb="00000000"/>
      <sz val="8"/>
    </font>
    <font>
      <name val="Arial"/>
      <b val="1"/>
      <color rgb="00C00000"/>
      <sz val="8.5"/>
    </font>
    <font>
      <name val="Arial"/>
      <b val="1"/>
      <color rgb="00000000"/>
      <sz val="8"/>
    </font>
    <font>
      <name val="Arial"/>
      <color rgb="00000000"/>
      <sz val="8.5"/>
    </font>
    <font>
      <name val="Arial"/>
      <i val="1"/>
      <color rgb="007F7F7F"/>
      <sz val="8"/>
    </font>
    <font>
      <name val="Arial"/>
      <b val="1"/>
      <color rgb="001F3864"/>
      <sz val="8.5"/>
    </font>
    <font>
      <name val="Arial"/>
      <b val="1"/>
      <color rgb="007F4F00"/>
      <sz val="8.5"/>
    </font>
  </fonts>
  <fills count="15">
    <fill>
      <patternFill/>
    </fill>
    <fill>
      <patternFill patternType="gray125"/>
    </fill>
    <fill>
      <patternFill patternType="solid">
        <fgColor rgb="00FFF2CC"/>
      </patternFill>
    </fill>
    <fill>
      <patternFill patternType="solid">
        <fgColor rgb="00F2F2F2"/>
      </patternFill>
    </fill>
    <fill>
      <patternFill patternType="solid">
        <fgColor rgb="00E8EEF7"/>
      </patternFill>
    </fill>
    <fill>
      <patternFill patternType="solid">
        <fgColor rgb="001F3864"/>
      </patternFill>
    </fill>
    <fill>
      <patternFill patternType="solid">
        <fgColor rgb="001F3864"/>
        <bgColor rgb="001F3864"/>
      </patternFill>
    </fill>
    <fill>
      <patternFill patternType="solid">
        <fgColor rgb="00F2F2F2"/>
        <bgColor rgb="00F2F2F2"/>
      </patternFill>
    </fill>
    <fill>
      <patternFill patternType="solid">
        <fgColor rgb="002F5597"/>
        <bgColor rgb="002F5597"/>
      </patternFill>
    </fill>
    <fill>
      <patternFill patternType="solid">
        <fgColor rgb="00D9E1F2"/>
        <bgColor rgb="00D9E1F2"/>
      </patternFill>
    </fill>
    <fill>
      <patternFill patternType="solid">
        <fgColor rgb="00C6EFCE"/>
        <bgColor rgb="00C6EFCE"/>
      </patternFill>
    </fill>
    <fill>
      <patternFill patternType="solid">
        <fgColor rgb="00FFEB9C"/>
        <bgColor rgb="00FFEB9C"/>
      </patternFill>
    </fill>
    <fill>
      <patternFill patternType="solid">
        <fgColor rgb="00D9D9D9"/>
        <bgColor rgb="00D9D9D9"/>
      </patternFill>
    </fill>
    <fill>
      <patternFill patternType="solid">
        <fgColor rgb="00FFC7CE"/>
        <bgColor rgb="00FFC7CE"/>
      </patternFill>
    </fill>
    <fill>
      <patternFill patternType="solid">
        <fgColor rgb="00D9E1F2"/>
      </patternFill>
    </fill>
  </fills>
  <borders count="16">
    <border>
      <left/>
      <right/>
      <top/>
      <bottom/>
      <diagonal/>
    </border>
    <border>
      <left style="thin">
        <color rgb="00BFBFBF"/>
      </left>
      <right style="thin">
        <color rgb="00BFBFBF"/>
      </right>
      <top style="thin">
        <color rgb="00BFBFBF"/>
      </top>
      <bottom style="thin">
        <color rgb="00BFBFBF"/>
      </bottom>
    </border>
    <border>
      <left style="thin">
        <color rgb="00D9D9D9"/>
      </left>
      <right style="thin">
        <color rgb="00D9D9D9"/>
      </right>
      <top style="thin">
        <color rgb="00D9D9D9"/>
      </top>
      <bottom style="thin">
        <color rgb="00D9D9D9"/>
      </bottom>
    </border>
    <border>
      <left style="thin">
        <color rgb="00808080"/>
      </left>
      <top style="thin">
        <color rgb="00808080"/>
      </top>
      <bottom style="thin">
        <color rgb="00808080"/>
      </bottom>
    </border>
    <border>
      <top style="thin">
        <color rgb="00808080"/>
      </top>
      <bottom style="thin">
        <color rgb="00808080"/>
      </bottom>
    </border>
    <border>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medium">
        <color rgb="001F3864"/>
      </left>
      <top style="medium">
        <color rgb="001F3864"/>
      </top>
    </border>
    <border>
      <top style="medium">
        <color rgb="001F3864"/>
      </top>
    </border>
    <border>
      <right style="medium">
        <color rgb="001F3864"/>
      </right>
      <top style="medium">
        <color rgb="001F3864"/>
      </top>
    </border>
    <border>
      <left style="medium">
        <color rgb="001F3864"/>
      </left>
    </border>
    <border/>
    <border>
      <right style="medium">
        <color rgb="001F3864"/>
      </right>
    </border>
    <border>
      <left style="medium">
        <color rgb="001F3864"/>
      </left>
      <bottom style="medium">
        <color rgb="001F3864"/>
      </bottom>
    </border>
    <border>
      <bottom style="medium">
        <color rgb="001F3864"/>
      </bottom>
    </border>
    <border>
      <right style="medium">
        <color rgb="001F3864"/>
      </right>
      <bottom style="medium">
        <color rgb="001F3864"/>
      </bottom>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bottom"/>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6" fillId="0" borderId="0" applyAlignment="1" pivotButton="0" quotePrefix="0" xfId="0">
      <alignment vertical="top" wrapText="1"/>
    </xf>
    <xf numFmtId="0" fontId="18" fillId="6" borderId="0" applyAlignment="1" pivotButton="0" quotePrefix="0" xfId="0">
      <alignment horizontal="left" vertical="center" indent="1"/>
    </xf>
    <xf numFmtId="0" fontId="0" fillId="6" borderId="0" pivotButton="0" quotePrefix="0" xfId="0"/>
    <xf numFmtId="0" fontId="19" fillId="7" borderId="0" applyAlignment="1" pivotButton="0" quotePrefix="0" xfId="0">
      <alignment horizontal="left" vertical="center" indent="1"/>
    </xf>
    <xf numFmtId="0" fontId="0" fillId="7" borderId="0" pivotButton="0" quotePrefix="0" xfId="0"/>
    <xf numFmtId="164" fontId="11" fillId="7" borderId="0" applyAlignment="1" pivotButton="0" quotePrefix="0" xfId="0">
      <alignment horizontal="left" vertical="center" indent="1"/>
    </xf>
    <xf numFmtId="0" fontId="2" fillId="7" borderId="0" applyAlignment="1" pivotButton="0" quotePrefix="0" xfId="0">
      <alignment horizontal="left" vertical="center" wrapText="1" indent="1"/>
    </xf>
    <xf numFmtId="0" fontId="20" fillId="8" borderId="0" applyAlignment="1" pivotButton="0" quotePrefix="0" xfId="0">
      <alignment horizontal="left" vertical="center" indent="1"/>
    </xf>
    <xf numFmtId="0" fontId="0" fillId="8" borderId="0" pivotButton="0" quotePrefix="0" xfId="0"/>
    <xf numFmtId="0" fontId="11" fillId="9" borderId="0" applyAlignment="1" pivotButton="0" quotePrefix="0" xfId="0">
      <alignment horizontal="center" vertical="center" wrapText="1"/>
    </xf>
    <xf numFmtId="0" fontId="0" fillId="9" borderId="0" pivotButton="0" quotePrefix="0" xfId="0"/>
    <xf numFmtId="1" fontId="21" fillId="7" borderId="0" applyAlignment="1" pivotButton="0" quotePrefix="0" xfId="0">
      <alignment horizontal="center" vertical="center"/>
    </xf>
    <xf numFmtId="167" fontId="21" fillId="7" borderId="0" applyAlignment="1" pivotButton="0" quotePrefix="0" xfId="0">
      <alignment horizontal="center" vertical="center"/>
    </xf>
    <xf numFmtId="0" fontId="2" fillId="7" borderId="0" applyAlignment="1" pivotButton="0" quotePrefix="0" xfId="0">
      <alignment horizontal="center" vertical="top" wrapText="1"/>
    </xf>
    <xf numFmtId="0" fontId="22" fillId="6" borderId="2" applyAlignment="1" pivotButton="0" quotePrefix="0" xfId="0">
      <alignment horizontal="center" vertical="center" wrapText="1"/>
    </xf>
    <xf numFmtId="0" fontId="0" fillId="6" borderId="2" pivotButton="0" quotePrefix="0" xfId="0"/>
    <xf numFmtId="0" fontId="11" fillId="0" borderId="2" applyAlignment="1" pivotButton="0" quotePrefix="0" xfId="0">
      <alignment horizontal="left" vertical="center" indent="1"/>
    </xf>
    <xf numFmtId="0" fontId="0" fillId="0" borderId="2" pivotButton="0" quotePrefix="0" xfId="0"/>
    <xf numFmtId="1" fontId="4" fillId="0" borderId="2" applyAlignment="1" pivotButton="0" quotePrefix="0" xfId="0">
      <alignment horizontal="center" vertical="center"/>
    </xf>
    <xf numFmtId="167" fontId="4" fillId="0" borderId="2" applyAlignment="1" pivotButton="0" quotePrefix="0" xfId="0">
      <alignment horizontal="center" vertical="center"/>
    </xf>
    <xf numFmtId="0" fontId="23" fillId="0" borderId="2" applyAlignment="1" pivotButton="0" quotePrefix="0" xfId="0">
      <alignment horizontal="left" vertical="center" indent="1"/>
    </xf>
    <xf numFmtId="0" fontId="11" fillId="9" borderId="2" applyAlignment="1" pivotButton="0" quotePrefix="0" xfId="0">
      <alignment horizontal="left" vertical="center" indent="1"/>
    </xf>
    <xf numFmtId="0" fontId="0" fillId="9" borderId="2" pivotButton="0" quotePrefix="0" xfId="0"/>
    <xf numFmtId="1" fontId="9" fillId="9" borderId="2" applyAlignment="1" pivotButton="0" quotePrefix="0" xfId="0">
      <alignment horizontal="center" vertical="center"/>
    </xf>
    <xf numFmtId="167" fontId="9" fillId="9" borderId="2" applyAlignment="1" pivotButton="0" quotePrefix="0" xfId="0">
      <alignment horizontal="center" vertical="center"/>
    </xf>
    <xf numFmtId="0" fontId="24" fillId="9" borderId="2" applyAlignment="1" pivotButton="0" quotePrefix="0" xfId="0">
      <alignment horizontal="left" vertical="center" indent="1"/>
    </xf>
    <xf numFmtId="0" fontId="11" fillId="9" borderId="2" applyAlignment="1" pivotButton="0" quotePrefix="0" xfId="0">
      <alignment horizontal="left" vertical="top" wrapText="1" indent="1"/>
    </xf>
    <xf numFmtId="0" fontId="4" fillId="0" borderId="2" applyAlignment="1" pivotButton="0" quotePrefix="0" xfId="0">
      <alignment horizontal="left" vertical="top" wrapText="1" indent="1"/>
    </xf>
    <xf numFmtId="0" fontId="25" fillId="8" borderId="0" applyAlignment="1" pivotButton="0" quotePrefix="0" xfId="0">
      <alignment horizontal="right" vertical="center" indent="1"/>
    </xf>
    <xf numFmtId="0" fontId="9" fillId="0" borderId="2" applyAlignment="1" pivotButton="0" quotePrefix="0" xfId="0">
      <alignment horizontal="left" vertical="center" indent="1"/>
    </xf>
    <xf numFmtId="168" fontId="4" fillId="0" borderId="2" applyAlignment="1" pivotButton="0" quotePrefix="0" xfId="0">
      <alignment horizontal="center" vertical="center"/>
    </xf>
    <xf numFmtId="0" fontId="4" fillId="0" borderId="2" applyAlignment="1" pivotButton="0" quotePrefix="0" xfId="0">
      <alignment horizontal="center" vertical="center"/>
    </xf>
    <xf numFmtId="169" fontId="4" fillId="0" borderId="2" applyAlignment="1" pivotButton="0" quotePrefix="0" xfId="0">
      <alignment horizontal="center" vertical="center"/>
    </xf>
    <xf numFmtId="9" fontId="4" fillId="0" borderId="2" applyAlignment="1" pivotButton="0" quotePrefix="0" xfId="0">
      <alignment horizontal="center" vertical="center"/>
    </xf>
    <xf numFmtId="0" fontId="15" fillId="0" borderId="2" applyAlignment="1" pivotButton="0" quotePrefix="0" xfId="0">
      <alignment horizontal="left" vertical="center" indent="1"/>
    </xf>
    <xf numFmtId="1" fontId="4" fillId="7" borderId="2" applyAlignment="1" pivotButton="0" quotePrefix="0" xfId="0">
      <alignment horizontal="center" vertical="center"/>
    </xf>
    <xf numFmtId="0" fontId="9" fillId="7" borderId="2" applyAlignment="1" pivotButton="0" quotePrefix="0" xfId="0">
      <alignment horizontal="left" vertical="center" indent="1"/>
    </xf>
    <xf numFmtId="168" fontId="4" fillId="7" borderId="2" applyAlignment="1" pivotButton="0" quotePrefix="0" xfId="0">
      <alignment horizontal="center" vertical="center"/>
    </xf>
    <xf numFmtId="0" fontId="4" fillId="7" borderId="2" applyAlignment="1" pivotButton="0" quotePrefix="0" xfId="0">
      <alignment horizontal="center" vertical="center"/>
    </xf>
    <xf numFmtId="169" fontId="4" fillId="7" borderId="2" applyAlignment="1" pivotButton="0" quotePrefix="0" xfId="0">
      <alignment horizontal="center" vertical="center"/>
    </xf>
    <xf numFmtId="9" fontId="4" fillId="7" borderId="2" applyAlignment="1" pivotButton="0" quotePrefix="0" xfId="0">
      <alignment horizontal="center" vertical="center"/>
    </xf>
    <xf numFmtId="0" fontId="15" fillId="7" borderId="2" applyAlignment="1" pivotButton="0" quotePrefix="0" xfId="0">
      <alignment horizontal="left" vertical="center" indent="1"/>
    </xf>
    <xf numFmtId="0" fontId="2" fillId="0" borderId="0" applyAlignment="1" pivotButton="0" quotePrefix="0" xfId="0">
      <alignment horizontal="left" vertical="top" wrapText="1" indent="1"/>
    </xf>
    <xf numFmtId="0" fontId="26" fillId="0" borderId="0" pivotButton="0" quotePrefix="0" xfId="0"/>
    <xf numFmtId="0" fontId="17" fillId="0" borderId="2" applyAlignment="1" pivotButton="0" quotePrefix="0" xfId="0">
      <alignment horizontal="center" vertical="top"/>
    </xf>
    <xf numFmtId="0" fontId="4" fillId="0" borderId="2" applyAlignment="1" pivotButton="0" quotePrefix="0" xfId="0">
      <alignment horizontal="center" vertical="top" wrapText="1"/>
    </xf>
    <xf numFmtId="0" fontId="17" fillId="7" borderId="2" applyAlignment="1" pivotButton="0" quotePrefix="0" xfId="0">
      <alignment horizontal="center" vertical="top"/>
    </xf>
    <xf numFmtId="0" fontId="4" fillId="7" borderId="2" applyAlignment="1" pivotButton="0" quotePrefix="0" xfId="0">
      <alignment horizontal="left" vertical="top" wrapText="1" indent="1"/>
    </xf>
    <xf numFmtId="0" fontId="0" fillId="7" borderId="2" pivotButton="0" quotePrefix="0" xfId="0"/>
    <xf numFmtId="0" fontId="4" fillId="7" borderId="2" applyAlignment="1" pivotButton="0" quotePrefix="0" xfId="0">
      <alignment horizontal="center" vertical="top" wrapText="1"/>
    </xf>
    <xf numFmtId="0" fontId="27" fillId="0" borderId="0" applyAlignment="1" pivotButton="0" quotePrefix="0" xfId="0">
      <alignment horizontal="left" vertical="center" indent="1"/>
    </xf>
    <xf numFmtId="170" fontId="4" fillId="0" borderId="2" applyAlignment="1" pivotButton="0" quotePrefix="0" xfId="0">
      <alignment horizontal="center" vertical="top" wrapText="1"/>
    </xf>
    <xf numFmtId="170" fontId="4" fillId="7" borderId="2" applyAlignment="1" pivotButton="0" quotePrefix="0" xfId="0">
      <alignment horizontal="center" vertical="top" wrapText="1"/>
    </xf>
    <xf numFmtId="0" fontId="12" fillId="5" borderId="1" applyAlignment="1" pivotButton="0" quotePrefix="0" xfId="0">
      <alignment horizontal="center" vertical="center" wrapText="1"/>
    </xf>
    <xf numFmtId="0" fontId="7" fillId="0" borderId="1" applyAlignment="1" pivotButton="0" quotePrefix="0" xfId="0">
      <alignment vertical="top" wrapText="1"/>
    </xf>
    <xf numFmtId="166" fontId="7" fillId="0" borderId="1" applyAlignment="1" pivotButton="0" quotePrefix="0" xfId="0">
      <alignment vertical="top" wrapText="1"/>
    </xf>
    <xf numFmtId="164" fontId="7" fillId="0" borderId="1" applyAlignment="1" pivotButton="0" quotePrefix="0" xfId="0">
      <alignment vertical="top" wrapText="1"/>
    </xf>
    <xf numFmtId="0" fontId="7" fillId="2" borderId="1" applyAlignment="1" pivotButton="0" quotePrefix="0" xfId="0">
      <alignment vertical="top" wrapText="1"/>
    </xf>
    <xf numFmtId="0" fontId="7" fillId="3" borderId="1" applyAlignment="1" pivotButton="0" quotePrefix="0" xfId="0">
      <alignment vertical="top" wrapText="1"/>
    </xf>
    <xf numFmtId="164" fontId="7" fillId="3" borderId="1" applyAlignment="1" pivotButton="0" quotePrefix="0" xfId="0">
      <alignment vertical="top" wrapText="1"/>
    </xf>
    <xf numFmtId="2" fontId="7" fillId="3" borderId="1" applyAlignment="1" pivotButton="0" quotePrefix="0" xfId="0">
      <alignment vertical="top" wrapText="1"/>
    </xf>
    <xf numFmtId="9" fontId="7" fillId="3" borderId="1" applyAlignment="1" pivotButton="0" quotePrefix="0" xfId="0">
      <alignment horizontal="right"/>
    </xf>
    <xf numFmtId="0" fontId="15" fillId="3" borderId="1" applyAlignment="1" pivotButton="0" quotePrefix="0" xfId="0">
      <alignment vertical="top" wrapText="1"/>
    </xf>
    <xf numFmtId="164" fontId="7" fillId="2" borderId="1" applyAlignment="1" pivotButton="0" quotePrefix="0" xfId="0">
      <alignment vertical="top" wrapText="1"/>
    </xf>
    <xf numFmtId="0" fontId="7" fillId="4" borderId="1" applyAlignment="1" pivotButton="0" quotePrefix="0" xfId="0">
      <alignment vertical="top" wrapText="1"/>
    </xf>
    <xf numFmtId="0" fontId="13" fillId="2" borderId="1" applyAlignment="1" pivotButton="0" quotePrefix="0" xfId="0">
      <alignment vertical="top" wrapText="1"/>
    </xf>
    <xf numFmtId="0" fontId="2" fillId="0" borderId="0" applyAlignment="1" pivotButton="0" quotePrefix="0" xfId="0">
      <alignment vertical="top" wrapText="1"/>
    </xf>
    <xf numFmtId="0" fontId="7" fillId="0" borderId="1" applyAlignment="1" pivotButton="0" quotePrefix="0" xfId="0">
      <alignment horizontal="center" vertical="top" wrapText="1"/>
    </xf>
    <xf numFmtId="166" fontId="7" fillId="0" borderId="1" applyAlignment="1" pivotButton="0" quotePrefix="0" xfId="0">
      <alignment horizontal="center" vertical="top" wrapText="1"/>
    </xf>
    <xf numFmtId="166" fontId="7" fillId="2" borderId="1" applyAlignment="1" pivotButton="0" quotePrefix="0" xfId="0">
      <alignment vertical="top" wrapText="1"/>
    </xf>
    <xf numFmtId="0" fontId="7" fillId="3" borderId="1" applyAlignment="1" pivotButton="0" quotePrefix="0" xfId="0">
      <alignment horizontal="center" vertical="top" wrapText="1"/>
    </xf>
    <xf numFmtId="0" fontId="16" fillId="0" borderId="1" applyAlignment="1" pivotButton="0" quotePrefix="0" xfId="0">
      <alignment vertical="top" wrapText="1"/>
    </xf>
    <xf numFmtId="0" fontId="5" fillId="0" borderId="0" pivotButton="0" quotePrefix="0" xfId="0"/>
    <xf numFmtId="0" fontId="17" fillId="0" borderId="1" applyAlignment="1" pivotButton="0" quotePrefix="0" xfId="0">
      <alignment vertical="top" wrapText="1"/>
    </xf>
    <xf numFmtId="166" fontId="17" fillId="0" borderId="1" applyAlignment="1" pivotButton="0" quotePrefix="0" xfId="0">
      <alignment vertical="top" wrapText="1"/>
    </xf>
    <xf numFmtId="0" fontId="14" fillId="0" borderId="0" pivotButton="0" quotePrefix="0" xfId="0"/>
    <xf numFmtId="0" fontId="7" fillId="0" borderId="0" applyAlignment="1" pivotButton="0" quotePrefix="0" xfId="0">
      <alignment vertical="top" wrapText="1"/>
    </xf>
    <xf numFmtId="164" fontId="8" fillId="2" borderId="1" pivotButton="0" quotePrefix="0" xfId="0"/>
    <xf numFmtId="0" fontId="7" fillId="0" borderId="0" pivotButton="0" quotePrefix="0" xfId="0"/>
    <xf numFmtId="0" fontId="8" fillId="2" borderId="1" pivotButton="0" quotePrefix="0" xfId="0"/>
    <xf numFmtId="164" fontId="9" fillId="3" borderId="1" pivotButton="0" quotePrefix="0" xfId="0"/>
    <xf numFmtId="164" fontId="0" fillId="0" borderId="0" pivotButton="0" quotePrefix="0" xfId="0"/>
    <xf numFmtId="0" fontId="10" fillId="0" borderId="0" pivotButton="0" quotePrefix="0" xfId="0"/>
    <xf numFmtId="0" fontId="11" fillId="0" borderId="0" pivotButton="0" quotePrefix="0" xfId="0"/>
    <xf numFmtId="0" fontId="13" fillId="0" borderId="1" pivotButton="0" quotePrefix="0" xfId="0"/>
    <xf numFmtId="164" fontId="13" fillId="0" borderId="1" pivotButton="0" quotePrefix="0" xfId="0"/>
    <xf numFmtId="0" fontId="10" fillId="0" borderId="0" applyAlignment="1" pivotButton="0" quotePrefix="0" xfId="0">
      <alignment vertical="top" wrapText="1"/>
    </xf>
    <xf numFmtId="0" fontId="20" fillId="5" borderId="3" applyAlignment="1" pivotButton="0" quotePrefix="0" xfId="0">
      <alignment horizontal="left" vertical="center" wrapText="1"/>
    </xf>
    <xf numFmtId="0" fontId="0" fillId="0" borderId="4" pivotButton="0" quotePrefix="0" xfId="0"/>
    <xf numFmtId="0" fontId="0" fillId="0" borderId="5" pivotButton="0" quotePrefix="0" xfId="0"/>
    <xf numFmtId="0" fontId="28" fillId="3" borderId="6" applyAlignment="1" pivotButton="0" quotePrefix="0" xfId="0">
      <alignment horizontal="left" vertical="center" wrapText="1"/>
    </xf>
    <xf numFmtId="0" fontId="7" fillId="0" borderId="3" applyAlignment="1" pivotButton="0" quotePrefix="0" xfId="0">
      <alignment horizontal="left" vertical="center" wrapText="1"/>
    </xf>
    <xf numFmtId="0" fontId="29" fillId="5" borderId="6" applyAlignment="1" pivotButton="0" quotePrefix="0" xfId="0">
      <alignment horizontal="center" vertical="center" wrapText="1"/>
    </xf>
    <xf numFmtId="0" fontId="9" fillId="0" borderId="3" applyAlignment="1" pivotButton="0" quotePrefix="0" xfId="0">
      <alignment horizontal="center" vertical="center" wrapText="1"/>
    </xf>
    <xf numFmtId="0" fontId="29" fillId="5" borderId="3" applyAlignment="1" pivotButton="0" quotePrefix="0" xfId="0">
      <alignment horizontal="center" vertical="center" wrapText="1"/>
    </xf>
    <xf numFmtId="0" fontId="15" fillId="0" borderId="6" applyAlignment="1" pivotButton="0" quotePrefix="0" xfId="0">
      <alignment horizontal="center" vertical="center" wrapText="1"/>
    </xf>
    <xf numFmtId="9" fontId="15" fillId="0" borderId="3" applyAlignment="1" pivotButton="0" quotePrefix="0" xfId="0">
      <alignment horizontal="center" vertical="center" wrapText="1"/>
    </xf>
    <xf numFmtId="0" fontId="7" fillId="0" borderId="6" applyAlignment="1" pivotButton="0" quotePrefix="0" xfId="0">
      <alignment horizontal="center" vertical="center" wrapText="1"/>
    </xf>
    <xf numFmtId="0" fontId="9" fillId="0" borderId="6" applyAlignment="1" pivotButton="0" quotePrefix="0" xfId="0">
      <alignment horizontal="center" vertical="center" wrapText="1"/>
    </xf>
    <xf numFmtId="0" fontId="30" fillId="0" borderId="3" applyAlignment="1" pivotButton="0" quotePrefix="0" xfId="0">
      <alignment horizontal="center" vertical="center" wrapText="1"/>
    </xf>
    <xf numFmtId="0" fontId="31" fillId="0" borderId="3" applyAlignment="1" pivotButton="0" quotePrefix="0" xfId="0">
      <alignment horizontal="left" vertical="center" wrapText="1"/>
    </xf>
    <xf numFmtId="0" fontId="32" fillId="10" borderId="6" applyAlignment="1" pivotButton="0" quotePrefix="0" xfId="0">
      <alignment horizontal="center" vertical="center" wrapText="1"/>
    </xf>
    <xf numFmtId="0" fontId="32" fillId="11" borderId="6" applyAlignment="1" pivotButton="0" quotePrefix="0" xfId="0">
      <alignment horizontal="center" vertical="center" wrapText="1"/>
    </xf>
    <xf numFmtId="0" fontId="32" fillId="12" borderId="6" applyAlignment="1" pivotButton="0" quotePrefix="0" xfId="0">
      <alignment horizontal="center" vertical="center" wrapText="1"/>
    </xf>
    <xf numFmtId="0" fontId="32" fillId="13" borderId="6" applyAlignment="1" pivotButton="0" quotePrefix="0" xfId="0">
      <alignment horizontal="center" vertical="center" wrapText="1"/>
    </xf>
    <xf numFmtId="0" fontId="7" fillId="0" borderId="6" applyAlignment="1" pivotButton="0" quotePrefix="0" xfId="0">
      <alignment horizontal="left" vertical="center" wrapText="1"/>
    </xf>
    <xf numFmtId="0" fontId="7" fillId="0" borderId="3" applyAlignment="1" pivotButton="0" quotePrefix="0" xfId="0">
      <alignment horizontal="center" vertical="center" wrapText="1"/>
    </xf>
    <xf numFmtId="0" fontId="15" fillId="0" borderId="6" applyAlignment="1" pivotButton="0" quotePrefix="0" xfId="0">
      <alignment horizontal="left" vertical="center" wrapText="1"/>
    </xf>
    <xf numFmtId="0" fontId="33" fillId="0" borderId="3" applyAlignment="1" pivotButton="0" quotePrefix="0" xfId="0">
      <alignment horizontal="left" vertical="center" wrapText="1"/>
    </xf>
    <xf numFmtId="0" fontId="30"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29" fillId="5" borderId="3" applyAlignment="1" pivotButton="0" quotePrefix="0" xfId="0">
      <alignment horizontal="left" vertical="center" wrapText="1"/>
    </xf>
    <xf numFmtId="0" fontId="34" fillId="0" borderId="3" applyAlignment="1" pivotButton="0" quotePrefix="0" xfId="0">
      <alignment horizontal="left" vertical="top" wrapText="1"/>
    </xf>
    <xf numFmtId="0" fontId="10" fillId="0" borderId="0" applyAlignment="1" pivotButton="0" quotePrefix="0" xfId="0">
      <alignment horizontal="left" vertical="center" wrapText="1"/>
    </xf>
    <xf numFmtId="0" fontId="14" fillId="14" borderId="3" applyAlignment="1" pivotButton="0" quotePrefix="0" xfId="0">
      <alignment horizontal="left" vertical="center" wrapText="1"/>
    </xf>
    <xf numFmtId="0" fontId="7" fillId="0" borderId="6" applyAlignment="1" pivotButton="0" quotePrefix="0" xfId="0">
      <alignment horizontal="left" vertical="top" wrapText="1"/>
    </xf>
    <xf numFmtId="0" fontId="28" fillId="0" borderId="6" applyAlignment="1" pivotButton="0" quotePrefix="0" xfId="0">
      <alignment horizontal="left" vertical="top" wrapText="1"/>
    </xf>
    <xf numFmtId="0" fontId="35" fillId="14" borderId="7" applyAlignment="1" pivotButton="0" quotePrefix="0" xfId="0">
      <alignment horizontal="left" vertical="center" wrapText="1"/>
    </xf>
    <xf numFmtId="0" fontId="0" fillId="0" borderId="8" pivotButton="0" quotePrefix="0" xfId="0"/>
    <xf numFmtId="0" fontId="0" fillId="0" borderId="9" pivotButton="0" quotePrefix="0" xfId="0"/>
    <xf numFmtId="0" fontId="0" fillId="0" borderId="10" applyAlignment="1" pivotButton="0" quotePrefix="0" xfId="0">
      <alignment horizontal="center" vertical="center" wrapText="1"/>
    </xf>
    <xf numFmtId="0" fontId="0" fillId="0" borderId="11" pivotButton="0" quotePrefix="0" xfId="0"/>
    <xf numFmtId="0" fontId="0" fillId="0" borderId="12" pivotButton="0" quotePrefix="0" xfId="0"/>
    <xf numFmtId="0" fontId="0" fillId="0" borderId="10" pivotButton="0" quotePrefix="0" xfId="0"/>
    <xf numFmtId="0" fontId="0" fillId="0" borderId="13" pivotButton="0" quotePrefix="0" xfId="0"/>
    <xf numFmtId="0" fontId="0" fillId="0" borderId="14" pivotButton="0" quotePrefix="0" xfId="0"/>
    <xf numFmtId="0" fontId="0" fillId="0" borderId="15" pivotButton="0" quotePrefix="0" xfId="0"/>
    <xf numFmtId="0" fontId="36" fillId="11" borderId="3" applyAlignment="1" pivotButton="0" quotePrefix="0" xfId="0">
      <alignment horizontal="left" vertical="center" wrapText="1"/>
    </xf>
  </cellXfs>
  <cellStyles count="1">
    <cellStyle name="Normal" xfId="0" builtinId="0" hidden="0"/>
  </cellStyles>
  <dxfs count="21">
    <dxf>
      <font>
        <name val="Arial"/>
        <b val="1"/>
        <color rgb="00C00000"/>
      </font>
    </dxf>
    <dxf>
      <font>
        <name val="Arial"/>
        <b val="1"/>
        <color rgb="00006100"/>
      </font>
    </dxf>
    <dxf>
      <font>
        <name val="Arial"/>
        <b val="1"/>
        <color rgb="00006100"/>
      </font>
      <fill>
        <patternFill patternType="solid">
          <fgColor rgb="00C6EFCE"/>
          <bgColor rgb="00C6EFCE"/>
        </patternFill>
      </fill>
    </dxf>
    <dxf>
      <font>
        <name val="Arial"/>
        <b val="1"/>
        <color rgb="00C00000"/>
      </font>
      <fill>
        <patternFill patternType="solid">
          <fgColor rgb="00F8CBAD"/>
          <bgColor rgb="00F8CBAD"/>
        </patternFill>
      </fill>
    </dxf>
    <dxf>
      <font>
        <name val="Arial"/>
        <b val="1"/>
        <color rgb="007F6000"/>
      </font>
      <fill>
        <patternFill patternType="solid">
          <fgColor rgb="00FFE699"/>
          <bgColor rgb="00FFE699"/>
        </patternFill>
      </fill>
    </dxf>
    <dxf>
      <font>
        <name val="Arial"/>
        <b val="1"/>
        <color rgb="00595959"/>
      </font>
      <fill>
        <patternFill patternType="solid">
          <fgColor rgb="00D9D9D9"/>
          <bgColor rgb="00D9D9D9"/>
        </patternFill>
      </fill>
    </dxf>
    <dxf>
      <font>
        <name val="Arial"/>
        <b val="1"/>
        <color rgb="00006100"/>
      </font>
      <fill>
        <patternFill patternType="solid">
          <fgColor rgb="00C6EFCE"/>
        </patternFill>
      </fill>
    </dxf>
    <dxf>
      <font>
        <name val="Arial"/>
        <b val="1"/>
        <color rgb="009C0006"/>
      </font>
      <fill>
        <patternFill patternType="solid">
          <fgColor rgb="00FFC7CE"/>
        </patternFill>
      </fill>
    </dxf>
    <dxf>
      <fill>
        <patternFill patternType="solid">
          <fgColor rgb="00FFEB9C"/>
        </patternFill>
      </fill>
    </dxf>
    <dxf>
      <fill>
        <patternFill patternType="solid">
          <fgColor rgb="00C6EFCE"/>
        </patternFill>
      </fill>
    </dxf>
    <dxf>
      <fill>
        <patternFill patternType="solid">
          <fgColor rgb="00FFC7CE"/>
        </patternFill>
      </fill>
    </dxf>
    <dxf>
      <fill>
        <patternFill patternType="solid">
          <fgColor rgb="00D9D9D9"/>
        </patternFill>
      </fill>
    </dxf>
    <dxf>
      <font>
        <name val="Arial"/>
        <color rgb="00808080"/>
      </font>
    </dxf>
    <dxf>
      <fill>
        <patternFill patternType="solid">
          <fgColor rgb="00C6EFCE"/>
          <bgColor rgb="00C6EFCE"/>
        </patternFill>
      </fill>
    </dxf>
    <dxf>
      <font>
        <b val="1"/>
        <color rgb="009C0006"/>
      </font>
      <fill>
        <patternFill patternType="solid">
          <fgColor rgb="00FFC7CE"/>
          <bgColor rgb="00FFC7CE"/>
        </patternFill>
      </fill>
    </dxf>
    <dxf>
      <fill>
        <patternFill patternType="solid">
          <fgColor rgb="00FFEB9C"/>
          <bgColor rgb="00FFEB9C"/>
        </patternFill>
      </fill>
    </dxf>
    <dxf>
      <font>
        <b val="1"/>
        <color rgb="00FFFFFF"/>
      </font>
      <fill>
        <patternFill patternType="solid">
          <fgColor rgb="00C00000"/>
          <bgColor rgb="00C000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404040"/>
      </font>
      <fill>
        <patternFill patternType="solid">
          <fgColor rgb="00D9D9D9"/>
          <bgColor rgb="00D9D9D9"/>
        </patternFill>
      </fill>
    </dxf>
    <dxf>
      <font>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comments/comment1.xml><?xml version="1.0" encoding="utf-8"?>
<comments xmlns="http://schemas.openxmlformats.org/spreadsheetml/2006/main">
  <authors>
    <author>MAGCS</author>
  </authors>
  <commentList>
    <comment ref="L4" authorId="0" shapeId="0">
      <text>
        <t>Editable: if an equipment change occurs, update the fleet – the A339 IFE-menu rule follows this cell.</t>
      </text>
    </comment>
    <comment ref="AX9" authorId="0" shapeId="0">
      <text>
        <t>Enter the UTC departure from KUL of the flight that carries this leg's KUL-sourced items. Until entered, the loading deadline assumes the latest possible departure (STD minus shortest agenda block).</t>
      </text>
    </comment>
    <comment ref="AX11" authorId="0" shapeId="0">
      <text>
        <t>Enter the UTC departure from KUL of the flight that carries this leg's KUL-sourced items. Until entered, the loading deadline assumes the latest possible departure (STD minus shortest agenda block).</t>
      </text>
    </comment>
    <comment ref="W15" authorId="0" shapeId="0">
      <text>
        <t>Round-trip catered: reference uplift stn for this sector is KUL only, so return catering is loaded at KUL on MH1140. Preparation checks must finish before that loading window. Enter the actual carrying flight's KUL departure (UTC) in column AX; the deadlines follow it.</t>
      </text>
    </comment>
    <comment ref="AX15" authorId="0" shapeId="0">
      <text>
        <t>Enter the UTC departure from KUL of the flight that carries this leg's KUL-sourced items. Until entered, the loading deadline assumes the latest possible departure (STD minus shortest agenda block).</t>
      </text>
    </comment>
    <comment ref="AX17" authorId="0" shapeId="0">
      <text>
        <t>Enter the UTC departure from KUL of the flight that carries this leg's KUL-sourced items. Until entered, the loading deadline assumes the latest possible departure (STD minus shortest agenda block).</t>
      </text>
    </comment>
    <comment ref="AX21" authorId="0" shapeId="0">
      <text>
        <t>Enter the UTC departure from KUL of the flight that carries this leg's KUL-sourced items. Until entered, the loading deadline assumes the latest possible departure (STD minus shortest agenda block).</t>
      </text>
    </comment>
    <comment ref="W25" authorId="0" shapeId="0">
      <text>
        <t>Round-trip catered: reference uplift stn for this sector is KUL only, so return catering is loaded at KUL on MH1450. Preparation checks must finish before that loading window. Enter the actual carrying flight's KUL departure (UTC) in column AX; the deadlines follow it.</t>
      </text>
    </comment>
    <comment ref="AX25" authorId="0" shapeId="0">
      <text>
        <t>Enter the UTC departure from KUL of the flight that carries this leg's KUL-sourced items. Until entered, the loading deadline assumes the latest possible departure (STD minus shortest agenda block).</t>
      </text>
    </comment>
  </commentList>
</comments>
</file>

<file path=xl/comments/comment2.xml><?xml version="1.0" encoding="utf-8"?>
<comments xmlns="http://schemas.openxmlformats.org/spreadsheetml/2006/main">
  <authors>
    <author>MAGCS</author>
  </authors>
  <commentList>
    <comment ref="X24" authorId="0" shapeId="0">
      <text>
        <t>Follows the tail on Flights N: 9M-MAH = 280 pcs, other A350 (A359) = 260 pcs (SEAT LINEN!B76:C77). Blank until the tail is entered.</t>
      </text>
    </comment>
    <comment ref="X29" authorId="0" shapeId="0">
      <text>
        <t>Follows the tail on Flights N: 9M-MAH = 280 pcs, other A350 (A359) = 260 pcs (SEAT LINEN!B76:C77). Blank until the tail is entered.</t>
      </text>
    </comment>
    <comment ref="X157" authorId="0" shapeId="0">
      <text>
        <t>Follows the tail on Flights N: 9M-MAH = 280 pcs, other A350 (A359) = 260 pcs (SEAT LINEN!B76:C77). Blank until the tail is entered.</t>
      </text>
    </comment>
    <comment ref="X164" authorId="0" shapeId="0">
      <text>
        <t>Follows the tail on Flights N: 9M-MAH = 280 pcs, other A350 (A359) = 260 pcs (SEAT LINEN!B76:C77). Blank until the tail is entered.</t>
      </text>
    </comment>
    <comment ref="X447" authorId="0" shapeId="0">
      <text>
        <t>Pre-filled from reference: STD UPLIFT INFORMATION.xlsx &gt; SEAT LINEN!J9</t>
      </text>
    </comment>
    <comment ref="X454" authorId="0" shapeId="0">
      <text>
        <t>Pre-filled from reference: STD UPLIFT INFORMATION.xlsx &gt; SEAT LINEN!J9</t>
      </text>
    </comment>
    <comment ref="X475" authorId="0" shapeId="0">
      <text>
        <t>Follows the tail on Flights N: 9M-MAH = 280 pcs, other A350 (A359) = 260 pcs (SEAT LINEN!B76:C77). Blank until the tail is entered.</t>
      </text>
    </comment>
    <comment ref="X480" authorId="0" shapeId="0">
      <text>
        <t>Follows the tail on Flights N: 9M-MAH = 280 pcs, other A350 (A359) = 260 pcs (SEAT LINEN!B76:C77). Blank until the tail is entered.</t>
      </text>
    </comment>
    <comment ref="X500" authorId="0" shapeId="0">
      <text>
        <t>Follows the tail on Flights N: 9M-MAH = 280 pcs, other A350 (A359) = 260 pcs (SEAT LINEN!B76:C77). Blank until the tail is entered.</t>
      </text>
    </comment>
    <comment ref="X505" authorId="0" shapeId="0">
      <text>
        <t>Follows the tail on Flights N: 9M-MAH = 280 pcs, other A350 (A359) = 260 pcs (SEAT LINEN!B76:C77). Blank until the tail is entered.</t>
      </text>
    </comment>
    <comment ref="X637" authorId="0" shapeId="0">
      <text>
        <t>Pre-filled from reference: STD UPLIFT INFORMATION.xlsx &gt; SEAT LINEN!J15</t>
      </text>
    </comment>
    <comment ref="X642" authorId="0" shapeId="0">
      <text>
        <t>Pre-filled from reference: STD UPLIFT INFORMATION.xlsx &gt; SEAT LINEN!J15</t>
      </text>
    </comment>
  </commentList>
</comments>
</file>

<file path=xl/comments/comment3.xml><?xml version="1.0" encoding="utf-8"?>
<comments xmlns="http://schemas.openxmlformats.org/spreadsheetml/2006/main">
  <authors>
    <author>MAGCS</author>
  </authors>
  <commentList>
    <comment ref="B4" authorId="0" shapeId="0">
      <text>
        <t>Blank = live. Example: 2026-10-09 12:00 to see what is overdue at that UTC time.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B1:B48"/>
  <sheetViews>
    <sheetView showGridLines="0" tabSelected="1" workbookViewId="0">
      <selection activeCell="A1" sqref="A1"/>
    </sheetView>
  </sheetViews>
  <sheetFormatPr baseColWidth="8" defaultRowHeight="15"/>
  <cols>
    <col width="3" customWidth="1" min="1" max="1"/>
    <col width="88" customWidth="1" min="2" max="2"/>
  </cols>
  <sheetData>
    <row r="1" ht="26" customHeight="1">
      <c r="B1" s="1" t="inlineStr">
        <is>
          <t>MAGCS Inflight Catering – Skytrax 2026 Readiness Checklist &amp; Monitor</t>
        </is>
      </c>
    </row>
    <row r="2">
      <c r="B2" s="2" t="inlineStr">
        <is>
          <t>Built from: Skytrax Agenda 2026 (22 legs, 3 itineraries) and STD UPLIFT INFORMATION.xlsx (aircraft data: Update as @20JUL26).</t>
        </is>
      </c>
    </row>
    <row r="4">
      <c r="B4" s="3" t="inlineStr">
        <is>
          <t>How to use this workbook</t>
        </is>
      </c>
    </row>
    <row r="5" ht="69.5" customHeight="1">
      <c r="B5" s="4" t="inlineStr">
        <is>
          <t>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is>
      </c>
    </row>
    <row r="6" ht="22" customHeight="1">
      <c r="B6" s="5" t="inlineStr">
        <is>
          <t>Sheets</t>
        </is>
      </c>
    </row>
    <row r="7" ht="29" customHeight="1">
      <c r="B7" s="4" t="inlineStr">
        <is>
          <t>•  Dashboard – checkpoint completion, overdue actions, outstanding discrepancies and readiness per flight.</t>
        </is>
      </c>
    </row>
    <row r="8" ht="29" customHeight="1">
      <c r="B8" s="4" t="inlineStr">
        <is>
          <t>•  Flights – the 22 legs as scheduled. Enter Tail/Reg, Caterer and Flight PIC (yellow). Due times: T-7D, T-24H, T-12H prep and uplift (= STD).</t>
        </is>
      </c>
    </row>
    <row r="9" ht="29" customHeight="1">
      <c r="B9" s="4" t="inlineStr">
        <is>
          <t>•  Checks – one row per check per flight. THE ONLY PLACE TO RECORD RESULTS (yellow columns T–AE).</t>
        </is>
      </c>
    </row>
    <row r="10" ht="29" customHeight="1">
      <c r="B10" s="4" t="inlineStr">
        <is>
          <t>•  Documents – galley loading diagram and menu checklist per flight (doc no, revision, date, attachment). ISOP Register – ISOP revisions communicated to caterers.</t>
        </is>
      </c>
    </row>
    <row r="11" ht="29" customHeight="1">
      <c r="B11" s="4" t="inlineStr">
        <is>
          <t>•  Requirements – uplift requirements derived from STD UPLIFT INFORMATION.xlsx per flight, with source cell for each.</t>
        </is>
      </c>
    </row>
    <row r="12" ht="15.5" customHeight="1">
      <c r="B12" s="4" t="inlineStr">
        <is>
          <t>•  Settings – as-of time, PC clock offset, validity windows, station time-zone table.</t>
        </is>
      </c>
    </row>
    <row r="13" ht="56" customHeight="1">
      <c r="B13" s="4" t="inlineStr">
        <is>
          <t>•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is>
      </c>
    </row>
    <row r="14" ht="22" customHeight="1">
      <c r="B14" s="5" t="inlineStr">
        <is>
          <t>Recording a check (Checks sheet)</t>
        </is>
      </c>
    </row>
    <row r="15" ht="15.5" customHeight="1">
      <c r="B15" s="4" t="inlineStr">
        <is>
          <t>1. Filter column B (Flight ID) or G (Checkpoint). Enter PIC (T).</t>
        </is>
      </c>
    </row>
    <row r="16" ht="29" customHeight="1">
      <c r="B16" s="4" t="inlineStr">
        <is>
          <t>2. Record Result (V), Evidence ref (Z), Completion time in LOCAL time of the check station shown in column P (AD) and Verifier (AE).</t>
        </is>
      </c>
    </row>
    <row r="17" ht="29" customHeight="1">
      <c r="B17" s="4" t="inlineStr">
        <is>
          <t>3. T-24H sensory: Batch ID (W) is mandatory. Status Pass = batch accepted; Fail = rejected (enter corrective action AA and CA status AB).</t>
        </is>
      </c>
    </row>
    <row r="18" ht="29" customHeight="1">
      <c r="B18" s="4" t="inlineStr">
        <is>
          <t>4. Quantity lines: enter Expected (X, from menu checklist / GLD) and Actual (Y). A variance cannot be 'Pass' – use Fail, then 'Pass after CA' once the corrective action is recorded and Closed.</t>
        </is>
      </c>
    </row>
    <row r="19" ht="15.5" customHeight="1">
      <c r="B19" s="4" t="inlineStr">
        <is>
          <t>5. Set Status (U) last. The Record state (AH) tells you whether the entry is accepted.</t>
        </is>
      </c>
    </row>
    <row r="20" ht="42.5" customHeight="1">
      <c r="B20" s="4" t="inlineStr">
        <is>
          <t>6. N/A only with a written justification (AC), PIC (T) and verifier (AE), and only on rows where N/A is permitted. Rule-based N/A (digital IFE menu on non-A339) is automatic and excluded from completion rates.</t>
        </is>
      </c>
    </row>
    <row r="21" ht="22" customHeight="1">
      <c r="B21" s="5" t="inlineStr">
        <is>
          <t>Rules built into the formulas</t>
        </is>
      </c>
    </row>
    <row r="22" ht="29" customHeight="1">
      <c r="B22" s="4" t="inlineStr">
        <is>
          <t>•  Blank or 'Not started'/'In progress' never counts as complete. 'Pass' without completion time, PIC, evidence or verifier (blank or spaces) shows INVALID and does not count.</t>
        </is>
      </c>
    </row>
    <row r="23" ht="29" customHeight="1">
      <c r="B23" s="4" t="inlineStr">
        <is>
          <t>•  A check completed after the flight's departure never counts (INVALID – completed after departure). A check completed after its due time but before departure counts as COMPLETE – LATE.</t>
        </is>
      </c>
    </row>
    <row r="24" ht="42.5" customHeight="1">
      <c r="B24" s="4" t="inlineStr">
        <is>
          <t>•  N/A is only accepted where it can legitimately apply: printed menu cards, reference-derived uplift items and clarification items. Mandatory checks (sensory tests, catering officer, ISOP, GLD, menu checklist, meal/equipment preparation and physical uplift) cannot be N/A'd.</t>
        </is>
      </c>
    </row>
    <row r="25" ht="29" customHeight="1">
      <c r="B25" s="4" t="inlineStr">
        <is>
          <t>•  Completion % = complete ÷ in-scope checks; justified and rule-based N/A are removed from both, so they neither raise nor lower the rate.</t>
        </is>
      </c>
    </row>
    <row r="26" ht="42.5" customHeight="1">
      <c r="B26" s="4" t="inlineStr">
        <is>
          <t>•  Preparation checks (T-12H PREP, at the caterer) never confirm loading. Physical uplift rows (UPLIFT) are only accepted when the completion time is inside the uplift window before STD (Settings B7) – an earlier entry shows 'INVALID – before uplift window'.</t>
        </is>
      </c>
    </row>
    <row r="27" ht="29" customHeight="1">
      <c r="B27" s="4" t="inlineStr">
        <is>
          <t>•  Completion times in the future, before the valid window or after departure (uplift) are rejected.</t>
        </is>
      </c>
    </row>
    <row r="28" ht="29" customHeight="1">
      <c r="B28" s="4" t="inlineStr">
        <is>
          <t>•  GLD / menu-checklist checks cannot be passed until the Documents row is ON FILE (doc no, revision, date and attachment all present).</t>
        </is>
      </c>
    </row>
    <row r="29" ht="29" customHeight="1">
      <c r="B29" s="4" t="inlineStr">
        <is>
          <t>•  Readiness order: NOT READY – OVERDUE, – DISCREPANCY, – INVALID ENTRY, – DOCUMENTS OUTSTANDING, – CLARIFICATION OPEN, then PREP DONE – AWAITING UPLIFT, IN PROGRESS or NOT STARTED.</t>
        </is>
      </c>
    </row>
    <row r="30" ht="42.5" customHeight="1">
      <c r="B30" s="4" t="inlineStr">
        <is>
          <t>•  READY only when every in-scope check (including physical uplift) is complete, with zero open discrepancies, zero invalid entries and both documents on file. 'Clarification required' rows (reference ambiguous) also block READY until confirmed (Pass) or justified N/A.</t>
        </is>
      </c>
    </row>
    <row r="31" ht="42.5" customHeight="1">
      <c r="B31" s="4" t="inlineStr">
        <is>
          <t>•  Overdue = not complete and the effective as-of time is past the due time. Settings B4 is an optional override (UTC); when blank the live clock is used. The effective as-of time is shown in Settings B6.</t>
        </is>
      </c>
    </row>
    <row r="32" ht="29" customHeight="1">
      <c r="B32" s="4" t="inlineStr">
        <is>
          <t>•  Row heights do not grow automatically for long typed entries: after entering long text, select the rows and use Home &gt; Format &gt; AutoFit Row Height.</t>
        </is>
      </c>
    </row>
    <row r="33" ht="22" customHeight="1">
      <c r="B33" s="5" t="inlineStr">
        <is>
          <t>Time zones &amp; special cases</t>
        </is>
      </c>
    </row>
    <row r="34" ht="29" customHeight="1">
      <c r="B34" s="4" t="inlineStr">
        <is>
          <t>•  Due times are computed from STD converted to UTC, then shown in local time of the check station. LHR changes from BST to GMT on 25-Oct-2026; ADL is on ACDT (UTC+10:30) from 4-Oct-2026.</t>
        </is>
      </c>
    </row>
    <row r="35" ht="83" customHeight="1">
      <c r="B35" s="4" t="inlineStr">
        <is>
          <t>•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is>
      </c>
    </row>
    <row r="36" ht="56" customHeight="1">
      <c r="B36" s="4" t="inlineStr">
        <is>
          <t>•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is>
      </c>
    </row>
    <row r="37" ht="56" customHeight="1">
      <c r="B37" s="4" t="inlineStr">
        <is>
          <t>•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is>
      </c>
    </row>
    <row r="38" ht="22" customHeight="1">
      <c r="B38" s="5" t="inlineStr">
        <is>
          <t>Outstanding inputs at issue</t>
        </is>
      </c>
    </row>
    <row r="39" ht="56" customHeight="1">
      <c r="B39" s="4" t="inlineStr">
        <is>
          <t>•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is>
      </c>
    </row>
    <row r="40" ht="29" customHeight="1">
      <c r="B40" s="4" t="inlineStr">
        <is>
          <t>•  A350 tail (A359 vs 9M-MAH) decides sales-cart location and EY blanket quantity – enter Tail/Reg on Flights.</t>
        </is>
      </c>
    </row>
    <row r="41" ht="29" customHeight="1">
      <c r="B41" s="4" t="inlineStr">
        <is>
          <t>•  Caterer per station, ISOP revision numbers and expected meal/equipment quantities come from the caterer/MAGCS documents – not invented here.</t>
        </is>
      </c>
    </row>
    <row r="42" ht="22" customHeight="1">
      <c r="B42" s="5" t="inlineStr">
        <is>
          <t>Illustrative entry (example only – not recorded anywhere in this workbook)</t>
        </is>
      </c>
    </row>
    <row r="43" ht="42.5" customHeight="1">
      <c r="B43" s="4" t="inlineStr">
        <is>
          <t>Check F02-T24-01 · PIC: A. Rahman · Status: Pass · Result: Panel score 4.5/5, texture &amp; temperature OK · Batch ID: PASB-261008-BC-017 · Evidence: SENS-261008-017.pdf · Completion time: 08-Oct-26 22:10 (KUL) · Verifier: N. Ismail</t>
        </is>
      </c>
    </row>
    <row r="44" ht="22" customHeight="1">
      <c r="B44" s="5" t="inlineStr">
        <is>
          <t>Colour key</t>
        </is>
      </c>
    </row>
    <row r="45" ht="15.5" customHeight="1">
      <c r="B45" s="6" t="inlineStr">
        <is>
          <t>Yellow cell = input – enter data here</t>
        </is>
      </c>
    </row>
    <row r="46" ht="15.5" customHeight="1">
      <c r="B46" s="7" t="inlineStr">
        <is>
          <t>Grey cell = formula – do not overwrite</t>
        </is>
      </c>
    </row>
    <row r="47" ht="15.5" customHeight="1">
      <c r="B47" s="8" t="inlineStr">
        <is>
          <t>Light blue cell = requirement text derived from STD UPLIFT INFORMATION.xlsx</t>
        </is>
      </c>
    </row>
    <row r="48" ht="15.5" customHeight="1">
      <c r="B48" s="9" t="inlineStr">
        <is>
          <t>Blue text = value transcribed from a reference (schedule, time-zone table, reference quantity)</t>
        </is>
      </c>
    </row>
  </sheetData>
  <pageMargins left="0.3" right="0.3" top="1" bottom="1" header="0.5" footer="0.5"/>
  <pageSetup orientation="portrait" paperSize="9" fitToHeight="0" fitToWidth="1"/>
  <headerFooter>
    <oddHeader/>
    <oddFooter>&amp;C&amp;8 &amp;A  |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1:T94"/>
  <sheetViews>
    <sheetView showGridLines="0" tabSelected="0" zoomScale="90" workbookViewId="0">
      <pane ySplit="3" topLeftCell="A4" activePane="bottomLeft" state="frozen"/>
      <selection pane="bottomLeft" activeCell="A1" sqref="A1"/>
    </sheetView>
  </sheetViews>
  <sheetFormatPr baseColWidth="8" defaultRowHeight="15"/>
  <cols>
    <col width="2" customWidth="1" min="1" max="1"/>
    <col width="5" customWidth="1" min="2" max="2"/>
    <col width="9" customWidth="1" min="3" max="3"/>
    <col width="8" customWidth="1" min="4" max="4"/>
    <col width="9" customWidth="1" min="5" max="5"/>
    <col width="5" customWidth="1" min="6" max="6"/>
    <col width="10" customWidth="1" min="7" max="7"/>
    <col width="14" customWidth="1" min="8" max="8"/>
    <col width="8" customWidth="1" min="9" max="9"/>
    <col width="8" customWidth="1" min="10" max="10"/>
    <col width="8" customWidth="1" min="11" max="11"/>
    <col width="8" customWidth="1" min="12" max="12"/>
    <col width="9" customWidth="1" min="13" max="13"/>
    <col width="8" customWidth="1" min="14" max="14"/>
    <col width="8" customWidth="1" min="15" max="15"/>
    <col width="8" customWidth="1" min="16" max="16"/>
    <col width="8" customWidth="1" min="17" max="17"/>
    <col width="30" customWidth="1" min="18" max="18"/>
    <col width="2" customWidth="1" min="19" max="19"/>
    <col hidden="1" width="8" customWidth="1" min="20" max="20"/>
  </cols>
  <sheetData>
    <row r="1" ht="30" customHeight="1">
      <c r="B1" s="10" t="inlineStr">
        <is>
          <t>MAGCS Inflight Catering – Skytrax 2026 Readiness Dashboard</t>
        </is>
      </c>
      <c r="C1" s="11" t="n"/>
      <c r="D1" s="11" t="n"/>
      <c r="E1" s="11" t="n"/>
      <c r="F1" s="11" t="n"/>
      <c r="G1" s="11" t="n"/>
      <c r="H1" s="11" t="n"/>
      <c r="I1" s="11" t="n"/>
      <c r="J1" s="11" t="n"/>
      <c r="K1" s="11" t="n"/>
      <c r="L1" s="11" t="n"/>
      <c r="M1" s="11" t="n"/>
      <c r="N1" s="11" t="n"/>
      <c r="O1" s="11" t="n"/>
      <c r="P1" s="11" t="n"/>
      <c r="Q1" s="11" t="n"/>
      <c r="R1" s="11" t="n"/>
    </row>
    <row r="2" ht="14.8" customHeight="1">
      <c r="B2" s="12" t="inlineStr">
        <is>
          <t>As of (UTC)</t>
        </is>
      </c>
      <c r="C2" s="13" t="n"/>
      <c r="D2" s="14">
        <f>AsOfUTC</f>
        <v/>
      </c>
      <c r="E2" s="13" t="n"/>
      <c r="F2" s="12" t="inlineStr">
        <is>
          <t>As of (MYT)</t>
        </is>
      </c>
      <c r="G2" s="13" t="n"/>
      <c r="H2" s="14">
        <f>AsOfUTC+8/24</f>
        <v/>
      </c>
      <c r="I2" s="13" t="n"/>
      <c r="J2" s="15">
        <f>IF(Settings!$B$4&lt;&gt;"","Settings B4 (override) is set → as-of time is fixed","Settings B4 (override) blank → live clock (recalculate to refresh)")&amp;"; effective as-of shown in Settings B6."</f>
        <v/>
      </c>
      <c r="K2" s="13" t="n"/>
      <c r="L2" s="13" t="n"/>
      <c r="M2" s="13" t="n"/>
      <c r="N2" s="13" t="n"/>
      <c r="O2" s="13" t="n"/>
      <c r="P2" s="13" t="n"/>
      <c r="Q2" s="13" t="n"/>
      <c r="R2" s="13" t="n"/>
    </row>
    <row r="3" ht="6" customHeight="1"/>
    <row r="4" ht="22" customHeight="1">
      <c r="B4" s="16" t="inlineStr">
        <is>
          <t>Key indicators</t>
        </is>
      </c>
      <c r="C4" s="17" t="n"/>
      <c r="D4" s="17" t="n"/>
      <c r="E4" s="17" t="n"/>
      <c r="F4" s="17" t="n"/>
      <c r="G4" s="17" t="n"/>
      <c r="H4" s="17" t="n"/>
      <c r="I4" s="17" t="n"/>
      <c r="J4" s="17" t="n"/>
      <c r="K4" s="17" t="n"/>
      <c r="L4" s="17" t="n"/>
      <c r="M4" s="17" t="n"/>
      <c r="N4" s="17" t="n"/>
      <c r="O4" s="17" t="n"/>
      <c r="P4" s="17" t="n"/>
      <c r="Q4" s="17" t="n"/>
      <c r="R4" s="17" t="n"/>
    </row>
    <row r="5" ht="28" customHeight="1">
      <c r="B5" s="18" t="inlineStr">
        <is>
          <t>Flights</t>
        </is>
      </c>
      <c r="C5" s="19" t="n"/>
      <c r="D5" s="18" t="inlineStr">
        <is>
          <t>Flights READY</t>
        </is>
      </c>
      <c r="E5" s="19" t="n"/>
      <c r="F5" s="18" t="inlineStr">
        <is>
          <t>Overall completion</t>
        </is>
      </c>
      <c r="G5" s="19" t="n"/>
      <c r="H5" s="18" t="inlineStr">
        <is>
          <t>Overdue actions</t>
        </is>
      </c>
      <c r="I5" s="19" t="n"/>
      <c r="J5" s="18" t="inlineStr">
        <is>
          <t>Open discrepancies</t>
        </is>
      </c>
      <c r="K5" s="19" t="n"/>
      <c r="L5" s="18" t="inlineStr">
        <is>
          <t>Docs outstanding</t>
        </is>
      </c>
      <c r="M5" s="19" t="n"/>
      <c r="N5" s="18" t="inlineStr">
        <is>
          <t>Clarifications open</t>
        </is>
      </c>
      <c r="O5" s="19" t="n"/>
      <c r="P5" s="18" t="inlineStr">
        <is>
          <t>Invalid entries</t>
        </is>
      </c>
      <c r="Q5" s="19" t="n"/>
      <c r="R5" s="19" t="n"/>
    </row>
    <row r="6" ht="32" customHeight="1">
      <c r="B6" s="20">
        <f>COUNTA(Flights!$A$5:$A$26)</f>
        <v/>
      </c>
      <c r="C6" s="13" t="n"/>
      <c r="D6" s="20">
        <f>COUNTIF(Flights!$AT$5:$AT$26,"READY")</f>
        <v/>
      </c>
      <c r="E6" s="13" t="n"/>
      <c r="F6" s="21">
        <f>IF(SUM(Checks!$AI$5:$AI$748)=0,"n/a",SUM(Checks!$AJ$5:$AJ$748)/SUM(Checks!$AI$5:$AI$748))</f>
        <v/>
      </c>
      <c r="G6" s="13" t="n"/>
      <c r="H6" s="20">
        <f>SUM(Checks!$AK$5:$AK$748)</f>
        <v/>
      </c>
      <c r="I6" s="13" t="n"/>
      <c r="J6" s="20">
        <f>SUM(Checks!$AL$5:$AL$748)</f>
        <v/>
      </c>
      <c r="K6" s="13" t="n"/>
      <c r="L6" s="20">
        <f>SUM(Flights!$AR$5:$AR$26)</f>
        <v/>
      </c>
      <c r="M6" s="13" t="n"/>
      <c r="N6" s="20">
        <f>SUM(Checks!$AN$5:$AN$748)</f>
        <v/>
      </c>
      <c r="O6" s="13" t="n"/>
      <c r="P6" s="20">
        <f>SUM(Checks!$AM$5:$AM$748)</f>
        <v/>
      </c>
      <c r="Q6" s="13" t="n"/>
      <c r="R6" s="13" t="n"/>
    </row>
    <row r="7" ht="36.4" customHeight="1">
      <c r="B7" s="22" t="inlineStr">
        <is>
          <t>legs on the agenda</t>
        </is>
      </c>
      <c r="C7" s="13" t="n"/>
      <c r="D7" s="22">
        <f>"of "&amp;COUNTA(Flights!$A$5:$A$26)&amp;" flights"</f>
        <v/>
      </c>
      <c r="E7" s="13" t="n"/>
      <c r="F7" s="22">
        <f>SUM(Checks!$AJ$5:$AJ$748)&amp;" of "&amp;SUM(Checks!$AI$5:$AI$748)&amp;" checks"</f>
        <v/>
      </c>
      <c r="G7" s="13" t="n"/>
      <c r="H7" s="22" t="inlineStr">
        <is>
          <t>past due, not complete</t>
        </is>
      </c>
      <c r="I7" s="13" t="n"/>
      <c r="J7" s="22" t="inlineStr">
        <is>
          <t>fail, qty variance or CA open</t>
        </is>
      </c>
      <c r="K7" s="13" t="n"/>
      <c r="L7" s="22" t="inlineStr">
        <is>
          <t>GLD + menu checklist</t>
        </is>
      </c>
      <c r="M7" s="13" t="n"/>
      <c r="N7" s="22" t="inlineStr">
        <is>
          <t>awaiting reference answer</t>
        </is>
      </c>
      <c r="O7" s="13" t="n"/>
      <c r="P7" s="22" t="inlineStr">
        <is>
          <t>entries failing validation rules</t>
        </is>
      </c>
      <c r="Q7" s="13" t="n"/>
      <c r="R7" s="13" t="n"/>
    </row>
    <row r="8" ht="8" customHeight="1"/>
    <row r="9" ht="22" customHeight="1">
      <c r="B9" s="16" t="inlineStr">
        <is>
          <t>Checkpoint summary</t>
        </is>
      </c>
      <c r="C9" s="17" t="n"/>
      <c r="D9" s="17" t="n"/>
      <c r="E9" s="17" t="n"/>
      <c r="F9" s="17" t="n"/>
      <c r="G9" s="17" t="n"/>
      <c r="H9" s="17" t="n"/>
      <c r="I9" s="17" t="n"/>
      <c r="J9" s="17" t="n"/>
      <c r="K9" s="17" t="n"/>
      <c r="L9" s="17" t="n"/>
      <c r="M9" s="17" t="n"/>
      <c r="N9" s="17" t="n"/>
      <c r="O9" s="17" t="n"/>
      <c r="P9" s="17" t="n"/>
      <c r="Q9" s="17" t="n"/>
      <c r="R9" s="17" t="n"/>
    </row>
    <row r="10" ht="28" customHeight="1">
      <c r="B10" s="23" t="inlineStr">
        <is>
          <t>Checkpoint</t>
        </is>
      </c>
      <c r="C10" s="24" t="n"/>
      <c r="D10" s="23" t="inlineStr">
        <is>
          <t>In scope</t>
        </is>
      </c>
      <c r="E10" s="24" t="n"/>
      <c r="F10" s="23" t="inlineStr">
        <is>
          <t>Complete</t>
        </is>
      </c>
      <c r="G10" s="24" t="n"/>
      <c r="H10" s="23" t="inlineStr">
        <is>
          <t>Justified N/A</t>
        </is>
      </c>
      <c r="I10" s="23" t="inlineStr">
        <is>
          <t>Open</t>
        </is>
      </c>
      <c r="J10" s="23" t="inlineStr">
        <is>
          <t>Overdue</t>
        </is>
      </c>
      <c r="K10" s="24" t="n"/>
      <c r="L10" s="23" t="inlineStr">
        <is>
          <t>Completion</t>
        </is>
      </c>
      <c r="M10" s="24" t="n"/>
      <c r="N10" s="23" t="inlineStr">
        <is>
          <t>What is checked</t>
        </is>
      </c>
      <c r="O10" s="24" t="n"/>
      <c r="P10" s="24" t="n"/>
      <c r="Q10" s="24" t="n"/>
      <c r="R10" s="24" t="n"/>
    </row>
    <row r="11" ht="18" customHeight="1">
      <c r="B11" s="25" t="inlineStr">
        <is>
          <t>T-7D</t>
        </is>
      </c>
      <c r="C11" s="26" t="n"/>
      <c r="D11" s="27">
        <f>SUMIFS(Checks!$AI$5:$AI$748,Checks!$G$5:$G$748,"T-7D")</f>
        <v/>
      </c>
      <c r="E11" s="26" t="n"/>
      <c r="F11" s="27">
        <f>SUMIFS(Checks!$AJ$5:$AJ$748,Checks!$G$5:$G$748,"T-7D")</f>
        <v/>
      </c>
      <c r="G11" s="26" t="n"/>
      <c r="H11" s="27">
        <f>COUNTIFS(Checks!$G$5:$G$748,"T-7D",Checks!$AH$5:$AH$748,"N/A – JUSTIFIED*")+COUNTIFS(Checks!$G$5:$G$748,"T-7D",Checks!$AH$5:$AH$748,"N/A – RULE*")</f>
        <v/>
      </c>
      <c r="I11" s="27">
        <f>D11-F11</f>
        <v/>
      </c>
      <c r="J11" s="27">
        <f>SUMIFS(Checks!$AK$5:$AK$748,Checks!$G$5:$G$748,"T-7D")</f>
        <v/>
      </c>
      <c r="K11" s="26" t="n"/>
      <c r="L11" s="28">
        <f>IF(D11=0,"n/a",F11/D11)</f>
        <v/>
      </c>
      <c r="M11" s="26" t="n"/>
      <c r="N11" s="29" t="inlineStr">
        <is>
          <t>Preparation checks due 7 days before STD</t>
        </is>
      </c>
      <c r="O11" s="26" t="n"/>
      <c r="P11" s="26" t="n"/>
      <c r="Q11" s="26" t="n"/>
      <c r="R11" s="26" t="n"/>
    </row>
    <row r="12" ht="18" customHeight="1">
      <c r="B12" s="25" t="inlineStr">
        <is>
          <t>T-24H</t>
        </is>
      </c>
      <c r="C12" s="26" t="n"/>
      <c r="D12" s="27">
        <f>SUMIFS(Checks!$AI$5:$AI$748,Checks!$G$5:$G$748,"T-24H")</f>
        <v/>
      </c>
      <c r="E12" s="26" t="n"/>
      <c r="F12" s="27">
        <f>SUMIFS(Checks!$AJ$5:$AJ$748,Checks!$G$5:$G$748,"T-24H")</f>
        <v/>
      </c>
      <c r="G12" s="26" t="n"/>
      <c r="H12" s="27">
        <f>COUNTIFS(Checks!$G$5:$G$748,"T-24H",Checks!$AH$5:$AH$748,"N/A – JUSTIFIED*")+COUNTIFS(Checks!$G$5:$G$748,"T-24H",Checks!$AH$5:$AH$748,"N/A – RULE*")</f>
        <v/>
      </c>
      <c r="I12" s="27">
        <f>D12-F12</f>
        <v/>
      </c>
      <c r="J12" s="27">
        <f>SUMIFS(Checks!$AK$5:$AK$748,Checks!$G$5:$G$748,"T-24H")</f>
        <v/>
      </c>
      <c r="K12" s="26" t="n"/>
      <c r="L12" s="28">
        <f>IF(D12=0,"n/a",F12/D12)</f>
        <v/>
      </c>
      <c r="M12" s="26" t="n"/>
      <c r="N12" s="29" t="inlineStr">
        <is>
          <t>Preparation checks due 24 hours before STD</t>
        </is>
      </c>
      <c r="O12" s="26" t="n"/>
      <c r="P12" s="26" t="n"/>
      <c r="Q12" s="26" t="n"/>
      <c r="R12" s="26" t="n"/>
    </row>
    <row r="13" ht="18" customHeight="1">
      <c r="B13" s="25" t="inlineStr">
        <is>
          <t>T-12H prep</t>
        </is>
      </c>
      <c r="C13" s="26" t="n"/>
      <c r="D13" s="27">
        <f>SUMIFS(Checks!$AI$5:$AI$748,Checks!$G$5:$G$748,"T-12H PREP")</f>
        <v/>
      </c>
      <c r="E13" s="26" t="n"/>
      <c r="F13" s="27">
        <f>SUMIFS(Checks!$AJ$5:$AJ$748,Checks!$G$5:$G$748,"T-12H PREP")</f>
        <v/>
      </c>
      <c r="G13" s="26" t="n"/>
      <c r="H13" s="27">
        <f>COUNTIFS(Checks!$G$5:$G$748,"T-12H PREP",Checks!$AH$5:$AH$748,"N/A – JUSTIFIED*")+COUNTIFS(Checks!$G$5:$G$748,"T-12H PREP",Checks!$AH$5:$AH$748,"N/A – RULE*")</f>
        <v/>
      </c>
      <c r="I13" s="27">
        <f>D13-F13</f>
        <v/>
      </c>
      <c r="J13" s="27">
        <f>SUMIFS(Checks!$AK$5:$AK$748,Checks!$G$5:$G$748,"T-12H PREP")</f>
        <v/>
      </c>
      <c r="K13" s="26" t="n"/>
      <c r="L13" s="28">
        <f>IF(D13=0,"n/a",F13/D13)</f>
        <v/>
      </c>
      <c r="M13" s="26" t="n"/>
      <c r="N13" s="29" t="inlineStr">
        <is>
          <t>Preparation checks due 12 hours before STD</t>
        </is>
      </c>
      <c r="O13" s="26" t="n"/>
      <c r="P13" s="26" t="n"/>
      <c r="Q13" s="26" t="n"/>
      <c r="R13" s="26" t="n"/>
    </row>
    <row r="14" ht="18" customHeight="1">
      <c r="B14" s="25" t="inlineStr">
        <is>
          <t>Uplift</t>
        </is>
      </c>
      <c r="C14" s="26" t="n"/>
      <c r="D14" s="27">
        <f>SUMIFS(Checks!$AI$5:$AI$748,Checks!$G$5:$G$748,"UPLIFT")</f>
        <v/>
      </c>
      <c r="E14" s="26" t="n"/>
      <c r="F14" s="27">
        <f>SUMIFS(Checks!$AJ$5:$AJ$748,Checks!$G$5:$G$748,"UPLIFT")</f>
        <v/>
      </c>
      <c r="G14" s="26" t="n"/>
      <c r="H14" s="27">
        <f>COUNTIFS(Checks!$G$5:$G$748,"UPLIFT",Checks!$AH$5:$AH$748,"N/A – JUSTIFIED*")+COUNTIFS(Checks!$G$5:$G$748,"UPLIFT",Checks!$AH$5:$AH$748,"N/A – RULE*")</f>
        <v/>
      </c>
      <c r="I14" s="27">
        <f>D14-F14</f>
        <v/>
      </c>
      <c r="J14" s="27">
        <f>SUMIFS(Checks!$AK$5:$AK$748,Checks!$G$5:$G$748,"UPLIFT")</f>
        <v/>
      </c>
      <c r="K14" s="26" t="n"/>
      <c r="L14" s="28">
        <f>IF(D14=0,"n/a",F14/D14)</f>
        <v/>
      </c>
      <c r="M14" s="26" t="n"/>
      <c r="N14" s="29" t="inlineStr">
        <is>
          <t>Physical uplift / on-board confirmation, due at STD</t>
        </is>
      </c>
      <c r="O14" s="26" t="n"/>
      <c r="P14" s="26" t="n"/>
      <c r="Q14" s="26" t="n"/>
      <c r="R14" s="26" t="n"/>
    </row>
    <row r="15" ht="18" customHeight="1">
      <c r="B15" s="30" t="inlineStr">
        <is>
          <t>All</t>
        </is>
      </c>
      <c r="C15" s="31" t="n"/>
      <c r="D15" s="32">
        <f>SUM(D11:D14)</f>
        <v/>
      </c>
      <c r="E15" s="31" t="n"/>
      <c r="F15" s="32">
        <f>SUM(F11:F14)</f>
        <v/>
      </c>
      <c r="G15" s="31" t="n"/>
      <c r="H15" s="32">
        <f>SUM(H11:H14)</f>
        <v/>
      </c>
      <c r="I15" s="32">
        <f>SUM(I11:I14)</f>
        <v/>
      </c>
      <c r="J15" s="32">
        <f>SUM(J11:J14)</f>
        <v/>
      </c>
      <c r="K15" s="31" t="n"/>
      <c r="L15" s="33">
        <f>IF(D15=0,"n/a",F15/D15)</f>
        <v/>
      </c>
      <c r="M15" s="31" t="n"/>
      <c r="N15" s="34" t="inlineStr">
        <is>
          <t>Open = in scope − complete (includes overdue).</t>
        </is>
      </c>
      <c r="O15" s="31" t="n"/>
      <c r="P15" s="31" t="n"/>
      <c r="Q15" s="31" t="n"/>
      <c r="R15" s="31" t="n"/>
    </row>
    <row r="16" ht="8" customHeight="1"/>
    <row r="17" ht="22" customHeight="1">
      <c r="B17" s="16" t="inlineStr">
        <is>
          <t>How the figures are calculated</t>
        </is>
      </c>
      <c r="C17" s="17" t="n"/>
      <c r="D17" s="17" t="n"/>
      <c r="E17" s="17" t="n"/>
      <c r="F17" s="17" t="n"/>
      <c r="G17" s="17" t="n"/>
      <c r="H17" s="17" t="n"/>
      <c r="I17" s="17" t="n"/>
      <c r="J17" s="17" t="n"/>
      <c r="K17" s="17" t="n"/>
      <c r="L17" s="17" t="n"/>
      <c r="M17" s="17" t="n"/>
      <c r="N17" s="17" t="n"/>
      <c r="O17" s="17" t="n"/>
      <c r="P17" s="17" t="n"/>
      <c r="Q17" s="17" t="n"/>
      <c r="R17" s="17" t="n"/>
    </row>
    <row r="18" ht="16" customHeight="1">
      <c r="B18" s="35" t="inlineStr">
        <is>
          <t>Blank checks</t>
        </is>
      </c>
      <c r="C18" s="31" t="n"/>
      <c r="D18" s="31" t="n"/>
      <c r="E18" s="36" t="inlineStr">
        <is>
          <t>A check line with no Status / completion entry never counts as complete. It stays OPEN until its due time, then becomes OVERDUE.</t>
        </is>
      </c>
      <c r="F18" s="26" t="n"/>
      <c r="G18" s="26" t="n"/>
      <c r="H18" s="26" t="n"/>
      <c r="I18" s="26" t="n"/>
      <c r="J18" s="26" t="n"/>
      <c r="K18" s="26" t="n"/>
      <c r="L18" s="26" t="n"/>
      <c r="M18" s="26" t="n"/>
      <c r="N18" s="26" t="n"/>
      <c r="O18" s="26" t="n"/>
      <c r="P18" s="26" t="n"/>
      <c r="Q18" s="26" t="n"/>
      <c r="R18" s="26" t="n"/>
    </row>
    <row r="19" ht="28" customHeight="1">
      <c r="B19" s="35" t="inlineStr">
        <is>
          <t>N/A</t>
        </is>
      </c>
      <c r="C19" s="31" t="n"/>
      <c r="D19" s="31" t="n"/>
      <c r="E19" s="36" t="inlineStr">
        <is>
          <t>N/A only removes a check from the denominator when it is either rule-based (applicability “N/A – rule”, e.g. fleet-specific items) or JUSTIFIED: Status N/A with a written N/A justification AND a named verifier. An unjustified or unverified N/A is flagged INVALID and still counts as open.</t>
        </is>
      </c>
      <c r="F19" s="26" t="n"/>
      <c r="G19" s="26" t="n"/>
      <c r="H19" s="26" t="n"/>
      <c r="I19" s="26" t="n"/>
      <c r="J19" s="26" t="n"/>
      <c r="K19" s="26" t="n"/>
      <c r="L19" s="26" t="n"/>
      <c r="M19" s="26" t="n"/>
      <c r="N19" s="26" t="n"/>
      <c r="O19" s="26" t="n"/>
      <c r="P19" s="26" t="n"/>
      <c r="Q19" s="26" t="n"/>
      <c r="R19" s="26" t="n"/>
    </row>
    <row r="20" ht="52" customHeight="1">
      <c r="B20" s="35" t="inlineStr">
        <is>
          <t>Complete</t>
        </is>
      </c>
      <c r="C20" s="31" t="n"/>
      <c r="D20" s="31" t="n"/>
      <c r="E20" s="36" t="inlineStr">
        <is>
          <t>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is>
      </c>
      <c r="F20" s="26" t="n"/>
      <c r="G20" s="26" t="n"/>
      <c r="H20" s="26" t="n"/>
      <c r="I20" s="26" t="n"/>
      <c r="J20" s="26" t="n"/>
      <c r="K20" s="26" t="n"/>
      <c r="L20" s="26" t="n"/>
      <c r="M20" s="26" t="n"/>
      <c r="N20" s="26" t="n"/>
      <c r="O20" s="26" t="n"/>
      <c r="P20" s="26" t="n"/>
      <c r="Q20" s="26" t="n"/>
      <c r="R20" s="26" t="n"/>
    </row>
    <row r="21" ht="28" customHeight="1">
      <c r="B21" s="35" t="inlineStr">
        <is>
          <t>Discrepancy</t>
        </is>
      </c>
      <c r="C21" s="31" t="n"/>
      <c r="D21" s="31" t="n"/>
      <c r="E21" s="36" t="inlineStr">
        <is>
          <t>An in-scope check is an open discrepancy when its Status is Fail, OR its CA status is Open, OR its quantity variance is not zero (unless Status is Pass after CA). It clears once the corrective action is recorded and closed.</t>
        </is>
      </c>
      <c r="F21" s="26" t="n"/>
      <c r="G21" s="26" t="n"/>
      <c r="H21" s="26" t="n"/>
      <c r="I21" s="26" t="n"/>
      <c r="J21" s="26" t="n"/>
      <c r="K21" s="26" t="n"/>
      <c r="L21" s="26" t="n"/>
      <c r="M21" s="26" t="n"/>
      <c r="N21" s="26" t="n"/>
      <c r="O21" s="26" t="n"/>
      <c r="P21" s="26" t="n"/>
      <c r="Q21" s="26" t="n"/>
      <c r="R21" s="26" t="n"/>
    </row>
    <row r="22" ht="40" customHeight="1">
      <c r="B22" s="35" t="inlineStr">
        <is>
          <t>READY</t>
        </is>
      </c>
      <c r="C22" s="31" t="n"/>
      <c r="D22" s="31" t="n"/>
      <c r="E22" s="36" t="inlineStr">
        <is>
          <t>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is>
      </c>
      <c r="F22" s="26" t="n"/>
      <c r="G22" s="26" t="n"/>
      <c r="H22" s="26" t="n"/>
      <c r="I22" s="26" t="n"/>
      <c r="J22" s="26" t="n"/>
      <c r="K22" s="26" t="n"/>
      <c r="L22" s="26" t="n"/>
      <c r="M22" s="26" t="n"/>
      <c r="N22" s="26" t="n"/>
      <c r="O22" s="26" t="n"/>
      <c r="P22" s="26" t="n"/>
      <c r="Q22" s="26" t="n"/>
      <c r="R22" s="26" t="n"/>
    </row>
    <row r="23" ht="28" customHeight="1">
      <c r="B23" s="35" t="inlineStr">
        <is>
          <t>Lists</t>
        </is>
      </c>
      <c r="C23" s="31" t="n"/>
      <c r="D23" s="31" t="n"/>
      <c r="E23" s="36" t="inlineStr">
        <is>
          <t>The overdue and discrepancy pages list the first 18 / 18 lines in Checks order. Long text there is shortened with “…” – the full text is on the Checks sheet.</t>
        </is>
      </c>
      <c r="F23" s="26" t="n"/>
      <c r="G23" s="26" t="n"/>
      <c r="H23" s="26" t="n"/>
      <c r="I23" s="26" t="n"/>
      <c r="J23" s="26" t="n"/>
      <c r="K23" s="26" t="n"/>
      <c r="L23" s="26" t="n"/>
      <c r="M23" s="26" t="n"/>
      <c r="N23" s="26" t="n"/>
      <c r="O23" s="26" t="n"/>
      <c r="P23" s="26" t="n"/>
      <c r="Q23" s="26" t="n"/>
      <c r="R23" s="26" t="n"/>
    </row>
    <row r="24" ht="28" customHeight="1">
      <c r="B24" s="35" t="inlineStr">
        <is>
          <t>Time basis</t>
        </is>
      </c>
      <c r="C24" s="31" t="n"/>
      <c r="D24" s="31" t="n"/>
      <c r="E24" s="36" t="inlineStr">
        <is>
          <t>Due times are computed in UTC from STD and shown in local time at the check station. As-of time is Settings B6: the override in B4 if set, otherwise the PC clock adjusted by the offset in B5.</t>
        </is>
      </c>
      <c r="F24" s="26" t="n"/>
      <c r="G24" s="26" t="n"/>
      <c r="H24" s="26" t="n"/>
      <c r="I24" s="26" t="n"/>
      <c r="J24" s="26" t="n"/>
      <c r="K24" s="26" t="n"/>
      <c r="L24" s="26" t="n"/>
      <c r="M24" s="26" t="n"/>
      <c r="N24" s="26" t="n"/>
      <c r="O24" s="26" t="n"/>
      <c r="P24" s="26" t="n"/>
      <c r="Q24" s="26" t="n"/>
      <c r="R24" s="26" t="n"/>
    </row>
    <row r="26" ht="22" customHeight="1">
      <c r="B26" s="16" t="inlineStr">
        <is>
          <t>Per-flight readiness</t>
        </is>
      </c>
      <c r="C26" s="17" t="n"/>
      <c r="D26" s="17" t="n"/>
      <c r="E26" s="17" t="n"/>
      <c r="F26" s="17" t="n"/>
      <c r="G26" s="17" t="n"/>
      <c r="H26" s="17" t="n"/>
      <c r="I26" s="17" t="n"/>
      <c r="J26" s="17" t="n"/>
      <c r="K26" s="17" t="n"/>
      <c r="L26" s="37">
        <f>"As of "&amp;TEXT(AsOfUTC+8/24,"dd-mmm-yy hh:mm")&amp;" MYT"</f>
        <v/>
      </c>
      <c r="M26" s="17" t="n"/>
      <c r="N26" s="17" t="n"/>
      <c r="O26" s="17" t="n"/>
      <c r="P26" s="17" t="n"/>
      <c r="Q26" s="17" t="n"/>
      <c r="R26" s="17" t="n"/>
    </row>
    <row r="27" ht="28" customHeight="1">
      <c r="B27" s="23" t="inlineStr">
        <is>
          <t>Itin</t>
        </is>
      </c>
      <c r="C27" s="23" t="inlineStr">
        <is>
          <t>Flight</t>
        </is>
      </c>
      <c r="D27" s="23" t="inlineStr">
        <is>
          <t>Date</t>
        </is>
      </c>
      <c r="E27" s="23" t="inlineStr">
        <is>
          <t>Sector</t>
        </is>
      </c>
      <c r="F27" s="23" t="inlineStr">
        <is>
          <t>Cls</t>
        </is>
      </c>
      <c r="G27" s="23" t="inlineStr">
        <is>
          <t>Fleet</t>
        </is>
      </c>
      <c r="H27" s="23" t="inlineStr">
        <is>
          <t>STD local</t>
        </is>
      </c>
      <c r="I27" s="23" t="inlineStr">
        <is>
          <t>T-7D</t>
        </is>
      </c>
      <c r="J27" s="23" t="inlineStr">
        <is>
          <t>T-24H</t>
        </is>
      </c>
      <c r="K27" s="23" t="inlineStr">
        <is>
          <t>T-12H prep</t>
        </is>
      </c>
      <c r="L27" s="23" t="inlineStr">
        <is>
          <t>Uplift</t>
        </is>
      </c>
      <c r="M27" s="23" t="inlineStr">
        <is>
          <t>Overall</t>
        </is>
      </c>
      <c r="N27" s="23" t="inlineStr">
        <is>
          <t>Over-due</t>
        </is>
      </c>
      <c r="O27" s="23" t="inlineStr">
        <is>
          <t>Dis-crep.</t>
        </is>
      </c>
      <c r="P27" s="23" t="inlineStr">
        <is>
          <t>Docs out</t>
        </is>
      </c>
      <c r="Q27" s="23" t="inlineStr">
        <is>
          <t>Clarif. open</t>
        </is>
      </c>
      <c r="R27" s="23" t="inlineStr">
        <is>
          <t>Readiness</t>
        </is>
      </c>
    </row>
    <row r="28" ht="19" customHeight="1">
      <c r="B28" s="27">
        <f>IF(Flights!$B$5="","",Flights!$B$5)</f>
        <v/>
      </c>
      <c r="C28" s="38">
        <f>IF(Flights!$F$5="","",Flights!$F$5)</f>
        <v/>
      </c>
      <c r="D28" s="39">
        <f>IF(Flights!$D$5="","",Flights!$D$5)</f>
        <v/>
      </c>
      <c r="E28" s="40">
        <f>IF(Flights!$G$5="","",Flights!$G$5&amp;"-"&amp;Flights!$H$5)</f>
        <v/>
      </c>
      <c r="F28" s="40">
        <f>IF(Flights!$K$5="","",Flights!$K$5)</f>
        <v/>
      </c>
      <c r="G28" s="40">
        <f>IF(Flights!$L$5="","",Flights!$L$5)</f>
        <v/>
      </c>
      <c r="H28" s="41">
        <f>IF(Flights!$I$5="","",Flights!$I$5)</f>
        <v/>
      </c>
      <c r="I28" s="42">
        <f>IF(Flights!$AJ$5="","",Flights!$AJ$5)</f>
        <v/>
      </c>
      <c r="J28" s="42">
        <f>IF(Flights!$AK$5="","",Flights!$AK$5)</f>
        <v/>
      </c>
      <c r="K28" s="42">
        <f>IF(Flights!$AL$5="","",Flights!$AL$5)</f>
        <v/>
      </c>
      <c r="L28" s="42">
        <f>IF(Flights!$AM$5="","",Flights!$AM$5)</f>
        <v/>
      </c>
      <c r="M28" s="42">
        <f>IF(Flights!$AN$5="","",Flights!$AN$5)</f>
        <v/>
      </c>
      <c r="N28" s="27">
        <f>IF(Flights!$AP$5="","",Flights!$AP$5)</f>
        <v/>
      </c>
      <c r="O28" s="27">
        <f>IF(Flights!$AQ$5="","",Flights!$AQ$5)</f>
        <v/>
      </c>
      <c r="P28" s="27">
        <f>IF(Flights!$AR$5="","",Flights!$AR$5)</f>
        <v/>
      </c>
      <c r="Q28" s="27">
        <f>IF(Flights!$AS$5="","",Flights!$AS$5)</f>
        <v/>
      </c>
      <c r="R28" s="43">
        <f>IF(Flights!$AT$5="","",Flights!$AT$5)</f>
        <v/>
      </c>
    </row>
    <row r="29" ht="19" customHeight="1">
      <c r="B29" s="44">
        <f>IF(Flights!$B$6="","",Flights!$B$6)</f>
        <v/>
      </c>
      <c r="C29" s="45">
        <f>IF(Flights!$F$6="","",Flights!$F$6)</f>
        <v/>
      </c>
      <c r="D29" s="46">
        <f>IF(Flights!$D$6="","",Flights!$D$6)</f>
        <v/>
      </c>
      <c r="E29" s="47">
        <f>IF(Flights!$G$6="","",Flights!$G$6&amp;"-"&amp;Flights!$H$6)</f>
        <v/>
      </c>
      <c r="F29" s="47">
        <f>IF(Flights!$K$6="","",Flights!$K$6)</f>
        <v/>
      </c>
      <c r="G29" s="47">
        <f>IF(Flights!$L$6="","",Flights!$L$6)</f>
        <v/>
      </c>
      <c r="H29" s="48">
        <f>IF(Flights!$I$6="","",Flights!$I$6)</f>
        <v/>
      </c>
      <c r="I29" s="49">
        <f>IF(Flights!$AJ$6="","",Flights!$AJ$6)</f>
        <v/>
      </c>
      <c r="J29" s="49">
        <f>IF(Flights!$AK$6="","",Flights!$AK$6)</f>
        <v/>
      </c>
      <c r="K29" s="49">
        <f>IF(Flights!$AL$6="","",Flights!$AL$6)</f>
        <v/>
      </c>
      <c r="L29" s="49">
        <f>IF(Flights!$AM$6="","",Flights!$AM$6)</f>
        <v/>
      </c>
      <c r="M29" s="49">
        <f>IF(Flights!$AN$6="","",Flights!$AN$6)</f>
        <v/>
      </c>
      <c r="N29" s="44">
        <f>IF(Flights!$AP$6="","",Flights!$AP$6)</f>
        <v/>
      </c>
      <c r="O29" s="44">
        <f>IF(Flights!$AQ$6="","",Flights!$AQ$6)</f>
        <v/>
      </c>
      <c r="P29" s="44">
        <f>IF(Flights!$AR$6="","",Flights!$AR$6)</f>
        <v/>
      </c>
      <c r="Q29" s="44">
        <f>IF(Flights!$AS$6="","",Flights!$AS$6)</f>
        <v/>
      </c>
      <c r="R29" s="50">
        <f>IF(Flights!$AT$6="","",Flights!$AT$6)</f>
        <v/>
      </c>
    </row>
    <row r="30" ht="19" customHeight="1">
      <c r="B30" s="27">
        <f>IF(Flights!$B$7="","",Flights!$B$7)</f>
        <v/>
      </c>
      <c r="C30" s="38">
        <f>IF(Flights!$F$7="","",Flights!$F$7)</f>
        <v/>
      </c>
      <c r="D30" s="39">
        <f>IF(Flights!$D$7="","",Flights!$D$7)</f>
        <v/>
      </c>
      <c r="E30" s="40">
        <f>IF(Flights!$G$7="","",Flights!$G$7&amp;"-"&amp;Flights!$H$7)</f>
        <v/>
      </c>
      <c r="F30" s="40">
        <f>IF(Flights!$K$7="","",Flights!$K$7)</f>
        <v/>
      </c>
      <c r="G30" s="40">
        <f>IF(Flights!$L$7="","",Flights!$L$7)</f>
        <v/>
      </c>
      <c r="H30" s="41">
        <f>IF(Flights!$I$7="","",Flights!$I$7)</f>
        <v/>
      </c>
      <c r="I30" s="42">
        <f>IF(Flights!$AJ$7="","",Flights!$AJ$7)</f>
        <v/>
      </c>
      <c r="J30" s="42">
        <f>IF(Flights!$AK$7="","",Flights!$AK$7)</f>
        <v/>
      </c>
      <c r="K30" s="42">
        <f>IF(Flights!$AL$7="","",Flights!$AL$7)</f>
        <v/>
      </c>
      <c r="L30" s="42">
        <f>IF(Flights!$AM$7="","",Flights!$AM$7)</f>
        <v/>
      </c>
      <c r="M30" s="42">
        <f>IF(Flights!$AN$7="","",Flights!$AN$7)</f>
        <v/>
      </c>
      <c r="N30" s="27">
        <f>IF(Flights!$AP$7="","",Flights!$AP$7)</f>
        <v/>
      </c>
      <c r="O30" s="27">
        <f>IF(Flights!$AQ$7="","",Flights!$AQ$7)</f>
        <v/>
      </c>
      <c r="P30" s="27">
        <f>IF(Flights!$AR$7="","",Flights!$AR$7)</f>
        <v/>
      </c>
      <c r="Q30" s="27">
        <f>IF(Flights!$AS$7="","",Flights!$AS$7)</f>
        <v/>
      </c>
      <c r="R30" s="43">
        <f>IF(Flights!$AT$7="","",Flights!$AT$7)</f>
        <v/>
      </c>
    </row>
    <row r="31" ht="19" customHeight="1">
      <c r="B31" s="44">
        <f>IF(Flights!$B$8="","",Flights!$B$8)</f>
        <v/>
      </c>
      <c r="C31" s="45">
        <f>IF(Flights!$F$8="","",Flights!$F$8)</f>
        <v/>
      </c>
      <c r="D31" s="46">
        <f>IF(Flights!$D$8="","",Flights!$D$8)</f>
        <v/>
      </c>
      <c r="E31" s="47">
        <f>IF(Flights!$G$8="","",Flights!$G$8&amp;"-"&amp;Flights!$H$8)</f>
        <v/>
      </c>
      <c r="F31" s="47">
        <f>IF(Flights!$K$8="","",Flights!$K$8)</f>
        <v/>
      </c>
      <c r="G31" s="47">
        <f>IF(Flights!$L$8="","",Flights!$L$8)</f>
        <v/>
      </c>
      <c r="H31" s="48">
        <f>IF(Flights!$I$8="","",Flights!$I$8)</f>
        <v/>
      </c>
      <c r="I31" s="49">
        <f>IF(Flights!$AJ$8="","",Flights!$AJ$8)</f>
        <v/>
      </c>
      <c r="J31" s="49">
        <f>IF(Flights!$AK$8="","",Flights!$AK$8)</f>
        <v/>
      </c>
      <c r="K31" s="49">
        <f>IF(Flights!$AL$8="","",Flights!$AL$8)</f>
        <v/>
      </c>
      <c r="L31" s="49">
        <f>IF(Flights!$AM$8="","",Flights!$AM$8)</f>
        <v/>
      </c>
      <c r="M31" s="49">
        <f>IF(Flights!$AN$8="","",Flights!$AN$8)</f>
        <v/>
      </c>
      <c r="N31" s="44">
        <f>IF(Flights!$AP$8="","",Flights!$AP$8)</f>
        <v/>
      </c>
      <c r="O31" s="44">
        <f>IF(Flights!$AQ$8="","",Flights!$AQ$8)</f>
        <v/>
      </c>
      <c r="P31" s="44">
        <f>IF(Flights!$AR$8="","",Flights!$AR$8)</f>
        <v/>
      </c>
      <c r="Q31" s="44">
        <f>IF(Flights!$AS$8="","",Flights!$AS$8)</f>
        <v/>
      </c>
      <c r="R31" s="50">
        <f>IF(Flights!$AT$8="","",Flights!$AT$8)</f>
        <v/>
      </c>
    </row>
    <row r="32" ht="19" customHeight="1">
      <c r="B32" s="27">
        <f>IF(Flights!$B$9="","",Flights!$B$9)</f>
        <v/>
      </c>
      <c r="C32" s="38">
        <f>IF(Flights!$F$9="","",Flights!$F$9)</f>
        <v/>
      </c>
      <c r="D32" s="39">
        <f>IF(Flights!$D$9="","",Flights!$D$9)</f>
        <v/>
      </c>
      <c r="E32" s="40">
        <f>IF(Flights!$G$9="","",Flights!$G$9&amp;"-"&amp;Flights!$H$9)</f>
        <v/>
      </c>
      <c r="F32" s="40">
        <f>IF(Flights!$K$9="","",Flights!$K$9)</f>
        <v/>
      </c>
      <c r="G32" s="40">
        <f>IF(Flights!$L$9="","",Flights!$L$9)</f>
        <v/>
      </c>
      <c r="H32" s="41">
        <f>IF(Flights!$I$9="","",Flights!$I$9)</f>
        <v/>
      </c>
      <c r="I32" s="42">
        <f>IF(Flights!$AJ$9="","",Flights!$AJ$9)</f>
        <v/>
      </c>
      <c r="J32" s="42">
        <f>IF(Flights!$AK$9="","",Flights!$AK$9)</f>
        <v/>
      </c>
      <c r="K32" s="42">
        <f>IF(Flights!$AL$9="","",Flights!$AL$9)</f>
        <v/>
      </c>
      <c r="L32" s="42">
        <f>IF(Flights!$AM$9="","",Flights!$AM$9)</f>
        <v/>
      </c>
      <c r="M32" s="42">
        <f>IF(Flights!$AN$9="","",Flights!$AN$9)</f>
        <v/>
      </c>
      <c r="N32" s="27">
        <f>IF(Flights!$AP$9="","",Flights!$AP$9)</f>
        <v/>
      </c>
      <c r="O32" s="27">
        <f>IF(Flights!$AQ$9="","",Flights!$AQ$9)</f>
        <v/>
      </c>
      <c r="P32" s="27">
        <f>IF(Flights!$AR$9="","",Flights!$AR$9)</f>
        <v/>
      </c>
      <c r="Q32" s="27">
        <f>IF(Flights!$AS$9="","",Flights!$AS$9)</f>
        <v/>
      </c>
      <c r="R32" s="43">
        <f>IF(Flights!$AT$9="","",Flights!$AT$9)</f>
        <v/>
      </c>
    </row>
    <row r="33" ht="19" customHeight="1">
      <c r="B33" s="44">
        <f>IF(Flights!$B$10="","",Flights!$B$10)</f>
        <v/>
      </c>
      <c r="C33" s="45">
        <f>IF(Flights!$F$10="","",Flights!$F$10)</f>
        <v/>
      </c>
      <c r="D33" s="46">
        <f>IF(Flights!$D$10="","",Flights!$D$10)</f>
        <v/>
      </c>
      <c r="E33" s="47">
        <f>IF(Flights!$G$10="","",Flights!$G$10&amp;"-"&amp;Flights!$H$10)</f>
        <v/>
      </c>
      <c r="F33" s="47">
        <f>IF(Flights!$K$10="","",Flights!$K$10)</f>
        <v/>
      </c>
      <c r="G33" s="47">
        <f>IF(Flights!$L$10="","",Flights!$L$10)</f>
        <v/>
      </c>
      <c r="H33" s="48">
        <f>IF(Flights!$I$10="","",Flights!$I$10)</f>
        <v/>
      </c>
      <c r="I33" s="49">
        <f>IF(Flights!$AJ$10="","",Flights!$AJ$10)</f>
        <v/>
      </c>
      <c r="J33" s="49">
        <f>IF(Flights!$AK$10="","",Flights!$AK$10)</f>
        <v/>
      </c>
      <c r="K33" s="49">
        <f>IF(Flights!$AL$10="","",Flights!$AL$10)</f>
        <v/>
      </c>
      <c r="L33" s="49">
        <f>IF(Flights!$AM$10="","",Flights!$AM$10)</f>
        <v/>
      </c>
      <c r="M33" s="49">
        <f>IF(Flights!$AN$10="","",Flights!$AN$10)</f>
        <v/>
      </c>
      <c r="N33" s="44">
        <f>IF(Flights!$AP$10="","",Flights!$AP$10)</f>
        <v/>
      </c>
      <c r="O33" s="44">
        <f>IF(Flights!$AQ$10="","",Flights!$AQ$10)</f>
        <v/>
      </c>
      <c r="P33" s="44">
        <f>IF(Flights!$AR$10="","",Flights!$AR$10)</f>
        <v/>
      </c>
      <c r="Q33" s="44">
        <f>IF(Flights!$AS$10="","",Flights!$AS$10)</f>
        <v/>
      </c>
      <c r="R33" s="50">
        <f>IF(Flights!$AT$10="","",Flights!$AT$10)</f>
        <v/>
      </c>
    </row>
    <row r="34" ht="19" customHeight="1">
      <c r="B34" s="27">
        <f>IF(Flights!$B$11="","",Flights!$B$11)</f>
        <v/>
      </c>
      <c r="C34" s="38">
        <f>IF(Flights!$F$11="","",Flights!$F$11)</f>
        <v/>
      </c>
      <c r="D34" s="39">
        <f>IF(Flights!$D$11="","",Flights!$D$11)</f>
        <v/>
      </c>
      <c r="E34" s="40">
        <f>IF(Flights!$G$11="","",Flights!$G$11&amp;"-"&amp;Flights!$H$11)</f>
        <v/>
      </c>
      <c r="F34" s="40">
        <f>IF(Flights!$K$11="","",Flights!$K$11)</f>
        <v/>
      </c>
      <c r="G34" s="40">
        <f>IF(Flights!$L$11="","",Flights!$L$11)</f>
        <v/>
      </c>
      <c r="H34" s="41">
        <f>IF(Flights!$I$11="","",Flights!$I$11)</f>
        <v/>
      </c>
      <c r="I34" s="42">
        <f>IF(Flights!$AJ$11="","",Flights!$AJ$11)</f>
        <v/>
      </c>
      <c r="J34" s="42">
        <f>IF(Flights!$AK$11="","",Flights!$AK$11)</f>
        <v/>
      </c>
      <c r="K34" s="42">
        <f>IF(Flights!$AL$11="","",Flights!$AL$11)</f>
        <v/>
      </c>
      <c r="L34" s="42">
        <f>IF(Flights!$AM$11="","",Flights!$AM$11)</f>
        <v/>
      </c>
      <c r="M34" s="42">
        <f>IF(Flights!$AN$11="","",Flights!$AN$11)</f>
        <v/>
      </c>
      <c r="N34" s="27">
        <f>IF(Flights!$AP$11="","",Flights!$AP$11)</f>
        <v/>
      </c>
      <c r="O34" s="27">
        <f>IF(Flights!$AQ$11="","",Flights!$AQ$11)</f>
        <v/>
      </c>
      <c r="P34" s="27">
        <f>IF(Flights!$AR$11="","",Flights!$AR$11)</f>
        <v/>
      </c>
      <c r="Q34" s="27">
        <f>IF(Flights!$AS$11="","",Flights!$AS$11)</f>
        <v/>
      </c>
      <c r="R34" s="43">
        <f>IF(Flights!$AT$11="","",Flights!$AT$11)</f>
        <v/>
      </c>
    </row>
    <row r="35" ht="19" customHeight="1">
      <c r="B35" s="44">
        <f>IF(Flights!$B$12="","",Flights!$B$12)</f>
        <v/>
      </c>
      <c r="C35" s="45">
        <f>IF(Flights!$F$12="","",Flights!$F$12)</f>
        <v/>
      </c>
      <c r="D35" s="46">
        <f>IF(Flights!$D$12="","",Flights!$D$12)</f>
        <v/>
      </c>
      <c r="E35" s="47">
        <f>IF(Flights!$G$12="","",Flights!$G$12&amp;"-"&amp;Flights!$H$12)</f>
        <v/>
      </c>
      <c r="F35" s="47">
        <f>IF(Flights!$K$12="","",Flights!$K$12)</f>
        <v/>
      </c>
      <c r="G35" s="47">
        <f>IF(Flights!$L$12="","",Flights!$L$12)</f>
        <v/>
      </c>
      <c r="H35" s="48">
        <f>IF(Flights!$I$12="","",Flights!$I$12)</f>
        <v/>
      </c>
      <c r="I35" s="49">
        <f>IF(Flights!$AJ$12="","",Flights!$AJ$12)</f>
        <v/>
      </c>
      <c r="J35" s="49">
        <f>IF(Flights!$AK$12="","",Flights!$AK$12)</f>
        <v/>
      </c>
      <c r="K35" s="49">
        <f>IF(Flights!$AL$12="","",Flights!$AL$12)</f>
        <v/>
      </c>
      <c r="L35" s="49">
        <f>IF(Flights!$AM$12="","",Flights!$AM$12)</f>
        <v/>
      </c>
      <c r="M35" s="49">
        <f>IF(Flights!$AN$12="","",Flights!$AN$12)</f>
        <v/>
      </c>
      <c r="N35" s="44">
        <f>IF(Flights!$AP$12="","",Flights!$AP$12)</f>
        <v/>
      </c>
      <c r="O35" s="44">
        <f>IF(Flights!$AQ$12="","",Flights!$AQ$12)</f>
        <v/>
      </c>
      <c r="P35" s="44">
        <f>IF(Flights!$AR$12="","",Flights!$AR$12)</f>
        <v/>
      </c>
      <c r="Q35" s="44">
        <f>IF(Flights!$AS$12="","",Flights!$AS$12)</f>
        <v/>
      </c>
      <c r="R35" s="50">
        <f>IF(Flights!$AT$12="","",Flights!$AT$12)</f>
        <v/>
      </c>
    </row>
    <row r="36" ht="19" customHeight="1">
      <c r="B36" s="27">
        <f>IF(Flights!$B$13="","",Flights!$B$13)</f>
        <v/>
      </c>
      <c r="C36" s="38">
        <f>IF(Flights!$F$13="","",Flights!$F$13)</f>
        <v/>
      </c>
      <c r="D36" s="39">
        <f>IF(Flights!$D$13="","",Flights!$D$13)</f>
        <v/>
      </c>
      <c r="E36" s="40">
        <f>IF(Flights!$G$13="","",Flights!$G$13&amp;"-"&amp;Flights!$H$13)</f>
        <v/>
      </c>
      <c r="F36" s="40">
        <f>IF(Flights!$K$13="","",Flights!$K$13)</f>
        <v/>
      </c>
      <c r="G36" s="40">
        <f>IF(Flights!$L$13="","",Flights!$L$13)</f>
        <v/>
      </c>
      <c r="H36" s="41">
        <f>IF(Flights!$I$13="","",Flights!$I$13)</f>
        <v/>
      </c>
      <c r="I36" s="42">
        <f>IF(Flights!$AJ$13="","",Flights!$AJ$13)</f>
        <v/>
      </c>
      <c r="J36" s="42">
        <f>IF(Flights!$AK$13="","",Flights!$AK$13)</f>
        <v/>
      </c>
      <c r="K36" s="42">
        <f>IF(Flights!$AL$13="","",Flights!$AL$13)</f>
        <v/>
      </c>
      <c r="L36" s="42">
        <f>IF(Flights!$AM$13="","",Flights!$AM$13)</f>
        <v/>
      </c>
      <c r="M36" s="42">
        <f>IF(Flights!$AN$13="","",Flights!$AN$13)</f>
        <v/>
      </c>
      <c r="N36" s="27">
        <f>IF(Flights!$AP$13="","",Flights!$AP$13)</f>
        <v/>
      </c>
      <c r="O36" s="27">
        <f>IF(Flights!$AQ$13="","",Flights!$AQ$13)</f>
        <v/>
      </c>
      <c r="P36" s="27">
        <f>IF(Flights!$AR$13="","",Flights!$AR$13)</f>
        <v/>
      </c>
      <c r="Q36" s="27">
        <f>IF(Flights!$AS$13="","",Flights!$AS$13)</f>
        <v/>
      </c>
      <c r="R36" s="43">
        <f>IF(Flights!$AT$13="","",Flights!$AT$13)</f>
        <v/>
      </c>
    </row>
    <row r="37" ht="19" customHeight="1">
      <c r="B37" s="44">
        <f>IF(Flights!$B$14="","",Flights!$B$14)</f>
        <v/>
      </c>
      <c r="C37" s="45">
        <f>IF(Flights!$F$14="","",Flights!$F$14)</f>
        <v/>
      </c>
      <c r="D37" s="46">
        <f>IF(Flights!$D$14="","",Flights!$D$14)</f>
        <v/>
      </c>
      <c r="E37" s="47">
        <f>IF(Flights!$G$14="","",Flights!$G$14&amp;"-"&amp;Flights!$H$14)</f>
        <v/>
      </c>
      <c r="F37" s="47">
        <f>IF(Flights!$K$14="","",Flights!$K$14)</f>
        <v/>
      </c>
      <c r="G37" s="47">
        <f>IF(Flights!$L$14="","",Flights!$L$14)</f>
        <v/>
      </c>
      <c r="H37" s="48">
        <f>IF(Flights!$I$14="","",Flights!$I$14)</f>
        <v/>
      </c>
      <c r="I37" s="49">
        <f>IF(Flights!$AJ$14="","",Flights!$AJ$14)</f>
        <v/>
      </c>
      <c r="J37" s="49">
        <f>IF(Flights!$AK$14="","",Flights!$AK$14)</f>
        <v/>
      </c>
      <c r="K37" s="49">
        <f>IF(Flights!$AL$14="","",Flights!$AL$14)</f>
        <v/>
      </c>
      <c r="L37" s="49">
        <f>IF(Flights!$AM$14="","",Flights!$AM$14)</f>
        <v/>
      </c>
      <c r="M37" s="49">
        <f>IF(Flights!$AN$14="","",Flights!$AN$14)</f>
        <v/>
      </c>
      <c r="N37" s="44">
        <f>IF(Flights!$AP$14="","",Flights!$AP$14)</f>
        <v/>
      </c>
      <c r="O37" s="44">
        <f>IF(Flights!$AQ$14="","",Flights!$AQ$14)</f>
        <v/>
      </c>
      <c r="P37" s="44">
        <f>IF(Flights!$AR$14="","",Flights!$AR$14)</f>
        <v/>
      </c>
      <c r="Q37" s="44">
        <f>IF(Flights!$AS$14="","",Flights!$AS$14)</f>
        <v/>
      </c>
      <c r="R37" s="50">
        <f>IF(Flights!$AT$14="","",Flights!$AT$14)</f>
        <v/>
      </c>
    </row>
    <row r="38" ht="19" customHeight="1">
      <c r="B38" s="27">
        <f>IF(Flights!$B$15="","",Flights!$B$15)</f>
        <v/>
      </c>
      <c r="C38" s="38">
        <f>IF(Flights!$F$15="","",Flights!$F$15)</f>
        <v/>
      </c>
      <c r="D38" s="39">
        <f>IF(Flights!$D$15="","",Flights!$D$15)</f>
        <v/>
      </c>
      <c r="E38" s="40">
        <f>IF(Flights!$G$15="","",Flights!$G$15&amp;"-"&amp;Flights!$H$15)</f>
        <v/>
      </c>
      <c r="F38" s="40">
        <f>IF(Flights!$K$15="","",Flights!$K$15)</f>
        <v/>
      </c>
      <c r="G38" s="40">
        <f>IF(Flights!$L$15="","",Flights!$L$15)</f>
        <v/>
      </c>
      <c r="H38" s="41">
        <f>IF(Flights!$I$15="","",Flights!$I$15)</f>
        <v/>
      </c>
      <c r="I38" s="42">
        <f>IF(Flights!$AJ$15="","",Flights!$AJ$15)</f>
        <v/>
      </c>
      <c r="J38" s="42">
        <f>IF(Flights!$AK$15="","",Flights!$AK$15)</f>
        <v/>
      </c>
      <c r="K38" s="42">
        <f>IF(Flights!$AL$15="","",Flights!$AL$15)</f>
        <v/>
      </c>
      <c r="L38" s="42">
        <f>IF(Flights!$AM$15="","",Flights!$AM$15)</f>
        <v/>
      </c>
      <c r="M38" s="42">
        <f>IF(Flights!$AN$15="","",Flights!$AN$15)</f>
        <v/>
      </c>
      <c r="N38" s="27">
        <f>IF(Flights!$AP$15="","",Flights!$AP$15)</f>
        <v/>
      </c>
      <c r="O38" s="27">
        <f>IF(Flights!$AQ$15="","",Flights!$AQ$15)</f>
        <v/>
      </c>
      <c r="P38" s="27">
        <f>IF(Flights!$AR$15="","",Flights!$AR$15)</f>
        <v/>
      </c>
      <c r="Q38" s="27">
        <f>IF(Flights!$AS$15="","",Flights!$AS$15)</f>
        <v/>
      </c>
      <c r="R38" s="43">
        <f>IF(Flights!$AT$15="","",Flights!$AT$15)</f>
        <v/>
      </c>
    </row>
    <row r="39" ht="19" customHeight="1">
      <c r="B39" s="44">
        <f>IF(Flights!$B$16="","",Flights!$B$16)</f>
        <v/>
      </c>
      <c r="C39" s="45">
        <f>IF(Flights!$F$16="","",Flights!$F$16)</f>
        <v/>
      </c>
      <c r="D39" s="46">
        <f>IF(Flights!$D$16="","",Flights!$D$16)</f>
        <v/>
      </c>
      <c r="E39" s="47">
        <f>IF(Flights!$G$16="","",Flights!$G$16&amp;"-"&amp;Flights!$H$16)</f>
        <v/>
      </c>
      <c r="F39" s="47">
        <f>IF(Flights!$K$16="","",Flights!$K$16)</f>
        <v/>
      </c>
      <c r="G39" s="47">
        <f>IF(Flights!$L$16="","",Flights!$L$16)</f>
        <v/>
      </c>
      <c r="H39" s="48">
        <f>IF(Flights!$I$16="","",Flights!$I$16)</f>
        <v/>
      </c>
      <c r="I39" s="49">
        <f>IF(Flights!$AJ$16="","",Flights!$AJ$16)</f>
        <v/>
      </c>
      <c r="J39" s="49">
        <f>IF(Flights!$AK$16="","",Flights!$AK$16)</f>
        <v/>
      </c>
      <c r="K39" s="49">
        <f>IF(Flights!$AL$16="","",Flights!$AL$16)</f>
        <v/>
      </c>
      <c r="L39" s="49">
        <f>IF(Flights!$AM$16="","",Flights!$AM$16)</f>
        <v/>
      </c>
      <c r="M39" s="49">
        <f>IF(Flights!$AN$16="","",Flights!$AN$16)</f>
        <v/>
      </c>
      <c r="N39" s="44">
        <f>IF(Flights!$AP$16="","",Flights!$AP$16)</f>
        <v/>
      </c>
      <c r="O39" s="44">
        <f>IF(Flights!$AQ$16="","",Flights!$AQ$16)</f>
        <v/>
      </c>
      <c r="P39" s="44">
        <f>IF(Flights!$AR$16="","",Flights!$AR$16)</f>
        <v/>
      </c>
      <c r="Q39" s="44">
        <f>IF(Flights!$AS$16="","",Flights!$AS$16)</f>
        <v/>
      </c>
      <c r="R39" s="50">
        <f>IF(Flights!$AT$16="","",Flights!$AT$16)</f>
        <v/>
      </c>
    </row>
    <row r="40" ht="19" customHeight="1">
      <c r="B40" s="27">
        <f>IF(Flights!$B$17="","",Flights!$B$17)</f>
        <v/>
      </c>
      <c r="C40" s="38">
        <f>IF(Flights!$F$17="","",Flights!$F$17)</f>
        <v/>
      </c>
      <c r="D40" s="39">
        <f>IF(Flights!$D$17="","",Flights!$D$17)</f>
        <v/>
      </c>
      <c r="E40" s="40">
        <f>IF(Flights!$G$17="","",Flights!$G$17&amp;"-"&amp;Flights!$H$17)</f>
        <v/>
      </c>
      <c r="F40" s="40">
        <f>IF(Flights!$K$17="","",Flights!$K$17)</f>
        <v/>
      </c>
      <c r="G40" s="40">
        <f>IF(Flights!$L$17="","",Flights!$L$17)</f>
        <v/>
      </c>
      <c r="H40" s="41">
        <f>IF(Flights!$I$17="","",Flights!$I$17)</f>
        <v/>
      </c>
      <c r="I40" s="42">
        <f>IF(Flights!$AJ$17="","",Flights!$AJ$17)</f>
        <v/>
      </c>
      <c r="J40" s="42">
        <f>IF(Flights!$AK$17="","",Flights!$AK$17)</f>
        <v/>
      </c>
      <c r="K40" s="42">
        <f>IF(Flights!$AL$17="","",Flights!$AL$17)</f>
        <v/>
      </c>
      <c r="L40" s="42">
        <f>IF(Flights!$AM$17="","",Flights!$AM$17)</f>
        <v/>
      </c>
      <c r="M40" s="42">
        <f>IF(Flights!$AN$17="","",Flights!$AN$17)</f>
        <v/>
      </c>
      <c r="N40" s="27">
        <f>IF(Flights!$AP$17="","",Flights!$AP$17)</f>
        <v/>
      </c>
      <c r="O40" s="27">
        <f>IF(Flights!$AQ$17="","",Flights!$AQ$17)</f>
        <v/>
      </c>
      <c r="P40" s="27">
        <f>IF(Flights!$AR$17="","",Flights!$AR$17)</f>
        <v/>
      </c>
      <c r="Q40" s="27">
        <f>IF(Flights!$AS$17="","",Flights!$AS$17)</f>
        <v/>
      </c>
      <c r="R40" s="43">
        <f>IF(Flights!$AT$17="","",Flights!$AT$17)</f>
        <v/>
      </c>
    </row>
    <row r="41" ht="19" customHeight="1">
      <c r="B41" s="44">
        <f>IF(Flights!$B$18="","",Flights!$B$18)</f>
        <v/>
      </c>
      <c r="C41" s="45">
        <f>IF(Flights!$F$18="","",Flights!$F$18)</f>
        <v/>
      </c>
      <c r="D41" s="46">
        <f>IF(Flights!$D$18="","",Flights!$D$18)</f>
        <v/>
      </c>
      <c r="E41" s="47">
        <f>IF(Flights!$G$18="","",Flights!$G$18&amp;"-"&amp;Flights!$H$18)</f>
        <v/>
      </c>
      <c r="F41" s="47">
        <f>IF(Flights!$K$18="","",Flights!$K$18)</f>
        <v/>
      </c>
      <c r="G41" s="47">
        <f>IF(Flights!$L$18="","",Flights!$L$18)</f>
        <v/>
      </c>
      <c r="H41" s="48">
        <f>IF(Flights!$I$18="","",Flights!$I$18)</f>
        <v/>
      </c>
      <c r="I41" s="49">
        <f>IF(Flights!$AJ$18="","",Flights!$AJ$18)</f>
        <v/>
      </c>
      <c r="J41" s="49">
        <f>IF(Flights!$AK$18="","",Flights!$AK$18)</f>
        <v/>
      </c>
      <c r="K41" s="49">
        <f>IF(Flights!$AL$18="","",Flights!$AL$18)</f>
        <v/>
      </c>
      <c r="L41" s="49">
        <f>IF(Flights!$AM$18="","",Flights!$AM$18)</f>
        <v/>
      </c>
      <c r="M41" s="49">
        <f>IF(Flights!$AN$18="","",Flights!$AN$18)</f>
        <v/>
      </c>
      <c r="N41" s="44">
        <f>IF(Flights!$AP$18="","",Flights!$AP$18)</f>
        <v/>
      </c>
      <c r="O41" s="44">
        <f>IF(Flights!$AQ$18="","",Flights!$AQ$18)</f>
        <v/>
      </c>
      <c r="P41" s="44">
        <f>IF(Flights!$AR$18="","",Flights!$AR$18)</f>
        <v/>
      </c>
      <c r="Q41" s="44">
        <f>IF(Flights!$AS$18="","",Flights!$AS$18)</f>
        <v/>
      </c>
      <c r="R41" s="50">
        <f>IF(Flights!$AT$18="","",Flights!$AT$18)</f>
        <v/>
      </c>
    </row>
    <row r="42" ht="19" customHeight="1">
      <c r="B42" s="27">
        <f>IF(Flights!$B$19="","",Flights!$B$19)</f>
        <v/>
      </c>
      <c r="C42" s="38">
        <f>IF(Flights!$F$19="","",Flights!$F$19)</f>
        <v/>
      </c>
      <c r="D42" s="39">
        <f>IF(Flights!$D$19="","",Flights!$D$19)</f>
        <v/>
      </c>
      <c r="E42" s="40">
        <f>IF(Flights!$G$19="","",Flights!$G$19&amp;"-"&amp;Flights!$H$19)</f>
        <v/>
      </c>
      <c r="F42" s="40">
        <f>IF(Flights!$K$19="","",Flights!$K$19)</f>
        <v/>
      </c>
      <c r="G42" s="40">
        <f>IF(Flights!$L$19="","",Flights!$L$19)</f>
        <v/>
      </c>
      <c r="H42" s="41">
        <f>IF(Flights!$I$19="","",Flights!$I$19)</f>
        <v/>
      </c>
      <c r="I42" s="42">
        <f>IF(Flights!$AJ$19="","",Flights!$AJ$19)</f>
        <v/>
      </c>
      <c r="J42" s="42">
        <f>IF(Flights!$AK$19="","",Flights!$AK$19)</f>
        <v/>
      </c>
      <c r="K42" s="42">
        <f>IF(Flights!$AL$19="","",Flights!$AL$19)</f>
        <v/>
      </c>
      <c r="L42" s="42">
        <f>IF(Flights!$AM$19="","",Flights!$AM$19)</f>
        <v/>
      </c>
      <c r="M42" s="42">
        <f>IF(Flights!$AN$19="","",Flights!$AN$19)</f>
        <v/>
      </c>
      <c r="N42" s="27">
        <f>IF(Flights!$AP$19="","",Flights!$AP$19)</f>
        <v/>
      </c>
      <c r="O42" s="27">
        <f>IF(Flights!$AQ$19="","",Flights!$AQ$19)</f>
        <v/>
      </c>
      <c r="P42" s="27">
        <f>IF(Flights!$AR$19="","",Flights!$AR$19)</f>
        <v/>
      </c>
      <c r="Q42" s="27">
        <f>IF(Flights!$AS$19="","",Flights!$AS$19)</f>
        <v/>
      </c>
      <c r="R42" s="43">
        <f>IF(Flights!$AT$19="","",Flights!$AT$19)</f>
        <v/>
      </c>
    </row>
    <row r="43" ht="19" customHeight="1">
      <c r="B43" s="44">
        <f>IF(Flights!$B$20="","",Flights!$B$20)</f>
        <v/>
      </c>
      <c r="C43" s="45">
        <f>IF(Flights!$F$20="","",Flights!$F$20)</f>
        <v/>
      </c>
      <c r="D43" s="46">
        <f>IF(Flights!$D$20="","",Flights!$D$20)</f>
        <v/>
      </c>
      <c r="E43" s="47">
        <f>IF(Flights!$G$20="","",Flights!$G$20&amp;"-"&amp;Flights!$H$20)</f>
        <v/>
      </c>
      <c r="F43" s="47">
        <f>IF(Flights!$K$20="","",Flights!$K$20)</f>
        <v/>
      </c>
      <c r="G43" s="47">
        <f>IF(Flights!$L$20="","",Flights!$L$20)</f>
        <v/>
      </c>
      <c r="H43" s="48">
        <f>IF(Flights!$I$20="","",Flights!$I$20)</f>
        <v/>
      </c>
      <c r="I43" s="49">
        <f>IF(Flights!$AJ$20="","",Flights!$AJ$20)</f>
        <v/>
      </c>
      <c r="J43" s="49">
        <f>IF(Flights!$AK$20="","",Flights!$AK$20)</f>
        <v/>
      </c>
      <c r="K43" s="49">
        <f>IF(Flights!$AL$20="","",Flights!$AL$20)</f>
        <v/>
      </c>
      <c r="L43" s="49">
        <f>IF(Flights!$AM$20="","",Flights!$AM$20)</f>
        <v/>
      </c>
      <c r="M43" s="49">
        <f>IF(Flights!$AN$20="","",Flights!$AN$20)</f>
        <v/>
      </c>
      <c r="N43" s="44">
        <f>IF(Flights!$AP$20="","",Flights!$AP$20)</f>
        <v/>
      </c>
      <c r="O43" s="44">
        <f>IF(Flights!$AQ$20="","",Flights!$AQ$20)</f>
        <v/>
      </c>
      <c r="P43" s="44">
        <f>IF(Flights!$AR$20="","",Flights!$AR$20)</f>
        <v/>
      </c>
      <c r="Q43" s="44">
        <f>IF(Flights!$AS$20="","",Flights!$AS$20)</f>
        <v/>
      </c>
      <c r="R43" s="50">
        <f>IF(Flights!$AT$20="","",Flights!$AT$20)</f>
        <v/>
      </c>
    </row>
    <row r="44" ht="19" customHeight="1">
      <c r="B44" s="27">
        <f>IF(Flights!$B$21="","",Flights!$B$21)</f>
        <v/>
      </c>
      <c r="C44" s="38">
        <f>IF(Flights!$F$21="","",Flights!$F$21)</f>
        <v/>
      </c>
      <c r="D44" s="39">
        <f>IF(Flights!$D$21="","",Flights!$D$21)</f>
        <v/>
      </c>
      <c r="E44" s="40">
        <f>IF(Flights!$G$21="","",Flights!$G$21&amp;"-"&amp;Flights!$H$21)</f>
        <v/>
      </c>
      <c r="F44" s="40">
        <f>IF(Flights!$K$21="","",Flights!$K$21)</f>
        <v/>
      </c>
      <c r="G44" s="40">
        <f>IF(Flights!$L$21="","",Flights!$L$21)</f>
        <v/>
      </c>
      <c r="H44" s="41">
        <f>IF(Flights!$I$21="","",Flights!$I$21)</f>
        <v/>
      </c>
      <c r="I44" s="42">
        <f>IF(Flights!$AJ$21="","",Flights!$AJ$21)</f>
        <v/>
      </c>
      <c r="J44" s="42">
        <f>IF(Flights!$AK$21="","",Flights!$AK$21)</f>
        <v/>
      </c>
      <c r="K44" s="42">
        <f>IF(Flights!$AL$21="","",Flights!$AL$21)</f>
        <v/>
      </c>
      <c r="L44" s="42">
        <f>IF(Flights!$AM$21="","",Flights!$AM$21)</f>
        <v/>
      </c>
      <c r="M44" s="42">
        <f>IF(Flights!$AN$21="","",Flights!$AN$21)</f>
        <v/>
      </c>
      <c r="N44" s="27">
        <f>IF(Flights!$AP$21="","",Flights!$AP$21)</f>
        <v/>
      </c>
      <c r="O44" s="27">
        <f>IF(Flights!$AQ$21="","",Flights!$AQ$21)</f>
        <v/>
      </c>
      <c r="P44" s="27">
        <f>IF(Flights!$AR$21="","",Flights!$AR$21)</f>
        <v/>
      </c>
      <c r="Q44" s="27">
        <f>IF(Flights!$AS$21="","",Flights!$AS$21)</f>
        <v/>
      </c>
      <c r="R44" s="43">
        <f>IF(Flights!$AT$21="","",Flights!$AT$21)</f>
        <v/>
      </c>
    </row>
    <row r="45" ht="19" customHeight="1">
      <c r="B45" s="44">
        <f>IF(Flights!$B$22="","",Flights!$B$22)</f>
        <v/>
      </c>
      <c r="C45" s="45">
        <f>IF(Flights!$F$22="","",Flights!$F$22)</f>
        <v/>
      </c>
      <c r="D45" s="46">
        <f>IF(Flights!$D$22="","",Flights!$D$22)</f>
        <v/>
      </c>
      <c r="E45" s="47">
        <f>IF(Flights!$G$22="","",Flights!$G$22&amp;"-"&amp;Flights!$H$22)</f>
        <v/>
      </c>
      <c r="F45" s="47">
        <f>IF(Flights!$K$22="","",Flights!$K$22)</f>
        <v/>
      </c>
      <c r="G45" s="47">
        <f>IF(Flights!$L$22="","",Flights!$L$22)</f>
        <v/>
      </c>
      <c r="H45" s="48">
        <f>IF(Flights!$I$22="","",Flights!$I$22)</f>
        <v/>
      </c>
      <c r="I45" s="49">
        <f>IF(Flights!$AJ$22="","",Flights!$AJ$22)</f>
        <v/>
      </c>
      <c r="J45" s="49">
        <f>IF(Flights!$AK$22="","",Flights!$AK$22)</f>
        <v/>
      </c>
      <c r="K45" s="49">
        <f>IF(Flights!$AL$22="","",Flights!$AL$22)</f>
        <v/>
      </c>
      <c r="L45" s="49">
        <f>IF(Flights!$AM$22="","",Flights!$AM$22)</f>
        <v/>
      </c>
      <c r="M45" s="49">
        <f>IF(Flights!$AN$22="","",Flights!$AN$22)</f>
        <v/>
      </c>
      <c r="N45" s="44">
        <f>IF(Flights!$AP$22="","",Flights!$AP$22)</f>
        <v/>
      </c>
      <c r="O45" s="44">
        <f>IF(Flights!$AQ$22="","",Flights!$AQ$22)</f>
        <v/>
      </c>
      <c r="P45" s="44">
        <f>IF(Flights!$AR$22="","",Flights!$AR$22)</f>
        <v/>
      </c>
      <c r="Q45" s="44">
        <f>IF(Flights!$AS$22="","",Flights!$AS$22)</f>
        <v/>
      </c>
      <c r="R45" s="50">
        <f>IF(Flights!$AT$22="","",Flights!$AT$22)</f>
        <v/>
      </c>
    </row>
    <row r="46" ht="19" customHeight="1">
      <c r="B46" s="27">
        <f>IF(Flights!$B$23="","",Flights!$B$23)</f>
        <v/>
      </c>
      <c r="C46" s="38">
        <f>IF(Flights!$F$23="","",Flights!$F$23)</f>
        <v/>
      </c>
      <c r="D46" s="39">
        <f>IF(Flights!$D$23="","",Flights!$D$23)</f>
        <v/>
      </c>
      <c r="E46" s="40">
        <f>IF(Flights!$G$23="","",Flights!$G$23&amp;"-"&amp;Flights!$H$23)</f>
        <v/>
      </c>
      <c r="F46" s="40">
        <f>IF(Flights!$K$23="","",Flights!$K$23)</f>
        <v/>
      </c>
      <c r="G46" s="40">
        <f>IF(Flights!$L$23="","",Flights!$L$23)</f>
        <v/>
      </c>
      <c r="H46" s="41">
        <f>IF(Flights!$I$23="","",Flights!$I$23)</f>
        <v/>
      </c>
      <c r="I46" s="42">
        <f>IF(Flights!$AJ$23="","",Flights!$AJ$23)</f>
        <v/>
      </c>
      <c r="J46" s="42">
        <f>IF(Flights!$AK$23="","",Flights!$AK$23)</f>
        <v/>
      </c>
      <c r="K46" s="42">
        <f>IF(Flights!$AL$23="","",Flights!$AL$23)</f>
        <v/>
      </c>
      <c r="L46" s="42">
        <f>IF(Flights!$AM$23="","",Flights!$AM$23)</f>
        <v/>
      </c>
      <c r="M46" s="42">
        <f>IF(Flights!$AN$23="","",Flights!$AN$23)</f>
        <v/>
      </c>
      <c r="N46" s="27">
        <f>IF(Flights!$AP$23="","",Flights!$AP$23)</f>
        <v/>
      </c>
      <c r="O46" s="27">
        <f>IF(Flights!$AQ$23="","",Flights!$AQ$23)</f>
        <v/>
      </c>
      <c r="P46" s="27">
        <f>IF(Flights!$AR$23="","",Flights!$AR$23)</f>
        <v/>
      </c>
      <c r="Q46" s="27">
        <f>IF(Flights!$AS$23="","",Flights!$AS$23)</f>
        <v/>
      </c>
      <c r="R46" s="43">
        <f>IF(Flights!$AT$23="","",Flights!$AT$23)</f>
        <v/>
      </c>
    </row>
    <row r="47" ht="19" customHeight="1">
      <c r="B47" s="44">
        <f>IF(Flights!$B$24="","",Flights!$B$24)</f>
        <v/>
      </c>
      <c r="C47" s="45">
        <f>IF(Flights!$F$24="","",Flights!$F$24)</f>
        <v/>
      </c>
      <c r="D47" s="46">
        <f>IF(Flights!$D$24="","",Flights!$D$24)</f>
        <v/>
      </c>
      <c r="E47" s="47">
        <f>IF(Flights!$G$24="","",Flights!$G$24&amp;"-"&amp;Flights!$H$24)</f>
        <v/>
      </c>
      <c r="F47" s="47">
        <f>IF(Flights!$K$24="","",Flights!$K$24)</f>
        <v/>
      </c>
      <c r="G47" s="47">
        <f>IF(Flights!$L$24="","",Flights!$L$24)</f>
        <v/>
      </c>
      <c r="H47" s="48">
        <f>IF(Flights!$I$24="","",Flights!$I$24)</f>
        <v/>
      </c>
      <c r="I47" s="49">
        <f>IF(Flights!$AJ$24="","",Flights!$AJ$24)</f>
        <v/>
      </c>
      <c r="J47" s="49">
        <f>IF(Flights!$AK$24="","",Flights!$AK$24)</f>
        <v/>
      </c>
      <c r="K47" s="49">
        <f>IF(Flights!$AL$24="","",Flights!$AL$24)</f>
        <v/>
      </c>
      <c r="L47" s="49">
        <f>IF(Flights!$AM$24="","",Flights!$AM$24)</f>
        <v/>
      </c>
      <c r="M47" s="49">
        <f>IF(Flights!$AN$24="","",Flights!$AN$24)</f>
        <v/>
      </c>
      <c r="N47" s="44">
        <f>IF(Flights!$AP$24="","",Flights!$AP$24)</f>
        <v/>
      </c>
      <c r="O47" s="44">
        <f>IF(Flights!$AQ$24="","",Flights!$AQ$24)</f>
        <v/>
      </c>
      <c r="P47" s="44">
        <f>IF(Flights!$AR$24="","",Flights!$AR$24)</f>
        <v/>
      </c>
      <c r="Q47" s="44">
        <f>IF(Flights!$AS$24="","",Flights!$AS$24)</f>
        <v/>
      </c>
      <c r="R47" s="50">
        <f>IF(Flights!$AT$24="","",Flights!$AT$24)</f>
        <v/>
      </c>
    </row>
    <row r="48" ht="19" customHeight="1">
      <c r="B48" s="27">
        <f>IF(Flights!$B$25="","",Flights!$B$25)</f>
        <v/>
      </c>
      <c r="C48" s="38">
        <f>IF(Flights!$F$25="","",Flights!$F$25)</f>
        <v/>
      </c>
      <c r="D48" s="39">
        <f>IF(Flights!$D$25="","",Flights!$D$25)</f>
        <v/>
      </c>
      <c r="E48" s="40">
        <f>IF(Flights!$G$25="","",Flights!$G$25&amp;"-"&amp;Flights!$H$25)</f>
        <v/>
      </c>
      <c r="F48" s="40">
        <f>IF(Flights!$K$25="","",Flights!$K$25)</f>
        <v/>
      </c>
      <c r="G48" s="40">
        <f>IF(Flights!$L$25="","",Flights!$L$25)</f>
        <v/>
      </c>
      <c r="H48" s="41">
        <f>IF(Flights!$I$25="","",Flights!$I$25)</f>
        <v/>
      </c>
      <c r="I48" s="42">
        <f>IF(Flights!$AJ$25="","",Flights!$AJ$25)</f>
        <v/>
      </c>
      <c r="J48" s="42">
        <f>IF(Flights!$AK$25="","",Flights!$AK$25)</f>
        <v/>
      </c>
      <c r="K48" s="42">
        <f>IF(Flights!$AL$25="","",Flights!$AL$25)</f>
        <v/>
      </c>
      <c r="L48" s="42">
        <f>IF(Flights!$AM$25="","",Flights!$AM$25)</f>
        <v/>
      </c>
      <c r="M48" s="42">
        <f>IF(Flights!$AN$25="","",Flights!$AN$25)</f>
        <v/>
      </c>
      <c r="N48" s="27">
        <f>IF(Flights!$AP$25="","",Flights!$AP$25)</f>
        <v/>
      </c>
      <c r="O48" s="27">
        <f>IF(Flights!$AQ$25="","",Flights!$AQ$25)</f>
        <v/>
      </c>
      <c r="P48" s="27">
        <f>IF(Flights!$AR$25="","",Flights!$AR$25)</f>
        <v/>
      </c>
      <c r="Q48" s="27">
        <f>IF(Flights!$AS$25="","",Flights!$AS$25)</f>
        <v/>
      </c>
      <c r="R48" s="43">
        <f>IF(Flights!$AT$25="","",Flights!$AT$25)</f>
        <v/>
      </c>
    </row>
    <row r="49" ht="19" customHeight="1">
      <c r="B49" s="44">
        <f>IF(Flights!$B$26="","",Flights!$B$26)</f>
        <v/>
      </c>
      <c r="C49" s="45">
        <f>IF(Flights!$F$26="","",Flights!$F$26)</f>
        <v/>
      </c>
      <c r="D49" s="46">
        <f>IF(Flights!$D$26="","",Flights!$D$26)</f>
        <v/>
      </c>
      <c r="E49" s="47">
        <f>IF(Flights!$G$26="","",Flights!$G$26&amp;"-"&amp;Flights!$H$26)</f>
        <v/>
      </c>
      <c r="F49" s="47">
        <f>IF(Flights!$K$26="","",Flights!$K$26)</f>
        <v/>
      </c>
      <c r="G49" s="47">
        <f>IF(Flights!$L$26="","",Flights!$L$26)</f>
        <v/>
      </c>
      <c r="H49" s="48">
        <f>IF(Flights!$I$26="","",Flights!$I$26)</f>
        <v/>
      </c>
      <c r="I49" s="49">
        <f>IF(Flights!$AJ$26="","",Flights!$AJ$26)</f>
        <v/>
      </c>
      <c r="J49" s="49">
        <f>IF(Flights!$AK$26="","",Flights!$AK$26)</f>
        <v/>
      </c>
      <c r="K49" s="49">
        <f>IF(Flights!$AL$26="","",Flights!$AL$26)</f>
        <v/>
      </c>
      <c r="L49" s="49">
        <f>IF(Flights!$AM$26="","",Flights!$AM$26)</f>
        <v/>
      </c>
      <c r="M49" s="49">
        <f>IF(Flights!$AN$26="","",Flights!$AN$26)</f>
        <v/>
      </c>
      <c r="N49" s="44">
        <f>IF(Flights!$AP$26="","",Flights!$AP$26)</f>
        <v/>
      </c>
      <c r="O49" s="44">
        <f>IF(Flights!$AQ$26="","",Flights!$AQ$26)</f>
        <v/>
      </c>
      <c r="P49" s="44">
        <f>IF(Flights!$AR$26="","",Flights!$AR$26)</f>
        <v/>
      </c>
      <c r="Q49" s="44">
        <f>IF(Flights!$AS$26="","",Flights!$AS$26)</f>
        <v/>
      </c>
      <c r="R49" s="50">
        <f>IF(Flights!$AT$26="","",Flights!$AT$26)</f>
        <v/>
      </c>
    </row>
    <row r="50" ht="25.6" customHeight="1">
      <c r="B50" s="51" t="inlineStr">
        <is>
          <t>T-7D / T-24H / T-12H prep / Uplift / Overall = % of in-scope checks complete (“n/a” = no in-scope checks). Over-due, Dis-crep., Docs out, Clarif. open are counts; above zero shown in red. Source: Flights sheet rows 5–26.</t>
        </is>
      </c>
    </row>
    <row r="52" ht="22" customHeight="1">
      <c r="B52" s="16" t="inlineStr">
        <is>
          <t>Overdue actions (first 18)</t>
        </is>
      </c>
      <c r="C52" s="17" t="n"/>
      <c r="D52" s="17" t="n"/>
      <c r="E52" s="17" t="n"/>
      <c r="F52" s="17" t="n"/>
      <c r="G52" s="17" t="n"/>
      <c r="H52" s="17" t="n"/>
      <c r="I52" s="17" t="n"/>
      <c r="J52" s="17" t="n"/>
      <c r="K52" s="17" t="n"/>
      <c r="L52" s="37">
        <f>"Showing "&amp;MIN(18,SUM(Checks!$AK$5:$AK$748))&amp;" of "&amp;SUM(Checks!$AK$5:$AK$748)&amp;"  •  as of "&amp;TEXT(AsOfUTC+8/24,"dd-mmm-yy hh:mm")&amp;" MYT"</f>
        <v/>
      </c>
      <c r="M52" s="17" t="n"/>
      <c r="N52" s="17" t="n"/>
      <c r="O52" s="17" t="n"/>
      <c r="P52" s="17" t="n"/>
      <c r="Q52" s="17" t="n"/>
      <c r="R52" s="17" t="n"/>
    </row>
    <row r="53" ht="28" customHeight="1">
      <c r="B53" s="23" t="inlineStr">
        <is>
          <t>#</t>
        </is>
      </c>
      <c r="C53" s="23" t="inlineStr">
        <is>
          <t>CheckID</t>
        </is>
      </c>
      <c r="D53" s="24" t="n"/>
      <c r="E53" s="23" t="inlineStr">
        <is>
          <t>Flight</t>
        </is>
      </c>
      <c r="F53" s="23" t="inlineStr">
        <is>
          <t>Checkpoint</t>
        </is>
      </c>
      <c r="G53" s="24" t="n"/>
      <c r="H53" s="23" t="inlineStr">
        <is>
          <t>Check item</t>
        </is>
      </c>
      <c r="I53" s="24" t="n"/>
      <c r="J53" s="24" t="n"/>
      <c r="K53" s="24" t="n"/>
      <c r="L53" s="24" t="n"/>
      <c r="M53" s="24" t="n"/>
      <c r="N53" s="23" t="inlineStr">
        <is>
          <t>Due local @ stn</t>
        </is>
      </c>
      <c r="O53" s="24" t="n"/>
      <c r="P53" s="23" t="inlineStr">
        <is>
          <t>PIC</t>
        </is>
      </c>
      <c r="Q53" s="24" t="n"/>
      <c r="R53" s="23" t="inlineStr">
        <is>
          <t>Record state</t>
        </is>
      </c>
      <c r="T53" s="52" t="inlineStr">
        <is>
          <t>Checks row</t>
        </is>
      </c>
    </row>
    <row r="54" ht="28" customHeight="1">
      <c r="B54" s="53">
        <f>IF($T54="","",1)</f>
        <v/>
      </c>
      <c r="C54" s="36">
        <f>IF($T54="","",IF(LEN(INDEX(Checks!$A$5:$A$748,$T54))&gt;28,LEFT(INDEX(Checks!$A$5:$A$748,$T54),27)&amp;"…",INDEX(Checks!$A$5:$A$748,$T54)&amp;""))</f>
        <v/>
      </c>
      <c r="D54" s="26" t="n"/>
      <c r="E54" s="54">
        <f>IF($T54="","",IF(LEN(INDEX(Checks!$C$5:$C$748,$T54))&gt;14,LEFT(INDEX(Checks!$C$5:$C$748,$T54),13)&amp;"…",INDEX(Checks!$C$5:$C$748,$T54)&amp;""))</f>
        <v/>
      </c>
      <c r="F54" s="36">
        <f>IF($T54="","",IF(LEN(INDEX(Checks!$G$5:$G$748,$T54))&gt;25,LEFT(INDEX(Checks!$G$5:$G$748,$T54),24)&amp;"…",INDEX(Checks!$G$5:$G$748,$T54)&amp;""))</f>
        <v/>
      </c>
      <c r="G54" s="26" t="n"/>
      <c r="H54" s="36">
        <f>IF($T54="","",IF(LEN(INDEX(Checks!$J$5:$J$748,$T54))&gt;100,LEFT(INDEX(Checks!$J$5:$J$748,$T54),99)&amp;"…",INDEX(Checks!$J$5:$J$748,$T54)&amp;""))</f>
        <v/>
      </c>
      <c r="I54" s="26" t="n"/>
      <c r="J54" s="26" t="n"/>
      <c r="K54" s="26" t="n"/>
      <c r="L54" s="26" t="n"/>
      <c r="M54" s="26" t="n"/>
      <c r="N54" s="54">
        <f>IF($T54="","",IF(ISNUMBER(INDEX(Checks!$R$5:$R$748,$T54)),TEXT(INDEX(Checks!$R$5:$R$748,$T54),"dd-mmm hh:mm"),"")&amp;" "&amp;INDEX(Checks!$P$5:$P$748,$T54))</f>
        <v/>
      </c>
      <c r="O54" s="26" t="n"/>
      <c r="P54" s="36">
        <f>IF($T54="","",IF(LEN(INDEX(Checks!$T$5:$T$748,$T54))&gt;27,LEFT(INDEX(Checks!$T$5:$T$748,$T54),26)&amp;"…",INDEX(Checks!$T$5:$T$748,$T54)&amp;""))</f>
        <v/>
      </c>
      <c r="Q54" s="26" t="n"/>
      <c r="R54" s="36">
        <f>IF($T54="","",IF(LEN(INDEX(Checks!$AH$5:$AH$748,$T54))&gt;53,LEFT(INDEX(Checks!$AH$5:$AH$748,$T54),52)&amp;"…",INDEX(Checks!$AH$5:$AH$748,$T54)&amp;""))</f>
        <v/>
      </c>
      <c r="T54" s="52">
        <f>IFERROR(MATCH(1,Checks!$AO$5:$AO$748,0),"")</f>
        <v/>
      </c>
    </row>
    <row r="55" ht="28" customHeight="1">
      <c r="B55" s="55">
        <f>IF($T55="","",2)</f>
        <v/>
      </c>
      <c r="C55" s="56">
        <f>IF($T55="","",IF(LEN(INDEX(Checks!$A$5:$A$748,$T55))&gt;28,LEFT(INDEX(Checks!$A$5:$A$748,$T55),27)&amp;"…",INDEX(Checks!$A$5:$A$748,$T55)&amp;""))</f>
        <v/>
      </c>
      <c r="D55" s="57" t="n"/>
      <c r="E55" s="58">
        <f>IF($T55="","",IF(LEN(INDEX(Checks!$C$5:$C$748,$T55))&gt;14,LEFT(INDEX(Checks!$C$5:$C$748,$T55),13)&amp;"…",INDEX(Checks!$C$5:$C$748,$T55)&amp;""))</f>
        <v/>
      </c>
      <c r="F55" s="56">
        <f>IF($T55="","",IF(LEN(INDEX(Checks!$G$5:$G$748,$T55))&gt;25,LEFT(INDEX(Checks!$G$5:$G$748,$T55),24)&amp;"…",INDEX(Checks!$G$5:$G$748,$T55)&amp;""))</f>
        <v/>
      </c>
      <c r="G55" s="57" t="n"/>
      <c r="H55" s="56">
        <f>IF($T55="","",IF(LEN(INDEX(Checks!$J$5:$J$748,$T55))&gt;100,LEFT(INDEX(Checks!$J$5:$J$748,$T55),99)&amp;"…",INDEX(Checks!$J$5:$J$748,$T55)&amp;""))</f>
        <v/>
      </c>
      <c r="I55" s="57" t="n"/>
      <c r="J55" s="57" t="n"/>
      <c r="K55" s="57" t="n"/>
      <c r="L55" s="57" t="n"/>
      <c r="M55" s="57" t="n"/>
      <c r="N55" s="58">
        <f>IF($T55="","",IF(ISNUMBER(INDEX(Checks!$R$5:$R$748,$T55)),TEXT(INDEX(Checks!$R$5:$R$748,$T55),"dd-mmm hh:mm"),"")&amp;" "&amp;INDEX(Checks!$P$5:$P$748,$T55))</f>
        <v/>
      </c>
      <c r="O55" s="57" t="n"/>
      <c r="P55" s="56">
        <f>IF($T55="","",IF(LEN(INDEX(Checks!$T$5:$T$748,$T55))&gt;27,LEFT(INDEX(Checks!$T$5:$T$748,$T55),26)&amp;"…",INDEX(Checks!$T$5:$T$748,$T55)&amp;""))</f>
        <v/>
      </c>
      <c r="Q55" s="57" t="n"/>
      <c r="R55" s="56">
        <f>IF($T55="","",IF(LEN(INDEX(Checks!$AH$5:$AH$748,$T55))&gt;53,LEFT(INDEX(Checks!$AH$5:$AH$748,$T55),52)&amp;"…",INDEX(Checks!$AH$5:$AH$748,$T55)&amp;""))</f>
        <v/>
      </c>
      <c r="T55" s="52">
        <f>IFERROR(MATCH(2,Checks!$AO$5:$AO$748,0),"")</f>
        <v/>
      </c>
    </row>
    <row r="56" ht="28" customHeight="1">
      <c r="B56" s="53">
        <f>IF($T56="","",3)</f>
        <v/>
      </c>
      <c r="C56" s="36">
        <f>IF($T56="","",IF(LEN(INDEX(Checks!$A$5:$A$748,$T56))&gt;28,LEFT(INDEX(Checks!$A$5:$A$748,$T56),27)&amp;"…",INDEX(Checks!$A$5:$A$748,$T56)&amp;""))</f>
        <v/>
      </c>
      <c r="D56" s="26" t="n"/>
      <c r="E56" s="54">
        <f>IF($T56="","",IF(LEN(INDEX(Checks!$C$5:$C$748,$T56))&gt;14,LEFT(INDEX(Checks!$C$5:$C$748,$T56),13)&amp;"…",INDEX(Checks!$C$5:$C$748,$T56)&amp;""))</f>
        <v/>
      </c>
      <c r="F56" s="36">
        <f>IF($T56="","",IF(LEN(INDEX(Checks!$G$5:$G$748,$T56))&gt;25,LEFT(INDEX(Checks!$G$5:$G$748,$T56),24)&amp;"…",INDEX(Checks!$G$5:$G$748,$T56)&amp;""))</f>
        <v/>
      </c>
      <c r="G56" s="26" t="n"/>
      <c r="H56" s="36">
        <f>IF($T56="","",IF(LEN(INDEX(Checks!$J$5:$J$748,$T56))&gt;100,LEFT(INDEX(Checks!$J$5:$J$748,$T56),99)&amp;"…",INDEX(Checks!$J$5:$J$748,$T56)&amp;""))</f>
        <v/>
      </c>
      <c r="I56" s="26" t="n"/>
      <c r="J56" s="26" t="n"/>
      <c r="K56" s="26" t="n"/>
      <c r="L56" s="26" t="n"/>
      <c r="M56" s="26" t="n"/>
      <c r="N56" s="54">
        <f>IF($T56="","",IF(ISNUMBER(INDEX(Checks!$R$5:$R$748,$T56)),TEXT(INDEX(Checks!$R$5:$R$748,$T56),"dd-mmm hh:mm"),"")&amp;" "&amp;INDEX(Checks!$P$5:$P$748,$T56))</f>
        <v/>
      </c>
      <c r="O56" s="26" t="n"/>
      <c r="P56" s="36">
        <f>IF($T56="","",IF(LEN(INDEX(Checks!$T$5:$T$748,$T56))&gt;27,LEFT(INDEX(Checks!$T$5:$T$748,$T56),26)&amp;"…",INDEX(Checks!$T$5:$T$748,$T56)&amp;""))</f>
        <v/>
      </c>
      <c r="Q56" s="26" t="n"/>
      <c r="R56" s="36">
        <f>IF($T56="","",IF(LEN(INDEX(Checks!$AH$5:$AH$748,$T56))&gt;53,LEFT(INDEX(Checks!$AH$5:$AH$748,$T56),52)&amp;"…",INDEX(Checks!$AH$5:$AH$748,$T56)&amp;""))</f>
        <v/>
      </c>
      <c r="T56" s="52">
        <f>IFERROR(MATCH(3,Checks!$AO$5:$AO$748,0),"")</f>
        <v/>
      </c>
    </row>
    <row r="57" ht="28" customHeight="1">
      <c r="B57" s="55">
        <f>IF($T57="","",4)</f>
        <v/>
      </c>
      <c r="C57" s="56">
        <f>IF($T57="","",IF(LEN(INDEX(Checks!$A$5:$A$748,$T57))&gt;28,LEFT(INDEX(Checks!$A$5:$A$748,$T57),27)&amp;"…",INDEX(Checks!$A$5:$A$748,$T57)&amp;""))</f>
        <v/>
      </c>
      <c r="D57" s="57" t="n"/>
      <c r="E57" s="58">
        <f>IF($T57="","",IF(LEN(INDEX(Checks!$C$5:$C$748,$T57))&gt;14,LEFT(INDEX(Checks!$C$5:$C$748,$T57),13)&amp;"…",INDEX(Checks!$C$5:$C$748,$T57)&amp;""))</f>
        <v/>
      </c>
      <c r="F57" s="56">
        <f>IF($T57="","",IF(LEN(INDEX(Checks!$G$5:$G$748,$T57))&gt;25,LEFT(INDEX(Checks!$G$5:$G$748,$T57),24)&amp;"…",INDEX(Checks!$G$5:$G$748,$T57)&amp;""))</f>
        <v/>
      </c>
      <c r="G57" s="57" t="n"/>
      <c r="H57" s="56">
        <f>IF($T57="","",IF(LEN(INDEX(Checks!$J$5:$J$748,$T57))&gt;100,LEFT(INDEX(Checks!$J$5:$J$748,$T57),99)&amp;"…",INDEX(Checks!$J$5:$J$748,$T57)&amp;""))</f>
        <v/>
      </c>
      <c r="I57" s="57" t="n"/>
      <c r="J57" s="57" t="n"/>
      <c r="K57" s="57" t="n"/>
      <c r="L57" s="57" t="n"/>
      <c r="M57" s="57" t="n"/>
      <c r="N57" s="58">
        <f>IF($T57="","",IF(ISNUMBER(INDEX(Checks!$R$5:$R$748,$T57)),TEXT(INDEX(Checks!$R$5:$R$748,$T57),"dd-mmm hh:mm"),"")&amp;" "&amp;INDEX(Checks!$P$5:$P$748,$T57))</f>
        <v/>
      </c>
      <c r="O57" s="57" t="n"/>
      <c r="P57" s="56">
        <f>IF($T57="","",IF(LEN(INDEX(Checks!$T$5:$T$748,$T57))&gt;27,LEFT(INDEX(Checks!$T$5:$T$748,$T57),26)&amp;"…",INDEX(Checks!$T$5:$T$748,$T57)&amp;""))</f>
        <v/>
      </c>
      <c r="Q57" s="57" t="n"/>
      <c r="R57" s="56">
        <f>IF($T57="","",IF(LEN(INDEX(Checks!$AH$5:$AH$748,$T57))&gt;53,LEFT(INDEX(Checks!$AH$5:$AH$748,$T57),52)&amp;"…",INDEX(Checks!$AH$5:$AH$748,$T57)&amp;""))</f>
        <v/>
      </c>
      <c r="T57" s="52">
        <f>IFERROR(MATCH(4,Checks!$AO$5:$AO$748,0),"")</f>
        <v/>
      </c>
    </row>
    <row r="58" ht="28" customHeight="1">
      <c r="B58" s="53">
        <f>IF($T58="","",5)</f>
        <v/>
      </c>
      <c r="C58" s="36">
        <f>IF($T58="","",IF(LEN(INDEX(Checks!$A$5:$A$748,$T58))&gt;28,LEFT(INDEX(Checks!$A$5:$A$748,$T58),27)&amp;"…",INDEX(Checks!$A$5:$A$748,$T58)&amp;""))</f>
        <v/>
      </c>
      <c r="D58" s="26" t="n"/>
      <c r="E58" s="54">
        <f>IF($T58="","",IF(LEN(INDEX(Checks!$C$5:$C$748,$T58))&gt;14,LEFT(INDEX(Checks!$C$5:$C$748,$T58),13)&amp;"…",INDEX(Checks!$C$5:$C$748,$T58)&amp;""))</f>
        <v/>
      </c>
      <c r="F58" s="36">
        <f>IF($T58="","",IF(LEN(INDEX(Checks!$G$5:$G$748,$T58))&gt;25,LEFT(INDEX(Checks!$G$5:$G$748,$T58),24)&amp;"…",INDEX(Checks!$G$5:$G$748,$T58)&amp;""))</f>
        <v/>
      </c>
      <c r="G58" s="26" t="n"/>
      <c r="H58" s="36">
        <f>IF($T58="","",IF(LEN(INDEX(Checks!$J$5:$J$748,$T58))&gt;100,LEFT(INDEX(Checks!$J$5:$J$748,$T58),99)&amp;"…",INDEX(Checks!$J$5:$J$748,$T58)&amp;""))</f>
        <v/>
      </c>
      <c r="I58" s="26" t="n"/>
      <c r="J58" s="26" t="n"/>
      <c r="K58" s="26" t="n"/>
      <c r="L58" s="26" t="n"/>
      <c r="M58" s="26" t="n"/>
      <c r="N58" s="54">
        <f>IF($T58="","",IF(ISNUMBER(INDEX(Checks!$R$5:$R$748,$T58)),TEXT(INDEX(Checks!$R$5:$R$748,$T58),"dd-mmm hh:mm"),"")&amp;" "&amp;INDEX(Checks!$P$5:$P$748,$T58))</f>
        <v/>
      </c>
      <c r="O58" s="26" t="n"/>
      <c r="P58" s="36">
        <f>IF($T58="","",IF(LEN(INDEX(Checks!$T$5:$T$748,$T58))&gt;27,LEFT(INDEX(Checks!$T$5:$T$748,$T58),26)&amp;"…",INDEX(Checks!$T$5:$T$748,$T58)&amp;""))</f>
        <v/>
      </c>
      <c r="Q58" s="26" t="n"/>
      <c r="R58" s="36">
        <f>IF($T58="","",IF(LEN(INDEX(Checks!$AH$5:$AH$748,$T58))&gt;53,LEFT(INDEX(Checks!$AH$5:$AH$748,$T58),52)&amp;"…",INDEX(Checks!$AH$5:$AH$748,$T58)&amp;""))</f>
        <v/>
      </c>
      <c r="T58" s="52">
        <f>IFERROR(MATCH(5,Checks!$AO$5:$AO$748,0),"")</f>
        <v/>
      </c>
    </row>
    <row r="59" ht="28" customHeight="1">
      <c r="B59" s="55">
        <f>IF($T59="","",6)</f>
        <v/>
      </c>
      <c r="C59" s="56">
        <f>IF($T59="","",IF(LEN(INDEX(Checks!$A$5:$A$748,$T59))&gt;28,LEFT(INDEX(Checks!$A$5:$A$748,$T59),27)&amp;"…",INDEX(Checks!$A$5:$A$748,$T59)&amp;""))</f>
        <v/>
      </c>
      <c r="D59" s="57" t="n"/>
      <c r="E59" s="58">
        <f>IF($T59="","",IF(LEN(INDEX(Checks!$C$5:$C$748,$T59))&gt;14,LEFT(INDEX(Checks!$C$5:$C$748,$T59),13)&amp;"…",INDEX(Checks!$C$5:$C$748,$T59)&amp;""))</f>
        <v/>
      </c>
      <c r="F59" s="56">
        <f>IF($T59="","",IF(LEN(INDEX(Checks!$G$5:$G$748,$T59))&gt;25,LEFT(INDEX(Checks!$G$5:$G$748,$T59),24)&amp;"…",INDEX(Checks!$G$5:$G$748,$T59)&amp;""))</f>
        <v/>
      </c>
      <c r="G59" s="57" t="n"/>
      <c r="H59" s="56">
        <f>IF($T59="","",IF(LEN(INDEX(Checks!$J$5:$J$748,$T59))&gt;100,LEFT(INDEX(Checks!$J$5:$J$748,$T59),99)&amp;"…",INDEX(Checks!$J$5:$J$748,$T59)&amp;""))</f>
        <v/>
      </c>
      <c r="I59" s="57" t="n"/>
      <c r="J59" s="57" t="n"/>
      <c r="K59" s="57" t="n"/>
      <c r="L59" s="57" t="n"/>
      <c r="M59" s="57" t="n"/>
      <c r="N59" s="58">
        <f>IF($T59="","",IF(ISNUMBER(INDEX(Checks!$R$5:$R$748,$T59)),TEXT(INDEX(Checks!$R$5:$R$748,$T59),"dd-mmm hh:mm"),"")&amp;" "&amp;INDEX(Checks!$P$5:$P$748,$T59))</f>
        <v/>
      </c>
      <c r="O59" s="57" t="n"/>
      <c r="P59" s="56">
        <f>IF($T59="","",IF(LEN(INDEX(Checks!$T$5:$T$748,$T59))&gt;27,LEFT(INDEX(Checks!$T$5:$T$748,$T59),26)&amp;"…",INDEX(Checks!$T$5:$T$748,$T59)&amp;""))</f>
        <v/>
      </c>
      <c r="Q59" s="57" t="n"/>
      <c r="R59" s="56">
        <f>IF($T59="","",IF(LEN(INDEX(Checks!$AH$5:$AH$748,$T59))&gt;53,LEFT(INDEX(Checks!$AH$5:$AH$748,$T59),52)&amp;"…",INDEX(Checks!$AH$5:$AH$748,$T59)&amp;""))</f>
        <v/>
      </c>
      <c r="T59" s="52">
        <f>IFERROR(MATCH(6,Checks!$AO$5:$AO$748,0),"")</f>
        <v/>
      </c>
    </row>
    <row r="60" ht="28" customHeight="1">
      <c r="B60" s="53">
        <f>IF($T60="","",7)</f>
        <v/>
      </c>
      <c r="C60" s="36">
        <f>IF($T60="","",IF(LEN(INDEX(Checks!$A$5:$A$748,$T60))&gt;28,LEFT(INDEX(Checks!$A$5:$A$748,$T60),27)&amp;"…",INDEX(Checks!$A$5:$A$748,$T60)&amp;""))</f>
        <v/>
      </c>
      <c r="D60" s="26" t="n"/>
      <c r="E60" s="54">
        <f>IF($T60="","",IF(LEN(INDEX(Checks!$C$5:$C$748,$T60))&gt;14,LEFT(INDEX(Checks!$C$5:$C$748,$T60),13)&amp;"…",INDEX(Checks!$C$5:$C$748,$T60)&amp;""))</f>
        <v/>
      </c>
      <c r="F60" s="36">
        <f>IF($T60="","",IF(LEN(INDEX(Checks!$G$5:$G$748,$T60))&gt;25,LEFT(INDEX(Checks!$G$5:$G$748,$T60),24)&amp;"…",INDEX(Checks!$G$5:$G$748,$T60)&amp;""))</f>
        <v/>
      </c>
      <c r="G60" s="26" t="n"/>
      <c r="H60" s="36">
        <f>IF($T60="","",IF(LEN(INDEX(Checks!$J$5:$J$748,$T60))&gt;100,LEFT(INDEX(Checks!$J$5:$J$748,$T60),99)&amp;"…",INDEX(Checks!$J$5:$J$748,$T60)&amp;""))</f>
        <v/>
      </c>
      <c r="I60" s="26" t="n"/>
      <c r="J60" s="26" t="n"/>
      <c r="K60" s="26" t="n"/>
      <c r="L60" s="26" t="n"/>
      <c r="M60" s="26" t="n"/>
      <c r="N60" s="54">
        <f>IF($T60="","",IF(ISNUMBER(INDEX(Checks!$R$5:$R$748,$T60)),TEXT(INDEX(Checks!$R$5:$R$748,$T60),"dd-mmm hh:mm"),"")&amp;" "&amp;INDEX(Checks!$P$5:$P$748,$T60))</f>
        <v/>
      </c>
      <c r="O60" s="26" t="n"/>
      <c r="P60" s="36">
        <f>IF($T60="","",IF(LEN(INDEX(Checks!$T$5:$T$748,$T60))&gt;27,LEFT(INDEX(Checks!$T$5:$T$748,$T60),26)&amp;"…",INDEX(Checks!$T$5:$T$748,$T60)&amp;""))</f>
        <v/>
      </c>
      <c r="Q60" s="26" t="n"/>
      <c r="R60" s="36">
        <f>IF($T60="","",IF(LEN(INDEX(Checks!$AH$5:$AH$748,$T60))&gt;53,LEFT(INDEX(Checks!$AH$5:$AH$748,$T60),52)&amp;"…",INDEX(Checks!$AH$5:$AH$748,$T60)&amp;""))</f>
        <v/>
      </c>
      <c r="T60" s="52">
        <f>IFERROR(MATCH(7,Checks!$AO$5:$AO$748,0),"")</f>
        <v/>
      </c>
    </row>
    <row r="61" ht="28" customHeight="1">
      <c r="B61" s="55">
        <f>IF($T61="","",8)</f>
        <v/>
      </c>
      <c r="C61" s="56">
        <f>IF($T61="","",IF(LEN(INDEX(Checks!$A$5:$A$748,$T61))&gt;28,LEFT(INDEX(Checks!$A$5:$A$748,$T61),27)&amp;"…",INDEX(Checks!$A$5:$A$748,$T61)&amp;""))</f>
        <v/>
      </c>
      <c r="D61" s="57" t="n"/>
      <c r="E61" s="58">
        <f>IF($T61="","",IF(LEN(INDEX(Checks!$C$5:$C$748,$T61))&gt;14,LEFT(INDEX(Checks!$C$5:$C$748,$T61),13)&amp;"…",INDEX(Checks!$C$5:$C$748,$T61)&amp;""))</f>
        <v/>
      </c>
      <c r="F61" s="56">
        <f>IF($T61="","",IF(LEN(INDEX(Checks!$G$5:$G$748,$T61))&gt;25,LEFT(INDEX(Checks!$G$5:$G$748,$T61),24)&amp;"…",INDEX(Checks!$G$5:$G$748,$T61)&amp;""))</f>
        <v/>
      </c>
      <c r="G61" s="57" t="n"/>
      <c r="H61" s="56">
        <f>IF($T61="","",IF(LEN(INDEX(Checks!$J$5:$J$748,$T61))&gt;100,LEFT(INDEX(Checks!$J$5:$J$748,$T61),99)&amp;"…",INDEX(Checks!$J$5:$J$748,$T61)&amp;""))</f>
        <v/>
      </c>
      <c r="I61" s="57" t="n"/>
      <c r="J61" s="57" t="n"/>
      <c r="K61" s="57" t="n"/>
      <c r="L61" s="57" t="n"/>
      <c r="M61" s="57" t="n"/>
      <c r="N61" s="58">
        <f>IF($T61="","",IF(ISNUMBER(INDEX(Checks!$R$5:$R$748,$T61)),TEXT(INDEX(Checks!$R$5:$R$748,$T61),"dd-mmm hh:mm"),"")&amp;" "&amp;INDEX(Checks!$P$5:$P$748,$T61))</f>
        <v/>
      </c>
      <c r="O61" s="57" t="n"/>
      <c r="P61" s="56">
        <f>IF($T61="","",IF(LEN(INDEX(Checks!$T$5:$T$748,$T61))&gt;27,LEFT(INDEX(Checks!$T$5:$T$748,$T61),26)&amp;"…",INDEX(Checks!$T$5:$T$748,$T61)&amp;""))</f>
        <v/>
      </c>
      <c r="Q61" s="57" t="n"/>
      <c r="R61" s="56">
        <f>IF($T61="","",IF(LEN(INDEX(Checks!$AH$5:$AH$748,$T61))&gt;53,LEFT(INDEX(Checks!$AH$5:$AH$748,$T61),52)&amp;"…",INDEX(Checks!$AH$5:$AH$748,$T61)&amp;""))</f>
        <v/>
      </c>
      <c r="T61" s="52">
        <f>IFERROR(MATCH(8,Checks!$AO$5:$AO$748,0),"")</f>
        <v/>
      </c>
    </row>
    <row r="62" ht="28" customHeight="1">
      <c r="B62" s="53">
        <f>IF($T62="","",9)</f>
        <v/>
      </c>
      <c r="C62" s="36">
        <f>IF($T62="","",IF(LEN(INDEX(Checks!$A$5:$A$748,$T62))&gt;28,LEFT(INDEX(Checks!$A$5:$A$748,$T62),27)&amp;"…",INDEX(Checks!$A$5:$A$748,$T62)&amp;""))</f>
        <v/>
      </c>
      <c r="D62" s="26" t="n"/>
      <c r="E62" s="54">
        <f>IF($T62="","",IF(LEN(INDEX(Checks!$C$5:$C$748,$T62))&gt;14,LEFT(INDEX(Checks!$C$5:$C$748,$T62),13)&amp;"…",INDEX(Checks!$C$5:$C$748,$T62)&amp;""))</f>
        <v/>
      </c>
      <c r="F62" s="36">
        <f>IF($T62="","",IF(LEN(INDEX(Checks!$G$5:$G$748,$T62))&gt;25,LEFT(INDEX(Checks!$G$5:$G$748,$T62),24)&amp;"…",INDEX(Checks!$G$5:$G$748,$T62)&amp;""))</f>
        <v/>
      </c>
      <c r="G62" s="26" t="n"/>
      <c r="H62" s="36">
        <f>IF($T62="","",IF(LEN(INDEX(Checks!$J$5:$J$748,$T62))&gt;100,LEFT(INDEX(Checks!$J$5:$J$748,$T62),99)&amp;"…",INDEX(Checks!$J$5:$J$748,$T62)&amp;""))</f>
        <v/>
      </c>
      <c r="I62" s="26" t="n"/>
      <c r="J62" s="26" t="n"/>
      <c r="K62" s="26" t="n"/>
      <c r="L62" s="26" t="n"/>
      <c r="M62" s="26" t="n"/>
      <c r="N62" s="54">
        <f>IF($T62="","",IF(ISNUMBER(INDEX(Checks!$R$5:$R$748,$T62)),TEXT(INDEX(Checks!$R$5:$R$748,$T62),"dd-mmm hh:mm"),"")&amp;" "&amp;INDEX(Checks!$P$5:$P$748,$T62))</f>
        <v/>
      </c>
      <c r="O62" s="26" t="n"/>
      <c r="P62" s="36">
        <f>IF($T62="","",IF(LEN(INDEX(Checks!$T$5:$T$748,$T62))&gt;27,LEFT(INDEX(Checks!$T$5:$T$748,$T62),26)&amp;"…",INDEX(Checks!$T$5:$T$748,$T62)&amp;""))</f>
        <v/>
      </c>
      <c r="Q62" s="26" t="n"/>
      <c r="R62" s="36">
        <f>IF($T62="","",IF(LEN(INDEX(Checks!$AH$5:$AH$748,$T62))&gt;53,LEFT(INDEX(Checks!$AH$5:$AH$748,$T62),52)&amp;"…",INDEX(Checks!$AH$5:$AH$748,$T62)&amp;""))</f>
        <v/>
      </c>
      <c r="T62" s="52">
        <f>IFERROR(MATCH(9,Checks!$AO$5:$AO$748,0),"")</f>
        <v/>
      </c>
    </row>
    <row r="63" ht="28" customHeight="1">
      <c r="B63" s="55">
        <f>IF($T63="","",10)</f>
        <v/>
      </c>
      <c r="C63" s="56">
        <f>IF($T63="","",IF(LEN(INDEX(Checks!$A$5:$A$748,$T63))&gt;28,LEFT(INDEX(Checks!$A$5:$A$748,$T63),27)&amp;"…",INDEX(Checks!$A$5:$A$748,$T63)&amp;""))</f>
        <v/>
      </c>
      <c r="D63" s="57" t="n"/>
      <c r="E63" s="58">
        <f>IF($T63="","",IF(LEN(INDEX(Checks!$C$5:$C$748,$T63))&gt;14,LEFT(INDEX(Checks!$C$5:$C$748,$T63),13)&amp;"…",INDEX(Checks!$C$5:$C$748,$T63)&amp;""))</f>
        <v/>
      </c>
      <c r="F63" s="56">
        <f>IF($T63="","",IF(LEN(INDEX(Checks!$G$5:$G$748,$T63))&gt;25,LEFT(INDEX(Checks!$G$5:$G$748,$T63),24)&amp;"…",INDEX(Checks!$G$5:$G$748,$T63)&amp;""))</f>
        <v/>
      </c>
      <c r="G63" s="57" t="n"/>
      <c r="H63" s="56">
        <f>IF($T63="","",IF(LEN(INDEX(Checks!$J$5:$J$748,$T63))&gt;100,LEFT(INDEX(Checks!$J$5:$J$748,$T63),99)&amp;"…",INDEX(Checks!$J$5:$J$748,$T63)&amp;""))</f>
        <v/>
      </c>
      <c r="I63" s="57" t="n"/>
      <c r="J63" s="57" t="n"/>
      <c r="K63" s="57" t="n"/>
      <c r="L63" s="57" t="n"/>
      <c r="M63" s="57" t="n"/>
      <c r="N63" s="58">
        <f>IF($T63="","",IF(ISNUMBER(INDEX(Checks!$R$5:$R$748,$T63)),TEXT(INDEX(Checks!$R$5:$R$748,$T63),"dd-mmm hh:mm"),"")&amp;" "&amp;INDEX(Checks!$P$5:$P$748,$T63))</f>
        <v/>
      </c>
      <c r="O63" s="57" t="n"/>
      <c r="P63" s="56">
        <f>IF($T63="","",IF(LEN(INDEX(Checks!$T$5:$T$748,$T63))&gt;27,LEFT(INDEX(Checks!$T$5:$T$748,$T63),26)&amp;"…",INDEX(Checks!$T$5:$T$748,$T63)&amp;""))</f>
        <v/>
      </c>
      <c r="Q63" s="57" t="n"/>
      <c r="R63" s="56">
        <f>IF($T63="","",IF(LEN(INDEX(Checks!$AH$5:$AH$748,$T63))&gt;53,LEFT(INDEX(Checks!$AH$5:$AH$748,$T63),52)&amp;"…",INDEX(Checks!$AH$5:$AH$748,$T63)&amp;""))</f>
        <v/>
      </c>
      <c r="T63" s="52">
        <f>IFERROR(MATCH(10,Checks!$AO$5:$AO$748,0),"")</f>
        <v/>
      </c>
    </row>
    <row r="64" ht="28" customHeight="1">
      <c r="B64" s="53">
        <f>IF($T64="","",11)</f>
        <v/>
      </c>
      <c r="C64" s="36">
        <f>IF($T64="","",IF(LEN(INDEX(Checks!$A$5:$A$748,$T64))&gt;28,LEFT(INDEX(Checks!$A$5:$A$748,$T64),27)&amp;"…",INDEX(Checks!$A$5:$A$748,$T64)&amp;""))</f>
        <v/>
      </c>
      <c r="D64" s="26" t="n"/>
      <c r="E64" s="54">
        <f>IF($T64="","",IF(LEN(INDEX(Checks!$C$5:$C$748,$T64))&gt;14,LEFT(INDEX(Checks!$C$5:$C$748,$T64),13)&amp;"…",INDEX(Checks!$C$5:$C$748,$T64)&amp;""))</f>
        <v/>
      </c>
      <c r="F64" s="36">
        <f>IF($T64="","",IF(LEN(INDEX(Checks!$G$5:$G$748,$T64))&gt;25,LEFT(INDEX(Checks!$G$5:$G$748,$T64),24)&amp;"…",INDEX(Checks!$G$5:$G$748,$T64)&amp;""))</f>
        <v/>
      </c>
      <c r="G64" s="26" t="n"/>
      <c r="H64" s="36">
        <f>IF($T64="","",IF(LEN(INDEX(Checks!$J$5:$J$748,$T64))&gt;100,LEFT(INDEX(Checks!$J$5:$J$748,$T64),99)&amp;"…",INDEX(Checks!$J$5:$J$748,$T64)&amp;""))</f>
        <v/>
      </c>
      <c r="I64" s="26" t="n"/>
      <c r="J64" s="26" t="n"/>
      <c r="K64" s="26" t="n"/>
      <c r="L64" s="26" t="n"/>
      <c r="M64" s="26" t="n"/>
      <c r="N64" s="54">
        <f>IF($T64="","",IF(ISNUMBER(INDEX(Checks!$R$5:$R$748,$T64)),TEXT(INDEX(Checks!$R$5:$R$748,$T64),"dd-mmm hh:mm"),"")&amp;" "&amp;INDEX(Checks!$P$5:$P$748,$T64))</f>
        <v/>
      </c>
      <c r="O64" s="26" t="n"/>
      <c r="P64" s="36">
        <f>IF($T64="","",IF(LEN(INDEX(Checks!$T$5:$T$748,$T64))&gt;27,LEFT(INDEX(Checks!$T$5:$T$748,$T64),26)&amp;"…",INDEX(Checks!$T$5:$T$748,$T64)&amp;""))</f>
        <v/>
      </c>
      <c r="Q64" s="26" t="n"/>
      <c r="R64" s="36">
        <f>IF($T64="","",IF(LEN(INDEX(Checks!$AH$5:$AH$748,$T64))&gt;53,LEFT(INDEX(Checks!$AH$5:$AH$748,$T64),52)&amp;"…",INDEX(Checks!$AH$5:$AH$748,$T64)&amp;""))</f>
        <v/>
      </c>
      <c r="T64" s="52">
        <f>IFERROR(MATCH(11,Checks!$AO$5:$AO$748,0),"")</f>
        <v/>
      </c>
    </row>
    <row r="65" ht="28" customHeight="1">
      <c r="B65" s="55">
        <f>IF($T65="","",12)</f>
        <v/>
      </c>
      <c r="C65" s="56">
        <f>IF($T65="","",IF(LEN(INDEX(Checks!$A$5:$A$748,$T65))&gt;28,LEFT(INDEX(Checks!$A$5:$A$748,$T65),27)&amp;"…",INDEX(Checks!$A$5:$A$748,$T65)&amp;""))</f>
        <v/>
      </c>
      <c r="D65" s="57" t="n"/>
      <c r="E65" s="58">
        <f>IF($T65="","",IF(LEN(INDEX(Checks!$C$5:$C$748,$T65))&gt;14,LEFT(INDEX(Checks!$C$5:$C$748,$T65),13)&amp;"…",INDEX(Checks!$C$5:$C$748,$T65)&amp;""))</f>
        <v/>
      </c>
      <c r="F65" s="56">
        <f>IF($T65="","",IF(LEN(INDEX(Checks!$G$5:$G$748,$T65))&gt;25,LEFT(INDEX(Checks!$G$5:$G$748,$T65),24)&amp;"…",INDEX(Checks!$G$5:$G$748,$T65)&amp;""))</f>
        <v/>
      </c>
      <c r="G65" s="57" t="n"/>
      <c r="H65" s="56">
        <f>IF($T65="","",IF(LEN(INDEX(Checks!$J$5:$J$748,$T65))&gt;100,LEFT(INDEX(Checks!$J$5:$J$748,$T65),99)&amp;"…",INDEX(Checks!$J$5:$J$748,$T65)&amp;""))</f>
        <v/>
      </c>
      <c r="I65" s="57" t="n"/>
      <c r="J65" s="57" t="n"/>
      <c r="K65" s="57" t="n"/>
      <c r="L65" s="57" t="n"/>
      <c r="M65" s="57" t="n"/>
      <c r="N65" s="58">
        <f>IF($T65="","",IF(ISNUMBER(INDEX(Checks!$R$5:$R$748,$T65)),TEXT(INDEX(Checks!$R$5:$R$748,$T65),"dd-mmm hh:mm"),"")&amp;" "&amp;INDEX(Checks!$P$5:$P$748,$T65))</f>
        <v/>
      </c>
      <c r="O65" s="57" t="n"/>
      <c r="P65" s="56">
        <f>IF($T65="","",IF(LEN(INDEX(Checks!$T$5:$T$748,$T65))&gt;27,LEFT(INDEX(Checks!$T$5:$T$748,$T65),26)&amp;"…",INDEX(Checks!$T$5:$T$748,$T65)&amp;""))</f>
        <v/>
      </c>
      <c r="Q65" s="57" t="n"/>
      <c r="R65" s="56">
        <f>IF($T65="","",IF(LEN(INDEX(Checks!$AH$5:$AH$748,$T65))&gt;53,LEFT(INDEX(Checks!$AH$5:$AH$748,$T65),52)&amp;"…",INDEX(Checks!$AH$5:$AH$748,$T65)&amp;""))</f>
        <v/>
      </c>
      <c r="T65" s="52">
        <f>IFERROR(MATCH(12,Checks!$AO$5:$AO$748,0),"")</f>
        <v/>
      </c>
    </row>
    <row r="66" ht="28" customHeight="1">
      <c r="B66" s="53">
        <f>IF($T66="","",13)</f>
        <v/>
      </c>
      <c r="C66" s="36">
        <f>IF($T66="","",IF(LEN(INDEX(Checks!$A$5:$A$748,$T66))&gt;28,LEFT(INDEX(Checks!$A$5:$A$748,$T66),27)&amp;"…",INDEX(Checks!$A$5:$A$748,$T66)&amp;""))</f>
        <v/>
      </c>
      <c r="D66" s="26" t="n"/>
      <c r="E66" s="54">
        <f>IF($T66="","",IF(LEN(INDEX(Checks!$C$5:$C$748,$T66))&gt;14,LEFT(INDEX(Checks!$C$5:$C$748,$T66),13)&amp;"…",INDEX(Checks!$C$5:$C$748,$T66)&amp;""))</f>
        <v/>
      </c>
      <c r="F66" s="36">
        <f>IF($T66="","",IF(LEN(INDEX(Checks!$G$5:$G$748,$T66))&gt;25,LEFT(INDEX(Checks!$G$5:$G$748,$T66),24)&amp;"…",INDEX(Checks!$G$5:$G$748,$T66)&amp;""))</f>
        <v/>
      </c>
      <c r="G66" s="26" t="n"/>
      <c r="H66" s="36">
        <f>IF($T66="","",IF(LEN(INDEX(Checks!$J$5:$J$748,$T66))&gt;100,LEFT(INDEX(Checks!$J$5:$J$748,$T66),99)&amp;"…",INDEX(Checks!$J$5:$J$748,$T66)&amp;""))</f>
        <v/>
      </c>
      <c r="I66" s="26" t="n"/>
      <c r="J66" s="26" t="n"/>
      <c r="K66" s="26" t="n"/>
      <c r="L66" s="26" t="n"/>
      <c r="M66" s="26" t="n"/>
      <c r="N66" s="54">
        <f>IF($T66="","",IF(ISNUMBER(INDEX(Checks!$R$5:$R$748,$T66)),TEXT(INDEX(Checks!$R$5:$R$748,$T66),"dd-mmm hh:mm"),"")&amp;" "&amp;INDEX(Checks!$P$5:$P$748,$T66))</f>
        <v/>
      </c>
      <c r="O66" s="26" t="n"/>
      <c r="P66" s="36">
        <f>IF($T66="","",IF(LEN(INDEX(Checks!$T$5:$T$748,$T66))&gt;27,LEFT(INDEX(Checks!$T$5:$T$748,$T66),26)&amp;"…",INDEX(Checks!$T$5:$T$748,$T66)&amp;""))</f>
        <v/>
      </c>
      <c r="Q66" s="26" t="n"/>
      <c r="R66" s="36">
        <f>IF($T66="","",IF(LEN(INDEX(Checks!$AH$5:$AH$748,$T66))&gt;53,LEFT(INDEX(Checks!$AH$5:$AH$748,$T66),52)&amp;"…",INDEX(Checks!$AH$5:$AH$748,$T66)&amp;""))</f>
        <v/>
      </c>
      <c r="T66" s="52">
        <f>IFERROR(MATCH(13,Checks!$AO$5:$AO$748,0),"")</f>
        <v/>
      </c>
    </row>
    <row r="67" ht="28" customHeight="1">
      <c r="B67" s="55">
        <f>IF($T67="","",14)</f>
        <v/>
      </c>
      <c r="C67" s="56">
        <f>IF($T67="","",IF(LEN(INDEX(Checks!$A$5:$A$748,$T67))&gt;28,LEFT(INDEX(Checks!$A$5:$A$748,$T67),27)&amp;"…",INDEX(Checks!$A$5:$A$748,$T67)&amp;""))</f>
        <v/>
      </c>
      <c r="D67" s="57" t="n"/>
      <c r="E67" s="58">
        <f>IF($T67="","",IF(LEN(INDEX(Checks!$C$5:$C$748,$T67))&gt;14,LEFT(INDEX(Checks!$C$5:$C$748,$T67),13)&amp;"…",INDEX(Checks!$C$5:$C$748,$T67)&amp;""))</f>
        <v/>
      </c>
      <c r="F67" s="56">
        <f>IF($T67="","",IF(LEN(INDEX(Checks!$G$5:$G$748,$T67))&gt;25,LEFT(INDEX(Checks!$G$5:$G$748,$T67),24)&amp;"…",INDEX(Checks!$G$5:$G$748,$T67)&amp;""))</f>
        <v/>
      </c>
      <c r="G67" s="57" t="n"/>
      <c r="H67" s="56">
        <f>IF($T67="","",IF(LEN(INDEX(Checks!$J$5:$J$748,$T67))&gt;100,LEFT(INDEX(Checks!$J$5:$J$748,$T67),99)&amp;"…",INDEX(Checks!$J$5:$J$748,$T67)&amp;""))</f>
        <v/>
      </c>
      <c r="I67" s="57" t="n"/>
      <c r="J67" s="57" t="n"/>
      <c r="K67" s="57" t="n"/>
      <c r="L67" s="57" t="n"/>
      <c r="M67" s="57" t="n"/>
      <c r="N67" s="58">
        <f>IF($T67="","",IF(ISNUMBER(INDEX(Checks!$R$5:$R$748,$T67)),TEXT(INDEX(Checks!$R$5:$R$748,$T67),"dd-mmm hh:mm"),"")&amp;" "&amp;INDEX(Checks!$P$5:$P$748,$T67))</f>
        <v/>
      </c>
      <c r="O67" s="57" t="n"/>
      <c r="P67" s="56">
        <f>IF($T67="","",IF(LEN(INDEX(Checks!$T$5:$T$748,$T67))&gt;27,LEFT(INDEX(Checks!$T$5:$T$748,$T67),26)&amp;"…",INDEX(Checks!$T$5:$T$748,$T67)&amp;""))</f>
        <v/>
      </c>
      <c r="Q67" s="57" t="n"/>
      <c r="R67" s="56">
        <f>IF($T67="","",IF(LEN(INDEX(Checks!$AH$5:$AH$748,$T67))&gt;53,LEFT(INDEX(Checks!$AH$5:$AH$748,$T67),52)&amp;"…",INDEX(Checks!$AH$5:$AH$748,$T67)&amp;""))</f>
        <v/>
      </c>
      <c r="T67" s="52">
        <f>IFERROR(MATCH(14,Checks!$AO$5:$AO$748,0),"")</f>
        <v/>
      </c>
    </row>
    <row r="68" ht="28" customHeight="1">
      <c r="B68" s="53">
        <f>IF($T68="","",15)</f>
        <v/>
      </c>
      <c r="C68" s="36">
        <f>IF($T68="","",IF(LEN(INDEX(Checks!$A$5:$A$748,$T68))&gt;28,LEFT(INDEX(Checks!$A$5:$A$748,$T68),27)&amp;"…",INDEX(Checks!$A$5:$A$748,$T68)&amp;""))</f>
        <v/>
      </c>
      <c r="D68" s="26" t="n"/>
      <c r="E68" s="54">
        <f>IF($T68="","",IF(LEN(INDEX(Checks!$C$5:$C$748,$T68))&gt;14,LEFT(INDEX(Checks!$C$5:$C$748,$T68),13)&amp;"…",INDEX(Checks!$C$5:$C$748,$T68)&amp;""))</f>
        <v/>
      </c>
      <c r="F68" s="36">
        <f>IF($T68="","",IF(LEN(INDEX(Checks!$G$5:$G$748,$T68))&gt;25,LEFT(INDEX(Checks!$G$5:$G$748,$T68),24)&amp;"…",INDEX(Checks!$G$5:$G$748,$T68)&amp;""))</f>
        <v/>
      </c>
      <c r="G68" s="26" t="n"/>
      <c r="H68" s="36">
        <f>IF($T68="","",IF(LEN(INDEX(Checks!$J$5:$J$748,$T68))&gt;100,LEFT(INDEX(Checks!$J$5:$J$748,$T68),99)&amp;"…",INDEX(Checks!$J$5:$J$748,$T68)&amp;""))</f>
        <v/>
      </c>
      <c r="I68" s="26" t="n"/>
      <c r="J68" s="26" t="n"/>
      <c r="K68" s="26" t="n"/>
      <c r="L68" s="26" t="n"/>
      <c r="M68" s="26" t="n"/>
      <c r="N68" s="54">
        <f>IF($T68="","",IF(ISNUMBER(INDEX(Checks!$R$5:$R$748,$T68)),TEXT(INDEX(Checks!$R$5:$R$748,$T68),"dd-mmm hh:mm"),"")&amp;" "&amp;INDEX(Checks!$P$5:$P$748,$T68))</f>
        <v/>
      </c>
      <c r="O68" s="26" t="n"/>
      <c r="P68" s="36">
        <f>IF($T68="","",IF(LEN(INDEX(Checks!$T$5:$T$748,$T68))&gt;27,LEFT(INDEX(Checks!$T$5:$T$748,$T68),26)&amp;"…",INDEX(Checks!$T$5:$T$748,$T68)&amp;""))</f>
        <v/>
      </c>
      <c r="Q68" s="26" t="n"/>
      <c r="R68" s="36">
        <f>IF($T68="","",IF(LEN(INDEX(Checks!$AH$5:$AH$748,$T68))&gt;53,LEFT(INDEX(Checks!$AH$5:$AH$748,$T68),52)&amp;"…",INDEX(Checks!$AH$5:$AH$748,$T68)&amp;""))</f>
        <v/>
      </c>
      <c r="T68" s="52">
        <f>IFERROR(MATCH(15,Checks!$AO$5:$AO$748,0),"")</f>
        <v/>
      </c>
    </row>
    <row r="69" ht="28" customHeight="1">
      <c r="B69" s="55">
        <f>IF($T69="","",16)</f>
        <v/>
      </c>
      <c r="C69" s="56">
        <f>IF($T69="","",IF(LEN(INDEX(Checks!$A$5:$A$748,$T69))&gt;28,LEFT(INDEX(Checks!$A$5:$A$748,$T69),27)&amp;"…",INDEX(Checks!$A$5:$A$748,$T69)&amp;""))</f>
        <v/>
      </c>
      <c r="D69" s="57" t="n"/>
      <c r="E69" s="58">
        <f>IF($T69="","",IF(LEN(INDEX(Checks!$C$5:$C$748,$T69))&gt;14,LEFT(INDEX(Checks!$C$5:$C$748,$T69),13)&amp;"…",INDEX(Checks!$C$5:$C$748,$T69)&amp;""))</f>
        <v/>
      </c>
      <c r="F69" s="56">
        <f>IF($T69="","",IF(LEN(INDEX(Checks!$G$5:$G$748,$T69))&gt;25,LEFT(INDEX(Checks!$G$5:$G$748,$T69),24)&amp;"…",INDEX(Checks!$G$5:$G$748,$T69)&amp;""))</f>
        <v/>
      </c>
      <c r="G69" s="57" t="n"/>
      <c r="H69" s="56">
        <f>IF($T69="","",IF(LEN(INDEX(Checks!$J$5:$J$748,$T69))&gt;100,LEFT(INDEX(Checks!$J$5:$J$748,$T69),99)&amp;"…",INDEX(Checks!$J$5:$J$748,$T69)&amp;""))</f>
        <v/>
      </c>
      <c r="I69" s="57" t="n"/>
      <c r="J69" s="57" t="n"/>
      <c r="K69" s="57" t="n"/>
      <c r="L69" s="57" t="n"/>
      <c r="M69" s="57" t="n"/>
      <c r="N69" s="58">
        <f>IF($T69="","",IF(ISNUMBER(INDEX(Checks!$R$5:$R$748,$T69)),TEXT(INDEX(Checks!$R$5:$R$748,$T69),"dd-mmm hh:mm"),"")&amp;" "&amp;INDEX(Checks!$P$5:$P$748,$T69))</f>
        <v/>
      </c>
      <c r="O69" s="57" t="n"/>
      <c r="P69" s="56">
        <f>IF($T69="","",IF(LEN(INDEX(Checks!$T$5:$T$748,$T69))&gt;27,LEFT(INDEX(Checks!$T$5:$T$748,$T69),26)&amp;"…",INDEX(Checks!$T$5:$T$748,$T69)&amp;""))</f>
        <v/>
      </c>
      <c r="Q69" s="57" t="n"/>
      <c r="R69" s="56">
        <f>IF($T69="","",IF(LEN(INDEX(Checks!$AH$5:$AH$748,$T69))&gt;53,LEFT(INDEX(Checks!$AH$5:$AH$748,$T69),52)&amp;"…",INDEX(Checks!$AH$5:$AH$748,$T69)&amp;""))</f>
        <v/>
      </c>
      <c r="T69" s="52">
        <f>IFERROR(MATCH(16,Checks!$AO$5:$AO$748,0),"")</f>
        <v/>
      </c>
    </row>
    <row r="70" ht="28" customHeight="1">
      <c r="B70" s="53">
        <f>IF($T70="","",17)</f>
        <v/>
      </c>
      <c r="C70" s="36">
        <f>IF($T70="","",IF(LEN(INDEX(Checks!$A$5:$A$748,$T70))&gt;28,LEFT(INDEX(Checks!$A$5:$A$748,$T70),27)&amp;"…",INDEX(Checks!$A$5:$A$748,$T70)&amp;""))</f>
        <v/>
      </c>
      <c r="D70" s="26" t="n"/>
      <c r="E70" s="54">
        <f>IF($T70="","",IF(LEN(INDEX(Checks!$C$5:$C$748,$T70))&gt;14,LEFT(INDEX(Checks!$C$5:$C$748,$T70),13)&amp;"…",INDEX(Checks!$C$5:$C$748,$T70)&amp;""))</f>
        <v/>
      </c>
      <c r="F70" s="36">
        <f>IF($T70="","",IF(LEN(INDEX(Checks!$G$5:$G$748,$T70))&gt;25,LEFT(INDEX(Checks!$G$5:$G$748,$T70),24)&amp;"…",INDEX(Checks!$G$5:$G$748,$T70)&amp;""))</f>
        <v/>
      </c>
      <c r="G70" s="26" t="n"/>
      <c r="H70" s="36">
        <f>IF($T70="","",IF(LEN(INDEX(Checks!$J$5:$J$748,$T70))&gt;100,LEFT(INDEX(Checks!$J$5:$J$748,$T70),99)&amp;"…",INDEX(Checks!$J$5:$J$748,$T70)&amp;""))</f>
        <v/>
      </c>
      <c r="I70" s="26" t="n"/>
      <c r="J70" s="26" t="n"/>
      <c r="K70" s="26" t="n"/>
      <c r="L70" s="26" t="n"/>
      <c r="M70" s="26" t="n"/>
      <c r="N70" s="54">
        <f>IF($T70="","",IF(ISNUMBER(INDEX(Checks!$R$5:$R$748,$T70)),TEXT(INDEX(Checks!$R$5:$R$748,$T70),"dd-mmm hh:mm"),"")&amp;" "&amp;INDEX(Checks!$P$5:$P$748,$T70))</f>
        <v/>
      </c>
      <c r="O70" s="26" t="n"/>
      <c r="P70" s="36">
        <f>IF($T70="","",IF(LEN(INDEX(Checks!$T$5:$T$748,$T70))&gt;27,LEFT(INDEX(Checks!$T$5:$T$748,$T70),26)&amp;"…",INDEX(Checks!$T$5:$T$748,$T70)&amp;""))</f>
        <v/>
      </c>
      <c r="Q70" s="26" t="n"/>
      <c r="R70" s="36">
        <f>IF($T70="","",IF(LEN(INDEX(Checks!$AH$5:$AH$748,$T70))&gt;53,LEFT(INDEX(Checks!$AH$5:$AH$748,$T70),52)&amp;"…",INDEX(Checks!$AH$5:$AH$748,$T70)&amp;""))</f>
        <v/>
      </c>
      <c r="T70" s="52">
        <f>IFERROR(MATCH(17,Checks!$AO$5:$AO$748,0),"")</f>
        <v/>
      </c>
    </row>
    <row r="71" ht="28" customHeight="1">
      <c r="B71" s="55">
        <f>IF($T71="","",18)</f>
        <v/>
      </c>
      <c r="C71" s="56">
        <f>IF($T71="","",IF(LEN(INDEX(Checks!$A$5:$A$748,$T71))&gt;28,LEFT(INDEX(Checks!$A$5:$A$748,$T71),27)&amp;"…",INDEX(Checks!$A$5:$A$748,$T71)&amp;""))</f>
        <v/>
      </c>
      <c r="D71" s="57" t="n"/>
      <c r="E71" s="58">
        <f>IF($T71="","",IF(LEN(INDEX(Checks!$C$5:$C$748,$T71))&gt;14,LEFT(INDEX(Checks!$C$5:$C$748,$T71),13)&amp;"…",INDEX(Checks!$C$5:$C$748,$T71)&amp;""))</f>
        <v/>
      </c>
      <c r="F71" s="56">
        <f>IF($T71="","",IF(LEN(INDEX(Checks!$G$5:$G$748,$T71))&gt;25,LEFT(INDEX(Checks!$G$5:$G$748,$T71),24)&amp;"…",INDEX(Checks!$G$5:$G$748,$T71)&amp;""))</f>
        <v/>
      </c>
      <c r="G71" s="57" t="n"/>
      <c r="H71" s="56">
        <f>IF($T71="","",IF(LEN(INDEX(Checks!$J$5:$J$748,$T71))&gt;100,LEFT(INDEX(Checks!$J$5:$J$748,$T71),99)&amp;"…",INDEX(Checks!$J$5:$J$748,$T71)&amp;""))</f>
        <v/>
      </c>
      <c r="I71" s="57" t="n"/>
      <c r="J71" s="57" t="n"/>
      <c r="K71" s="57" t="n"/>
      <c r="L71" s="57" t="n"/>
      <c r="M71" s="57" t="n"/>
      <c r="N71" s="58">
        <f>IF($T71="","",IF(ISNUMBER(INDEX(Checks!$R$5:$R$748,$T71)),TEXT(INDEX(Checks!$R$5:$R$748,$T71),"dd-mmm hh:mm"),"")&amp;" "&amp;INDEX(Checks!$P$5:$P$748,$T71))</f>
        <v/>
      </c>
      <c r="O71" s="57" t="n"/>
      <c r="P71" s="56">
        <f>IF($T71="","",IF(LEN(INDEX(Checks!$T$5:$T$748,$T71))&gt;27,LEFT(INDEX(Checks!$T$5:$T$748,$T71),26)&amp;"…",INDEX(Checks!$T$5:$T$748,$T71)&amp;""))</f>
        <v/>
      </c>
      <c r="Q71" s="57" t="n"/>
      <c r="R71" s="56">
        <f>IF($T71="","",IF(LEN(INDEX(Checks!$AH$5:$AH$748,$T71))&gt;53,LEFT(INDEX(Checks!$AH$5:$AH$748,$T71),52)&amp;"…",INDEX(Checks!$AH$5:$AH$748,$T71)&amp;""))</f>
        <v/>
      </c>
      <c r="T71" s="52">
        <f>IFERROR(MATCH(18,Checks!$AO$5:$AO$748,0),"")</f>
        <v/>
      </c>
    </row>
    <row r="72" ht="16" customHeight="1">
      <c r="B72" s="59">
        <f>IF(SUM(Checks!$AK$5:$AK$748)=0,"No overdue actions at the as-of time.",IF(SUM(Checks!$AK$5:$AK$748)&gt;18,"+"&amp;(SUM(Checks!$AK$5:$AK$748)-18)&amp;" more overdue actions not shown – see Checks sheet (filter on column AO).",""))</f>
        <v/>
      </c>
    </row>
    <row r="74" ht="22" customHeight="1">
      <c r="B74" s="16" t="inlineStr">
        <is>
          <t>Outstanding discrepancies (first 18)</t>
        </is>
      </c>
      <c r="C74" s="17" t="n"/>
      <c r="D74" s="17" t="n"/>
      <c r="E74" s="17" t="n"/>
      <c r="F74" s="17" t="n"/>
      <c r="G74" s="17" t="n"/>
      <c r="H74" s="17" t="n"/>
      <c r="I74" s="17" t="n"/>
      <c r="J74" s="17" t="n"/>
      <c r="K74" s="17" t="n"/>
      <c r="L74" s="37">
        <f>"Showing "&amp;MIN(18,SUM(Checks!$AL$5:$AL$748))&amp;" of "&amp;SUM(Checks!$AL$5:$AL$748)&amp;"  •  as of "&amp;TEXT(AsOfUTC+8/24,"dd-mmm-yy hh:mm")&amp;" MYT"</f>
        <v/>
      </c>
      <c r="M74" s="17" t="n"/>
      <c r="N74" s="17" t="n"/>
      <c r="O74" s="17" t="n"/>
      <c r="P74" s="17" t="n"/>
      <c r="Q74" s="17" t="n"/>
      <c r="R74" s="17" t="n"/>
    </row>
    <row r="75" ht="28" customHeight="1">
      <c r="B75" s="23" t="inlineStr">
        <is>
          <t>#</t>
        </is>
      </c>
      <c r="C75" s="23" t="inlineStr">
        <is>
          <t>CheckID</t>
        </is>
      </c>
      <c r="D75" s="24" t="n"/>
      <c r="E75" s="23" t="inlineStr">
        <is>
          <t>Flight</t>
        </is>
      </c>
      <c r="F75" s="23" t="inlineStr">
        <is>
          <t>Checkpoint</t>
        </is>
      </c>
      <c r="G75" s="24" t="n"/>
      <c r="H75" s="23" t="inlineStr">
        <is>
          <t>Check item</t>
        </is>
      </c>
      <c r="I75" s="24" t="n"/>
      <c r="J75" s="24" t="n"/>
      <c r="K75" s="24" t="n"/>
      <c r="L75" s="23" t="inlineStr">
        <is>
          <t>Status</t>
        </is>
      </c>
      <c r="M75" s="23" t="inlineStr">
        <is>
          <t>Exp. qty</t>
        </is>
      </c>
      <c r="N75" s="23" t="inlineStr">
        <is>
          <t>Act. qty</t>
        </is>
      </c>
      <c r="O75" s="23" t="inlineStr">
        <is>
          <t>Vari-ance</t>
        </is>
      </c>
      <c r="P75" s="23" t="inlineStr">
        <is>
          <t>CA status</t>
        </is>
      </c>
      <c r="Q75" s="23" t="inlineStr">
        <is>
          <t>Corrective action</t>
        </is>
      </c>
      <c r="R75" s="24" t="n"/>
      <c r="T75" s="52" t="inlineStr">
        <is>
          <t>Checks row</t>
        </is>
      </c>
    </row>
    <row r="76" ht="28" customHeight="1">
      <c r="B76" s="53">
        <f>IF($T76="","",1)</f>
        <v/>
      </c>
      <c r="C76" s="36">
        <f>IF($T76="","",IF(LEN(INDEX(Checks!$A$5:$A$748,$T76))&gt;28,LEFT(INDEX(Checks!$A$5:$A$748,$T76),27)&amp;"…",INDEX(Checks!$A$5:$A$748,$T76)&amp;""))</f>
        <v/>
      </c>
      <c r="D76" s="26" t="n"/>
      <c r="E76" s="54">
        <f>IF($T76="","",IF(LEN(INDEX(Checks!$C$5:$C$748,$T76))&gt;14,LEFT(INDEX(Checks!$C$5:$C$748,$T76),13)&amp;"…",INDEX(Checks!$C$5:$C$748,$T76)&amp;""))</f>
        <v/>
      </c>
      <c r="F76" s="36">
        <f>IF($T76="","",IF(LEN(INDEX(Checks!$G$5:$G$748,$T76))&gt;25,LEFT(INDEX(Checks!$G$5:$G$748,$T76),24)&amp;"…",INDEX(Checks!$G$5:$G$748,$T76)&amp;""))</f>
        <v/>
      </c>
      <c r="G76" s="26" t="n"/>
      <c r="H76" s="36">
        <f>IF($T76="","",IF(LEN(INDEX(Checks!$J$5:$J$748,$T76))&gt;68,LEFT(INDEX(Checks!$J$5:$J$748,$T76),67)&amp;"…",INDEX(Checks!$J$5:$J$748,$T76)&amp;""))</f>
        <v/>
      </c>
      <c r="I76" s="26" t="n"/>
      <c r="J76" s="26" t="n"/>
      <c r="K76" s="26" t="n"/>
      <c r="L76" s="54">
        <f>IF($T76="","",IF(LEN(INDEX(Checks!$U$5:$U$748,$T76))&gt;12,LEFT(INDEX(Checks!$U$5:$U$748,$T76),11)&amp;"…",INDEX(Checks!$U$5:$U$748,$T76)&amp;""))</f>
        <v/>
      </c>
      <c r="M76" s="60">
        <f>IF($T76="","",IF(INDEX(Checks!$X$5:$X$748,$T76)="","",INDEX(Checks!$X$5:$X$748,$T76)))</f>
        <v/>
      </c>
      <c r="N76" s="60">
        <f>IF($T76="","",IF(INDEX(Checks!$Y$5:$Y$748,$T76)="","",INDEX(Checks!$Y$5:$Y$748,$T76)))</f>
        <v/>
      </c>
      <c r="O76" s="60">
        <f>IF($T76="","",IF(INDEX(Checks!$AF$5:$AF$748,$T76)="","",INDEX(Checks!$AF$5:$AF$748,$T76)))</f>
        <v/>
      </c>
      <c r="P76" s="54">
        <f>IF($T76="","",IF(LEN(INDEX(Checks!$AB$5:$AB$748,$T76))&gt;12,LEFT(INDEX(Checks!$AB$5:$AB$748,$T76),11)&amp;"…",INDEX(Checks!$AB$5:$AB$748,$T76)&amp;""))</f>
        <v/>
      </c>
      <c r="Q76" s="36">
        <f>IF($T76="","",IF(LEN(INDEX(Checks!$AA$5:$AA$748,$T76))&gt;68,LEFT(INDEX(Checks!$AA$5:$AA$748,$T76),67)&amp;"…",INDEX(Checks!$AA$5:$AA$748,$T76)&amp;""))</f>
        <v/>
      </c>
      <c r="R76" s="26" t="n"/>
      <c r="T76" s="52">
        <f>IFERROR(MATCH(1,Checks!$AP$5:$AP$748,0),"")</f>
        <v/>
      </c>
    </row>
    <row r="77" ht="28" customHeight="1">
      <c r="B77" s="55">
        <f>IF($T77="","",2)</f>
        <v/>
      </c>
      <c r="C77" s="56">
        <f>IF($T77="","",IF(LEN(INDEX(Checks!$A$5:$A$748,$T77))&gt;28,LEFT(INDEX(Checks!$A$5:$A$748,$T77),27)&amp;"…",INDEX(Checks!$A$5:$A$748,$T77)&amp;""))</f>
        <v/>
      </c>
      <c r="D77" s="57" t="n"/>
      <c r="E77" s="58">
        <f>IF($T77="","",IF(LEN(INDEX(Checks!$C$5:$C$748,$T77))&gt;14,LEFT(INDEX(Checks!$C$5:$C$748,$T77),13)&amp;"…",INDEX(Checks!$C$5:$C$748,$T77)&amp;""))</f>
        <v/>
      </c>
      <c r="F77" s="56">
        <f>IF($T77="","",IF(LEN(INDEX(Checks!$G$5:$G$748,$T77))&gt;25,LEFT(INDEX(Checks!$G$5:$G$748,$T77),24)&amp;"…",INDEX(Checks!$G$5:$G$748,$T77)&amp;""))</f>
        <v/>
      </c>
      <c r="G77" s="57" t="n"/>
      <c r="H77" s="56">
        <f>IF($T77="","",IF(LEN(INDEX(Checks!$J$5:$J$748,$T77))&gt;68,LEFT(INDEX(Checks!$J$5:$J$748,$T77),67)&amp;"…",INDEX(Checks!$J$5:$J$748,$T77)&amp;""))</f>
        <v/>
      </c>
      <c r="I77" s="57" t="n"/>
      <c r="J77" s="57" t="n"/>
      <c r="K77" s="57" t="n"/>
      <c r="L77" s="58">
        <f>IF($T77="","",IF(LEN(INDEX(Checks!$U$5:$U$748,$T77))&gt;12,LEFT(INDEX(Checks!$U$5:$U$748,$T77),11)&amp;"…",INDEX(Checks!$U$5:$U$748,$T77)&amp;""))</f>
        <v/>
      </c>
      <c r="M77" s="61">
        <f>IF($T77="","",IF(INDEX(Checks!$X$5:$X$748,$T77)="","",INDEX(Checks!$X$5:$X$748,$T77)))</f>
        <v/>
      </c>
      <c r="N77" s="61">
        <f>IF($T77="","",IF(INDEX(Checks!$Y$5:$Y$748,$T77)="","",INDEX(Checks!$Y$5:$Y$748,$T77)))</f>
        <v/>
      </c>
      <c r="O77" s="61">
        <f>IF($T77="","",IF(INDEX(Checks!$AF$5:$AF$748,$T77)="","",INDEX(Checks!$AF$5:$AF$748,$T77)))</f>
        <v/>
      </c>
      <c r="P77" s="58">
        <f>IF($T77="","",IF(LEN(INDEX(Checks!$AB$5:$AB$748,$T77))&gt;12,LEFT(INDEX(Checks!$AB$5:$AB$748,$T77),11)&amp;"…",INDEX(Checks!$AB$5:$AB$748,$T77)&amp;""))</f>
        <v/>
      </c>
      <c r="Q77" s="56">
        <f>IF($T77="","",IF(LEN(INDEX(Checks!$AA$5:$AA$748,$T77))&gt;68,LEFT(INDEX(Checks!$AA$5:$AA$748,$T77),67)&amp;"…",INDEX(Checks!$AA$5:$AA$748,$T77)&amp;""))</f>
        <v/>
      </c>
      <c r="R77" s="57" t="n"/>
      <c r="T77" s="52">
        <f>IFERROR(MATCH(2,Checks!$AP$5:$AP$748,0),"")</f>
        <v/>
      </c>
    </row>
    <row r="78" ht="28" customHeight="1">
      <c r="B78" s="53">
        <f>IF($T78="","",3)</f>
        <v/>
      </c>
      <c r="C78" s="36">
        <f>IF($T78="","",IF(LEN(INDEX(Checks!$A$5:$A$748,$T78))&gt;28,LEFT(INDEX(Checks!$A$5:$A$748,$T78),27)&amp;"…",INDEX(Checks!$A$5:$A$748,$T78)&amp;""))</f>
        <v/>
      </c>
      <c r="D78" s="26" t="n"/>
      <c r="E78" s="54">
        <f>IF($T78="","",IF(LEN(INDEX(Checks!$C$5:$C$748,$T78))&gt;14,LEFT(INDEX(Checks!$C$5:$C$748,$T78),13)&amp;"…",INDEX(Checks!$C$5:$C$748,$T78)&amp;""))</f>
        <v/>
      </c>
      <c r="F78" s="36">
        <f>IF($T78="","",IF(LEN(INDEX(Checks!$G$5:$G$748,$T78))&gt;25,LEFT(INDEX(Checks!$G$5:$G$748,$T78),24)&amp;"…",INDEX(Checks!$G$5:$G$748,$T78)&amp;""))</f>
        <v/>
      </c>
      <c r="G78" s="26" t="n"/>
      <c r="H78" s="36">
        <f>IF($T78="","",IF(LEN(INDEX(Checks!$J$5:$J$748,$T78))&gt;68,LEFT(INDEX(Checks!$J$5:$J$748,$T78),67)&amp;"…",INDEX(Checks!$J$5:$J$748,$T78)&amp;""))</f>
        <v/>
      </c>
      <c r="I78" s="26" t="n"/>
      <c r="J78" s="26" t="n"/>
      <c r="K78" s="26" t="n"/>
      <c r="L78" s="54">
        <f>IF($T78="","",IF(LEN(INDEX(Checks!$U$5:$U$748,$T78))&gt;12,LEFT(INDEX(Checks!$U$5:$U$748,$T78),11)&amp;"…",INDEX(Checks!$U$5:$U$748,$T78)&amp;""))</f>
        <v/>
      </c>
      <c r="M78" s="60">
        <f>IF($T78="","",IF(INDEX(Checks!$X$5:$X$748,$T78)="","",INDEX(Checks!$X$5:$X$748,$T78)))</f>
        <v/>
      </c>
      <c r="N78" s="60">
        <f>IF($T78="","",IF(INDEX(Checks!$Y$5:$Y$748,$T78)="","",INDEX(Checks!$Y$5:$Y$748,$T78)))</f>
        <v/>
      </c>
      <c r="O78" s="60">
        <f>IF($T78="","",IF(INDEX(Checks!$AF$5:$AF$748,$T78)="","",INDEX(Checks!$AF$5:$AF$748,$T78)))</f>
        <v/>
      </c>
      <c r="P78" s="54">
        <f>IF($T78="","",IF(LEN(INDEX(Checks!$AB$5:$AB$748,$T78))&gt;12,LEFT(INDEX(Checks!$AB$5:$AB$748,$T78),11)&amp;"…",INDEX(Checks!$AB$5:$AB$748,$T78)&amp;""))</f>
        <v/>
      </c>
      <c r="Q78" s="36">
        <f>IF($T78="","",IF(LEN(INDEX(Checks!$AA$5:$AA$748,$T78))&gt;68,LEFT(INDEX(Checks!$AA$5:$AA$748,$T78),67)&amp;"…",INDEX(Checks!$AA$5:$AA$748,$T78)&amp;""))</f>
        <v/>
      </c>
      <c r="R78" s="26" t="n"/>
      <c r="T78" s="52">
        <f>IFERROR(MATCH(3,Checks!$AP$5:$AP$748,0),"")</f>
        <v/>
      </c>
    </row>
    <row r="79" ht="28" customHeight="1">
      <c r="B79" s="55">
        <f>IF($T79="","",4)</f>
        <v/>
      </c>
      <c r="C79" s="56">
        <f>IF($T79="","",IF(LEN(INDEX(Checks!$A$5:$A$748,$T79))&gt;28,LEFT(INDEX(Checks!$A$5:$A$748,$T79),27)&amp;"…",INDEX(Checks!$A$5:$A$748,$T79)&amp;""))</f>
        <v/>
      </c>
      <c r="D79" s="57" t="n"/>
      <c r="E79" s="58">
        <f>IF($T79="","",IF(LEN(INDEX(Checks!$C$5:$C$748,$T79))&gt;14,LEFT(INDEX(Checks!$C$5:$C$748,$T79),13)&amp;"…",INDEX(Checks!$C$5:$C$748,$T79)&amp;""))</f>
        <v/>
      </c>
      <c r="F79" s="56">
        <f>IF($T79="","",IF(LEN(INDEX(Checks!$G$5:$G$748,$T79))&gt;25,LEFT(INDEX(Checks!$G$5:$G$748,$T79),24)&amp;"…",INDEX(Checks!$G$5:$G$748,$T79)&amp;""))</f>
        <v/>
      </c>
      <c r="G79" s="57" t="n"/>
      <c r="H79" s="56">
        <f>IF($T79="","",IF(LEN(INDEX(Checks!$J$5:$J$748,$T79))&gt;68,LEFT(INDEX(Checks!$J$5:$J$748,$T79),67)&amp;"…",INDEX(Checks!$J$5:$J$748,$T79)&amp;""))</f>
        <v/>
      </c>
      <c r="I79" s="57" t="n"/>
      <c r="J79" s="57" t="n"/>
      <c r="K79" s="57" t="n"/>
      <c r="L79" s="58">
        <f>IF($T79="","",IF(LEN(INDEX(Checks!$U$5:$U$748,$T79))&gt;12,LEFT(INDEX(Checks!$U$5:$U$748,$T79),11)&amp;"…",INDEX(Checks!$U$5:$U$748,$T79)&amp;""))</f>
        <v/>
      </c>
      <c r="M79" s="61">
        <f>IF($T79="","",IF(INDEX(Checks!$X$5:$X$748,$T79)="","",INDEX(Checks!$X$5:$X$748,$T79)))</f>
        <v/>
      </c>
      <c r="N79" s="61">
        <f>IF($T79="","",IF(INDEX(Checks!$Y$5:$Y$748,$T79)="","",INDEX(Checks!$Y$5:$Y$748,$T79)))</f>
        <v/>
      </c>
      <c r="O79" s="61">
        <f>IF($T79="","",IF(INDEX(Checks!$AF$5:$AF$748,$T79)="","",INDEX(Checks!$AF$5:$AF$748,$T79)))</f>
        <v/>
      </c>
      <c r="P79" s="58">
        <f>IF($T79="","",IF(LEN(INDEX(Checks!$AB$5:$AB$748,$T79))&gt;12,LEFT(INDEX(Checks!$AB$5:$AB$748,$T79),11)&amp;"…",INDEX(Checks!$AB$5:$AB$748,$T79)&amp;""))</f>
        <v/>
      </c>
      <c r="Q79" s="56">
        <f>IF($T79="","",IF(LEN(INDEX(Checks!$AA$5:$AA$748,$T79))&gt;68,LEFT(INDEX(Checks!$AA$5:$AA$748,$T79),67)&amp;"…",INDEX(Checks!$AA$5:$AA$748,$T79)&amp;""))</f>
        <v/>
      </c>
      <c r="R79" s="57" t="n"/>
      <c r="T79" s="52">
        <f>IFERROR(MATCH(4,Checks!$AP$5:$AP$748,0),"")</f>
        <v/>
      </c>
    </row>
    <row r="80" ht="28" customHeight="1">
      <c r="B80" s="53">
        <f>IF($T80="","",5)</f>
        <v/>
      </c>
      <c r="C80" s="36">
        <f>IF($T80="","",IF(LEN(INDEX(Checks!$A$5:$A$748,$T80))&gt;28,LEFT(INDEX(Checks!$A$5:$A$748,$T80),27)&amp;"…",INDEX(Checks!$A$5:$A$748,$T80)&amp;""))</f>
        <v/>
      </c>
      <c r="D80" s="26" t="n"/>
      <c r="E80" s="54">
        <f>IF($T80="","",IF(LEN(INDEX(Checks!$C$5:$C$748,$T80))&gt;14,LEFT(INDEX(Checks!$C$5:$C$748,$T80),13)&amp;"…",INDEX(Checks!$C$5:$C$748,$T80)&amp;""))</f>
        <v/>
      </c>
      <c r="F80" s="36">
        <f>IF($T80="","",IF(LEN(INDEX(Checks!$G$5:$G$748,$T80))&gt;25,LEFT(INDEX(Checks!$G$5:$G$748,$T80),24)&amp;"…",INDEX(Checks!$G$5:$G$748,$T80)&amp;""))</f>
        <v/>
      </c>
      <c r="G80" s="26" t="n"/>
      <c r="H80" s="36">
        <f>IF($T80="","",IF(LEN(INDEX(Checks!$J$5:$J$748,$T80))&gt;68,LEFT(INDEX(Checks!$J$5:$J$748,$T80),67)&amp;"…",INDEX(Checks!$J$5:$J$748,$T80)&amp;""))</f>
        <v/>
      </c>
      <c r="I80" s="26" t="n"/>
      <c r="J80" s="26" t="n"/>
      <c r="K80" s="26" t="n"/>
      <c r="L80" s="54">
        <f>IF($T80="","",IF(LEN(INDEX(Checks!$U$5:$U$748,$T80))&gt;12,LEFT(INDEX(Checks!$U$5:$U$748,$T80),11)&amp;"…",INDEX(Checks!$U$5:$U$748,$T80)&amp;""))</f>
        <v/>
      </c>
      <c r="M80" s="60">
        <f>IF($T80="","",IF(INDEX(Checks!$X$5:$X$748,$T80)="","",INDEX(Checks!$X$5:$X$748,$T80)))</f>
        <v/>
      </c>
      <c r="N80" s="60">
        <f>IF($T80="","",IF(INDEX(Checks!$Y$5:$Y$748,$T80)="","",INDEX(Checks!$Y$5:$Y$748,$T80)))</f>
        <v/>
      </c>
      <c r="O80" s="60">
        <f>IF($T80="","",IF(INDEX(Checks!$AF$5:$AF$748,$T80)="","",INDEX(Checks!$AF$5:$AF$748,$T80)))</f>
        <v/>
      </c>
      <c r="P80" s="54">
        <f>IF($T80="","",IF(LEN(INDEX(Checks!$AB$5:$AB$748,$T80))&gt;12,LEFT(INDEX(Checks!$AB$5:$AB$748,$T80),11)&amp;"…",INDEX(Checks!$AB$5:$AB$748,$T80)&amp;""))</f>
        <v/>
      </c>
      <c r="Q80" s="36">
        <f>IF($T80="","",IF(LEN(INDEX(Checks!$AA$5:$AA$748,$T80))&gt;68,LEFT(INDEX(Checks!$AA$5:$AA$748,$T80),67)&amp;"…",INDEX(Checks!$AA$5:$AA$748,$T80)&amp;""))</f>
        <v/>
      </c>
      <c r="R80" s="26" t="n"/>
      <c r="T80" s="52">
        <f>IFERROR(MATCH(5,Checks!$AP$5:$AP$748,0),"")</f>
        <v/>
      </c>
    </row>
    <row r="81" ht="28" customHeight="1">
      <c r="B81" s="55">
        <f>IF($T81="","",6)</f>
        <v/>
      </c>
      <c r="C81" s="56">
        <f>IF($T81="","",IF(LEN(INDEX(Checks!$A$5:$A$748,$T81))&gt;28,LEFT(INDEX(Checks!$A$5:$A$748,$T81),27)&amp;"…",INDEX(Checks!$A$5:$A$748,$T81)&amp;""))</f>
        <v/>
      </c>
      <c r="D81" s="57" t="n"/>
      <c r="E81" s="58">
        <f>IF($T81="","",IF(LEN(INDEX(Checks!$C$5:$C$748,$T81))&gt;14,LEFT(INDEX(Checks!$C$5:$C$748,$T81),13)&amp;"…",INDEX(Checks!$C$5:$C$748,$T81)&amp;""))</f>
        <v/>
      </c>
      <c r="F81" s="56">
        <f>IF($T81="","",IF(LEN(INDEX(Checks!$G$5:$G$748,$T81))&gt;25,LEFT(INDEX(Checks!$G$5:$G$748,$T81),24)&amp;"…",INDEX(Checks!$G$5:$G$748,$T81)&amp;""))</f>
        <v/>
      </c>
      <c r="G81" s="57" t="n"/>
      <c r="H81" s="56">
        <f>IF($T81="","",IF(LEN(INDEX(Checks!$J$5:$J$748,$T81))&gt;68,LEFT(INDEX(Checks!$J$5:$J$748,$T81),67)&amp;"…",INDEX(Checks!$J$5:$J$748,$T81)&amp;""))</f>
        <v/>
      </c>
      <c r="I81" s="57" t="n"/>
      <c r="J81" s="57" t="n"/>
      <c r="K81" s="57" t="n"/>
      <c r="L81" s="58">
        <f>IF($T81="","",IF(LEN(INDEX(Checks!$U$5:$U$748,$T81))&gt;12,LEFT(INDEX(Checks!$U$5:$U$748,$T81),11)&amp;"…",INDEX(Checks!$U$5:$U$748,$T81)&amp;""))</f>
        <v/>
      </c>
      <c r="M81" s="61">
        <f>IF($T81="","",IF(INDEX(Checks!$X$5:$X$748,$T81)="","",INDEX(Checks!$X$5:$X$748,$T81)))</f>
        <v/>
      </c>
      <c r="N81" s="61">
        <f>IF($T81="","",IF(INDEX(Checks!$Y$5:$Y$748,$T81)="","",INDEX(Checks!$Y$5:$Y$748,$T81)))</f>
        <v/>
      </c>
      <c r="O81" s="61">
        <f>IF($T81="","",IF(INDEX(Checks!$AF$5:$AF$748,$T81)="","",INDEX(Checks!$AF$5:$AF$748,$T81)))</f>
        <v/>
      </c>
      <c r="P81" s="58">
        <f>IF($T81="","",IF(LEN(INDEX(Checks!$AB$5:$AB$748,$T81))&gt;12,LEFT(INDEX(Checks!$AB$5:$AB$748,$T81),11)&amp;"…",INDEX(Checks!$AB$5:$AB$748,$T81)&amp;""))</f>
        <v/>
      </c>
      <c r="Q81" s="56">
        <f>IF($T81="","",IF(LEN(INDEX(Checks!$AA$5:$AA$748,$T81))&gt;68,LEFT(INDEX(Checks!$AA$5:$AA$748,$T81),67)&amp;"…",INDEX(Checks!$AA$5:$AA$748,$T81)&amp;""))</f>
        <v/>
      </c>
      <c r="R81" s="57" t="n"/>
      <c r="T81" s="52">
        <f>IFERROR(MATCH(6,Checks!$AP$5:$AP$748,0),"")</f>
        <v/>
      </c>
    </row>
    <row r="82" ht="28" customHeight="1">
      <c r="B82" s="53">
        <f>IF($T82="","",7)</f>
        <v/>
      </c>
      <c r="C82" s="36">
        <f>IF($T82="","",IF(LEN(INDEX(Checks!$A$5:$A$748,$T82))&gt;28,LEFT(INDEX(Checks!$A$5:$A$748,$T82),27)&amp;"…",INDEX(Checks!$A$5:$A$748,$T82)&amp;""))</f>
        <v/>
      </c>
      <c r="D82" s="26" t="n"/>
      <c r="E82" s="54">
        <f>IF($T82="","",IF(LEN(INDEX(Checks!$C$5:$C$748,$T82))&gt;14,LEFT(INDEX(Checks!$C$5:$C$748,$T82),13)&amp;"…",INDEX(Checks!$C$5:$C$748,$T82)&amp;""))</f>
        <v/>
      </c>
      <c r="F82" s="36">
        <f>IF($T82="","",IF(LEN(INDEX(Checks!$G$5:$G$748,$T82))&gt;25,LEFT(INDEX(Checks!$G$5:$G$748,$T82),24)&amp;"…",INDEX(Checks!$G$5:$G$748,$T82)&amp;""))</f>
        <v/>
      </c>
      <c r="G82" s="26" t="n"/>
      <c r="H82" s="36">
        <f>IF($T82="","",IF(LEN(INDEX(Checks!$J$5:$J$748,$T82))&gt;68,LEFT(INDEX(Checks!$J$5:$J$748,$T82),67)&amp;"…",INDEX(Checks!$J$5:$J$748,$T82)&amp;""))</f>
        <v/>
      </c>
      <c r="I82" s="26" t="n"/>
      <c r="J82" s="26" t="n"/>
      <c r="K82" s="26" t="n"/>
      <c r="L82" s="54">
        <f>IF($T82="","",IF(LEN(INDEX(Checks!$U$5:$U$748,$T82))&gt;12,LEFT(INDEX(Checks!$U$5:$U$748,$T82),11)&amp;"…",INDEX(Checks!$U$5:$U$748,$T82)&amp;""))</f>
        <v/>
      </c>
      <c r="M82" s="60">
        <f>IF($T82="","",IF(INDEX(Checks!$X$5:$X$748,$T82)="","",INDEX(Checks!$X$5:$X$748,$T82)))</f>
        <v/>
      </c>
      <c r="N82" s="60">
        <f>IF($T82="","",IF(INDEX(Checks!$Y$5:$Y$748,$T82)="","",INDEX(Checks!$Y$5:$Y$748,$T82)))</f>
        <v/>
      </c>
      <c r="O82" s="60">
        <f>IF($T82="","",IF(INDEX(Checks!$AF$5:$AF$748,$T82)="","",INDEX(Checks!$AF$5:$AF$748,$T82)))</f>
        <v/>
      </c>
      <c r="P82" s="54">
        <f>IF($T82="","",IF(LEN(INDEX(Checks!$AB$5:$AB$748,$T82))&gt;12,LEFT(INDEX(Checks!$AB$5:$AB$748,$T82),11)&amp;"…",INDEX(Checks!$AB$5:$AB$748,$T82)&amp;""))</f>
        <v/>
      </c>
      <c r="Q82" s="36">
        <f>IF($T82="","",IF(LEN(INDEX(Checks!$AA$5:$AA$748,$T82))&gt;68,LEFT(INDEX(Checks!$AA$5:$AA$748,$T82),67)&amp;"…",INDEX(Checks!$AA$5:$AA$748,$T82)&amp;""))</f>
        <v/>
      </c>
      <c r="R82" s="26" t="n"/>
      <c r="T82" s="52">
        <f>IFERROR(MATCH(7,Checks!$AP$5:$AP$748,0),"")</f>
        <v/>
      </c>
    </row>
    <row r="83" ht="28" customHeight="1">
      <c r="B83" s="55">
        <f>IF($T83="","",8)</f>
        <v/>
      </c>
      <c r="C83" s="56">
        <f>IF($T83="","",IF(LEN(INDEX(Checks!$A$5:$A$748,$T83))&gt;28,LEFT(INDEX(Checks!$A$5:$A$748,$T83),27)&amp;"…",INDEX(Checks!$A$5:$A$748,$T83)&amp;""))</f>
        <v/>
      </c>
      <c r="D83" s="57" t="n"/>
      <c r="E83" s="58">
        <f>IF($T83="","",IF(LEN(INDEX(Checks!$C$5:$C$748,$T83))&gt;14,LEFT(INDEX(Checks!$C$5:$C$748,$T83),13)&amp;"…",INDEX(Checks!$C$5:$C$748,$T83)&amp;""))</f>
        <v/>
      </c>
      <c r="F83" s="56">
        <f>IF($T83="","",IF(LEN(INDEX(Checks!$G$5:$G$748,$T83))&gt;25,LEFT(INDEX(Checks!$G$5:$G$748,$T83),24)&amp;"…",INDEX(Checks!$G$5:$G$748,$T83)&amp;""))</f>
        <v/>
      </c>
      <c r="G83" s="57" t="n"/>
      <c r="H83" s="56">
        <f>IF($T83="","",IF(LEN(INDEX(Checks!$J$5:$J$748,$T83))&gt;68,LEFT(INDEX(Checks!$J$5:$J$748,$T83),67)&amp;"…",INDEX(Checks!$J$5:$J$748,$T83)&amp;""))</f>
        <v/>
      </c>
      <c r="I83" s="57" t="n"/>
      <c r="J83" s="57" t="n"/>
      <c r="K83" s="57" t="n"/>
      <c r="L83" s="58">
        <f>IF($T83="","",IF(LEN(INDEX(Checks!$U$5:$U$748,$T83))&gt;12,LEFT(INDEX(Checks!$U$5:$U$748,$T83),11)&amp;"…",INDEX(Checks!$U$5:$U$748,$T83)&amp;""))</f>
        <v/>
      </c>
      <c r="M83" s="61">
        <f>IF($T83="","",IF(INDEX(Checks!$X$5:$X$748,$T83)="","",INDEX(Checks!$X$5:$X$748,$T83)))</f>
        <v/>
      </c>
      <c r="N83" s="61">
        <f>IF($T83="","",IF(INDEX(Checks!$Y$5:$Y$748,$T83)="","",INDEX(Checks!$Y$5:$Y$748,$T83)))</f>
        <v/>
      </c>
      <c r="O83" s="61">
        <f>IF($T83="","",IF(INDEX(Checks!$AF$5:$AF$748,$T83)="","",INDEX(Checks!$AF$5:$AF$748,$T83)))</f>
        <v/>
      </c>
      <c r="P83" s="58">
        <f>IF($T83="","",IF(LEN(INDEX(Checks!$AB$5:$AB$748,$T83))&gt;12,LEFT(INDEX(Checks!$AB$5:$AB$748,$T83),11)&amp;"…",INDEX(Checks!$AB$5:$AB$748,$T83)&amp;""))</f>
        <v/>
      </c>
      <c r="Q83" s="56">
        <f>IF($T83="","",IF(LEN(INDEX(Checks!$AA$5:$AA$748,$T83))&gt;68,LEFT(INDEX(Checks!$AA$5:$AA$748,$T83),67)&amp;"…",INDEX(Checks!$AA$5:$AA$748,$T83)&amp;""))</f>
        <v/>
      </c>
      <c r="R83" s="57" t="n"/>
      <c r="T83" s="52">
        <f>IFERROR(MATCH(8,Checks!$AP$5:$AP$748,0),"")</f>
        <v/>
      </c>
    </row>
    <row r="84" ht="28" customHeight="1">
      <c r="B84" s="53">
        <f>IF($T84="","",9)</f>
        <v/>
      </c>
      <c r="C84" s="36">
        <f>IF($T84="","",IF(LEN(INDEX(Checks!$A$5:$A$748,$T84))&gt;28,LEFT(INDEX(Checks!$A$5:$A$748,$T84),27)&amp;"…",INDEX(Checks!$A$5:$A$748,$T84)&amp;""))</f>
        <v/>
      </c>
      <c r="D84" s="26" t="n"/>
      <c r="E84" s="54">
        <f>IF($T84="","",IF(LEN(INDEX(Checks!$C$5:$C$748,$T84))&gt;14,LEFT(INDEX(Checks!$C$5:$C$748,$T84),13)&amp;"…",INDEX(Checks!$C$5:$C$748,$T84)&amp;""))</f>
        <v/>
      </c>
      <c r="F84" s="36">
        <f>IF($T84="","",IF(LEN(INDEX(Checks!$G$5:$G$748,$T84))&gt;25,LEFT(INDEX(Checks!$G$5:$G$748,$T84),24)&amp;"…",INDEX(Checks!$G$5:$G$748,$T84)&amp;""))</f>
        <v/>
      </c>
      <c r="G84" s="26" t="n"/>
      <c r="H84" s="36">
        <f>IF($T84="","",IF(LEN(INDEX(Checks!$J$5:$J$748,$T84))&gt;68,LEFT(INDEX(Checks!$J$5:$J$748,$T84),67)&amp;"…",INDEX(Checks!$J$5:$J$748,$T84)&amp;""))</f>
        <v/>
      </c>
      <c r="I84" s="26" t="n"/>
      <c r="J84" s="26" t="n"/>
      <c r="K84" s="26" t="n"/>
      <c r="L84" s="54">
        <f>IF($T84="","",IF(LEN(INDEX(Checks!$U$5:$U$748,$T84))&gt;12,LEFT(INDEX(Checks!$U$5:$U$748,$T84),11)&amp;"…",INDEX(Checks!$U$5:$U$748,$T84)&amp;""))</f>
        <v/>
      </c>
      <c r="M84" s="60">
        <f>IF($T84="","",IF(INDEX(Checks!$X$5:$X$748,$T84)="","",INDEX(Checks!$X$5:$X$748,$T84)))</f>
        <v/>
      </c>
      <c r="N84" s="60">
        <f>IF($T84="","",IF(INDEX(Checks!$Y$5:$Y$748,$T84)="","",INDEX(Checks!$Y$5:$Y$748,$T84)))</f>
        <v/>
      </c>
      <c r="O84" s="60">
        <f>IF($T84="","",IF(INDEX(Checks!$AF$5:$AF$748,$T84)="","",INDEX(Checks!$AF$5:$AF$748,$T84)))</f>
        <v/>
      </c>
      <c r="P84" s="54">
        <f>IF($T84="","",IF(LEN(INDEX(Checks!$AB$5:$AB$748,$T84))&gt;12,LEFT(INDEX(Checks!$AB$5:$AB$748,$T84),11)&amp;"…",INDEX(Checks!$AB$5:$AB$748,$T84)&amp;""))</f>
        <v/>
      </c>
      <c r="Q84" s="36">
        <f>IF($T84="","",IF(LEN(INDEX(Checks!$AA$5:$AA$748,$T84))&gt;68,LEFT(INDEX(Checks!$AA$5:$AA$748,$T84),67)&amp;"…",INDEX(Checks!$AA$5:$AA$748,$T84)&amp;""))</f>
        <v/>
      </c>
      <c r="R84" s="26" t="n"/>
      <c r="T84" s="52">
        <f>IFERROR(MATCH(9,Checks!$AP$5:$AP$748,0),"")</f>
        <v/>
      </c>
    </row>
    <row r="85" ht="28" customHeight="1">
      <c r="B85" s="55">
        <f>IF($T85="","",10)</f>
        <v/>
      </c>
      <c r="C85" s="56">
        <f>IF($T85="","",IF(LEN(INDEX(Checks!$A$5:$A$748,$T85))&gt;28,LEFT(INDEX(Checks!$A$5:$A$748,$T85),27)&amp;"…",INDEX(Checks!$A$5:$A$748,$T85)&amp;""))</f>
        <v/>
      </c>
      <c r="D85" s="57" t="n"/>
      <c r="E85" s="58">
        <f>IF($T85="","",IF(LEN(INDEX(Checks!$C$5:$C$748,$T85))&gt;14,LEFT(INDEX(Checks!$C$5:$C$748,$T85),13)&amp;"…",INDEX(Checks!$C$5:$C$748,$T85)&amp;""))</f>
        <v/>
      </c>
      <c r="F85" s="56">
        <f>IF($T85="","",IF(LEN(INDEX(Checks!$G$5:$G$748,$T85))&gt;25,LEFT(INDEX(Checks!$G$5:$G$748,$T85),24)&amp;"…",INDEX(Checks!$G$5:$G$748,$T85)&amp;""))</f>
        <v/>
      </c>
      <c r="G85" s="57" t="n"/>
      <c r="H85" s="56">
        <f>IF($T85="","",IF(LEN(INDEX(Checks!$J$5:$J$748,$T85))&gt;68,LEFT(INDEX(Checks!$J$5:$J$748,$T85),67)&amp;"…",INDEX(Checks!$J$5:$J$748,$T85)&amp;""))</f>
        <v/>
      </c>
      <c r="I85" s="57" t="n"/>
      <c r="J85" s="57" t="n"/>
      <c r="K85" s="57" t="n"/>
      <c r="L85" s="58">
        <f>IF($T85="","",IF(LEN(INDEX(Checks!$U$5:$U$748,$T85))&gt;12,LEFT(INDEX(Checks!$U$5:$U$748,$T85),11)&amp;"…",INDEX(Checks!$U$5:$U$748,$T85)&amp;""))</f>
        <v/>
      </c>
      <c r="M85" s="61">
        <f>IF($T85="","",IF(INDEX(Checks!$X$5:$X$748,$T85)="","",INDEX(Checks!$X$5:$X$748,$T85)))</f>
        <v/>
      </c>
      <c r="N85" s="61">
        <f>IF($T85="","",IF(INDEX(Checks!$Y$5:$Y$748,$T85)="","",INDEX(Checks!$Y$5:$Y$748,$T85)))</f>
        <v/>
      </c>
      <c r="O85" s="61">
        <f>IF($T85="","",IF(INDEX(Checks!$AF$5:$AF$748,$T85)="","",INDEX(Checks!$AF$5:$AF$748,$T85)))</f>
        <v/>
      </c>
      <c r="P85" s="58">
        <f>IF($T85="","",IF(LEN(INDEX(Checks!$AB$5:$AB$748,$T85))&gt;12,LEFT(INDEX(Checks!$AB$5:$AB$748,$T85),11)&amp;"…",INDEX(Checks!$AB$5:$AB$748,$T85)&amp;""))</f>
        <v/>
      </c>
      <c r="Q85" s="56">
        <f>IF($T85="","",IF(LEN(INDEX(Checks!$AA$5:$AA$748,$T85))&gt;68,LEFT(INDEX(Checks!$AA$5:$AA$748,$T85),67)&amp;"…",INDEX(Checks!$AA$5:$AA$748,$T85)&amp;""))</f>
        <v/>
      </c>
      <c r="R85" s="57" t="n"/>
      <c r="T85" s="52">
        <f>IFERROR(MATCH(10,Checks!$AP$5:$AP$748,0),"")</f>
        <v/>
      </c>
    </row>
    <row r="86" ht="28" customHeight="1">
      <c r="B86" s="53">
        <f>IF($T86="","",11)</f>
        <v/>
      </c>
      <c r="C86" s="36">
        <f>IF($T86="","",IF(LEN(INDEX(Checks!$A$5:$A$748,$T86))&gt;28,LEFT(INDEX(Checks!$A$5:$A$748,$T86),27)&amp;"…",INDEX(Checks!$A$5:$A$748,$T86)&amp;""))</f>
        <v/>
      </c>
      <c r="D86" s="26" t="n"/>
      <c r="E86" s="54">
        <f>IF($T86="","",IF(LEN(INDEX(Checks!$C$5:$C$748,$T86))&gt;14,LEFT(INDEX(Checks!$C$5:$C$748,$T86),13)&amp;"…",INDEX(Checks!$C$5:$C$748,$T86)&amp;""))</f>
        <v/>
      </c>
      <c r="F86" s="36">
        <f>IF($T86="","",IF(LEN(INDEX(Checks!$G$5:$G$748,$T86))&gt;25,LEFT(INDEX(Checks!$G$5:$G$748,$T86),24)&amp;"…",INDEX(Checks!$G$5:$G$748,$T86)&amp;""))</f>
        <v/>
      </c>
      <c r="G86" s="26" t="n"/>
      <c r="H86" s="36">
        <f>IF($T86="","",IF(LEN(INDEX(Checks!$J$5:$J$748,$T86))&gt;68,LEFT(INDEX(Checks!$J$5:$J$748,$T86),67)&amp;"…",INDEX(Checks!$J$5:$J$748,$T86)&amp;""))</f>
        <v/>
      </c>
      <c r="I86" s="26" t="n"/>
      <c r="J86" s="26" t="n"/>
      <c r="K86" s="26" t="n"/>
      <c r="L86" s="54">
        <f>IF($T86="","",IF(LEN(INDEX(Checks!$U$5:$U$748,$T86))&gt;12,LEFT(INDEX(Checks!$U$5:$U$748,$T86),11)&amp;"…",INDEX(Checks!$U$5:$U$748,$T86)&amp;""))</f>
        <v/>
      </c>
      <c r="M86" s="60">
        <f>IF($T86="","",IF(INDEX(Checks!$X$5:$X$748,$T86)="","",INDEX(Checks!$X$5:$X$748,$T86)))</f>
        <v/>
      </c>
      <c r="N86" s="60">
        <f>IF($T86="","",IF(INDEX(Checks!$Y$5:$Y$748,$T86)="","",INDEX(Checks!$Y$5:$Y$748,$T86)))</f>
        <v/>
      </c>
      <c r="O86" s="60">
        <f>IF($T86="","",IF(INDEX(Checks!$AF$5:$AF$748,$T86)="","",INDEX(Checks!$AF$5:$AF$748,$T86)))</f>
        <v/>
      </c>
      <c r="P86" s="54">
        <f>IF($T86="","",IF(LEN(INDEX(Checks!$AB$5:$AB$748,$T86))&gt;12,LEFT(INDEX(Checks!$AB$5:$AB$748,$T86),11)&amp;"…",INDEX(Checks!$AB$5:$AB$748,$T86)&amp;""))</f>
        <v/>
      </c>
      <c r="Q86" s="36">
        <f>IF($T86="","",IF(LEN(INDEX(Checks!$AA$5:$AA$748,$T86))&gt;68,LEFT(INDEX(Checks!$AA$5:$AA$748,$T86),67)&amp;"…",INDEX(Checks!$AA$5:$AA$748,$T86)&amp;""))</f>
        <v/>
      </c>
      <c r="R86" s="26" t="n"/>
      <c r="T86" s="52">
        <f>IFERROR(MATCH(11,Checks!$AP$5:$AP$748,0),"")</f>
        <v/>
      </c>
    </row>
    <row r="87" ht="28" customHeight="1">
      <c r="B87" s="55">
        <f>IF($T87="","",12)</f>
        <v/>
      </c>
      <c r="C87" s="56">
        <f>IF($T87="","",IF(LEN(INDEX(Checks!$A$5:$A$748,$T87))&gt;28,LEFT(INDEX(Checks!$A$5:$A$748,$T87),27)&amp;"…",INDEX(Checks!$A$5:$A$748,$T87)&amp;""))</f>
        <v/>
      </c>
      <c r="D87" s="57" t="n"/>
      <c r="E87" s="58">
        <f>IF($T87="","",IF(LEN(INDEX(Checks!$C$5:$C$748,$T87))&gt;14,LEFT(INDEX(Checks!$C$5:$C$748,$T87),13)&amp;"…",INDEX(Checks!$C$5:$C$748,$T87)&amp;""))</f>
        <v/>
      </c>
      <c r="F87" s="56">
        <f>IF($T87="","",IF(LEN(INDEX(Checks!$G$5:$G$748,$T87))&gt;25,LEFT(INDEX(Checks!$G$5:$G$748,$T87),24)&amp;"…",INDEX(Checks!$G$5:$G$748,$T87)&amp;""))</f>
        <v/>
      </c>
      <c r="G87" s="57" t="n"/>
      <c r="H87" s="56">
        <f>IF($T87="","",IF(LEN(INDEX(Checks!$J$5:$J$748,$T87))&gt;68,LEFT(INDEX(Checks!$J$5:$J$748,$T87),67)&amp;"…",INDEX(Checks!$J$5:$J$748,$T87)&amp;""))</f>
        <v/>
      </c>
      <c r="I87" s="57" t="n"/>
      <c r="J87" s="57" t="n"/>
      <c r="K87" s="57" t="n"/>
      <c r="L87" s="58">
        <f>IF($T87="","",IF(LEN(INDEX(Checks!$U$5:$U$748,$T87))&gt;12,LEFT(INDEX(Checks!$U$5:$U$748,$T87),11)&amp;"…",INDEX(Checks!$U$5:$U$748,$T87)&amp;""))</f>
        <v/>
      </c>
      <c r="M87" s="61">
        <f>IF($T87="","",IF(INDEX(Checks!$X$5:$X$748,$T87)="","",INDEX(Checks!$X$5:$X$748,$T87)))</f>
        <v/>
      </c>
      <c r="N87" s="61">
        <f>IF($T87="","",IF(INDEX(Checks!$Y$5:$Y$748,$T87)="","",INDEX(Checks!$Y$5:$Y$748,$T87)))</f>
        <v/>
      </c>
      <c r="O87" s="61">
        <f>IF($T87="","",IF(INDEX(Checks!$AF$5:$AF$748,$T87)="","",INDEX(Checks!$AF$5:$AF$748,$T87)))</f>
        <v/>
      </c>
      <c r="P87" s="58">
        <f>IF($T87="","",IF(LEN(INDEX(Checks!$AB$5:$AB$748,$T87))&gt;12,LEFT(INDEX(Checks!$AB$5:$AB$748,$T87),11)&amp;"…",INDEX(Checks!$AB$5:$AB$748,$T87)&amp;""))</f>
        <v/>
      </c>
      <c r="Q87" s="56">
        <f>IF($T87="","",IF(LEN(INDEX(Checks!$AA$5:$AA$748,$T87))&gt;68,LEFT(INDEX(Checks!$AA$5:$AA$748,$T87),67)&amp;"…",INDEX(Checks!$AA$5:$AA$748,$T87)&amp;""))</f>
        <v/>
      </c>
      <c r="R87" s="57" t="n"/>
      <c r="T87" s="52">
        <f>IFERROR(MATCH(12,Checks!$AP$5:$AP$748,0),"")</f>
        <v/>
      </c>
    </row>
    <row r="88" ht="28" customHeight="1">
      <c r="B88" s="53">
        <f>IF($T88="","",13)</f>
        <v/>
      </c>
      <c r="C88" s="36">
        <f>IF($T88="","",IF(LEN(INDEX(Checks!$A$5:$A$748,$T88))&gt;28,LEFT(INDEX(Checks!$A$5:$A$748,$T88),27)&amp;"…",INDEX(Checks!$A$5:$A$748,$T88)&amp;""))</f>
        <v/>
      </c>
      <c r="D88" s="26" t="n"/>
      <c r="E88" s="54">
        <f>IF($T88="","",IF(LEN(INDEX(Checks!$C$5:$C$748,$T88))&gt;14,LEFT(INDEX(Checks!$C$5:$C$748,$T88),13)&amp;"…",INDEX(Checks!$C$5:$C$748,$T88)&amp;""))</f>
        <v/>
      </c>
      <c r="F88" s="36">
        <f>IF($T88="","",IF(LEN(INDEX(Checks!$G$5:$G$748,$T88))&gt;25,LEFT(INDEX(Checks!$G$5:$G$748,$T88),24)&amp;"…",INDEX(Checks!$G$5:$G$748,$T88)&amp;""))</f>
        <v/>
      </c>
      <c r="G88" s="26" t="n"/>
      <c r="H88" s="36">
        <f>IF($T88="","",IF(LEN(INDEX(Checks!$J$5:$J$748,$T88))&gt;68,LEFT(INDEX(Checks!$J$5:$J$748,$T88),67)&amp;"…",INDEX(Checks!$J$5:$J$748,$T88)&amp;""))</f>
        <v/>
      </c>
      <c r="I88" s="26" t="n"/>
      <c r="J88" s="26" t="n"/>
      <c r="K88" s="26" t="n"/>
      <c r="L88" s="54">
        <f>IF($T88="","",IF(LEN(INDEX(Checks!$U$5:$U$748,$T88))&gt;12,LEFT(INDEX(Checks!$U$5:$U$748,$T88),11)&amp;"…",INDEX(Checks!$U$5:$U$748,$T88)&amp;""))</f>
        <v/>
      </c>
      <c r="M88" s="60">
        <f>IF($T88="","",IF(INDEX(Checks!$X$5:$X$748,$T88)="","",INDEX(Checks!$X$5:$X$748,$T88)))</f>
        <v/>
      </c>
      <c r="N88" s="60">
        <f>IF($T88="","",IF(INDEX(Checks!$Y$5:$Y$748,$T88)="","",INDEX(Checks!$Y$5:$Y$748,$T88)))</f>
        <v/>
      </c>
      <c r="O88" s="60">
        <f>IF($T88="","",IF(INDEX(Checks!$AF$5:$AF$748,$T88)="","",INDEX(Checks!$AF$5:$AF$748,$T88)))</f>
        <v/>
      </c>
      <c r="P88" s="54">
        <f>IF($T88="","",IF(LEN(INDEX(Checks!$AB$5:$AB$748,$T88))&gt;12,LEFT(INDEX(Checks!$AB$5:$AB$748,$T88),11)&amp;"…",INDEX(Checks!$AB$5:$AB$748,$T88)&amp;""))</f>
        <v/>
      </c>
      <c r="Q88" s="36">
        <f>IF($T88="","",IF(LEN(INDEX(Checks!$AA$5:$AA$748,$T88))&gt;68,LEFT(INDEX(Checks!$AA$5:$AA$748,$T88),67)&amp;"…",INDEX(Checks!$AA$5:$AA$748,$T88)&amp;""))</f>
        <v/>
      </c>
      <c r="R88" s="26" t="n"/>
      <c r="T88" s="52">
        <f>IFERROR(MATCH(13,Checks!$AP$5:$AP$748,0),"")</f>
        <v/>
      </c>
    </row>
    <row r="89" ht="28" customHeight="1">
      <c r="B89" s="55">
        <f>IF($T89="","",14)</f>
        <v/>
      </c>
      <c r="C89" s="56">
        <f>IF($T89="","",IF(LEN(INDEX(Checks!$A$5:$A$748,$T89))&gt;28,LEFT(INDEX(Checks!$A$5:$A$748,$T89),27)&amp;"…",INDEX(Checks!$A$5:$A$748,$T89)&amp;""))</f>
        <v/>
      </c>
      <c r="D89" s="57" t="n"/>
      <c r="E89" s="58">
        <f>IF($T89="","",IF(LEN(INDEX(Checks!$C$5:$C$748,$T89))&gt;14,LEFT(INDEX(Checks!$C$5:$C$748,$T89),13)&amp;"…",INDEX(Checks!$C$5:$C$748,$T89)&amp;""))</f>
        <v/>
      </c>
      <c r="F89" s="56">
        <f>IF($T89="","",IF(LEN(INDEX(Checks!$G$5:$G$748,$T89))&gt;25,LEFT(INDEX(Checks!$G$5:$G$748,$T89),24)&amp;"…",INDEX(Checks!$G$5:$G$748,$T89)&amp;""))</f>
        <v/>
      </c>
      <c r="G89" s="57" t="n"/>
      <c r="H89" s="56">
        <f>IF($T89="","",IF(LEN(INDEX(Checks!$J$5:$J$748,$T89))&gt;68,LEFT(INDEX(Checks!$J$5:$J$748,$T89),67)&amp;"…",INDEX(Checks!$J$5:$J$748,$T89)&amp;""))</f>
        <v/>
      </c>
      <c r="I89" s="57" t="n"/>
      <c r="J89" s="57" t="n"/>
      <c r="K89" s="57" t="n"/>
      <c r="L89" s="58">
        <f>IF($T89="","",IF(LEN(INDEX(Checks!$U$5:$U$748,$T89))&gt;12,LEFT(INDEX(Checks!$U$5:$U$748,$T89),11)&amp;"…",INDEX(Checks!$U$5:$U$748,$T89)&amp;""))</f>
        <v/>
      </c>
      <c r="M89" s="61">
        <f>IF($T89="","",IF(INDEX(Checks!$X$5:$X$748,$T89)="","",INDEX(Checks!$X$5:$X$748,$T89)))</f>
        <v/>
      </c>
      <c r="N89" s="61">
        <f>IF($T89="","",IF(INDEX(Checks!$Y$5:$Y$748,$T89)="","",INDEX(Checks!$Y$5:$Y$748,$T89)))</f>
        <v/>
      </c>
      <c r="O89" s="61">
        <f>IF($T89="","",IF(INDEX(Checks!$AF$5:$AF$748,$T89)="","",INDEX(Checks!$AF$5:$AF$748,$T89)))</f>
        <v/>
      </c>
      <c r="P89" s="58">
        <f>IF($T89="","",IF(LEN(INDEX(Checks!$AB$5:$AB$748,$T89))&gt;12,LEFT(INDEX(Checks!$AB$5:$AB$748,$T89),11)&amp;"…",INDEX(Checks!$AB$5:$AB$748,$T89)&amp;""))</f>
        <v/>
      </c>
      <c r="Q89" s="56">
        <f>IF($T89="","",IF(LEN(INDEX(Checks!$AA$5:$AA$748,$T89))&gt;68,LEFT(INDEX(Checks!$AA$5:$AA$748,$T89),67)&amp;"…",INDEX(Checks!$AA$5:$AA$748,$T89)&amp;""))</f>
        <v/>
      </c>
      <c r="R89" s="57" t="n"/>
      <c r="T89" s="52">
        <f>IFERROR(MATCH(14,Checks!$AP$5:$AP$748,0),"")</f>
        <v/>
      </c>
    </row>
    <row r="90" ht="28" customHeight="1">
      <c r="B90" s="53">
        <f>IF($T90="","",15)</f>
        <v/>
      </c>
      <c r="C90" s="36">
        <f>IF($T90="","",IF(LEN(INDEX(Checks!$A$5:$A$748,$T90))&gt;28,LEFT(INDEX(Checks!$A$5:$A$748,$T90),27)&amp;"…",INDEX(Checks!$A$5:$A$748,$T90)&amp;""))</f>
        <v/>
      </c>
      <c r="D90" s="26" t="n"/>
      <c r="E90" s="54">
        <f>IF($T90="","",IF(LEN(INDEX(Checks!$C$5:$C$748,$T90))&gt;14,LEFT(INDEX(Checks!$C$5:$C$748,$T90),13)&amp;"…",INDEX(Checks!$C$5:$C$748,$T90)&amp;""))</f>
        <v/>
      </c>
      <c r="F90" s="36">
        <f>IF($T90="","",IF(LEN(INDEX(Checks!$G$5:$G$748,$T90))&gt;25,LEFT(INDEX(Checks!$G$5:$G$748,$T90),24)&amp;"…",INDEX(Checks!$G$5:$G$748,$T90)&amp;""))</f>
        <v/>
      </c>
      <c r="G90" s="26" t="n"/>
      <c r="H90" s="36">
        <f>IF($T90="","",IF(LEN(INDEX(Checks!$J$5:$J$748,$T90))&gt;68,LEFT(INDEX(Checks!$J$5:$J$748,$T90),67)&amp;"…",INDEX(Checks!$J$5:$J$748,$T90)&amp;""))</f>
        <v/>
      </c>
      <c r="I90" s="26" t="n"/>
      <c r="J90" s="26" t="n"/>
      <c r="K90" s="26" t="n"/>
      <c r="L90" s="54">
        <f>IF($T90="","",IF(LEN(INDEX(Checks!$U$5:$U$748,$T90))&gt;12,LEFT(INDEX(Checks!$U$5:$U$748,$T90),11)&amp;"…",INDEX(Checks!$U$5:$U$748,$T90)&amp;""))</f>
        <v/>
      </c>
      <c r="M90" s="60">
        <f>IF($T90="","",IF(INDEX(Checks!$X$5:$X$748,$T90)="","",INDEX(Checks!$X$5:$X$748,$T90)))</f>
        <v/>
      </c>
      <c r="N90" s="60">
        <f>IF($T90="","",IF(INDEX(Checks!$Y$5:$Y$748,$T90)="","",INDEX(Checks!$Y$5:$Y$748,$T90)))</f>
        <v/>
      </c>
      <c r="O90" s="60">
        <f>IF($T90="","",IF(INDEX(Checks!$AF$5:$AF$748,$T90)="","",INDEX(Checks!$AF$5:$AF$748,$T90)))</f>
        <v/>
      </c>
      <c r="P90" s="54">
        <f>IF($T90="","",IF(LEN(INDEX(Checks!$AB$5:$AB$748,$T90))&gt;12,LEFT(INDEX(Checks!$AB$5:$AB$748,$T90),11)&amp;"…",INDEX(Checks!$AB$5:$AB$748,$T90)&amp;""))</f>
        <v/>
      </c>
      <c r="Q90" s="36">
        <f>IF($T90="","",IF(LEN(INDEX(Checks!$AA$5:$AA$748,$T90))&gt;68,LEFT(INDEX(Checks!$AA$5:$AA$748,$T90),67)&amp;"…",INDEX(Checks!$AA$5:$AA$748,$T90)&amp;""))</f>
        <v/>
      </c>
      <c r="R90" s="26" t="n"/>
      <c r="T90" s="52">
        <f>IFERROR(MATCH(15,Checks!$AP$5:$AP$748,0),"")</f>
        <v/>
      </c>
    </row>
    <row r="91" ht="28" customHeight="1">
      <c r="B91" s="55">
        <f>IF($T91="","",16)</f>
        <v/>
      </c>
      <c r="C91" s="56">
        <f>IF($T91="","",IF(LEN(INDEX(Checks!$A$5:$A$748,$T91))&gt;28,LEFT(INDEX(Checks!$A$5:$A$748,$T91),27)&amp;"…",INDEX(Checks!$A$5:$A$748,$T91)&amp;""))</f>
        <v/>
      </c>
      <c r="D91" s="57" t="n"/>
      <c r="E91" s="58">
        <f>IF($T91="","",IF(LEN(INDEX(Checks!$C$5:$C$748,$T91))&gt;14,LEFT(INDEX(Checks!$C$5:$C$748,$T91),13)&amp;"…",INDEX(Checks!$C$5:$C$748,$T91)&amp;""))</f>
        <v/>
      </c>
      <c r="F91" s="56">
        <f>IF($T91="","",IF(LEN(INDEX(Checks!$G$5:$G$748,$T91))&gt;25,LEFT(INDEX(Checks!$G$5:$G$748,$T91),24)&amp;"…",INDEX(Checks!$G$5:$G$748,$T91)&amp;""))</f>
        <v/>
      </c>
      <c r="G91" s="57" t="n"/>
      <c r="H91" s="56">
        <f>IF($T91="","",IF(LEN(INDEX(Checks!$J$5:$J$748,$T91))&gt;68,LEFT(INDEX(Checks!$J$5:$J$748,$T91),67)&amp;"…",INDEX(Checks!$J$5:$J$748,$T91)&amp;""))</f>
        <v/>
      </c>
      <c r="I91" s="57" t="n"/>
      <c r="J91" s="57" t="n"/>
      <c r="K91" s="57" t="n"/>
      <c r="L91" s="58">
        <f>IF($T91="","",IF(LEN(INDEX(Checks!$U$5:$U$748,$T91))&gt;12,LEFT(INDEX(Checks!$U$5:$U$748,$T91),11)&amp;"…",INDEX(Checks!$U$5:$U$748,$T91)&amp;""))</f>
        <v/>
      </c>
      <c r="M91" s="61">
        <f>IF($T91="","",IF(INDEX(Checks!$X$5:$X$748,$T91)="","",INDEX(Checks!$X$5:$X$748,$T91)))</f>
        <v/>
      </c>
      <c r="N91" s="61">
        <f>IF($T91="","",IF(INDEX(Checks!$Y$5:$Y$748,$T91)="","",INDEX(Checks!$Y$5:$Y$748,$T91)))</f>
        <v/>
      </c>
      <c r="O91" s="61">
        <f>IF($T91="","",IF(INDEX(Checks!$AF$5:$AF$748,$T91)="","",INDEX(Checks!$AF$5:$AF$748,$T91)))</f>
        <v/>
      </c>
      <c r="P91" s="58">
        <f>IF($T91="","",IF(LEN(INDEX(Checks!$AB$5:$AB$748,$T91))&gt;12,LEFT(INDEX(Checks!$AB$5:$AB$748,$T91),11)&amp;"…",INDEX(Checks!$AB$5:$AB$748,$T91)&amp;""))</f>
        <v/>
      </c>
      <c r="Q91" s="56">
        <f>IF($T91="","",IF(LEN(INDEX(Checks!$AA$5:$AA$748,$T91))&gt;68,LEFT(INDEX(Checks!$AA$5:$AA$748,$T91),67)&amp;"…",INDEX(Checks!$AA$5:$AA$748,$T91)&amp;""))</f>
        <v/>
      </c>
      <c r="R91" s="57" t="n"/>
      <c r="T91" s="52">
        <f>IFERROR(MATCH(16,Checks!$AP$5:$AP$748,0),"")</f>
        <v/>
      </c>
    </row>
    <row r="92" ht="28" customHeight="1">
      <c r="B92" s="53">
        <f>IF($T92="","",17)</f>
        <v/>
      </c>
      <c r="C92" s="36">
        <f>IF($T92="","",IF(LEN(INDEX(Checks!$A$5:$A$748,$T92))&gt;28,LEFT(INDEX(Checks!$A$5:$A$748,$T92),27)&amp;"…",INDEX(Checks!$A$5:$A$748,$T92)&amp;""))</f>
        <v/>
      </c>
      <c r="D92" s="26" t="n"/>
      <c r="E92" s="54">
        <f>IF($T92="","",IF(LEN(INDEX(Checks!$C$5:$C$748,$T92))&gt;14,LEFT(INDEX(Checks!$C$5:$C$748,$T92),13)&amp;"…",INDEX(Checks!$C$5:$C$748,$T92)&amp;""))</f>
        <v/>
      </c>
      <c r="F92" s="36">
        <f>IF($T92="","",IF(LEN(INDEX(Checks!$G$5:$G$748,$T92))&gt;25,LEFT(INDEX(Checks!$G$5:$G$748,$T92),24)&amp;"…",INDEX(Checks!$G$5:$G$748,$T92)&amp;""))</f>
        <v/>
      </c>
      <c r="G92" s="26" t="n"/>
      <c r="H92" s="36">
        <f>IF($T92="","",IF(LEN(INDEX(Checks!$J$5:$J$748,$T92))&gt;68,LEFT(INDEX(Checks!$J$5:$J$748,$T92),67)&amp;"…",INDEX(Checks!$J$5:$J$748,$T92)&amp;""))</f>
        <v/>
      </c>
      <c r="I92" s="26" t="n"/>
      <c r="J92" s="26" t="n"/>
      <c r="K92" s="26" t="n"/>
      <c r="L92" s="54">
        <f>IF($T92="","",IF(LEN(INDEX(Checks!$U$5:$U$748,$T92))&gt;12,LEFT(INDEX(Checks!$U$5:$U$748,$T92),11)&amp;"…",INDEX(Checks!$U$5:$U$748,$T92)&amp;""))</f>
        <v/>
      </c>
      <c r="M92" s="60">
        <f>IF($T92="","",IF(INDEX(Checks!$X$5:$X$748,$T92)="","",INDEX(Checks!$X$5:$X$748,$T92)))</f>
        <v/>
      </c>
      <c r="N92" s="60">
        <f>IF($T92="","",IF(INDEX(Checks!$Y$5:$Y$748,$T92)="","",INDEX(Checks!$Y$5:$Y$748,$T92)))</f>
        <v/>
      </c>
      <c r="O92" s="60">
        <f>IF($T92="","",IF(INDEX(Checks!$AF$5:$AF$748,$T92)="","",INDEX(Checks!$AF$5:$AF$748,$T92)))</f>
        <v/>
      </c>
      <c r="P92" s="54">
        <f>IF($T92="","",IF(LEN(INDEX(Checks!$AB$5:$AB$748,$T92))&gt;12,LEFT(INDEX(Checks!$AB$5:$AB$748,$T92),11)&amp;"…",INDEX(Checks!$AB$5:$AB$748,$T92)&amp;""))</f>
        <v/>
      </c>
      <c r="Q92" s="36">
        <f>IF($T92="","",IF(LEN(INDEX(Checks!$AA$5:$AA$748,$T92))&gt;68,LEFT(INDEX(Checks!$AA$5:$AA$748,$T92),67)&amp;"…",INDEX(Checks!$AA$5:$AA$748,$T92)&amp;""))</f>
        <v/>
      </c>
      <c r="R92" s="26" t="n"/>
      <c r="T92" s="52">
        <f>IFERROR(MATCH(17,Checks!$AP$5:$AP$748,0),"")</f>
        <v/>
      </c>
    </row>
    <row r="93" ht="28" customHeight="1">
      <c r="B93" s="55">
        <f>IF($T93="","",18)</f>
        <v/>
      </c>
      <c r="C93" s="56">
        <f>IF($T93="","",IF(LEN(INDEX(Checks!$A$5:$A$748,$T93))&gt;28,LEFT(INDEX(Checks!$A$5:$A$748,$T93),27)&amp;"…",INDEX(Checks!$A$5:$A$748,$T93)&amp;""))</f>
        <v/>
      </c>
      <c r="D93" s="57" t="n"/>
      <c r="E93" s="58">
        <f>IF($T93="","",IF(LEN(INDEX(Checks!$C$5:$C$748,$T93))&gt;14,LEFT(INDEX(Checks!$C$5:$C$748,$T93),13)&amp;"…",INDEX(Checks!$C$5:$C$748,$T93)&amp;""))</f>
        <v/>
      </c>
      <c r="F93" s="56">
        <f>IF($T93="","",IF(LEN(INDEX(Checks!$G$5:$G$748,$T93))&gt;25,LEFT(INDEX(Checks!$G$5:$G$748,$T93),24)&amp;"…",INDEX(Checks!$G$5:$G$748,$T93)&amp;""))</f>
        <v/>
      </c>
      <c r="G93" s="57" t="n"/>
      <c r="H93" s="56">
        <f>IF($T93="","",IF(LEN(INDEX(Checks!$J$5:$J$748,$T93))&gt;68,LEFT(INDEX(Checks!$J$5:$J$748,$T93),67)&amp;"…",INDEX(Checks!$J$5:$J$748,$T93)&amp;""))</f>
        <v/>
      </c>
      <c r="I93" s="57" t="n"/>
      <c r="J93" s="57" t="n"/>
      <c r="K93" s="57" t="n"/>
      <c r="L93" s="58">
        <f>IF($T93="","",IF(LEN(INDEX(Checks!$U$5:$U$748,$T93))&gt;12,LEFT(INDEX(Checks!$U$5:$U$748,$T93),11)&amp;"…",INDEX(Checks!$U$5:$U$748,$T93)&amp;""))</f>
        <v/>
      </c>
      <c r="M93" s="61">
        <f>IF($T93="","",IF(INDEX(Checks!$X$5:$X$748,$T93)="","",INDEX(Checks!$X$5:$X$748,$T93)))</f>
        <v/>
      </c>
      <c r="N93" s="61">
        <f>IF($T93="","",IF(INDEX(Checks!$Y$5:$Y$748,$T93)="","",INDEX(Checks!$Y$5:$Y$748,$T93)))</f>
        <v/>
      </c>
      <c r="O93" s="61">
        <f>IF($T93="","",IF(INDEX(Checks!$AF$5:$AF$748,$T93)="","",INDEX(Checks!$AF$5:$AF$748,$T93)))</f>
        <v/>
      </c>
      <c r="P93" s="58">
        <f>IF($T93="","",IF(LEN(INDEX(Checks!$AB$5:$AB$748,$T93))&gt;12,LEFT(INDEX(Checks!$AB$5:$AB$748,$T93),11)&amp;"…",INDEX(Checks!$AB$5:$AB$748,$T93)&amp;""))</f>
        <v/>
      </c>
      <c r="Q93" s="56">
        <f>IF($T93="","",IF(LEN(INDEX(Checks!$AA$5:$AA$748,$T93))&gt;68,LEFT(INDEX(Checks!$AA$5:$AA$748,$T93),67)&amp;"…",INDEX(Checks!$AA$5:$AA$748,$T93)&amp;""))</f>
        <v/>
      </c>
      <c r="R93" s="57" t="n"/>
      <c r="T93" s="52">
        <f>IFERROR(MATCH(18,Checks!$AP$5:$AP$748,0),"")</f>
        <v/>
      </c>
    </row>
    <row r="94" ht="16" customHeight="1">
      <c r="B94" s="59">
        <f>IF(SUM(Checks!$AL$5:$AL$748)=0,"No outstanding discrepancies at the as-of time.",IF(SUM(Checks!$AL$5:$AL$748)&gt;18,"+"&amp;(SUM(Checks!$AL$5:$AL$748)-18)&amp;" more outstanding discrepancies not shown – see Checks sheet (filter on column AP).",""))</f>
        <v/>
      </c>
    </row>
  </sheetData>
  <mergeCells count="263">
    <mergeCell ref="H64:M64"/>
    <mergeCell ref="B4:R4"/>
    <mergeCell ref="C62:D62"/>
    <mergeCell ref="H60:M60"/>
    <mergeCell ref="F68:G68"/>
    <mergeCell ref="J10:K10"/>
    <mergeCell ref="H70:M70"/>
    <mergeCell ref="C89:D89"/>
    <mergeCell ref="N66:O66"/>
    <mergeCell ref="B72:R72"/>
    <mergeCell ref="F84:G84"/>
    <mergeCell ref="H76:K76"/>
    <mergeCell ref="C64:D64"/>
    <mergeCell ref="N53:O53"/>
    <mergeCell ref="P69:Q69"/>
    <mergeCell ref="C79:D79"/>
    <mergeCell ref="B12:C12"/>
    <mergeCell ref="D6:E6"/>
    <mergeCell ref="L12:M12"/>
    <mergeCell ref="C54:D54"/>
    <mergeCell ref="F15:G15"/>
    <mergeCell ref="P59:Q59"/>
    <mergeCell ref="N68:O68"/>
    <mergeCell ref="D13:E13"/>
    <mergeCell ref="C63:D63"/>
    <mergeCell ref="F80:G80"/>
    <mergeCell ref="H82:K82"/>
    <mergeCell ref="F86:G86"/>
    <mergeCell ref="C93:D93"/>
    <mergeCell ref="B14:C14"/>
    <mergeCell ref="L5:M5"/>
    <mergeCell ref="Q88:R88"/>
    <mergeCell ref="N5:O5"/>
    <mergeCell ref="L14:M14"/>
    <mergeCell ref="N61:O61"/>
    <mergeCell ref="C56:D56"/>
    <mergeCell ref="P61:Q61"/>
    <mergeCell ref="F70:G70"/>
    <mergeCell ref="B20:D20"/>
    <mergeCell ref="F79:G79"/>
    <mergeCell ref="B13:C13"/>
    <mergeCell ref="P70:Q70"/>
    <mergeCell ref="Q93:R93"/>
    <mergeCell ref="B17:R17"/>
    <mergeCell ref="D7:E7"/>
    <mergeCell ref="P5:R5"/>
    <mergeCell ref="Q90:R90"/>
    <mergeCell ref="C76:D76"/>
    <mergeCell ref="F81:G81"/>
    <mergeCell ref="F13:G13"/>
    <mergeCell ref="H53:M53"/>
    <mergeCell ref="F56:G56"/>
    <mergeCell ref="F71:G71"/>
    <mergeCell ref="H89:K89"/>
    <mergeCell ref="H67:M67"/>
    <mergeCell ref="L74:R74"/>
    <mergeCell ref="B9:R9"/>
    <mergeCell ref="H79:K79"/>
    <mergeCell ref="C67:D67"/>
    <mergeCell ref="Q76:R76"/>
    <mergeCell ref="H55:M55"/>
    <mergeCell ref="P58:Q58"/>
    <mergeCell ref="N65:O65"/>
    <mergeCell ref="Q91:R91"/>
    <mergeCell ref="F57:G57"/>
    <mergeCell ref="Q75:R75"/>
    <mergeCell ref="C69:D69"/>
    <mergeCell ref="H81:K81"/>
    <mergeCell ref="F88:G88"/>
    <mergeCell ref="C83:D83"/>
    <mergeCell ref="H59:M59"/>
    <mergeCell ref="E18:R18"/>
    <mergeCell ref="C92:D92"/>
    <mergeCell ref="L7:M7"/>
    <mergeCell ref="D10:E10"/>
    <mergeCell ref="N7:O7"/>
    <mergeCell ref="F10:G10"/>
    <mergeCell ref="F54:G54"/>
    <mergeCell ref="N63:O63"/>
    <mergeCell ref="F63:G63"/>
    <mergeCell ref="P63:Q63"/>
    <mergeCell ref="B74:K74"/>
    <mergeCell ref="H87:K87"/>
    <mergeCell ref="F6:G6"/>
    <mergeCell ref="H61:M61"/>
    <mergeCell ref="C87:D87"/>
    <mergeCell ref="P60:Q60"/>
    <mergeCell ref="F83:G83"/>
    <mergeCell ref="B19:D19"/>
    <mergeCell ref="B2:C2"/>
    <mergeCell ref="D2:E2"/>
    <mergeCell ref="B11:C11"/>
    <mergeCell ref="D11:E11"/>
    <mergeCell ref="H91:K91"/>
    <mergeCell ref="F5:G5"/>
    <mergeCell ref="E20:R20"/>
    <mergeCell ref="F76:G76"/>
    <mergeCell ref="H65:M65"/>
    <mergeCell ref="F85:G85"/>
    <mergeCell ref="Q79:R79"/>
    <mergeCell ref="F66:G66"/>
    <mergeCell ref="B1:R1"/>
    <mergeCell ref="F75:G75"/>
    <mergeCell ref="H93:K93"/>
    <mergeCell ref="J11:K11"/>
    <mergeCell ref="F62:G62"/>
    <mergeCell ref="H71:M71"/>
    <mergeCell ref="C60:D60"/>
    <mergeCell ref="N67:O67"/>
    <mergeCell ref="C90:D90"/>
    <mergeCell ref="Q81:R81"/>
    <mergeCell ref="C71:D71"/>
    <mergeCell ref="H83:K83"/>
    <mergeCell ref="Q89:R89"/>
    <mergeCell ref="N10:R10"/>
    <mergeCell ref="N69:O69"/>
    <mergeCell ref="F61:G61"/>
    <mergeCell ref="H85:K85"/>
    <mergeCell ref="B6:C6"/>
    <mergeCell ref="H54:M54"/>
    <mergeCell ref="C91:D91"/>
    <mergeCell ref="J12:K12"/>
    <mergeCell ref="B15:C15"/>
    <mergeCell ref="L6:M6"/>
    <mergeCell ref="D15:E15"/>
    <mergeCell ref="H63:M63"/>
    <mergeCell ref="N6:O6"/>
    <mergeCell ref="C82:D82"/>
    <mergeCell ref="C57:D57"/>
    <mergeCell ref="P62:Q62"/>
    <mergeCell ref="L26:R26"/>
    <mergeCell ref="C66:D66"/>
    <mergeCell ref="H5:I5"/>
    <mergeCell ref="P71:Q71"/>
    <mergeCell ref="B21:D21"/>
    <mergeCell ref="H56:M56"/>
    <mergeCell ref="C53:D53"/>
    <mergeCell ref="P6:R6"/>
    <mergeCell ref="N55:O55"/>
    <mergeCell ref="F64:G64"/>
    <mergeCell ref="P55:Q55"/>
    <mergeCell ref="H75:K75"/>
    <mergeCell ref="N70:O70"/>
    <mergeCell ref="B50:R50"/>
    <mergeCell ref="P64:Q64"/>
    <mergeCell ref="C77:D77"/>
    <mergeCell ref="H80:K80"/>
    <mergeCell ref="C68:D68"/>
    <mergeCell ref="B7:C7"/>
    <mergeCell ref="C86:D86"/>
    <mergeCell ref="B23:D23"/>
    <mergeCell ref="F87:G87"/>
    <mergeCell ref="Q77:R77"/>
    <mergeCell ref="N54:O54"/>
    <mergeCell ref="C58:D58"/>
    <mergeCell ref="E24:R24"/>
    <mergeCell ref="L52:R52"/>
    <mergeCell ref="H69:M69"/>
    <mergeCell ref="F89:G89"/>
    <mergeCell ref="F7:G7"/>
    <mergeCell ref="Q83:R83"/>
    <mergeCell ref="P7:R7"/>
    <mergeCell ref="N56:O56"/>
    <mergeCell ref="Q92:R92"/>
    <mergeCell ref="P56:Q56"/>
    <mergeCell ref="N12:R12"/>
    <mergeCell ref="C85:D85"/>
    <mergeCell ref="C65:D65"/>
    <mergeCell ref="Q85:R85"/>
    <mergeCell ref="N58:O58"/>
    <mergeCell ref="C75:D75"/>
    <mergeCell ref="C84:D84"/>
    <mergeCell ref="E19:R19"/>
    <mergeCell ref="N14:R14"/>
    <mergeCell ref="P67:Q67"/>
    <mergeCell ref="C80:D80"/>
    <mergeCell ref="C59:D59"/>
    <mergeCell ref="F2:G2"/>
    <mergeCell ref="Q78:R78"/>
    <mergeCell ref="F91:G91"/>
    <mergeCell ref="H2:I2"/>
    <mergeCell ref="J2:R2"/>
    <mergeCell ref="H62:M62"/>
    <mergeCell ref="L10:M10"/>
    <mergeCell ref="C61:D61"/>
    <mergeCell ref="P66:Q66"/>
    <mergeCell ref="Q80:R80"/>
    <mergeCell ref="C70:D70"/>
    <mergeCell ref="N59:O59"/>
    <mergeCell ref="F93:G93"/>
    <mergeCell ref="P53:Q53"/>
    <mergeCell ref="D12:E12"/>
    <mergeCell ref="N60:O60"/>
    <mergeCell ref="F77:G77"/>
    <mergeCell ref="F92:G92"/>
    <mergeCell ref="P68:Q68"/>
    <mergeCell ref="B5:C5"/>
    <mergeCell ref="B22:D22"/>
    <mergeCell ref="D5:E5"/>
    <mergeCell ref="L11:M11"/>
    <mergeCell ref="D14:E14"/>
    <mergeCell ref="F14:G14"/>
    <mergeCell ref="H68:M68"/>
    <mergeCell ref="P54:Q54"/>
    <mergeCell ref="H84:K84"/>
    <mergeCell ref="F11:G11"/>
    <mergeCell ref="F69:G69"/>
    <mergeCell ref="Q87:R87"/>
    <mergeCell ref="E21:R21"/>
    <mergeCell ref="J5:K5"/>
    <mergeCell ref="F78:G78"/>
    <mergeCell ref="N11:R11"/>
    <mergeCell ref="J14:K14"/>
    <mergeCell ref="F65:G65"/>
    <mergeCell ref="H77:K77"/>
    <mergeCell ref="H86:K86"/>
    <mergeCell ref="C88:D88"/>
    <mergeCell ref="J13:K13"/>
    <mergeCell ref="E23:R23"/>
    <mergeCell ref="L13:M13"/>
    <mergeCell ref="F59:G59"/>
    <mergeCell ref="F55:G55"/>
    <mergeCell ref="F12:G12"/>
    <mergeCell ref="H6:I6"/>
    <mergeCell ref="Q82:R82"/>
    <mergeCell ref="H92:K92"/>
    <mergeCell ref="J6:K6"/>
    <mergeCell ref="B26:K26"/>
    <mergeCell ref="H57:M57"/>
    <mergeCell ref="J15:K15"/>
    <mergeCell ref="H66:M66"/>
    <mergeCell ref="L15:M15"/>
    <mergeCell ref="C55:D55"/>
    <mergeCell ref="N62:O62"/>
    <mergeCell ref="N71:O71"/>
    <mergeCell ref="H78:K78"/>
    <mergeCell ref="P65:Q65"/>
    <mergeCell ref="B24:D24"/>
    <mergeCell ref="N64:O64"/>
    <mergeCell ref="H7:I7"/>
    <mergeCell ref="F90:G90"/>
    <mergeCell ref="J7:K7"/>
    <mergeCell ref="B10:C10"/>
    <mergeCell ref="B52:K52"/>
    <mergeCell ref="Q84:R84"/>
    <mergeCell ref="N57:O57"/>
    <mergeCell ref="P57:Q57"/>
    <mergeCell ref="N13:R13"/>
    <mergeCell ref="F58:G58"/>
    <mergeCell ref="F67:G67"/>
    <mergeCell ref="Q86:R86"/>
    <mergeCell ref="H88:K88"/>
    <mergeCell ref="N15:R15"/>
    <mergeCell ref="C81:D81"/>
    <mergeCell ref="F60:G60"/>
    <mergeCell ref="F82:G82"/>
    <mergeCell ref="B18:D18"/>
    <mergeCell ref="H58:M58"/>
    <mergeCell ref="H90:K90"/>
    <mergeCell ref="C78:D78"/>
    <mergeCell ref="B94:R94"/>
    <mergeCell ref="E22:R22"/>
    <mergeCell ref="F53:G53"/>
  </mergeCells>
  <conditionalFormatting sqref="H6:I6">
    <cfRule type="cellIs" priority="1" operator="greaterThan" dxfId="0">
      <formula>0</formula>
    </cfRule>
  </conditionalFormatting>
  <conditionalFormatting sqref="J6:K6">
    <cfRule type="cellIs" priority="2" operator="greaterThan" dxfId="0">
      <formula>0</formula>
    </cfRule>
  </conditionalFormatting>
  <conditionalFormatting sqref="L6:M6">
    <cfRule type="cellIs" priority="3" operator="greaterThan" dxfId="0">
      <formula>0</formula>
    </cfRule>
  </conditionalFormatting>
  <conditionalFormatting sqref="N6:O6">
    <cfRule type="cellIs" priority="4" operator="greaterThan" dxfId="0">
      <formula>0</formula>
    </cfRule>
  </conditionalFormatting>
  <conditionalFormatting sqref="P6:R6">
    <cfRule type="cellIs" priority="5" operator="greaterThan" dxfId="0">
      <formula>0</formula>
    </cfRule>
  </conditionalFormatting>
  <conditionalFormatting sqref="F6:G6">
    <cfRule type="expression" priority="6" dxfId="1">
      <formula>AND(ISNUMBER($F$6),$F$6&gt;=1)</formula>
    </cfRule>
  </conditionalFormatting>
  <conditionalFormatting sqref="L11:L15">
    <cfRule type="dataBar" priority="7">
      <dataBar showValue="1">
        <cfvo type="num" val="0"/>
        <cfvo type="num" val="1"/>
        <color rgb="008EA9DB"/>
      </dataBar>
    </cfRule>
  </conditionalFormatting>
  <conditionalFormatting sqref="J11:J15">
    <cfRule type="cellIs" priority="8" operator="greaterThan" dxfId="0">
      <formula>0</formula>
    </cfRule>
  </conditionalFormatting>
  <conditionalFormatting sqref="I28:M49">
    <cfRule type="dataBar" priority="9">
      <dataBar showValue="1">
        <cfvo type="num" val="0"/>
        <cfvo type="num" val="1"/>
        <color rgb="008EA9DB"/>
      </dataBar>
    </cfRule>
  </conditionalFormatting>
  <conditionalFormatting sqref="N28:Q49">
    <cfRule type="cellIs" priority="10" operator="greaterThan" dxfId="0">
      <formula>0</formula>
    </cfRule>
  </conditionalFormatting>
  <conditionalFormatting sqref="R28:R49">
    <cfRule type="expression" priority="11" dxfId="2" stopIfTrue="1">
      <formula>$R28="READY"</formula>
    </cfRule>
    <cfRule type="expression" priority="12" dxfId="3" stopIfTrue="1">
      <formula>LEFT($R28,9)="NOT READY"</formula>
    </cfRule>
    <cfRule type="expression" priority="13" dxfId="4" stopIfTrue="1">
      <formula>LEFT($R28,9)="PREP DONE"</formula>
    </cfRule>
    <cfRule type="expression" priority="14" dxfId="5" stopIfTrue="1">
      <formula>OR($R28="IN PROGRESS",$R28="NOT STARTED")</formula>
    </cfRule>
  </conditionalFormatting>
  <conditionalFormatting sqref="B72">
    <cfRule type="expression" priority="15" dxfId="0">
      <formula>LEFT($B$72,1)="+"</formula>
    </cfRule>
  </conditionalFormatting>
  <conditionalFormatting sqref="B94">
    <cfRule type="expression" priority="16" dxfId="0">
      <formula>LEFT($B$94,1)="+"</formula>
    </cfRule>
  </conditionalFormatting>
  <printOptions horizontalCentered="1"/>
  <pageMargins left="0.25" right="0.25" top="0.35" bottom="0.45" header="0.15" footer="0.15"/>
  <pageSetup orientation="landscape" paperSize="9" fitToHeight="0" fitToWidth="1"/>
  <headerFooter>
    <oddHeader/>
    <oddFooter>&amp;L&amp;8 MAGCS – Skytrax 2026 catering readiness – Dashboard&amp;R&amp;8 Page &amp;P of &amp;N</oddFooter>
    <evenHeader/>
    <evenFooter/>
    <firstHeader/>
    <firstFooter/>
  </headerFooter>
  <rowBreaks count="3" manualBreakCount="3">
    <brk id="25" min="0" max="16383" man="1"/>
    <brk id="51" min="0" max="16383" man="1"/>
    <brk id="73" min="0" max="16383" man="1"/>
  </rowBreaks>
</worksheet>
</file>

<file path=xl/worksheets/sheet3.xml><?xml version="1.0" encoding="utf-8"?>
<worksheet xmlns="http://schemas.openxmlformats.org/spreadsheetml/2006/main">
  <sheetPr>
    <outlinePr summaryBelow="1" summaryRight="1"/>
    <pageSetUpPr fitToPage="1"/>
  </sheetPr>
  <dimension ref="A1:AY26"/>
  <sheetViews>
    <sheetView tabSelected="0" zoomScale="85" workbookViewId="0">
      <pane xSplit="6" ySplit="4" topLeftCell="G5" activePane="bottomRight" state="frozen"/>
      <selection pane="topRight"/>
      <selection pane="bottomLeft"/>
      <selection pane="bottomRight" activeCell="A1" sqref="A1"/>
    </sheetView>
  </sheetViews>
  <sheetFormatPr baseColWidth="8" defaultRowHeight="15"/>
  <cols>
    <col width="7" customWidth="1" min="1" max="1"/>
    <col width="5" customWidth="1" min="2" max="2"/>
    <col width="5" customWidth="1" min="3" max="3"/>
    <col width="10" customWidth="1" min="4" max="4"/>
    <col width="6" customWidth="1" min="5" max="5"/>
    <col width="9" customWidth="1" min="6" max="6"/>
    <col width="6" customWidth="1" min="7" max="7"/>
    <col width="6" customWidth="1" min="8" max="8"/>
    <col width="15" customWidth="1" min="9" max="9"/>
    <col width="15" customWidth="1" min="10" max="10"/>
    <col width="8" customWidth="1" min="11" max="11"/>
    <col width="9" customWidth="1" min="12" max="12"/>
    <col width="30" customWidth="1" min="13" max="13"/>
    <col width="12" customWidth="1" min="14" max="14"/>
    <col width="6" customWidth="1" min="15" max="15"/>
    <col width="8" customWidth="1" min="16" max="16"/>
    <col width="14" customWidth="1" min="17" max="17"/>
    <col width="13" customWidth="1" min="18" max="18"/>
    <col width="12" customWidth="1" min="19" max="19"/>
    <col width="22" customWidth="1" min="20" max="20"/>
    <col width="11" customWidth="1" min="21" max="21"/>
    <col width="9" customWidth="1" min="22" max="22"/>
    <col width="16" customWidth="1" min="23" max="23"/>
    <col width="14" customWidth="1" min="24" max="24"/>
    <col width="16" customWidth="1" min="25" max="25"/>
    <col width="8" customWidth="1" min="26" max="26"/>
    <col width="15" customWidth="1" min="27" max="27"/>
    <col width="8"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8" customWidth="1" min="36" max="36"/>
    <col width="8" customWidth="1" min="37" max="37"/>
    <col width="8" customWidth="1" min="38" max="38"/>
    <col width="8" customWidth="1" min="39" max="39"/>
    <col width="8" customWidth="1" min="40" max="40"/>
    <col width="9" customWidth="1" min="41" max="41"/>
    <col width="8" customWidth="1" min="42" max="42"/>
    <col width="9" customWidth="1" min="43" max="43"/>
    <col width="9" customWidth="1" min="44" max="44"/>
    <col width="9" customWidth="1" min="45" max="45"/>
    <col width="26" customWidth="1" min="46" max="46"/>
    <col width="8" customWidth="1" min="47" max="47"/>
    <col width="9" customWidth="1" min="48" max="48"/>
    <col width="9" customWidth="1" min="49" max="49"/>
    <col width="17" customWidth="1" min="50" max="50"/>
    <col width="17" customWidth="1" min="51" max="51"/>
  </cols>
  <sheetData>
    <row r="1" ht="26" customHeight="1">
      <c r="A1" s="1" t="inlineStr">
        <is>
          <t>Flight register – Skytrax Agenda 2026 (22 legs)</t>
        </is>
      </c>
    </row>
    <row r="2">
      <c r="A2" s="2" t="inlineStr">
        <is>
          <t>Source: Skytrax Agenda 2026 slide (schedule) and STD UPLIFT INFORMATION.xlsx (uplift). Yellow = input. Times: STD/STA in local time of the departure/arrival station; due times computed from STD in UTC.</t>
        </is>
      </c>
    </row>
    <row r="4" ht="54" customHeight="1">
      <c r="A4" s="62" t="inlineStr">
        <is>
          <t>Flight ID</t>
        </is>
      </c>
      <c r="B4" s="62" t="inlineStr">
        <is>
          <t>Itin</t>
        </is>
      </c>
      <c r="C4" s="62" t="inlineStr">
        <is>
          <t>Seq</t>
        </is>
      </c>
      <c r="D4" s="62" t="inlineStr">
        <is>
          <t>Date</t>
        </is>
      </c>
      <c r="E4" s="62" t="inlineStr">
        <is>
          <t>Day</t>
        </is>
      </c>
      <c r="F4" s="62" t="inlineStr">
        <is>
          <t>Flight No</t>
        </is>
      </c>
      <c r="G4" s="62" t="inlineStr">
        <is>
          <t>Dep</t>
        </is>
      </c>
      <c r="H4" s="62" t="inlineStr">
        <is>
          <t>Arr</t>
        </is>
      </c>
      <c r="I4" s="62" t="inlineStr">
        <is>
          <t>STD local</t>
        </is>
      </c>
      <c r="J4" s="62" t="inlineStr">
        <is>
          <t>STA local</t>
        </is>
      </c>
      <c r="K4" s="62" t="inlineStr">
        <is>
          <t>Class assessed</t>
        </is>
      </c>
      <c r="L4" s="62" t="inlineStr">
        <is>
          <t>Fleet (schedule)</t>
        </is>
      </c>
      <c r="M4" s="62" t="inlineStr">
        <is>
          <t>Aircraft ref type (STD UPLIFT INFO)</t>
        </is>
      </c>
      <c r="N4" s="62" t="inlineStr">
        <is>
          <t>Tail / Reg (input)</t>
        </is>
      </c>
      <c r="O4" s="62" t="inlineStr">
        <is>
          <t>Seat</t>
        </is>
      </c>
      <c r="P4" s="62" t="inlineStr">
        <is>
          <t>Transit</t>
        </is>
      </c>
      <c r="Q4" s="62" t="inlineStr">
        <is>
          <t>Remark</t>
        </is>
      </c>
      <c r="R4" s="62" t="inlineStr">
        <is>
          <t>Sector key</t>
        </is>
      </c>
      <c r="S4" s="62" t="inlineStr">
        <is>
          <t>Region</t>
        </is>
      </c>
      <c r="T4" s="62" t="inlineStr">
        <is>
          <t>Service (ref)</t>
        </is>
      </c>
      <c r="U4" s="62" t="inlineStr">
        <is>
          <t>Ref uplift stns</t>
        </is>
      </c>
      <c r="V4" s="62" t="inlineStr">
        <is>
          <t>Meal uplift stn</t>
        </is>
      </c>
      <c r="W4" s="62" t="inlineStr">
        <is>
          <t>Round-trip catered from KUL: agenda candidate carrying flight</t>
        </is>
      </c>
      <c r="X4" s="62" t="inlineStr">
        <is>
          <t>Caterer (input)</t>
        </is>
      </c>
      <c r="Y4" s="62" t="inlineStr">
        <is>
          <t>Flight PIC (input)</t>
        </is>
      </c>
      <c r="Z4" s="62" t="inlineStr">
        <is>
          <t>Dep UTC offset (h)</t>
        </is>
      </c>
      <c r="AA4" s="62" t="inlineStr">
        <is>
          <t>STD UTC</t>
        </is>
      </c>
      <c r="AB4" s="62" t="inlineStr">
        <is>
          <t>Block time (h)</t>
        </is>
      </c>
      <c r="AC4" s="62" t="inlineStr">
        <is>
          <t>T-7D due UTC</t>
        </is>
      </c>
      <c r="AD4" s="62" t="inlineStr">
        <is>
          <t>T-24H due UTC</t>
        </is>
      </c>
      <c r="AE4" s="62" t="inlineStr">
        <is>
          <t>T-12H prep due UTC</t>
        </is>
      </c>
      <c r="AF4" s="62" t="inlineStr">
        <is>
          <t>Uplift due UTC (= STD)</t>
        </is>
      </c>
      <c r="AG4" s="62" t="inlineStr">
        <is>
          <t>T-7D due local (meal uplift stn)</t>
        </is>
      </c>
      <c r="AH4" s="62" t="inlineStr">
        <is>
          <t>T-24H due local</t>
        </is>
      </c>
      <c r="AI4" s="62" t="inlineStr">
        <is>
          <t>T-12H prep due local</t>
        </is>
      </c>
      <c r="AJ4" s="62" t="inlineStr">
        <is>
          <t>T-7D %</t>
        </is>
      </c>
      <c r="AK4" s="62" t="inlineStr">
        <is>
          <t>T-24H %</t>
        </is>
      </c>
      <c r="AL4" s="62" t="inlineStr">
        <is>
          <t>T-12H prep %</t>
        </is>
      </c>
      <c r="AM4" s="62" t="inlineStr">
        <is>
          <t>Uplift %</t>
        </is>
      </c>
      <c r="AN4" s="62" t="inlineStr">
        <is>
          <t>Overall %</t>
        </is>
      </c>
      <c r="AO4" s="62" t="inlineStr">
        <is>
          <t>Open required checks</t>
        </is>
      </c>
      <c r="AP4" s="62" t="inlineStr">
        <is>
          <t>Overdue</t>
        </is>
      </c>
      <c r="AQ4" s="62" t="inlineStr">
        <is>
          <t>Open discrepancies</t>
        </is>
      </c>
      <c r="AR4" s="62" t="inlineStr">
        <is>
          <t>Docs outstanding</t>
        </is>
      </c>
      <c r="AS4" s="62" t="inlineStr">
        <is>
          <t>Clarifications open</t>
        </is>
      </c>
      <c r="AT4" s="62" t="inlineStr">
        <is>
          <t>READINESS</t>
        </is>
      </c>
      <c r="AU4" s="62" t="inlineStr">
        <is>
          <t>Invalid entries</t>
        </is>
      </c>
      <c r="AV4" s="62" t="inlineStr">
        <is>
          <t>Checks completed</t>
        </is>
      </c>
      <c r="AW4" s="62" t="inlineStr">
        <is>
          <t>Checks in scope</t>
        </is>
      </c>
      <c r="AX4" s="62" t="inlineStr">
        <is>
          <t>Inbound carrying flight: KUL departure (UTC, input)</t>
        </is>
      </c>
      <c r="AY4" s="62" t="inlineStr">
        <is>
          <t>KUL loading deadline for KUL-sourced items (UTC)</t>
        </is>
      </c>
    </row>
    <row r="5" ht="36" customHeight="1">
      <c r="A5" s="63" t="inlineStr">
        <is>
          <t>F01</t>
        </is>
      </c>
      <c r="B5" s="63" t="n">
        <v>1</v>
      </c>
      <c r="C5" s="63" t="n">
        <v>1</v>
      </c>
      <c r="D5" s="64" t="n">
        <v>46303</v>
      </c>
      <c r="E5" s="63" t="inlineStr">
        <is>
          <t>THU</t>
        </is>
      </c>
      <c r="F5" s="63" t="inlineStr">
        <is>
          <t>MH0001</t>
        </is>
      </c>
      <c r="G5" s="63" t="inlineStr">
        <is>
          <t>LHR</t>
        </is>
      </c>
      <c r="H5" s="63" t="inlineStr">
        <is>
          <t>KUL</t>
        </is>
      </c>
      <c r="I5" s="65" t="n">
        <v>46303.89930555555</v>
      </c>
      <c r="J5" s="65" t="n">
        <v>46304.74305555555</v>
      </c>
      <c r="K5" s="63" t="inlineStr">
        <is>
          <t>EY</t>
        </is>
      </c>
      <c r="L5" s="66" t="inlineStr">
        <is>
          <t>A350</t>
        </is>
      </c>
      <c r="M5" s="63" t="inlineStr">
        <is>
          <t>A350-900: A359 (9M-MAB..MAG, row 6) or A350 9M-MAH (row 7) - tail to confirm</t>
        </is>
      </c>
      <c r="N5" s="66" t="n"/>
      <c r="O5" s="63" t="inlineStr">
        <is>
          <t>14C</t>
        </is>
      </c>
      <c r="P5" s="63" t="inlineStr">
        <is>
          <t>-</t>
        </is>
      </c>
      <c r="Q5" s="63" t="inlineStr"/>
      <c r="R5" s="63" t="inlineStr">
        <is>
          <t>KUL/LHR/KUL</t>
        </is>
      </c>
      <c r="S5" s="63" t="inlineStr">
        <is>
          <t>EUR</t>
        </is>
      </c>
      <c r="T5" s="63" t="inlineStr">
        <is>
          <t>2.5 Meal (Meal)</t>
        </is>
      </c>
      <c r="U5" s="63" t="inlineStr">
        <is>
          <t>KUL/LHR</t>
        </is>
      </c>
      <c r="V5" s="63" t="inlineStr">
        <is>
          <t>LHR</t>
        </is>
      </c>
      <c r="W5" s="63" t="inlineStr"/>
      <c r="X5" s="66" t="n"/>
      <c r="Y5" s="66" t="n"/>
      <c r="Z5" s="67">
        <f>IF(AND(INDEX(TZ_DSTS,MATCH(G5,TZ_STN,0))&lt;&gt;"",(I5-INDEX(TZ_STD,MATCH(G5,TZ_STN,0))/24)&gt;=INDEX(TZ_DSTS,MATCH(G5,TZ_STN,0)),(I5-INDEX(TZ_STD,MATCH(G5,TZ_STN,0))/24)&lt;INDEX(TZ_DSTE,MATCH(G5,TZ_STN,0))),INDEX(TZ_DST,MATCH(G5,TZ_STN,0)),INDEX(TZ_STD,MATCH(G5,TZ_STN,0)))</f>
        <v/>
      </c>
      <c r="AA5" s="68">
        <f>I5-Z5/24</f>
        <v/>
      </c>
      <c r="AB5" s="69">
        <f>(J5-(IF(AND(INDEX(TZ_DSTS,MATCH(H5,TZ_STN,0))&lt;&gt;"",(J5-INDEX(TZ_STD,MATCH(H5,TZ_STN,0))/24)&gt;=INDEX(TZ_DSTS,MATCH(H5,TZ_STN,0)),(J5-INDEX(TZ_STD,MATCH(H5,TZ_STN,0))/24)&lt;INDEX(TZ_DSTE,MATCH(H5,TZ_STN,0))),INDEX(TZ_DST,MATCH(H5,TZ_STN,0)),INDEX(TZ_STD,MATCH(H5,TZ_STN,0))))/24-AA5)*24</f>
        <v/>
      </c>
      <c r="AC5" s="68">
        <f>AA5-7</f>
        <v/>
      </c>
      <c r="AD5" s="68">
        <f>AA5-1</f>
        <v/>
      </c>
      <c r="AE5" s="68">
        <f>AA5-0.5</f>
        <v/>
      </c>
      <c r="AF5" s="68">
        <f>AA5</f>
        <v/>
      </c>
      <c r="AG5" s="68">
        <f>AC5+(IF(AND(INDEX(TZ_DSTS,MATCH(V5,TZ_STN,0))&lt;&gt;"",AC5&gt;=INDEX(TZ_DSTS,MATCH(V5,TZ_STN,0)),AC5&lt;INDEX(TZ_DSTE,MATCH(V5,TZ_STN,0))),INDEX(TZ_DST,MATCH(V5,TZ_STN,0)),INDEX(TZ_STD,MATCH(V5,TZ_STN,0))))/24</f>
        <v/>
      </c>
      <c r="AH5" s="68">
        <f>AD5+(IF(AND(INDEX(TZ_DSTS,MATCH(V5,TZ_STN,0))&lt;&gt;"",AD5&gt;=INDEX(TZ_DSTS,MATCH(V5,TZ_STN,0)),AD5&lt;INDEX(TZ_DSTE,MATCH(V5,TZ_STN,0))),INDEX(TZ_DST,MATCH(V5,TZ_STN,0)),INDEX(TZ_STD,MATCH(V5,TZ_STN,0))))/24</f>
        <v/>
      </c>
      <c r="AI5" s="68">
        <f>AE5+(IF(AND(INDEX(TZ_DSTS,MATCH(V5,TZ_STN,0))&lt;&gt;"",AE5&gt;=INDEX(TZ_DSTS,MATCH(V5,TZ_STN,0)),AE5&lt;INDEX(TZ_DSTE,MATCH(V5,TZ_STN,0))),INDEX(TZ_DST,MATCH(V5,TZ_STN,0)),INDEX(TZ_STD,MATCH(V5,TZ_STN,0))))/24</f>
        <v/>
      </c>
      <c r="AJ5" s="70">
        <f>IFERROR(SUMIFS(Checks!$AJ$5:$AJ$748,Checks!$B$5:$B$748,$A5,Checks!$G$5:$G$748,"T-7D")/SUMIFS(Checks!$AI$5:$AI$748,Checks!$B$5:$B$748,$A5,Checks!$G$5:$G$748,"T-7D"),"n/a")</f>
        <v/>
      </c>
      <c r="AK5" s="70">
        <f>IFERROR(SUMIFS(Checks!$AJ$5:$AJ$748,Checks!$B$5:$B$748,$A5,Checks!$G$5:$G$748,"T-24H")/SUMIFS(Checks!$AI$5:$AI$748,Checks!$B$5:$B$748,$A5,Checks!$G$5:$G$748,"T-24H"),"n/a")</f>
        <v/>
      </c>
      <c r="AL5" s="70">
        <f>IFERROR(SUMIFS(Checks!$AJ$5:$AJ$748,Checks!$B$5:$B$748,$A5,Checks!$G$5:$G$748,"T-12H PREP")/SUMIFS(Checks!$AI$5:$AI$748,Checks!$B$5:$B$748,$A5,Checks!$G$5:$G$748,"T-12H PREP"),"n/a")</f>
        <v/>
      </c>
      <c r="AM5" s="70">
        <f>IFERROR(SUMIFS(Checks!$AJ$5:$AJ$748,Checks!$B$5:$B$748,$A5,Checks!$G$5:$G$748,"UPLIFT")/SUMIFS(Checks!$AI$5:$AI$748,Checks!$B$5:$B$748,$A5,Checks!$G$5:$G$748,"UPLIFT"),"n/a")</f>
        <v/>
      </c>
      <c r="AN5" s="70">
        <f>IFERROR(SUMIFS(Checks!$AJ$5:$AJ$748,Checks!$B$5:$B$748,$A5)/SUMIFS(Checks!$AI$5:$AI$748,Checks!$B$5:$B$748,$A5),"n/a")</f>
        <v/>
      </c>
      <c r="AO5" s="67">
        <f>AW5-AV5</f>
        <v/>
      </c>
      <c r="AP5" s="67">
        <f>SUMIFS(Checks!$AK$5:$AK$748,Checks!$B$5:$B$748,$A5)</f>
        <v/>
      </c>
      <c r="AQ5" s="67">
        <f>SUMIFS(Checks!$AL$5:$AL$748,Checks!$B$5:$B$748,$A5)</f>
        <v/>
      </c>
      <c r="AR5" s="67">
        <f>Documents!P5</f>
        <v/>
      </c>
      <c r="AS5" s="67">
        <f>SUMIFS(Checks!$AN$5:$AN$748,Checks!$B$5:$B$748,$A5)</f>
        <v/>
      </c>
      <c r="AT5" s="71">
        <f>IF(AND(AW5&gt;0,AO5=0,AQ5=0,AR5=0,AU5=0),"READY",IF(AP5&gt;0,"NOT READY – OVERDUE",IF(AQ5&gt;0,"NOT READY – DISCREPANCY",IF(AU5&gt;0,"NOT READY – INVALID ENTRY",IF(AR5&gt;0,"NOT READY – DOCUMENTS OUTSTANDING",IF(AS5&gt;0,"NOT READY – CLARIFICATION OPEN",IF(AND(AV5&gt;0,SUMIFS(Checks!$AJ$5:$AJ$748,Checks!$B$5:$B$748,$A5,Checks!$H$5:$H$748,"Preparation")=SUMIFS(Checks!$AI$5:$AI$748,Checks!$B$5:$B$748,$A5,Checks!$H$5:$H$748,"Preparation")),"PREP DONE – AWAITING UPLIFT",IF(AV5=0,"NOT STARTED","IN PROGRESS"))))))))</f>
        <v/>
      </c>
      <c r="AU5" s="67">
        <f>SUMIFS(Checks!$AM$5:$AM$748,Checks!$B$5:$B$748,$A5)</f>
        <v/>
      </c>
      <c r="AV5" s="67">
        <f>SUMIFS(Checks!$AJ$5:$AJ$748,Checks!$B$5:$B$748,$A5)</f>
        <v/>
      </c>
      <c r="AW5" s="67">
        <f>SUMIFS(Checks!$AI$5:$AI$748,Checks!$B$5:$B$748,$A5)</f>
        <v/>
      </c>
      <c r="AX5" s="68" t="inlineStr">
        <is>
          <t>n/a</t>
        </is>
      </c>
      <c r="AY5" s="68" t="inlineStr">
        <is>
          <t>n/a</t>
        </is>
      </c>
    </row>
    <row r="6" ht="36" customHeight="1">
      <c r="A6" s="63" t="inlineStr">
        <is>
          <t>F02</t>
        </is>
      </c>
      <c r="B6" s="63" t="n">
        <v>1</v>
      </c>
      <c r="C6" s="63" t="n">
        <v>2</v>
      </c>
      <c r="D6" s="64" t="n">
        <v>46304</v>
      </c>
      <c r="E6" s="63" t="inlineStr">
        <is>
          <t>FRI</t>
        </is>
      </c>
      <c r="F6" s="63" t="inlineStr">
        <is>
          <t>MH0727</t>
        </is>
      </c>
      <c r="G6" s="63" t="inlineStr">
        <is>
          <t>KUL</t>
        </is>
      </c>
      <c r="H6" s="63" t="inlineStr">
        <is>
          <t>CGK</t>
        </is>
      </c>
      <c r="I6" s="65" t="n">
        <v>46304.90972222222</v>
      </c>
      <c r="J6" s="65" t="n">
        <v>46304.96180555555</v>
      </c>
      <c r="K6" s="63" t="inlineStr">
        <is>
          <t>BC</t>
        </is>
      </c>
      <c r="L6" s="66" t="inlineStr">
        <is>
          <t>B738MAX</t>
        </is>
      </c>
      <c r="M6" s="63" t="inlineStr">
        <is>
          <t>B737-8 (B7M8)</t>
        </is>
      </c>
      <c r="N6" s="66" t="n"/>
      <c r="O6" s="63" t="inlineStr">
        <is>
          <t>1C</t>
        </is>
      </c>
      <c r="P6" s="63" t="inlineStr">
        <is>
          <t>4H 00M</t>
        </is>
      </c>
      <c r="Q6" s="63" t="inlineStr">
        <is>
          <t>Overnight CGK</t>
        </is>
      </c>
      <c r="R6" s="63" t="inlineStr">
        <is>
          <t>KUL/CGK/KUL</t>
        </is>
      </c>
      <c r="S6" s="63" t="inlineStr">
        <is>
          <t>ASEAN</t>
        </is>
      </c>
      <c r="T6" s="63" t="inlineStr">
        <is>
          <t>1 Meal (Meal)</t>
        </is>
      </c>
      <c r="U6" s="63" t="inlineStr">
        <is>
          <t>KUL/CGK</t>
        </is>
      </c>
      <c r="V6" s="63" t="inlineStr">
        <is>
          <t>KUL</t>
        </is>
      </c>
      <c r="W6" s="63" t="inlineStr"/>
      <c r="X6" s="66" t="n"/>
      <c r="Y6" s="66" t="n"/>
      <c r="Z6" s="67">
        <f>IF(AND(INDEX(TZ_DSTS,MATCH(G6,TZ_STN,0))&lt;&gt;"",(I6-INDEX(TZ_STD,MATCH(G6,TZ_STN,0))/24)&gt;=INDEX(TZ_DSTS,MATCH(G6,TZ_STN,0)),(I6-INDEX(TZ_STD,MATCH(G6,TZ_STN,0))/24)&lt;INDEX(TZ_DSTE,MATCH(G6,TZ_STN,0))),INDEX(TZ_DST,MATCH(G6,TZ_STN,0)),INDEX(TZ_STD,MATCH(G6,TZ_STN,0)))</f>
        <v/>
      </c>
      <c r="AA6" s="68">
        <f>I6-Z6/24</f>
        <v/>
      </c>
      <c r="AB6" s="69">
        <f>(J6-(IF(AND(INDEX(TZ_DSTS,MATCH(H6,TZ_STN,0))&lt;&gt;"",(J6-INDEX(TZ_STD,MATCH(H6,TZ_STN,0))/24)&gt;=INDEX(TZ_DSTS,MATCH(H6,TZ_STN,0)),(J6-INDEX(TZ_STD,MATCH(H6,TZ_STN,0))/24)&lt;INDEX(TZ_DSTE,MATCH(H6,TZ_STN,0))),INDEX(TZ_DST,MATCH(H6,TZ_STN,0)),INDEX(TZ_STD,MATCH(H6,TZ_STN,0))))/24-AA6)*24</f>
        <v/>
      </c>
      <c r="AC6" s="68">
        <f>AA6-7</f>
        <v/>
      </c>
      <c r="AD6" s="68">
        <f>AA6-1</f>
        <v/>
      </c>
      <c r="AE6" s="68">
        <f>AA6-0.5</f>
        <v/>
      </c>
      <c r="AF6" s="68">
        <f>AA6</f>
        <v/>
      </c>
      <c r="AG6" s="68">
        <f>AC6+(IF(AND(INDEX(TZ_DSTS,MATCH(V6,TZ_STN,0))&lt;&gt;"",AC6&gt;=INDEX(TZ_DSTS,MATCH(V6,TZ_STN,0)),AC6&lt;INDEX(TZ_DSTE,MATCH(V6,TZ_STN,0))),INDEX(TZ_DST,MATCH(V6,TZ_STN,0)),INDEX(TZ_STD,MATCH(V6,TZ_STN,0))))/24</f>
        <v/>
      </c>
      <c r="AH6" s="68">
        <f>AD6+(IF(AND(INDEX(TZ_DSTS,MATCH(V6,TZ_STN,0))&lt;&gt;"",AD6&gt;=INDEX(TZ_DSTS,MATCH(V6,TZ_STN,0)),AD6&lt;INDEX(TZ_DSTE,MATCH(V6,TZ_STN,0))),INDEX(TZ_DST,MATCH(V6,TZ_STN,0)),INDEX(TZ_STD,MATCH(V6,TZ_STN,0))))/24</f>
        <v/>
      </c>
      <c r="AI6" s="68">
        <f>AE6+(IF(AND(INDEX(TZ_DSTS,MATCH(V6,TZ_STN,0))&lt;&gt;"",AE6&gt;=INDEX(TZ_DSTS,MATCH(V6,TZ_STN,0)),AE6&lt;INDEX(TZ_DSTE,MATCH(V6,TZ_STN,0))),INDEX(TZ_DST,MATCH(V6,TZ_STN,0)),INDEX(TZ_STD,MATCH(V6,TZ_STN,0))))/24</f>
        <v/>
      </c>
      <c r="AJ6" s="70">
        <f>IFERROR(SUMIFS(Checks!$AJ$5:$AJ$748,Checks!$B$5:$B$748,$A6,Checks!$G$5:$G$748,"T-7D")/SUMIFS(Checks!$AI$5:$AI$748,Checks!$B$5:$B$748,$A6,Checks!$G$5:$G$748,"T-7D"),"n/a")</f>
        <v/>
      </c>
      <c r="AK6" s="70">
        <f>IFERROR(SUMIFS(Checks!$AJ$5:$AJ$748,Checks!$B$5:$B$748,$A6,Checks!$G$5:$G$748,"T-24H")/SUMIFS(Checks!$AI$5:$AI$748,Checks!$B$5:$B$748,$A6,Checks!$G$5:$G$748,"T-24H"),"n/a")</f>
        <v/>
      </c>
      <c r="AL6" s="70">
        <f>IFERROR(SUMIFS(Checks!$AJ$5:$AJ$748,Checks!$B$5:$B$748,$A6,Checks!$G$5:$G$748,"T-12H PREP")/SUMIFS(Checks!$AI$5:$AI$748,Checks!$B$5:$B$748,$A6,Checks!$G$5:$G$748,"T-12H PREP"),"n/a")</f>
        <v/>
      </c>
      <c r="AM6" s="70">
        <f>IFERROR(SUMIFS(Checks!$AJ$5:$AJ$748,Checks!$B$5:$B$748,$A6,Checks!$G$5:$G$748,"UPLIFT")/SUMIFS(Checks!$AI$5:$AI$748,Checks!$B$5:$B$748,$A6,Checks!$G$5:$G$748,"UPLIFT"),"n/a")</f>
        <v/>
      </c>
      <c r="AN6" s="70">
        <f>IFERROR(SUMIFS(Checks!$AJ$5:$AJ$748,Checks!$B$5:$B$748,$A6)/SUMIFS(Checks!$AI$5:$AI$748,Checks!$B$5:$B$748,$A6),"n/a")</f>
        <v/>
      </c>
      <c r="AO6" s="67">
        <f>AW6-AV6</f>
        <v/>
      </c>
      <c r="AP6" s="67">
        <f>SUMIFS(Checks!$AK$5:$AK$748,Checks!$B$5:$B$748,$A6)</f>
        <v/>
      </c>
      <c r="AQ6" s="67">
        <f>SUMIFS(Checks!$AL$5:$AL$748,Checks!$B$5:$B$748,$A6)</f>
        <v/>
      </c>
      <c r="AR6" s="67">
        <f>Documents!P6</f>
        <v/>
      </c>
      <c r="AS6" s="67">
        <f>SUMIFS(Checks!$AN$5:$AN$748,Checks!$B$5:$B$748,$A6)</f>
        <v/>
      </c>
      <c r="AT6" s="71">
        <f>IF(AND(AW6&gt;0,AO6=0,AQ6=0,AR6=0,AU6=0),"READY",IF(AP6&gt;0,"NOT READY – OVERDUE",IF(AQ6&gt;0,"NOT READY – DISCREPANCY",IF(AU6&gt;0,"NOT READY – INVALID ENTRY",IF(AR6&gt;0,"NOT READY – DOCUMENTS OUTSTANDING",IF(AS6&gt;0,"NOT READY – CLARIFICATION OPEN",IF(AND(AV6&gt;0,SUMIFS(Checks!$AJ$5:$AJ$748,Checks!$B$5:$B$748,$A6,Checks!$H$5:$H$748,"Preparation")=SUMIFS(Checks!$AI$5:$AI$748,Checks!$B$5:$B$748,$A6,Checks!$H$5:$H$748,"Preparation")),"PREP DONE – AWAITING UPLIFT",IF(AV6=0,"NOT STARTED","IN PROGRESS"))))))))</f>
        <v/>
      </c>
      <c r="AU6" s="67">
        <f>SUMIFS(Checks!$AM$5:$AM$748,Checks!$B$5:$B$748,$A6)</f>
        <v/>
      </c>
      <c r="AV6" s="67">
        <f>SUMIFS(Checks!$AJ$5:$AJ$748,Checks!$B$5:$B$748,$A6)</f>
        <v/>
      </c>
      <c r="AW6" s="67">
        <f>SUMIFS(Checks!$AI$5:$AI$748,Checks!$B$5:$B$748,$A6)</f>
        <v/>
      </c>
      <c r="AX6" s="68" t="inlineStr">
        <is>
          <t>n/a</t>
        </is>
      </c>
      <c r="AY6" s="68" t="inlineStr">
        <is>
          <t>n/a</t>
        </is>
      </c>
    </row>
    <row r="7" ht="36" customHeight="1">
      <c r="A7" s="63" t="inlineStr">
        <is>
          <t>F03</t>
        </is>
      </c>
      <c r="B7" s="63" t="n">
        <v>1</v>
      </c>
      <c r="C7" s="63" t="n">
        <v>3</v>
      </c>
      <c r="D7" s="64" t="n">
        <v>46305</v>
      </c>
      <c r="E7" s="63" t="inlineStr">
        <is>
          <t>SAT</t>
        </is>
      </c>
      <c r="F7" s="63" t="inlineStr">
        <is>
          <t>MH0720</t>
        </is>
      </c>
      <c r="G7" s="63" t="inlineStr">
        <is>
          <t>CGK</t>
        </is>
      </c>
      <c r="H7" s="63" t="inlineStr">
        <is>
          <t>KUL</t>
        </is>
      </c>
      <c r="I7" s="65" t="n">
        <v>46305.67013888889</v>
      </c>
      <c r="J7" s="65" t="n">
        <v>46305.80902777778</v>
      </c>
      <c r="K7" s="63" t="inlineStr">
        <is>
          <t>EY</t>
        </is>
      </c>
      <c r="L7" s="66" t="inlineStr">
        <is>
          <t>A333</t>
        </is>
      </c>
      <c r="M7" s="63" t="inlineStr">
        <is>
          <t>A330-300 (A333)</t>
        </is>
      </c>
      <c r="N7" s="66" t="n"/>
      <c r="O7" s="63" t="inlineStr">
        <is>
          <t>11C</t>
        </is>
      </c>
      <c r="P7" s="63" t="inlineStr">
        <is>
          <t>-</t>
        </is>
      </c>
      <c r="Q7" s="63" t="inlineStr"/>
      <c r="R7" s="63" t="inlineStr">
        <is>
          <t>KUL/CGK/KUL</t>
        </is>
      </c>
      <c r="S7" s="63" t="inlineStr">
        <is>
          <t>ASEAN</t>
        </is>
      </c>
      <c r="T7" s="63" t="inlineStr">
        <is>
          <t>1 Meal (Meal)</t>
        </is>
      </c>
      <c r="U7" s="63" t="inlineStr">
        <is>
          <t>KUL/CGK</t>
        </is>
      </c>
      <c r="V7" s="63" t="inlineStr">
        <is>
          <t>CGK</t>
        </is>
      </c>
      <c r="W7" s="63" t="inlineStr"/>
      <c r="X7" s="66" t="n"/>
      <c r="Y7" s="66" t="n"/>
      <c r="Z7" s="67">
        <f>IF(AND(INDEX(TZ_DSTS,MATCH(G7,TZ_STN,0))&lt;&gt;"",(I7-INDEX(TZ_STD,MATCH(G7,TZ_STN,0))/24)&gt;=INDEX(TZ_DSTS,MATCH(G7,TZ_STN,0)),(I7-INDEX(TZ_STD,MATCH(G7,TZ_STN,0))/24)&lt;INDEX(TZ_DSTE,MATCH(G7,TZ_STN,0))),INDEX(TZ_DST,MATCH(G7,TZ_STN,0)),INDEX(TZ_STD,MATCH(G7,TZ_STN,0)))</f>
        <v/>
      </c>
      <c r="AA7" s="68">
        <f>I7-Z7/24</f>
        <v/>
      </c>
      <c r="AB7" s="69">
        <f>(J7-(IF(AND(INDEX(TZ_DSTS,MATCH(H7,TZ_STN,0))&lt;&gt;"",(J7-INDEX(TZ_STD,MATCH(H7,TZ_STN,0))/24)&gt;=INDEX(TZ_DSTS,MATCH(H7,TZ_STN,0)),(J7-INDEX(TZ_STD,MATCH(H7,TZ_STN,0))/24)&lt;INDEX(TZ_DSTE,MATCH(H7,TZ_STN,0))),INDEX(TZ_DST,MATCH(H7,TZ_STN,0)),INDEX(TZ_STD,MATCH(H7,TZ_STN,0))))/24-AA7)*24</f>
        <v/>
      </c>
      <c r="AC7" s="68">
        <f>AA7-7</f>
        <v/>
      </c>
      <c r="AD7" s="68">
        <f>AA7-1</f>
        <v/>
      </c>
      <c r="AE7" s="68">
        <f>AA7-0.5</f>
        <v/>
      </c>
      <c r="AF7" s="68">
        <f>AA7</f>
        <v/>
      </c>
      <c r="AG7" s="68">
        <f>AC7+(IF(AND(INDEX(TZ_DSTS,MATCH(V7,TZ_STN,0))&lt;&gt;"",AC7&gt;=INDEX(TZ_DSTS,MATCH(V7,TZ_STN,0)),AC7&lt;INDEX(TZ_DSTE,MATCH(V7,TZ_STN,0))),INDEX(TZ_DST,MATCH(V7,TZ_STN,0)),INDEX(TZ_STD,MATCH(V7,TZ_STN,0))))/24</f>
        <v/>
      </c>
      <c r="AH7" s="68">
        <f>AD7+(IF(AND(INDEX(TZ_DSTS,MATCH(V7,TZ_STN,0))&lt;&gt;"",AD7&gt;=INDEX(TZ_DSTS,MATCH(V7,TZ_STN,0)),AD7&lt;INDEX(TZ_DSTE,MATCH(V7,TZ_STN,0))),INDEX(TZ_DST,MATCH(V7,TZ_STN,0)),INDEX(TZ_STD,MATCH(V7,TZ_STN,0))))/24</f>
        <v/>
      </c>
      <c r="AI7" s="68">
        <f>AE7+(IF(AND(INDEX(TZ_DSTS,MATCH(V7,TZ_STN,0))&lt;&gt;"",AE7&gt;=INDEX(TZ_DSTS,MATCH(V7,TZ_STN,0)),AE7&lt;INDEX(TZ_DSTE,MATCH(V7,TZ_STN,0))),INDEX(TZ_DST,MATCH(V7,TZ_STN,0)),INDEX(TZ_STD,MATCH(V7,TZ_STN,0))))/24</f>
        <v/>
      </c>
      <c r="AJ7" s="70">
        <f>IFERROR(SUMIFS(Checks!$AJ$5:$AJ$748,Checks!$B$5:$B$748,$A7,Checks!$G$5:$G$748,"T-7D")/SUMIFS(Checks!$AI$5:$AI$748,Checks!$B$5:$B$748,$A7,Checks!$G$5:$G$748,"T-7D"),"n/a")</f>
        <v/>
      </c>
      <c r="AK7" s="70">
        <f>IFERROR(SUMIFS(Checks!$AJ$5:$AJ$748,Checks!$B$5:$B$748,$A7,Checks!$G$5:$G$748,"T-24H")/SUMIFS(Checks!$AI$5:$AI$748,Checks!$B$5:$B$748,$A7,Checks!$G$5:$G$748,"T-24H"),"n/a")</f>
        <v/>
      </c>
      <c r="AL7" s="70">
        <f>IFERROR(SUMIFS(Checks!$AJ$5:$AJ$748,Checks!$B$5:$B$748,$A7,Checks!$G$5:$G$748,"T-12H PREP")/SUMIFS(Checks!$AI$5:$AI$748,Checks!$B$5:$B$748,$A7,Checks!$G$5:$G$748,"T-12H PREP"),"n/a")</f>
        <v/>
      </c>
      <c r="AM7" s="70">
        <f>IFERROR(SUMIFS(Checks!$AJ$5:$AJ$748,Checks!$B$5:$B$748,$A7,Checks!$G$5:$G$748,"UPLIFT")/SUMIFS(Checks!$AI$5:$AI$748,Checks!$B$5:$B$748,$A7,Checks!$G$5:$G$748,"UPLIFT"),"n/a")</f>
        <v/>
      </c>
      <c r="AN7" s="70">
        <f>IFERROR(SUMIFS(Checks!$AJ$5:$AJ$748,Checks!$B$5:$B$748,$A7)/SUMIFS(Checks!$AI$5:$AI$748,Checks!$B$5:$B$748,$A7),"n/a")</f>
        <v/>
      </c>
      <c r="AO7" s="67">
        <f>AW7-AV7</f>
        <v/>
      </c>
      <c r="AP7" s="67">
        <f>SUMIFS(Checks!$AK$5:$AK$748,Checks!$B$5:$B$748,$A7)</f>
        <v/>
      </c>
      <c r="AQ7" s="67">
        <f>SUMIFS(Checks!$AL$5:$AL$748,Checks!$B$5:$B$748,$A7)</f>
        <v/>
      </c>
      <c r="AR7" s="67">
        <f>Documents!P7</f>
        <v/>
      </c>
      <c r="AS7" s="67">
        <f>SUMIFS(Checks!$AN$5:$AN$748,Checks!$B$5:$B$748,$A7)</f>
        <v/>
      </c>
      <c r="AT7" s="71">
        <f>IF(AND(AW7&gt;0,AO7=0,AQ7=0,AR7=0,AU7=0),"READY",IF(AP7&gt;0,"NOT READY – OVERDUE",IF(AQ7&gt;0,"NOT READY – DISCREPANCY",IF(AU7&gt;0,"NOT READY – INVALID ENTRY",IF(AR7&gt;0,"NOT READY – DOCUMENTS OUTSTANDING",IF(AS7&gt;0,"NOT READY – CLARIFICATION OPEN",IF(AND(AV7&gt;0,SUMIFS(Checks!$AJ$5:$AJ$748,Checks!$B$5:$B$748,$A7,Checks!$H$5:$H$748,"Preparation")=SUMIFS(Checks!$AI$5:$AI$748,Checks!$B$5:$B$748,$A7,Checks!$H$5:$H$748,"Preparation")),"PREP DONE – AWAITING UPLIFT",IF(AV7=0,"NOT STARTED","IN PROGRESS"))))))))</f>
        <v/>
      </c>
      <c r="AU7" s="67">
        <f>SUMIFS(Checks!$AM$5:$AM$748,Checks!$B$5:$B$748,$A7)</f>
        <v/>
      </c>
      <c r="AV7" s="67">
        <f>SUMIFS(Checks!$AJ$5:$AJ$748,Checks!$B$5:$B$748,$A7)</f>
        <v/>
      </c>
      <c r="AW7" s="67">
        <f>SUMIFS(Checks!$AI$5:$AI$748,Checks!$B$5:$B$748,$A7)</f>
        <v/>
      </c>
      <c r="AX7" s="68" t="inlineStr">
        <is>
          <t>n/a</t>
        </is>
      </c>
      <c r="AY7" s="68" t="inlineStr">
        <is>
          <t>n/a</t>
        </is>
      </c>
    </row>
    <row r="8" ht="36" customHeight="1">
      <c r="A8" s="63" t="inlineStr">
        <is>
          <t>F04</t>
        </is>
      </c>
      <c r="B8" s="63" t="n">
        <v>1</v>
      </c>
      <c r="C8" s="63" t="n">
        <v>4</v>
      </c>
      <c r="D8" s="64" t="n">
        <v>46305</v>
      </c>
      <c r="E8" s="63" t="inlineStr">
        <is>
          <t>SAT</t>
        </is>
      </c>
      <c r="F8" s="63" t="inlineStr">
        <is>
          <t>MH0088</t>
        </is>
      </c>
      <c r="G8" s="63" t="inlineStr">
        <is>
          <t>KUL</t>
        </is>
      </c>
      <c r="H8" s="63" t="inlineStr">
        <is>
          <t>NRT</t>
        </is>
      </c>
      <c r="I8" s="65" t="n">
        <v>46305.97916666666</v>
      </c>
      <c r="J8" s="65" t="n">
        <v>46306.31944444445</v>
      </c>
      <c r="K8" s="63" t="inlineStr">
        <is>
          <t>BC</t>
        </is>
      </c>
      <c r="L8" s="66" t="inlineStr">
        <is>
          <t>A350</t>
        </is>
      </c>
      <c r="M8" s="63" t="inlineStr">
        <is>
          <t>A350-900: A359 (9M-MAB..MAG, row 6) or A350 9M-MAH (row 7) - tail to confirm</t>
        </is>
      </c>
      <c r="N8" s="66" t="n"/>
      <c r="O8" s="63" t="inlineStr">
        <is>
          <t>1A</t>
        </is>
      </c>
      <c r="P8" s="63" t="inlineStr">
        <is>
          <t>4H 05M</t>
        </is>
      </c>
      <c r="Q8" s="63" t="inlineStr">
        <is>
          <t>Overnight NRT</t>
        </is>
      </c>
      <c r="R8" s="63" t="inlineStr">
        <is>
          <t>KUL/NRT/KUL</t>
        </is>
      </c>
      <c r="S8" s="63" t="inlineStr">
        <is>
          <t>NORTH ASIA</t>
        </is>
      </c>
      <c r="T8" s="63" t="inlineStr">
        <is>
          <t>1.5 Meal (Meal)</t>
        </is>
      </c>
      <c r="U8" s="63" t="inlineStr">
        <is>
          <t>KUL/NRT</t>
        </is>
      </c>
      <c r="V8" s="63" t="inlineStr">
        <is>
          <t>KUL</t>
        </is>
      </c>
      <c r="W8" s="63" t="inlineStr"/>
      <c r="X8" s="66" t="n"/>
      <c r="Y8" s="66" t="n"/>
      <c r="Z8" s="67">
        <f>IF(AND(INDEX(TZ_DSTS,MATCH(G8,TZ_STN,0))&lt;&gt;"",(I8-INDEX(TZ_STD,MATCH(G8,TZ_STN,0))/24)&gt;=INDEX(TZ_DSTS,MATCH(G8,TZ_STN,0)),(I8-INDEX(TZ_STD,MATCH(G8,TZ_STN,0))/24)&lt;INDEX(TZ_DSTE,MATCH(G8,TZ_STN,0))),INDEX(TZ_DST,MATCH(G8,TZ_STN,0)),INDEX(TZ_STD,MATCH(G8,TZ_STN,0)))</f>
        <v/>
      </c>
      <c r="AA8" s="68">
        <f>I8-Z8/24</f>
        <v/>
      </c>
      <c r="AB8" s="69">
        <f>(J8-(IF(AND(INDEX(TZ_DSTS,MATCH(H8,TZ_STN,0))&lt;&gt;"",(J8-INDEX(TZ_STD,MATCH(H8,TZ_STN,0))/24)&gt;=INDEX(TZ_DSTS,MATCH(H8,TZ_STN,0)),(J8-INDEX(TZ_STD,MATCH(H8,TZ_STN,0))/24)&lt;INDEX(TZ_DSTE,MATCH(H8,TZ_STN,0))),INDEX(TZ_DST,MATCH(H8,TZ_STN,0)),INDEX(TZ_STD,MATCH(H8,TZ_STN,0))))/24-AA8)*24</f>
        <v/>
      </c>
      <c r="AC8" s="68">
        <f>AA8-7</f>
        <v/>
      </c>
      <c r="AD8" s="68">
        <f>AA8-1</f>
        <v/>
      </c>
      <c r="AE8" s="68">
        <f>AA8-0.5</f>
        <v/>
      </c>
      <c r="AF8" s="68">
        <f>AA8</f>
        <v/>
      </c>
      <c r="AG8" s="68">
        <f>AC8+(IF(AND(INDEX(TZ_DSTS,MATCH(V8,TZ_STN,0))&lt;&gt;"",AC8&gt;=INDEX(TZ_DSTS,MATCH(V8,TZ_STN,0)),AC8&lt;INDEX(TZ_DSTE,MATCH(V8,TZ_STN,0))),INDEX(TZ_DST,MATCH(V8,TZ_STN,0)),INDEX(TZ_STD,MATCH(V8,TZ_STN,0))))/24</f>
        <v/>
      </c>
      <c r="AH8" s="68">
        <f>AD8+(IF(AND(INDEX(TZ_DSTS,MATCH(V8,TZ_STN,0))&lt;&gt;"",AD8&gt;=INDEX(TZ_DSTS,MATCH(V8,TZ_STN,0)),AD8&lt;INDEX(TZ_DSTE,MATCH(V8,TZ_STN,0))),INDEX(TZ_DST,MATCH(V8,TZ_STN,0)),INDEX(TZ_STD,MATCH(V8,TZ_STN,0))))/24</f>
        <v/>
      </c>
      <c r="AI8" s="68">
        <f>AE8+(IF(AND(INDEX(TZ_DSTS,MATCH(V8,TZ_STN,0))&lt;&gt;"",AE8&gt;=INDEX(TZ_DSTS,MATCH(V8,TZ_STN,0)),AE8&lt;INDEX(TZ_DSTE,MATCH(V8,TZ_STN,0))),INDEX(TZ_DST,MATCH(V8,TZ_STN,0)),INDEX(TZ_STD,MATCH(V8,TZ_STN,0))))/24</f>
        <v/>
      </c>
      <c r="AJ8" s="70">
        <f>IFERROR(SUMIFS(Checks!$AJ$5:$AJ$748,Checks!$B$5:$B$748,$A8,Checks!$G$5:$G$748,"T-7D")/SUMIFS(Checks!$AI$5:$AI$748,Checks!$B$5:$B$748,$A8,Checks!$G$5:$G$748,"T-7D"),"n/a")</f>
        <v/>
      </c>
      <c r="AK8" s="70">
        <f>IFERROR(SUMIFS(Checks!$AJ$5:$AJ$748,Checks!$B$5:$B$748,$A8,Checks!$G$5:$G$748,"T-24H")/SUMIFS(Checks!$AI$5:$AI$748,Checks!$B$5:$B$748,$A8,Checks!$G$5:$G$748,"T-24H"),"n/a")</f>
        <v/>
      </c>
      <c r="AL8" s="70">
        <f>IFERROR(SUMIFS(Checks!$AJ$5:$AJ$748,Checks!$B$5:$B$748,$A8,Checks!$G$5:$G$748,"T-12H PREP")/SUMIFS(Checks!$AI$5:$AI$748,Checks!$B$5:$B$748,$A8,Checks!$G$5:$G$748,"T-12H PREP"),"n/a")</f>
        <v/>
      </c>
      <c r="AM8" s="70">
        <f>IFERROR(SUMIFS(Checks!$AJ$5:$AJ$748,Checks!$B$5:$B$748,$A8,Checks!$G$5:$G$748,"UPLIFT")/SUMIFS(Checks!$AI$5:$AI$748,Checks!$B$5:$B$748,$A8,Checks!$G$5:$G$748,"UPLIFT"),"n/a")</f>
        <v/>
      </c>
      <c r="AN8" s="70">
        <f>IFERROR(SUMIFS(Checks!$AJ$5:$AJ$748,Checks!$B$5:$B$748,$A8)/SUMIFS(Checks!$AI$5:$AI$748,Checks!$B$5:$B$748,$A8),"n/a")</f>
        <v/>
      </c>
      <c r="AO8" s="67">
        <f>AW8-AV8</f>
        <v/>
      </c>
      <c r="AP8" s="67">
        <f>SUMIFS(Checks!$AK$5:$AK$748,Checks!$B$5:$B$748,$A8)</f>
        <v/>
      </c>
      <c r="AQ8" s="67">
        <f>SUMIFS(Checks!$AL$5:$AL$748,Checks!$B$5:$B$748,$A8)</f>
        <v/>
      </c>
      <c r="AR8" s="67">
        <f>Documents!P8</f>
        <v/>
      </c>
      <c r="AS8" s="67">
        <f>SUMIFS(Checks!$AN$5:$AN$748,Checks!$B$5:$B$748,$A8)</f>
        <v/>
      </c>
      <c r="AT8" s="71">
        <f>IF(AND(AW8&gt;0,AO8=0,AQ8=0,AR8=0,AU8=0),"READY",IF(AP8&gt;0,"NOT READY – OVERDUE",IF(AQ8&gt;0,"NOT READY – DISCREPANCY",IF(AU8&gt;0,"NOT READY – INVALID ENTRY",IF(AR8&gt;0,"NOT READY – DOCUMENTS OUTSTANDING",IF(AS8&gt;0,"NOT READY – CLARIFICATION OPEN",IF(AND(AV8&gt;0,SUMIFS(Checks!$AJ$5:$AJ$748,Checks!$B$5:$B$748,$A8,Checks!$H$5:$H$748,"Preparation")=SUMIFS(Checks!$AI$5:$AI$748,Checks!$B$5:$B$748,$A8,Checks!$H$5:$H$748,"Preparation")),"PREP DONE – AWAITING UPLIFT",IF(AV8=0,"NOT STARTED","IN PROGRESS"))))))))</f>
        <v/>
      </c>
      <c r="AU8" s="67">
        <f>SUMIFS(Checks!$AM$5:$AM$748,Checks!$B$5:$B$748,$A8)</f>
        <v/>
      </c>
      <c r="AV8" s="67">
        <f>SUMIFS(Checks!$AJ$5:$AJ$748,Checks!$B$5:$B$748,$A8)</f>
        <v/>
      </c>
      <c r="AW8" s="67">
        <f>SUMIFS(Checks!$AI$5:$AI$748,Checks!$B$5:$B$748,$A8)</f>
        <v/>
      </c>
      <c r="AX8" s="68" t="inlineStr">
        <is>
          <t>n/a</t>
        </is>
      </c>
      <c r="AY8" s="68" t="inlineStr">
        <is>
          <t>n/a</t>
        </is>
      </c>
    </row>
    <row r="9" ht="36" customHeight="1">
      <c r="A9" s="63" t="inlineStr">
        <is>
          <t>F05</t>
        </is>
      </c>
      <c r="B9" s="63" t="n">
        <v>1</v>
      </c>
      <c r="C9" s="63" t="n">
        <v>5</v>
      </c>
      <c r="D9" s="64" t="n">
        <v>46310</v>
      </c>
      <c r="E9" s="63" t="inlineStr">
        <is>
          <t>THU</t>
        </is>
      </c>
      <c r="F9" s="63" t="inlineStr">
        <is>
          <t>MH0089</t>
        </is>
      </c>
      <c r="G9" s="63" t="inlineStr">
        <is>
          <t>NRT</t>
        </is>
      </c>
      <c r="H9" s="63" t="inlineStr">
        <is>
          <t>KUL</t>
        </is>
      </c>
      <c r="I9" s="65" t="n">
        <v>46310.42013888889</v>
      </c>
      <c r="J9" s="65" t="n">
        <v>46310.69791666666</v>
      </c>
      <c r="K9" s="63" t="inlineStr">
        <is>
          <t>EY</t>
        </is>
      </c>
      <c r="L9" s="66" t="inlineStr">
        <is>
          <t>A350</t>
        </is>
      </c>
      <c r="M9" s="63" t="inlineStr">
        <is>
          <t>A350-900: A359 (9M-MAB..MAG, row 6) or A350 9M-MAH (row 7) - tail to confirm</t>
        </is>
      </c>
      <c r="N9" s="66" t="n"/>
      <c r="O9" s="63" t="inlineStr">
        <is>
          <t>9K</t>
        </is>
      </c>
      <c r="P9" s="63" t="inlineStr">
        <is>
          <t>-</t>
        </is>
      </c>
      <c r="Q9" s="63" t="inlineStr"/>
      <c r="R9" s="63" t="inlineStr">
        <is>
          <t>KUL/NRT/KUL</t>
        </is>
      </c>
      <c r="S9" s="63" t="inlineStr">
        <is>
          <t>NORTH ASIA</t>
        </is>
      </c>
      <c r="T9" s="63" t="inlineStr">
        <is>
          <t>1.5 Meal (Meal)</t>
        </is>
      </c>
      <c r="U9" s="63" t="inlineStr">
        <is>
          <t>KUL/NRT</t>
        </is>
      </c>
      <c r="V9" s="63" t="inlineStr">
        <is>
          <t>NRT</t>
        </is>
      </c>
      <c r="W9" s="63" t="inlineStr"/>
      <c r="X9" s="66" t="n"/>
      <c r="Y9" s="66" t="n"/>
      <c r="Z9" s="67">
        <f>IF(AND(INDEX(TZ_DSTS,MATCH(G9,TZ_STN,0))&lt;&gt;"",(I9-INDEX(TZ_STD,MATCH(G9,TZ_STN,0))/24)&gt;=INDEX(TZ_DSTS,MATCH(G9,TZ_STN,0)),(I9-INDEX(TZ_STD,MATCH(G9,TZ_STN,0))/24)&lt;INDEX(TZ_DSTE,MATCH(G9,TZ_STN,0))),INDEX(TZ_DST,MATCH(G9,TZ_STN,0)),INDEX(TZ_STD,MATCH(G9,TZ_STN,0)))</f>
        <v/>
      </c>
      <c r="AA9" s="68">
        <f>I9-Z9/24</f>
        <v/>
      </c>
      <c r="AB9" s="69">
        <f>(J9-(IF(AND(INDEX(TZ_DSTS,MATCH(H9,TZ_STN,0))&lt;&gt;"",(J9-INDEX(TZ_STD,MATCH(H9,TZ_STN,0))/24)&gt;=INDEX(TZ_DSTS,MATCH(H9,TZ_STN,0)),(J9-INDEX(TZ_STD,MATCH(H9,TZ_STN,0))/24)&lt;INDEX(TZ_DSTE,MATCH(H9,TZ_STN,0))),INDEX(TZ_DST,MATCH(H9,TZ_STN,0)),INDEX(TZ_STD,MATCH(H9,TZ_STN,0))))/24-AA9)*24</f>
        <v/>
      </c>
      <c r="AC9" s="68">
        <f>AA9-7</f>
        <v/>
      </c>
      <c r="AD9" s="68">
        <f>AA9-1</f>
        <v/>
      </c>
      <c r="AE9" s="68">
        <f>AA9-0.5</f>
        <v/>
      </c>
      <c r="AF9" s="68">
        <f>AA9</f>
        <v/>
      </c>
      <c r="AG9" s="68">
        <f>AC9+(IF(AND(INDEX(TZ_DSTS,MATCH(V9,TZ_STN,0))&lt;&gt;"",AC9&gt;=INDEX(TZ_DSTS,MATCH(V9,TZ_STN,0)),AC9&lt;INDEX(TZ_DSTE,MATCH(V9,TZ_STN,0))),INDEX(TZ_DST,MATCH(V9,TZ_STN,0)),INDEX(TZ_STD,MATCH(V9,TZ_STN,0))))/24</f>
        <v/>
      </c>
      <c r="AH9" s="68">
        <f>AD9+(IF(AND(INDEX(TZ_DSTS,MATCH(V9,TZ_STN,0))&lt;&gt;"",AD9&gt;=INDEX(TZ_DSTS,MATCH(V9,TZ_STN,0)),AD9&lt;INDEX(TZ_DSTE,MATCH(V9,TZ_STN,0))),INDEX(TZ_DST,MATCH(V9,TZ_STN,0)),INDEX(TZ_STD,MATCH(V9,TZ_STN,0))))/24</f>
        <v/>
      </c>
      <c r="AI9" s="68">
        <f>AE9+(IF(AND(INDEX(TZ_DSTS,MATCH(V9,TZ_STN,0))&lt;&gt;"",AE9&gt;=INDEX(TZ_DSTS,MATCH(V9,TZ_STN,0)),AE9&lt;INDEX(TZ_DSTE,MATCH(V9,TZ_STN,0))),INDEX(TZ_DST,MATCH(V9,TZ_STN,0)),INDEX(TZ_STD,MATCH(V9,TZ_STN,0))))/24</f>
        <v/>
      </c>
      <c r="AJ9" s="70">
        <f>IFERROR(SUMIFS(Checks!$AJ$5:$AJ$748,Checks!$B$5:$B$748,$A9,Checks!$G$5:$G$748,"T-7D")/SUMIFS(Checks!$AI$5:$AI$748,Checks!$B$5:$B$748,$A9,Checks!$G$5:$G$748,"T-7D"),"n/a")</f>
        <v/>
      </c>
      <c r="AK9" s="70">
        <f>IFERROR(SUMIFS(Checks!$AJ$5:$AJ$748,Checks!$B$5:$B$748,$A9,Checks!$G$5:$G$748,"T-24H")/SUMIFS(Checks!$AI$5:$AI$748,Checks!$B$5:$B$748,$A9,Checks!$G$5:$G$748,"T-24H"),"n/a")</f>
        <v/>
      </c>
      <c r="AL9" s="70">
        <f>IFERROR(SUMIFS(Checks!$AJ$5:$AJ$748,Checks!$B$5:$B$748,$A9,Checks!$G$5:$G$748,"T-12H PREP")/SUMIFS(Checks!$AI$5:$AI$748,Checks!$B$5:$B$748,$A9,Checks!$G$5:$G$748,"T-12H PREP"),"n/a")</f>
        <v/>
      </c>
      <c r="AM9" s="70">
        <f>IFERROR(SUMIFS(Checks!$AJ$5:$AJ$748,Checks!$B$5:$B$748,$A9,Checks!$G$5:$G$748,"UPLIFT")/SUMIFS(Checks!$AI$5:$AI$748,Checks!$B$5:$B$748,$A9,Checks!$G$5:$G$748,"UPLIFT"),"n/a")</f>
        <v/>
      </c>
      <c r="AN9" s="70">
        <f>IFERROR(SUMIFS(Checks!$AJ$5:$AJ$748,Checks!$B$5:$B$748,$A9)/SUMIFS(Checks!$AI$5:$AI$748,Checks!$B$5:$B$748,$A9),"n/a")</f>
        <v/>
      </c>
      <c r="AO9" s="67">
        <f>AW9-AV9</f>
        <v/>
      </c>
      <c r="AP9" s="67">
        <f>SUMIFS(Checks!$AK$5:$AK$748,Checks!$B$5:$B$748,$A9)</f>
        <v/>
      </c>
      <c r="AQ9" s="67">
        <f>SUMIFS(Checks!$AL$5:$AL$748,Checks!$B$5:$B$748,$A9)</f>
        <v/>
      </c>
      <c r="AR9" s="67">
        <f>Documents!P9</f>
        <v/>
      </c>
      <c r="AS9" s="67">
        <f>SUMIFS(Checks!$AN$5:$AN$748,Checks!$B$5:$B$748,$A9)</f>
        <v/>
      </c>
      <c r="AT9" s="71">
        <f>IF(AND(AW9&gt;0,AO9=0,AQ9=0,AR9=0,AU9=0),"READY",IF(AP9&gt;0,"NOT READY – OVERDUE",IF(AQ9&gt;0,"NOT READY – DISCREPANCY",IF(AU9&gt;0,"NOT READY – INVALID ENTRY",IF(AR9&gt;0,"NOT READY – DOCUMENTS OUTSTANDING",IF(AS9&gt;0,"NOT READY – CLARIFICATION OPEN",IF(AND(AV9&gt;0,SUMIFS(Checks!$AJ$5:$AJ$748,Checks!$B$5:$B$748,$A9,Checks!$H$5:$H$748,"Preparation")=SUMIFS(Checks!$AI$5:$AI$748,Checks!$B$5:$B$748,$A9,Checks!$H$5:$H$748,"Preparation")),"PREP DONE – AWAITING UPLIFT",IF(AV9=0,"NOT STARTED","IN PROGRESS"))))))))</f>
        <v/>
      </c>
      <c r="AU9" s="67">
        <f>SUMIFS(Checks!$AM$5:$AM$748,Checks!$B$5:$B$748,$A9)</f>
        <v/>
      </c>
      <c r="AV9" s="67">
        <f>SUMIFS(Checks!$AJ$5:$AJ$748,Checks!$B$5:$B$748,$A9)</f>
        <v/>
      </c>
      <c r="AW9" s="67">
        <f>SUMIFS(Checks!$AI$5:$AI$748,Checks!$B$5:$B$748,$A9)</f>
        <v/>
      </c>
      <c r="AX9" s="72" t="n"/>
      <c r="AY9" s="68">
        <f>IF(ISNUMBER(AX9),AX9,AA9-MIN($AB$8)/24)-UpliftWindowH/24</f>
        <v/>
      </c>
    </row>
    <row r="10" ht="36" customHeight="1">
      <c r="A10" s="63" t="inlineStr">
        <is>
          <t>F06</t>
        </is>
      </c>
      <c r="B10" s="63" t="n">
        <v>1</v>
      </c>
      <c r="C10" s="63" t="n">
        <v>6</v>
      </c>
      <c r="D10" s="64" t="n">
        <v>46310</v>
      </c>
      <c r="E10" s="63" t="inlineStr">
        <is>
          <t>THU</t>
        </is>
      </c>
      <c r="F10" s="63" t="inlineStr">
        <is>
          <t>MH0002</t>
        </is>
      </c>
      <c r="G10" s="63" t="inlineStr">
        <is>
          <t>KUL</t>
        </is>
      </c>
      <c r="H10" s="63" t="inlineStr">
        <is>
          <t>LHR</t>
        </is>
      </c>
      <c r="I10" s="65" t="n">
        <v>46310.97222222222</v>
      </c>
      <c r="J10" s="65" t="n">
        <v>46311.24652777778</v>
      </c>
      <c r="K10" s="63" t="inlineStr">
        <is>
          <t>BC</t>
        </is>
      </c>
      <c r="L10" s="66" t="inlineStr">
        <is>
          <t>A350</t>
        </is>
      </c>
      <c r="M10" s="63" t="inlineStr">
        <is>
          <t>A350-900: A359 (9M-MAB..MAG, row 6) or A350 9M-MAH (row 7) - tail to confirm</t>
        </is>
      </c>
      <c r="N10" s="66" t="n"/>
      <c r="O10" s="63" t="inlineStr">
        <is>
          <t>2K</t>
        </is>
      </c>
      <c r="P10" s="63" t="inlineStr">
        <is>
          <t>6H 35M</t>
        </is>
      </c>
      <c r="Q10" s="63" t="inlineStr"/>
      <c r="R10" s="63" t="inlineStr">
        <is>
          <t>KUL/LHR/KUL</t>
        </is>
      </c>
      <c r="S10" s="63" t="inlineStr">
        <is>
          <t>EUR</t>
        </is>
      </c>
      <c r="T10" s="63" t="inlineStr">
        <is>
          <t>2.5 Meal (Meal)</t>
        </is>
      </c>
      <c r="U10" s="63" t="inlineStr">
        <is>
          <t>KUL/LHR</t>
        </is>
      </c>
      <c r="V10" s="63" t="inlineStr">
        <is>
          <t>KUL</t>
        </is>
      </c>
      <c r="W10" s="63" t="inlineStr"/>
      <c r="X10" s="66" t="n"/>
      <c r="Y10" s="66" t="n"/>
      <c r="Z10" s="67">
        <f>IF(AND(INDEX(TZ_DSTS,MATCH(G10,TZ_STN,0))&lt;&gt;"",(I10-INDEX(TZ_STD,MATCH(G10,TZ_STN,0))/24)&gt;=INDEX(TZ_DSTS,MATCH(G10,TZ_STN,0)),(I10-INDEX(TZ_STD,MATCH(G10,TZ_STN,0))/24)&lt;INDEX(TZ_DSTE,MATCH(G10,TZ_STN,0))),INDEX(TZ_DST,MATCH(G10,TZ_STN,0)),INDEX(TZ_STD,MATCH(G10,TZ_STN,0)))</f>
        <v/>
      </c>
      <c r="AA10" s="68">
        <f>I10-Z10/24</f>
        <v/>
      </c>
      <c r="AB10" s="69">
        <f>(J10-(IF(AND(INDEX(TZ_DSTS,MATCH(H10,TZ_STN,0))&lt;&gt;"",(J10-INDEX(TZ_STD,MATCH(H10,TZ_STN,0))/24)&gt;=INDEX(TZ_DSTS,MATCH(H10,TZ_STN,0)),(J10-INDEX(TZ_STD,MATCH(H10,TZ_STN,0))/24)&lt;INDEX(TZ_DSTE,MATCH(H10,TZ_STN,0))),INDEX(TZ_DST,MATCH(H10,TZ_STN,0)),INDEX(TZ_STD,MATCH(H10,TZ_STN,0))))/24-AA10)*24</f>
        <v/>
      </c>
      <c r="AC10" s="68">
        <f>AA10-7</f>
        <v/>
      </c>
      <c r="AD10" s="68">
        <f>AA10-1</f>
        <v/>
      </c>
      <c r="AE10" s="68">
        <f>AA10-0.5</f>
        <v/>
      </c>
      <c r="AF10" s="68">
        <f>AA10</f>
        <v/>
      </c>
      <c r="AG10" s="68">
        <f>AC10+(IF(AND(INDEX(TZ_DSTS,MATCH(V10,TZ_STN,0))&lt;&gt;"",AC10&gt;=INDEX(TZ_DSTS,MATCH(V10,TZ_STN,0)),AC10&lt;INDEX(TZ_DSTE,MATCH(V10,TZ_STN,0))),INDEX(TZ_DST,MATCH(V10,TZ_STN,0)),INDEX(TZ_STD,MATCH(V10,TZ_STN,0))))/24</f>
        <v/>
      </c>
      <c r="AH10" s="68">
        <f>AD10+(IF(AND(INDEX(TZ_DSTS,MATCH(V10,TZ_STN,0))&lt;&gt;"",AD10&gt;=INDEX(TZ_DSTS,MATCH(V10,TZ_STN,0)),AD10&lt;INDEX(TZ_DSTE,MATCH(V10,TZ_STN,0))),INDEX(TZ_DST,MATCH(V10,TZ_STN,0)),INDEX(TZ_STD,MATCH(V10,TZ_STN,0))))/24</f>
        <v/>
      </c>
      <c r="AI10" s="68">
        <f>AE10+(IF(AND(INDEX(TZ_DSTS,MATCH(V10,TZ_STN,0))&lt;&gt;"",AE10&gt;=INDEX(TZ_DSTS,MATCH(V10,TZ_STN,0)),AE10&lt;INDEX(TZ_DSTE,MATCH(V10,TZ_STN,0))),INDEX(TZ_DST,MATCH(V10,TZ_STN,0)),INDEX(TZ_STD,MATCH(V10,TZ_STN,0))))/24</f>
        <v/>
      </c>
      <c r="AJ10" s="70">
        <f>IFERROR(SUMIFS(Checks!$AJ$5:$AJ$748,Checks!$B$5:$B$748,$A10,Checks!$G$5:$G$748,"T-7D")/SUMIFS(Checks!$AI$5:$AI$748,Checks!$B$5:$B$748,$A10,Checks!$G$5:$G$748,"T-7D"),"n/a")</f>
        <v/>
      </c>
      <c r="AK10" s="70">
        <f>IFERROR(SUMIFS(Checks!$AJ$5:$AJ$748,Checks!$B$5:$B$748,$A10,Checks!$G$5:$G$748,"T-24H")/SUMIFS(Checks!$AI$5:$AI$748,Checks!$B$5:$B$748,$A10,Checks!$G$5:$G$748,"T-24H"),"n/a")</f>
        <v/>
      </c>
      <c r="AL10" s="70">
        <f>IFERROR(SUMIFS(Checks!$AJ$5:$AJ$748,Checks!$B$5:$B$748,$A10,Checks!$G$5:$G$748,"T-12H PREP")/SUMIFS(Checks!$AI$5:$AI$748,Checks!$B$5:$B$748,$A10,Checks!$G$5:$G$748,"T-12H PREP"),"n/a")</f>
        <v/>
      </c>
      <c r="AM10" s="70">
        <f>IFERROR(SUMIFS(Checks!$AJ$5:$AJ$748,Checks!$B$5:$B$748,$A10,Checks!$G$5:$G$748,"UPLIFT")/SUMIFS(Checks!$AI$5:$AI$748,Checks!$B$5:$B$748,$A10,Checks!$G$5:$G$748,"UPLIFT"),"n/a")</f>
        <v/>
      </c>
      <c r="AN10" s="70">
        <f>IFERROR(SUMIFS(Checks!$AJ$5:$AJ$748,Checks!$B$5:$B$748,$A10)/SUMIFS(Checks!$AI$5:$AI$748,Checks!$B$5:$B$748,$A10),"n/a")</f>
        <v/>
      </c>
      <c r="AO10" s="67">
        <f>AW10-AV10</f>
        <v/>
      </c>
      <c r="AP10" s="67">
        <f>SUMIFS(Checks!$AK$5:$AK$748,Checks!$B$5:$B$748,$A10)</f>
        <v/>
      </c>
      <c r="AQ10" s="67">
        <f>SUMIFS(Checks!$AL$5:$AL$748,Checks!$B$5:$B$748,$A10)</f>
        <v/>
      </c>
      <c r="AR10" s="67">
        <f>Documents!P10</f>
        <v/>
      </c>
      <c r="AS10" s="67">
        <f>SUMIFS(Checks!$AN$5:$AN$748,Checks!$B$5:$B$748,$A10)</f>
        <v/>
      </c>
      <c r="AT10" s="71">
        <f>IF(AND(AW10&gt;0,AO10=0,AQ10=0,AR10=0,AU10=0),"READY",IF(AP10&gt;0,"NOT READY – OVERDUE",IF(AQ10&gt;0,"NOT READY – DISCREPANCY",IF(AU10&gt;0,"NOT READY – INVALID ENTRY",IF(AR10&gt;0,"NOT READY – DOCUMENTS OUTSTANDING",IF(AS10&gt;0,"NOT READY – CLARIFICATION OPEN",IF(AND(AV10&gt;0,SUMIFS(Checks!$AJ$5:$AJ$748,Checks!$B$5:$B$748,$A10,Checks!$H$5:$H$748,"Preparation")=SUMIFS(Checks!$AI$5:$AI$748,Checks!$B$5:$B$748,$A10,Checks!$H$5:$H$748,"Preparation")),"PREP DONE – AWAITING UPLIFT",IF(AV10=0,"NOT STARTED","IN PROGRESS"))))))))</f>
        <v/>
      </c>
      <c r="AU10" s="67">
        <f>SUMIFS(Checks!$AM$5:$AM$748,Checks!$B$5:$B$748,$A10)</f>
        <v/>
      </c>
      <c r="AV10" s="67">
        <f>SUMIFS(Checks!$AJ$5:$AJ$748,Checks!$B$5:$B$748,$A10)</f>
        <v/>
      </c>
      <c r="AW10" s="67">
        <f>SUMIFS(Checks!$AI$5:$AI$748,Checks!$B$5:$B$748,$A10)</f>
        <v/>
      </c>
      <c r="AX10" s="68" t="inlineStr">
        <is>
          <t>n/a</t>
        </is>
      </c>
      <c r="AY10" s="68" t="inlineStr">
        <is>
          <t>n/a</t>
        </is>
      </c>
    </row>
    <row r="11" ht="36" customHeight="1">
      <c r="A11" s="63" t="inlineStr">
        <is>
          <t>F07</t>
        </is>
      </c>
      <c r="B11" s="63" t="n">
        <v>2</v>
      </c>
      <c r="C11" s="63" t="n">
        <v>7</v>
      </c>
      <c r="D11" s="64" t="n">
        <v>46304</v>
      </c>
      <c r="E11" s="63" t="inlineStr">
        <is>
          <t>FRI</t>
        </is>
      </c>
      <c r="F11" s="63" t="inlineStr">
        <is>
          <t>MH0003</t>
        </is>
      </c>
      <c r="G11" s="63" t="inlineStr">
        <is>
          <t>LHR</t>
        </is>
      </c>
      <c r="H11" s="63" t="inlineStr">
        <is>
          <t>KUL</t>
        </is>
      </c>
      <c r="I11" s="65" t="n">
        <v>46304.45833333334</v>
      </c>
      <c r="J11" s="65" t="n">
        <v>46305.28125</v>
      </c>
      <c r="K11" s="63" t="inlineStr">
        <is>
          <t>BC</t>
        </is>
      </c>
      <c r="L11" s="66" t="inlineStr">
        <is>
          <t>A350</t>
        </is>
      </c>
      <c r="M11" s="63" t="inlineStr">
        <is>
          <t>A350-900: A359 (9M-MAB..MAG, row 6) or A350 9M-MAH (row 7) - tail to confirm</t>
        </is>
      </c>
      <c r="N11" s="66" t="n"/>
      <c r="O11" s="63" t="inlineStr">
        <is>
          <t>2A</t>
        </is>
      </c>
      <c r="P11" s="63" t="inlineStr">
        <is>
          <t>-</t>
        </is>
      </c>
      <c r="Q11" s="63" t="inlineStr"/>
      <c r="R11" s="63" t="inlineStr">
        <is>
          <t>KUL/LHR/KUL</t>
        </is>
      </c>
      <c r="S11" s="63" t="inlineStr">
        <is>
          <t>EUR</t>
        </is>
      </c>
      <c r="T11" s="63" t="inlineStr">
        <is>
          <t>2.5 Meal (Meal)</t>
        </is>
      </c>
      <c r="U11" s="63" t="inlineStr">
        <is>
          <t>KUL/LHR</t>
        </is>
      </c>
      <c r="V11" s="63" t="inlineStr">
        <is>
          <t>LHR</t>
        </is>
      </c>
      <c r="W11" s="63" t="inlineStr"/>
      <c r="X11" s="66" t="n"/>
      <c r="Y11" s="66" t="n"/>
      <c r="Z11" s="67">
        <f>IF(AND(INDEX(TZ_DSTS,MATCH(G11,TZ_STN,0))&lt;&gt;"",(I11-INDEX(TZ_STD,MATCH(G11,TZ_STN,0))/24)&gt;=INDEX(TZ_DSTS,MATCH(G11,TZ_STN,0)),(I11-INDEX(TZ_STD,MATCH(G11,TZ_STN,0))/24)&lt;INDEX(TZ_DSTE,MATCH(G11,TZ_STN,0))),INDEX(TZ_DST,MATCH(G11,TZ_STN,0)),INDEX(TZ_STD,MATCH(G11,TZ_STN,0)))</f>
        <v/>
      </c>
      <c r="AA11" s="68">
        <f>I11-Z11/24</f>
        <v/>
      </c>
      <c r="AB11" s="69">
        <f>(J11-(IF(AND(INDEX(TZ_DSTS,MATCH(H11,TZ_STN,0))&lt;&gt;"",(J11-INDEX(TZ_STD,MATCH(H11,TZ_STN,0))/24)&gt;=INDEX(TZ_DSTS,MATCH(H11,TZ_STN,0)),(J11-INDEX(TZ_STD,MATCH(H11,TZ_STN,0))/24)&lt;INDEX(TZ_DSTE,MATCH(H11,TZ_STN,0))),INDEX(TZ_DST,MATCH(H11,TZ_STN,0)),INDEX(TZ_STD,MATCH(H11,TZ_STN,0))))/24-AA11)*24</f>
        <v/>
      </c>
      <c r="AC11" s="68">
        <f>AA11-7</f>
        <v/>
      </c>
      <c r="AD11" s="68">
        <f>AA11-1</f>
        <v/>
      </c>
      <c r="AE11" s="68">
        <f>AA11-0.5</f>
        <v/>
      </c>
      <c r="AF11" s="68">
        <f>AA11</f>
        <v/>
      </c>
      <c r="AG11" s="68">
        <f>AC11+(IF(AND(INDEX(TZ_DSTS,MATCH(V11,TZ_STN,0))&lt;&gt;"",AC11&gt;=INDEX(TZ_DSTS,MATCH(V11,TZ_STN,0)),AC11&lt;INDEX(TZ_DSTE,MATCH(V11,TZ_STN,0))),INDEX(TZ_DST,MATCH(V11,TZ_STN,0)),INDEX(TZ_STD,MATCH(V11,TZ_STN,0))))/24</f>
        <v/>
      </c>
      <c r="AH11" s="68">
        <f>AD11+(IF(AND(INDEX(TZ_DSTS,MATCH(V11,TZ_STN,0))&lt;&gt;"",AD11&gt;=INDEX(TZ_DSTS,MATCH(V11,TZ_STN,0)),AD11&lt;INDEX(TZ_DSTE,MATCH(V11,TZ_STN,0))),INDEX(TZ_DST,MATCH(V11,TZ_STN,0)),INDEX(TZ_STD,MATCH(V11,TZ_STN,0))))/24</f>
        <v/>
      </c>
      <c r="AI11" s="68">
        <f>AE11+(IF(AND(INDEX(TZ_DSTS,MATCH(V11,TZ_STN,0))&lt;&gt;"",AE11&gt;=INDEX(TZ_DSTS,MATCH(V11,TZ_STN,0)),AE11&lt;INDEX(TZ_DSTE,MATCH(V11,TZ_STN,0))),INDEX(TZ_DST,MATCH(V11,TZ_STN,0)),INDEX(TZ_STD,MATCH(V11,TZ_STN,0))))/24</f>
        <v/>
      </c>
      <c r="AJ11" s="70">
        <f>IFERROR(SUMIFS(Checks!$AJ$5:$AJ$748,Checks!$B$5:$B$748,$A11,Checks!$G$5:$G$748,"T-7D")/SUMIFS(Checks!$AI$5:$AI$748,Checks!$B$5:$B$748,$A11,Checks!$G$5:$G$748,"T-7D"),"n/a")</f>
        <v/>
      </c>
      <c r="AK11" s="70">
        <f>IFERROR(SUMIFS(Checks!$AJ$5:$AJ$748,Checks!$B$5:$B$748,$A11,Checks!$G$5:$G$748,"T-24H")/SUMIFS(Checks!$AI$5:$AI$748,Checks!$B$5:$B$748,$A11,Checks!$G$5:$G$748,"T-24H"),"n/a")</f>
        <v/>
      </c>
      <c r="AL11" s="70">
        <f>IFERROR(SUMIFS(Checks!$AJ$5:$AJ$748,Checks!$B$5:$B$748,$A11,Checks!$G$5:$G$748,"T-12H PREP")/SUMIFS(Checks!$AI$5:$AI$748,Checks!$B$5:$B$748,$A11,Checks!$G$5:$G$748,"T-12H PREP"),"n/a")</f>
        <v/>
      </c>
      <c r="AM11" s="70">
        <f>IFERROR(SUMIFS(Checks!$AJ$5:$AJ$748,Checks!$B$5:$B$748,$A11,Checks!$G$5:$G$748,"UPLIFT")/SUMIFS(Checks!$AI$5:$AI$748,Checks!$B$5:$B$748,$A11,Checks!$G$5:$G$748,"UPLIFT"),"n/a")</f>
        <v/>
      </c>
      <c r="AN11" s="70">
        <f>IFERROR(SUMIFS(Checks!$AJ$5:$AJ$748,Checks!$B$5:$B$748,$A11)/SUMIFS(Checks!$AI$5:$AI$748,Checks!$B$5:$B$748,$A11),"n/a")</f>
        <v/>
      </c>
      <c r="AO11" s="67">
        <f>AW11-AV11</f>
        <v/>
      </c>
      <c r="AP11" s="67">
        <f>SUMIFS(Checks!$AK$5:$AK$748,Checks!$B$5:$B$748,$A11)</f>
        <v/>
      </c>
      <c r="AQ11" s="67">
        <f>SUMIFS(Checks!$AL$5:$AL$748,Checks!$B$5:$B$748,$A11)</f>
        <v/>
      </c>
      <c r="AR11" s="67">
        <f>Documents!P11</f>
        <v/>
      </c>
      <c r="AS11" s="67">
        <f>SUMIFS(Checks!$AN$5:$AN$748,Checks!$B$5:$B$748,$A11)</f>
        <v/>
      </c>
      <c r="AT11" s="71">
        <f>IF(AND(AW11&gt;0,AO11=0,AQ11=0,AR11=0,AU11=0),"READY",IF(AP11&gt;0,"NOT READY – OVERDUE",IF(AQ11&gt;0,"NOT READY – DISCREPANCY",IF(AU11&gt;0,"NOT READY – INVALID ENTRY",IF(AR11&gt;0,"NOT READY – DOCUMENTS OUTSTANDING",IF(AS11&gt;0,"NOT READY – CLARIFICATION OPEN",IF(AND(AV11&gt;0,SUMIFS(Checks!$AJ$5:$AJ$748,Checks!$B$5:$B$748,$A11,Checks!$H$5:$H$748,"Preparation")=SUMIFS(Checks!$AI$5:$AI$748,Checks!$B$5:$B$748,$A11,Checks!$H$5:$H$748,"Preparation")),"PREP DONE – AWAITING UPLIFT",IF(AV11=0,"NOT STARTED","IN PROGRESS"))))))))</f>
        <v/>
      </c>
      <c r="AU11" s="67">
        <f>SUMIFS(Checks!$AM$5:$AM$748,Checks!$B$5:$B$748,$A11)</f>
        <v/>
      </c>
      <c r="AV11" s="67">
        <f>SUMIFS(Checks!$AJ$5:$AJ$748,Checks!$B$5:$B$748,$A11)</f>
        <v/>
      </c>
      <c r="AW11" s="67">
        <f>SUMIFS(Checks!$AI$5:$AI$748,Checks!$B$5:$B$748,$A11)</f>
        <v/>
      </c>
      <c r="AX11" s="72" t="n"/>
      <c r="AY11" s="68">
        <f>IF(ISNUMBER(AX11),AX11,AA11-MIN($AB$10,$AB$18,$AB$26)/24)-UpliftWindowH/24</f>
        <v/>
      </c>
    </row>
    <row r="12" ht="36" customHeight="1">
      <c r="A12" s="63" t="inlineStr">
        <is>
          <t>F08</t>
        </is>
      </c>
      <c r="B12" s="63" t="n">
        <v>2</v>
      </c>
      <c r="C12" s="63" t="n">
        <v>8</v>
      </c>
      <c r="D12" s="64" t="n">
        <v>46305</v>
      </c>
      <c r="E12" s="63" t="inlineStr">
        <is>
          <t>SAT</t>
        </is>
      </c>
      <c r="F12" s="63" t="inlineStr">
        <is>
          <t>MH0752</t>
        </is>
      </c>
      <c r="G12" s="63" t="inlineStr">
        <is>
          <t>KUL</t>
        </is>
      </c>
      <c r="H12" s="63" t="inlineStr">
        <is>
          <t>HAN</t>
        </is>
      </c>
      <c r="I12" s="65" t="n">
        <v>46305.39930555555</v>
      </c>
      <c r="J12" s="65" t="n">
        <v>46305.51041666666</v>
      </c>
      <c r="K12" s="63" t="inlineStr">
        <is>
          <t>EY</t>
        </is>
      </c>
      <c r="L12" s="66" t="inlineStr">
        <is>
          <t>B738MAX</t>
        </is>
      </c>
      <c r="M12" s="63" t="inlineStr">
        <is>
          <t>B737-8 (B7M8)</t>
        </is>
      </c>
      <c r="N12" s="66" t="n"/>
      <c r="O12" s="63" t="inlineStr">
        <is>
          <t>4A</t>
        </is>
      </c>
      <c r="P12" s="63" t="inlineStr">
        <is>
          <t>2H 50M</t>
        </is>
      </c>
      <c r="Q12" s="63" t="inlineStr">
        <is>
          <t>Overnight HAN</t>
        </is>
      </c>
      <c r="R12" s="63" t="inlineStr">
        <is>
          <t>KUL/HAN/KUL</t>
        </is>
      </c>
      <c r="S12" s="63" t="inlineStr">
        <is>
          <t>ASEAN</t>
        </is>
      </c>
      <c r="T12" s="63" t="inlineStr">
        <is>
          <t>1 Meal (Meal)</t>
        </is>
      </c>
      <c r="U12" s="63" t="inlineStr">
        <is>
          <t>KUL/HAN</t>
        </is>
      </c>
      <c r="V12" s="63" t="inlineStr">
        <is>
          <t>KUL</t>
        </is>
      </c>
      <c r="W12" s="63" t="inlineStr"/>
      <c r="X12" s="66" t="n"/>
      <c r="Y12" s="66" t="n"/>
      <c r="Z12" s="67">
        <f>IF(AND(INDEX(TZ_DSTS,MATCH(G12,TZ_STN,0))&lt;&gt;"",(I12-INDEX(TZ_STD,MATCH(G12,TZ_STN,0))/24)&gt;=INDEX(TZ_DSTS,MATCH(G12,TZ_STN,0)),(I12-INDEX(TZ_STD,MATCH(G12,TZ_STN,0))/24)&lt;INDEX(TZ_DSTE,MATCH(G12,TZ_STN,0))),INDEX(TZ_DST,MATCH(G12,TZ_STN,0)),INDEX(TZ_STD,MATCH(G12,TZ_STN,0)))</f>
        <v/>
      </c>
      <c r="AA12" s="68">
        <f>I12-Z12/24</f>
        <v/>
      </c>
      <c r="AB12" s="69">
        <f>(J12-(IF(AND(INDEX(TZ_DSTS,MATCH(H12,TZ_STN,0))&lt;&gt;"",(J12-INDEX(TZ_STD,MATCH(H12,TZ_STN,0))/24)&gt;=INDEX(TZ_DSTS,MATCH(H12,TZ_STN,0)),(J12-INDEX(TZ_STD,MATCH(H12,TZ_STN,0))/24)&lt;INDEX(TZ_DSTE,MATCH(H12,TZ_STN,0))),INDEX(TZ_DST,MATCH(H12,TZ_STN,0)),INDEX(TZ_STD,MATCH(H12,TZ_STN,0))))/24-AA12)*24</f>
        <v/>
      </c>
      <c r="AC12" s="68">
        <f>AA12-7</f>
        <v/>
      </c>
      <c r="AD12" s="68">
        <f>AA12-1</f>
        <v/>
      </c>
      <c r="AE12" s="68">
        <f>AA12-0.5</f>
        <v/>
      </c>
      <c r="AF12" s="68">
        <f>AA12</f>
        <v/>
      </c>
      <c r="AG12" s="68">
        <f>AC12+(IF(AND(INDEX(TZ_DSTS,MATCH(V12,TZ_STN,0))&lt;&gt;"",AC12&gt;=INDEX(TZ_DSTS,MATCH(V12,TZ_STN,0)),AC12&lt;INDEX(TZ_DSTE,MATCH(V12,TZ_STN,0))),INDEX(TZ_DST,MATCH(V12,TZ_STN,0)),INDEX(TZ_STD,MATCH(V12,TZ_STN,0))))/24</f>
        <v/>
      </c>
      <c r="AH12" s="68">
        <f>AD12+(IF(AND(INDEX(TZ_DSTS,MATCH(V12,TZ_STN,0))&lt;&gt;"",AD12&gt;=INDEX(TZ_DSTS,MATCH(V12,TZ_STN,0)),AD12&lt;INDEX(TZ_DSTE,MATCH(V12,TZ_STN,0))),INDEX(TZ_DST,MATCH(V12,TZ_STN,0)),INDEX(TZ_STD,MATCH(V12,TZ_STN,0))))/24</f>
        <v/>
      </c>
      <c r="AI12" s="68">
        <f>AE12+(IF(AND(INDEX(TZ_DSTS,MATCH(V12,TZ_STN,0))&lt;&gt;"",AE12&gt;=INDEX(TZ_DSTS,MATCH(V12,TZ_STN,0)),AE12&lt;INDEX(TZ_DSTE,MATCH(V12,TZ_STN,0))),INDEX(TZ_DST,MATCH(V12,TZ_STN,0)),INDEX(TZ_STD,MATCH(V12,TZ_STN,0))))/24</f>
        <v/>
      </c>
      <c r="AJ12" s="70">
        <f>IFERROR(SUMIFS(Checks!$AJ$5:$AJ$748,Checks!$B$5:$B$748,$A12,Checks!$G$5:$G$748,"T-7D")/SUMIFS(Checks!$AI$5:$AI$748,Checks!$B$5:$B$748,$A12,Checks!$G$5:$G$748,"T-7D"),"n/a")</f>
        <v/>
      </c>
      <c r="AK12" s="70">
        <f>IFERROR(SUMIFS(Checks!$AJ$5:$AJ$748,Checks!$B$5:$B$748,$A12,Checks!$G$5:$G$748,"T-24H")/SUMIFS(Checks!$AI$5:$AI$748,Checks!$B$5:$B$748,$A12,Checks!$G$5:$G$748,"T-24H"),"n/a")</f>
        <v/>
      </c>
      <c r="AL12" s="70">
        <f>IFERROR(SUMIFS(Checks!$AJ$5:$AJ$748,Checks!$B$5:$B$748,$A12,Checks!$G$5:$G$748,"T-12H PREP")/SUMIFS(Checks!$AI$5:$AI$748,Checks!$B$5:$B$748,$A12,Checks!$G$5:$G$748,"T-12H PREP"),"n/a")</f>
        <v/>
      </c>
      <c r="AM12" s="70">
        <f>IFERROR(SUMIFS(Checks!$AJ$5:$AJ$748,Checks!$B$5:$B$748,$A12,Checks!$G$5:$G$748,"UPLIFT")/SUMIFS(Checks!$AI$5:$AI$748,Checks!$B$5:$B$748,$A12,Checks!$G$5:$G$748,"UPLIFT"),"n/a")</f>
        <v/>
      </c>
      <c r="AN12" s="70">
        <f>IFERROR(SUMIFS(Checks!$AJ$5:$AJ$748,Checks!$B$5:$B$748,$A12)/SUMIFS(Checks!$AI$5:$AI$748,Checks!$B$5:$B$748,$A12),"n/a")</f>
        <v/>
      </c>
      <c r="AO12" s="67">
        <f>AW12-AV12</f>
        <v/>
      </c>
      <c r="AP12" s="67">
        <f>SUMIFS(Checks!$AK$5:$AK$748,Checks!$B$5:$B$748,$A12)</f>
        <v/>
      </c>
      <c r="AQ12" s="67">
        <f>SUMIFS(Checks!$AL$5:$AL$748,Checks!$B$5:$B$748,$A12)</f>
        <v/>
      </c>
      <c r="AR12" s="67">
        <f>Documents!P12</f>
        <v/>
      </c>
      <c r="AS12" s="67">
        <f>SUMIFS(Checks!$AN$5:$AN$748,Checks!$B$5:$B$748,$A12)</f>
        <v/>
      </c>
      <c r="AT12" s="71">
        <f>IF(AND(AW12&gt;0,AO12=0,AQ12=0,AR12=0,AU12=0),"READY",IF(AP12&gt;0,"NOT READY – OVERDUE",IF(AQ12&gt;0,"NOT READY – DISCREPANCY",IF(AU12&gt;0,"NOT READY – INVALID ENTRY",IF(AR12&gt;0,"NOT READY – DOCUMENTS OUTSTANDING",IF(AS12&gt;0,"NOT READY – CLARIFICATION OPEN",IF(AND(AV12&gt;0,SUMIFS(Checks!$AJ$5:$AJ$748,Checks!$B$5:$B$748,$A12,Checks!$H$5:$H$748,"Preparation")=SUMIFS(Checks!$AI$5:$AI$748,Checks!$B$5:$B$748,$A12,Checks!$H$5:$H$748,"Preparation")),"PREP DONE – AWAITING UPLIFT",IF(AV12=0,"NOT STARTED","IN PROGRESS"))))))))</f>
        <v/>
      </c>
      <c r="AU12" s="67">
        <f>SUMIFS(Checks!$AM$5:$AM$748,Checks!$B$5:$B$748,$A12)</f>
        <v/>
      </c>
      <c r="AV12" s="67">
        <f>SUMIFS(Checks!$AJ$5:$AJ$748,Checks!$B$5:$B$748,$A12)</f>
        <v/>
      </c>
      <c r="AW12" s="67">
        <f>SUMIFS(Checks!$AI$5:$AI$748,Checks!$B$5:$B$748,$A12)</f>
        <v/>
      </c>
      <c r="AX12" s="68" t="inlineStr">
        <is>
          <t>n/a</t>
        </is>
      </c>
      <c r="AY12" s="68" t="inlineStr">
        <is>
          <t>n/a</t>
        </is>
      </c>
    </row>
    <row r="13" ht="36" customHeight="1">
      <c r="A13" s="63" t="inlineStr">
        <is>
          <t>F09</t>
        </is>
      </c>
      <c r="B13" s="63" t="n">
        <v>2</v>
      </c>
      <c r="C13" s="63" t="n">
        <v>9</v>
      </c>
      <c r="D13" s="64" t="n">
        <v>46306</v>
      </c>
      <c r="E13" s="63" t="inlineStr">
        <is>
          <t>SUN</t>
        </is>
      </c>
      <c r="F13" s="63" t="inlineStr">
        <is>
          <t>MH0753</t>
        </is>
      </c>
      <c r="G13" s="63" t="inlineStr">
        <is>
          <t>HAN</t>
        </is>
      </c>
      <c r="H13" s="63" t="inlineStr">
        <is>
          <t>KUL</t>
        </is>
      </c>
      <c r="I13" s="65" t="n">
        <v>46306.54513888889</v>
      </c>
      <c r="J13" s="65" t="n">
        <v>46306.72916666666</v>
      </c>
      <c r="K13" s="63" t="inlineStr">
        <is>
          <t>BC</t>
        </is>
      </c>
      <c r="L13" s="66" t="inlineStr">
        <is>
          <t>B738MAX</t>
        </is>
      </c>
      <c r="M13" s="63" t="inlineStr">
        <is>
          <t>B737-8 (B7M8)</t>
        </is>
      </c>
      <c r="N13" s="66" t="n"/>
      <c r="O13" s="63" t="inlineStr">
        <is>
          <t>1F</t>
        </is>
      </c>
      <c r="P13" s="63" t="inlineStr">
        <is>
          <t>-</t>
        </is>
      </c>
      <c r="Q13" s="63" t="inlineStr">
        <is>
          <t>Overnight KUL</t>
        </is>
      </c>
      <c r="R13" s="63" t="inlineStr">
        <is>
          <t>KUL/HAN/KUL</t>
        </is>
      </c>
      <c r="S13" s="63" t="inlineStr">
        <is>
          <t>ASEAN</t>
        </is>
      </c>
      <c r="T13" s="63" t="inlineStr">
        <is>
          <t>1 Meal (Meal)</t>
        </is>
      </c>
      <c r="U13" s="63" t="inlineStr">
        <is>
          <t>KUL/HAN</t>
        </is>
      </c>
      <c r="V13" s="63" t="inlineStr">
        <is>
          <t>HAN</t>
        </is>
      </c>
      <c r="W13" s="63" t="inlineStr"/>
      <c r="X13" s="66" t="n"/>
      <c r="Y13" s="66" t="n"/>
      <c r="Z13" s="67">
        <f>IF(AND(INDEX(TZ_DSTS,MATCH(G13,TZ_STN,0))&lt;&gt;"",(I13-INDEX(TZ_STD,MATCH(G13,TZ_STN,0))/24)&gt;=INDEX(TZ_DSTS,MATCH(G13,TZ_STN,0)),(I13-INDEX(TZ_STD,MATCH(G13,TZ_STN,0))/24)&lt;INDEX(TZ_DSTE,MATCH(G13,TZ_STN,0))),INDEX(TZ_DST,MATCH(G13,TZ_STN,0)),INDEX(TZ_STD,MATCH(G13,TZ_STN,0)))</f>
        <v/>
      </c>
      <c r="AA13" s="68">
        <f>I13-Z13/24</f>
        <v/>
      </c>
      <c r="AB13" s="69">
        <f>(J13-(IF(AND(INDEX(TZ_DSTS,MATCH(H13,TZ_STN,0))&lt;&gt;"",(J13-INDEX(TZ_STD,MATCH(H13,TZ_STN,0))/24)&gt;=INDEX(TZ_DSTS,MATCH(H13,TZ_STN,0)),(J13-INDEX(TZ_STD,MATCH(H13,TZ_STN,0))/24)&lt;INDEX(TZ_DSTE,MATCH(H13,TZ_STN,0))),INDEX(TZ_DST,MATCH(H13,TZ_STN,0)),INDEX(TZ_STD,MATCH(H13,TZ_STN,0))))/24-AA13)*24</f>
        <v/>
      </c>
      <c r="AC13" s="68">
        <f>AA13-7</f>
        <v/>
      </c>
      <c r="AD13" s="68">
        <f>AA13-1</f>
        <v/>
      </c>
      <c r="AE13" s="68">
        <f>AA13-0.5</f>
        <v/>
      </c>
      <c r="AF13" s="68">
        <f>AA13</f>
        <v/>
      </c>
      <c r="AG13" s="68">
        <f>AC13+(IF(AND(INDEX(TZ_DSTS,MATCH(V13,TZ_STN,0))&lt;&gt;"",AC13&gt;=INDEX(TZ_DSTS,MATCH(V13,TZ_STN,0)),AC13&lt;INDEX(TZ_DSTE,MATCH(V13,TZ_STN,0))),INDEX(TZ_DST,MATCH(V13,TZ_STN,0)),INDEX(TZ_STD,MATCH(V13,TZ_STN,0))))/24</f>
        <v/>
      </c>
      <c r="AH13" s="68">
        <f>AD13+(IF(AND(INDEX(TZ_DSTS,MATCH(V13,TZ_STN,0))&lt;&gt;"",AD13&gt;=INDEX(TZ_DSTS,MATCH(V13,TZ_STN,0)),AD13&lt;INDEX(TZ_DSTE,MATCH(V13,TZ_STN,0))),INDEX(TZ_DST,MATCH(V13,TZ_STN,0)),INDEX(TZ_STD,MATCH(V13,TZ_STN,0))))/24</f>
        <v/>
      </c>
      <c r="AI13" s="68">
        <f>AE13+(IF(AND(INDEX(TZ_DSTS,MATCH(V13,TZ_STN,0))&lt;&gt;"",AE13&gt;=INDEX(TZ_DSTS,MATCH(V13,TZ_STN,0)),AE13&lt;INDEX(TZ_DSTE,MATCH(V13,TZ_STN,0))),INDEX(TZ_DST,MATCH(V13,TZ_STN,0)),INDEX(TZ_STD,MATCH(V13,TZ_STN,0))))/24</f>
        <v/>
      </c>
      <c r="AJ13" s="70">
        <f>IFERROR(SUMIFS(Checks!$AJ$5:$AJ$748,Checks!$B$5:$B$748,$A13,Checks!$G$5:$G$748,"T-7D")/SUMIFS(Checks!$AI$5:$AI$748,Checks!$B$5:$B$748,$A13,Checks!$G$5:$G$748,"T-7D"),"n/a")</f>
        <v/>
      </c>
      <c r="AK13" s="70">
        <f>IFERROR(SUMIFS(Checks!$AJ$5:$AJ$748,Checks!$B$5:$B$748,$A13,Checks!$G$5:$G$748,"T-24H")/SUMIFS(Checks!$AI$5:$AI$748,Checks!$B$5:$B$748,$A13,Checks!$G$5:$G$748,"T-24H"),"n/a")</f>
        <v/>
      </c>
      <c r="AL13" s="70">
        <f>IFERROR(SUMIFS(Checks!$AJ$5:$AJ$748,Checks!$B$5:$B$748,$A13,Checks!$G$5:$G$748,"T-12H PREP")/SUMIFS(Checks!$AI$5:$AI$748,Checks!$B$5:$B$748,$A13,Checks!$G$5:$G$748,"T-12H PREP"),"n/a")</f>
        <v/>
      </c>
      <c r="AM13" s="70">
        <f>IFERROR(SUMIFS(Checks!$AJ$5:$AJ$748,Checks!$B$5:$B$748,$A13,Checks!$G$5:$G$748,"UPLIFT")/SUMIFS(Checks!$AI$5:$AI$748,Checks!$B$5:$B$748,$A13,Checks!$G$5:$G$748,"UPLIFT"),"n/a")</f>
        <v/>
      </c>
      <c r="AN13" s="70">
        <f>IFERROR(SUMIFS(Checks!$AJ$5:$AJ$748,Checks!$B$5:$B$748,$A13)/SUMIFS(Checks!$AI$5:$AI$748,Checks!$B$5:$B$748,$A13),"n/a")</f>
        <v/>
      </c>
      <c r="AO13" s="67">
        <f>AW13-AV13</f>
        <v/>
      </c>
      <c r="AP13" s="67">
        <f>SUMIFS(Checks!$AK$5:$AK$748,Checks!$B$5:$B$748,$A13)</f>
        <v/>
      </c>
      <c r="AQ13" s="67">
        <f>SUMIFS(Checks!$AL$5:$AL$748,Checks!$B$5:$B$748,$A13)</f>
        <v/>
      </c>
      <c r="AR13" s="67">
        <f>Documents!P13</f>
        <v/>
      </c>
      <c r="AS13" s="67">
        <f>SUMIFS(Checks!$AN$5:$AN$748,Checks!$B$5:$B$748,$A13)</f>
        <v/>
      </c>
      <c r="AT13" s="71">
        <f>IF(AND(AW13&gt;0,AO13=0,AQ13=0,AR13=0,AU13=0),"READY",IF(AP13&gt;0,"NOT READY – OVERDUE",IF(AQ13&gt;0,"NOT READY – DISCREPANCY",IF(AU13&gt;0,"NOT READY – INVALID ENTRY",IF(AR13&gt;0,"NOT READY – DOCUMENTS OUTSTANDING",IF(AS13&gt;0,"NOT READY – CLARIFICATION OPEN",IF(AND(AV13&gt;0,SUMIFS(Checks!$AJ$5:$AJ$748,Checks!$B$5:$B$748,$A13,Checks!$H$5:$H$748,"Preparation")=SUMIFS(Checks!$AI$5:$AI$748,Checks!$B$5:$B$748,$A13,Checks!$H$5:$H$748,"Preparation")),"PREP DONE – AWAITING UPLIFT",IF(AV13=0,"NOT STARTED","IN PROGRESS"))))))))</f>
        <v/>
      </c>
      <c r="AU13" s="67">
        <f>SUMIFS(Checks!$AM$5:$AM$748,Checks!$B$5:$B$748,$A13)</f>
        <v/>
      </c>
      <c r="AV13" s="67">
        <f>SUMIFS(Checks!$AJ$5:$AJ$748,Checks!$B$5:$B$748,$A13)</f>
        <v/>
      </c>
      <c r="AW13" s="67">
        <f>SUMIFS(Checks!$AI$5:$AI$748,Checks!$B$5:$B$748,$A13)</f>
        <v/>
      </c>
      <c r="AX13" s="68" t="inlineStr">
        <is>
          <t>n/a</t>
        </is>
      </c>
      <c r="AY13" s="68" t="inlineStr">
        <is>
          <t>n/a</t>
        </is>
      </c>
    </row>
    <row r="14" ht="36" customHeight="1">
      <c r="A14" s="63" t="inlineStr">
        <is>
          <t>F10</t>
        </is>
      </c>
      <c r="B14" s="63" t="n">
        <v>2</v>
      </c>
      <c r="C14" s="63" t="n">
        <v>10</v>
      </c>
      <c r="D14" s="64" t="n">
        <v>46307</v>
      </c>
      <c r="E14" s="63" t="inlineStr">
        <is>
          <t>MON</t>
        </is>
      </c>
      <c r="F14" s="63" t="inlineStr">
        <is>
          <t>MH1140</t>
        </is>
      </c>
      <c r="G14" s="63" t="inlineStr">
        <is>
          <t>KUL</t>
        </is>
      </c>
      <c r="H14" s="63" t="inlineStr">
        <is>
          <t>PEN</t>
        </is>
      </c>
      <c r="I14" s="65" t="n">
        <v>46307.48958333334</v>
      </c>
      <c r="J14" s="65" t="n">
        <v>46307.53125</v>
      </c>
      <c r="K14" s="63" t="inlineStr">
        <is>
          <t>BC</t>
        </is>
      </c>
      <c r="L14" s="66" t="inlineStr">
        <is>
          <t>B738MAX</t>
        </is>
      </c>
      <c r="M14" s="63" t="inlineStr">
        <is>
          <t>B737-8 (B7M8)</t>
        </is>
      </c>
      <c r="N14" s="66" t="n"/>
      <c r="O14" s="63" t="inlineStr">
        <is>
          <t>1F</t>
        </is>
      </c>
      <c r="P14" s="63" t="inlineStr">
        <is>
          <t>-</t>
        </is>
      </c>
      <c r="Q14" s="63" t="inlineStr"/>
      <c r="R14" s="63" t="inlineStr">
        <is>
          <t>KUL/PEN/KUL</t>
        </is>
      </c>
      <c r="S14" s="63" t="inlineStr">
        <is>
          <t>DOMESTIC</t>
        </is>
      </c>
      <c r="T14" s="63" t="inlineStr">
        <is>
          <t>Refreshment (Peanut &amp; Water)</t>
        </is>
      </c>
      <c r="U14" s="63" t="inlineStr">
        <is>
          <t>KUL</t>
        </is>
      </c>
      <c r="V14" s="63" t="inlineStr">
        <is>
          <t>KUL</t>
        </is>
      </c>
      <c r="W14" s="63" t="inlineStr"/>
      <c r="X14" s="66" t="n"/>
      <c r="Y14" s="66" t="n"/>
      <c r="Z14" s="67">
        <f>IF(AND(INDEX(TZ_DSTS,MATCH(G14,TZ_STN,0))&lt;&gt;"",(I14-INDEX(TZ_STD,MATCH(G14,TZ_STN,0))/24)&gt;=INDEX(TZ_DSTS,MATCH(G14,TZ_STN,0)),(I14-INDEX(TZ_STD,MATCH(G14,TZ_STN,0))/24)&lt;INDEX(TZ_DSTE,MATCH(G14,TZ_STN,0))),INDEX(TZ_DST,MATCH(G14,TZ_STN,0)),INDEX(TZ_STD,MATCH(G14,TZ_STN,0)))</f>
        <v/>
      </c>
      <c r="AA14" s="68">
        <f>I14-Z14/24</f>
        <v/>
      </c>
      <c r="AB14" s="69">
        <f>(J14-(IF(AND(INDEX(TZ_DSTS,MATCH(H14,TZ_STN,0))&lt;&gt;"",(J14-INDEX(TZ_STD,MATCH(H14,TZ_STN,0))/24)&gt;=INDEX(TZ_DSTS,MATCH(H14,TZ_STN,0)),(J14-INDEX(TZ_STD,MATCH(H14,TZ_STN,0))/24)&lt;INDEX(TZ_DSTE,MATCH(H14,TZ_STN,0))),INDEX(TZ_DST,MATCH(H14,TZ_STN,0)),INDEX(TZ_STD,MATCH(H14,TZ_STN,0))))/24-AA14)*24</f>
        <v/>
      </c>
      <c r="AC14" s="68">
        <f>AA14-7</f>
        <v/>
      </c>
      <c r="AD14" s="68">
        <f>AA14-1</f>
        <v/>
      </c>
      <c r="AE14" s="68">
        <f>AA14-0.5</f>
        <v/>
      </c>
      <c r="AF14" s="68">
        <f>AA14</f>
        <v/>
      </c>
      <c r="AG14" s="68">
        <f>AC14+(IF(AND(INDEX(TZ_DSTS,MATCH(V14,TZ_STN,0))&lt;&gt;"",AC14&gt;=INDEX(TZ_DSTS,MATCH(V14,TZ_STN,0)),AC14&lt;INDEX(TZ_DSTE,MATCH(V14,TZ_STN,0))),INDEX(TZ_DST,MATCH(V14,TZ_STN,0)),INDEX(TZ_STD,MATCH(V14,TZ_STN,0))))/24</f>
        <v/>
      </c>
      <c r="AH14" s="68">
        <f>AD14+(IF(AND(INDEX(TZ_DSTS,MATCH(V14,TZ_STN,0))&lt;&gt;"",AD14&gt;=INDEX(TZ_DSTS,MATCH(V14,TZ_STN,0)),AD14&lt;INDEX(TZ_DSTE,MATCH(V14,TZ_STN,0))),INDEX(TZ_DST,MATCH(V14,TZ_STN,0)),INDEX(TZ_STD,MATCH(V14,TZ_STN,0))))/24</f>
        <v/>
      </c>
      <c r="AI14" s="68">
        <f>AE14+(IF(AND(INDEX(TZ_DSTS,MATCH(V14,TZ_STN,0))&lt;&gt;"",AE14&gt;=INDEX(TZ_DSTS,MATCH(V14,TZ_STN,0)),AE14&lt;INDEX(TZ_DSTE,MATCH(V14,TZ_STN,0))),INDEX(TZ_DST,MATCH(V14,TZ_STN,0)),INDEX(TZ_STD,MATCH(V14,TZ_STN,0))))/24</f>
        <v/>
      </c>
      <c r="AJ14" s="70">
        <f>IFERROR(SUMIFS(Checks!$AJ$5:$AJ$748,Checks!$B$5:$B$748,$A14,Checks!$G$5:$G$748,"T-7D")/SUMIFS(Checks!$AI$5:$AI$748,Checks!$B$5:$B$748,$A14,Checks!$G$5:$G$748,"T-7D"),"n/a")</f>
        <v/>
      </c>
      <c r="AK14" s="70">
        <f>IFERROR(SUMIFS(Checks!$AJ$5:$AJ$748,Checks!$B$5:$B$748,$A14,Checks!$G$5:$G$748,"T-24H")/SUMIFS(Checks!$AI$5:$AI$748,Checks!$B$5:$B$748,$A14,Checks!$G$5:$G$748,"T-24H"),"n/a")</f>
        <v/>
      </c>
      <c r="AL14" s="70">
        <f>IFERROR(SUMIFS(Checks!$AJ$5:$AJ$748,Checks!$B$5:$B$748,$A14,Checks!$G$5:$G$748,"T-12H PREP")/SUMIFS(Checks!$AI$5:$AI$748,Checks!$B$5:$B$748,$A14,Checks!$G$5:$G$748,"T-12H PREP"),"n/a")</f>
        <v/>
      </c>
      <c r="AM14" s="70">
        <f>IFERROR(SUMIFS(Checks!$AJ$5:$AJ$748,Checks!$B$5:$B$748,$A14,Checks!$G$5:$G$748,"UPLIFT")/SUMIFS(Checks!$AI$5:$AI$748,Checks!$B$5:$B$748,$A14,Checks!$G$5:$G$748,"UPLIFT"),"n/a")</f>
        <v/>
      </c>
      <c r="AN14" s="70">
        <f>IFERROR(SUMIFS(Checks!$AJ$5:$AJ$748,Checks!$B$5:$B$748,$A14)/SUMIFS(Checks!$AI$5:$AI$748,Checks!$B$5:$B$748,$A14),"n/a")</f>
        <v/>
      </c>
      <c r="AO14" s="67">
        <f>AW14-AV14</f>
        <v/>
      </c>
      <c r="AP14" s="67">
        <f>SUMIFS(Checks!$AK$5:$AK$748,Checks!$B$5:$B$748,$A14)</f>
        <v/>
      </c>
      <c r="AQ14" s="67">
        <f>SUMIFS(Checks!$AL$5:$AL$748,Checks!$B$5:$B$748,$A14)</f>
        <v/>
      </c>
      <c r="AR14" s="67">
        <f>Documents!P14</f>
        <v/>
      </c>
      <c r="AS14" s="67">
        <f>SUMIFS(Checks!$AN$5:$AN$748,Checks!$B$5:$B$748,$A14)</f>
        <v/>
      </c>
      <c r="AT14" s="71">
        <f>IF(AND(AW14&gt;0,AO14=0,AQ14=0,AR14=0,AU14=0),"READY",IF(AP14&gt;0,"NOT READY – OVERDUE",IF(AQ14&gt;0,"NOT READY – DISCREPANCY",IF(AU14&gt;0,"NOT READY – INVALID ENTRY",IF(AR14&gt;0,"NOT READY – DOCUMENTS OUTSTANDING",IF(AS14&gt;0,"NOT READY – CLARIFICATION OPEN",IF(AND(AV14&gt;0,SUMIFS(Checks!$AJ$5:$AJ$748,Checks!$B$5:$B$748,$A14,Checks!$H$5:$H$748,"Preparation")=SUMIFS(Checks!$AI$5:$AI$748,Checks!$B$5:$B$748,$A14,Checks!$H$5:$H$748,"Preparation")),"PREP DONE – AWAITING UPLIFT",IF(AV14=0,"NOT STARTED","IN PROGRESS"))))))))</f>
        <v/>
      </c>
      <c r="AU14" s="67">
        <f>SUMIFS(Checks!$AM$5:$AM$748,Checks!$B$5:$B$748,$A14)</f>
        <v/>
      </c>
      <c r="AV14" s="67">
        <f>SUMIFS(Checks!$AJ$5:$AJ$748,Checks!$B$5:$B$748,$A14)</f>
        <v/>
      </c>
      <c r="AW14" s="67">
        <f>SUMIFS(Checks!$AI$5:$AI$748,Checks!$B$5:$B$748,$A14)</f>
        <v/>
      </c>
      <c r="AX14" s="68" t="inlineStr">
        <is>
          <t>n/a</t>
        </is>
      </c>
      <c r="AY14" s="68" t="inlineStr">
        <is>
          <t>n/a</t>
        </is>
      </c>
    </row>
    <row r="15" ht="36" customHeight="1">
      <c r="A15" s="63" t="inlineStr">
        <is>
          <t>F11</t>
        </is>
      </c>
      <c r="B15" s="63" t="n">
        <v>2</v>
      </c>
      <c r="C15" s="63" t="n">
        <v>11</v>
      </c>
      <c r="D15" s="64" t="n">
        <v>46307</v>
      </c>
      <c r="E15" s="63" t="inlineStr">
        <is>
          <t>MON</t>
        </is>
      </c>
      <c r="F15" s="63" t="inlineStr">
        <is>
          <t>MH1149</t>
        </is>
      </c>
      <c r="G15" s="63" t="inlineStr">
        <is>
          <t>PEN</t>
        </is>
      </c>
      <c r="H15" s="63" t="inlineStr">
        <is>
          <t>KUL</t>
        </is>
      </c>
      <c r="I15" s="65" t="n">
        <v>46307.65972222222</v>
      </c>
      <c r="J15" s="65" t="n">
        <v>46307.70486111111</v>
      </c>
      <c r="K15" s="63" t="inlineStr">
        <is>
          <t>EY</t>
        </is>
      </c>
      <c r="L15" s="66" t="inlineStr">
        <is>
          <t>B738MAX</t>
        </is>
      </c>
      <c r="M15" s="63" t="inlineStr">
        <is>
          <t>B737-8 (B7M8)</t>
        </is>
      </c>
      <c r="N15" s="66" t="n"/>
      <c r="O15" s="63" t="inlineStr">
        <is>
          <t>4A</t>
        </is>
      </c>
      <c r="P15" s="63" t="inlineStr">
        <is>
          <t>3H 05M</t>
        </is>
      </c>
      <c r="Q15" s="63" t="inlineStr"/>
      <c r="R15" s="63" t="inlineStr">
        <is>
          <t>KUL/PEN/KUL</t>
        </is>
      </c>
      <c r="S15" s="63" t="inlineStr">
        <is>
          <t>DOMESTIC</t>
        </is>
      </c>
      <c r="T15" s="63" t="inlineStr">
        <is>
          <t>Refreshment (Peanut &amp; Water)</t>
        </is>
      </c>
      <c r="U15" s="63" t="inlineStr">
        <is>
          <t>KUL</t>
        </is>
      </c>
      <c r="V15" s="63" t="inlineStr">
        <is>
          <t>KUL</t>
        </is>
      </c>
      <c r="W15" s="63" t="inlineStr">
        <is>
          <t>F10</t>
        </is>
      </c>
      <c r="X15" s="66" t="n"/>
      <c r="Y15" s="66" t="n"/>
      <c r="Z15" s="67">
        <f>IF(AND(INDEX(TZ_DSTS,MATCH(G15,TZ_STN,0))&lt;&gt;"",(I15-INDEX(TZ_STD,MATCH(G15,TZ_STN,0))/24)&gt;=INDEX(TZ_DSTS,MATCH(G15,TZ_STN,0)),(I15-INDEX(TZ_STD,MATCH(G15,TZ_STN,0))/24)&lt;INDEX(TZ_DSTE,MATCH(G15,TZ_STN,0))),INDEX(TZ_DST,MATCH(G15,TZ_STN,0)),INDEX(TZ_STD,MATCH(G15,TZ_STN,0)))</f>
        <v/>
      </c>
      <c r="AA15" s="68">
        <f>I15-Z15/24</f>
        <v/>
      </c>
      <c r="AB15" s="69">
        <f>(J15-(IF(AND(INDEX(TZ_DSTS,MATCH(H15,TZ_STN,0))&lt;&gt;"",(J15-INDEX(TZ_STD,MATCH(H15,TZ_STN,0))/24)&gt;=INDEX(TZ_DSTS,MATCH(H15,TZ_STN,0)),(J15-INDEX(TZ_STD,MATCH(H15,TZ_STN,0))/24)&lt;INDEX(TZ_DSTE,MATCH(H15,TZ_STN,0))),INDEX(TZ_DST,MATCH(H15,TZ_STN,0)),INDEX(TZ_STD,MATCH(H15,TZ_STN,0))))/24-AA15)*24</f>
        <v/>
      </c>
      <c r="AC15" s="68">
        <f>AA15-7</f>
        <v/>
      </c>
      <c r="AD15" s="68">
        <f>MIN(AA15-1,AY15)</f>
        <v/>
      </c>
      <c r="AE15" s="68">
        <f>MIN(AA15-0.5,AY15)</f>
        <v/>
      </c>
      <c r="AF15" s="68">
        <f>AA15</f>
        <v/>
      </c>
      <c r="AG15" s="68">
        <f>AC15+(IF(AND(INDEX(TZ_DSTS,MATCH(V15,TZ_STN,0))&lt;&gt;"",AC15&gt;=INDEX(TZ_DSTS,MATCH(V15,TZ_STN,0)),AC15&lt;INDEX(TZ_DSTE,MATCH(V15,TZ_STN,0))),INDEX(TZ_DST,MATCH(V15,TZ_STN,0)),INDEX(TZ_STD,MATCH(V15,TZ_STN,0))))/24</f>
        <v/>
      </c>
      <c r="AH15" s="68">
        <f>AD15+(IF(AND(INDEX(TZ_DSTS,MATCH(V15,TZ_STN,0))&lt;&gt;"",AD15&gt;=INDEX(TZ_DSTS,MATCH(V15,TZ_STN,0)),AD15&lt;INDEX(TZ_DSTE,MATCH(V15,TZ_STN,0))),INDEX(TZ_DST,MATCH(V15,TZ_STN,0)),INDEX(TZ_STD,MATCH(V15,TZ_STN,0))))/24</f>
        <v/>
      </c>
      <c r="AI15" s="68">
        <f>AE15+(IF(AND(INDEX(TZ_DSTS,MATCH(V15,TZ_STN,0))&lt;&gt;"",AE15&gt;=INDEX(TZ_DSTS,MATCH(V15,TZ_STN,0)),AE15&lt;INDEX(TZ_DSTE,MATCH(V15,TZ_STN,0))),INDEX(TZ_DST,MATCH(V15,TZ_STN,0)),INDEX(TZ_STD,MATCH(V15,TZ_STN,0))))/24</f>
        <v/>
      </c>
      <c r="AJ15" s="70">
        <f>IFERROR(SUMIFS(Checks!$AJ$5:$AJ$748,Checks!$B$5:$B$748,$A15,Checks!$G$5:$G$748,"T-7D")/SUMIFS(Checks!$AI$5:$AI$748,Checks!$B$5:$B$748,$A15,Checks!$G$5:$G$748,"T-7D"),"n/a")</f>
        <v/>
      </c>
      <c r="AK15" s="70">
        <f>IFERROR(SUMIFS(Checks!$AJ$5:$AJ$748,Checks!$B$5:$B$748,$A15,Checks!$G$5:$G$748,"T-24H")/SUMIFS(Checks!$AI$5:$AI$748,Checks!$B$5:$B$748,$A15,Checks!$G$5:$G$748,"T-24H"),"n/a")</f>
        <v/>
      </c>
      <c r="AL15" s="70">
        <f>IFERROR(SUMIFS(Checks!$AJ$5:$AJ$748,Checks!$B$5:$B$748,$A15,Checks!$G$5:$G$748,"T-12H PREP")/SUMIFS(Checks!$AI$5:$AI$748,Checks!$B$5:$B$748,$A15,Checks!$G$5:$G$748,"T-12H PREP"),"n/a")</f>
        <v/>
      </c>
      <c r="AM15" s="70">
        <f>IFERROR(SUMIFS(Checks!$AJ$5:$AJ$748,Checks!$B$5:$B$748,$A15,Checks!$G$5:$G$748,"UPLIFT")/SUMIFS(Checks!$AI$5:$AI$748,Checks!$B$5:$B$748,$A15,Checks!$G$5:$G$748,"UPLIFT"),"n/a")</f>
        <v/>
      </c>
      <c r="AN15" s="70">
        <f>IFERROR(SUMIFS(Checks!$AJ$5:$AJ$748,Checks!$B$5:$B$748,$A15)/SUMIFS(Checks!$AI$5:$AI$748,Checks!$B$5:$B$748,$A15),"n/a")</f>
        <v/>
      </c>
      <c r="AO15" s="67">
        <f>AW15-AV15</f>
        <v/>
      </c>
      <c r="AP15" s="67">
        <f>SUMIFS(Checks!$AK$5:$AK$748,Checks!$B$5:$B$748,$A15)</f>
        <v/>
      </c>
      <c r="AQ15" s="67">
        <f>SUMIFS(Checks!$AL$5:$AL$748,Checks!$B$5:$B$748,$A15)</f>
        <v/>
      </c>
      <c r="AR15" s="67">
        <f>Documents!P15</f>
        <v/>
      </c>
      <c r="AS15" s="67">
        <f>SUMIFS(Checks!$AN$5:$AN$748,Checks!$B$5:$B$748,$A15)</f>
        <v/>
      </c>
      <c r="AT15" s="71">
        <f>IF(AND(AW15&gt;0,AO15=0,AQ15=0,AR15=0,AU15=0),"READY",IF(AP15&gt;0,"NOT READY – OVERDUE",IF(AQ15&gt;0,"NOT READY – DISCREPANCY",IF(AU15&gt;0,"NOT READY – INVALID ENTRY",IF(AR15&gt;0,"NOT READY – DOCUMENTS OUTSTANDING",IF(AS15&gt;0,"NOT READY – CLARIFICATION OPEN",IF(AND(AV15&gt;0,SUMIFS(Checks!$AJ$5:$AJ$748,Checks!$B$5:$B$748,$A15,Checks!$H$5:$H$748,"Preparation")=SUMIFS(Checks!$AI$5:$AI$748,Checks!$B$5:$B$748,$A15,Checks!$H$5:$H$748,"Preparation")),"PREP DONE – AWAITING UPLIFT",IF(AV15=0,"NOT STARTED","IN PROGRESS"))))))))</f>
        <v/>
      </c>
      <c r="AU15" s="67">
        <f>SUMIFS(Checks!$AM$5:$AM$748,Checks!$B$5:$B$748,$A15)</f>
        <v/>
      </c>
      <c r="AV15" s="67">
        <f>SUMIFS(Checks!$AJ$5:$AJ$748,Checks!$B$5:$B$748,$A15)</f>
        <v/>
      </c>
      <c r="AW15" s="67">
        <f>SUMIFS(Checks!$AI$5:$AI$748,Checks!$B$5:$B$748,$A15)</f>
        <v/>
      </c>
      <c r="AX15" s="72" t="n"/>
      <c r="AY15" s="68">
        <f>IF(ISNUMBER(AX15),AX15,AA15-MIN($AB$14)/24)-UpliftWindowH/24</f>
        <v/>
      </c>
    </row>
    <row r="16" ht="36" customHeight="1">
      <c r="A16" s="63" t="inlineStr">
        <is>
          <t>F12</t>
        </is>
      </c>
      <c r="B16" s="63" t="n">
        <v>2</v>
      </c>
      <c r="C16" s="63" t="n">
        <v>12</v>
      </c>
      <c r="D16" s="64" t="n">
        <v>46307</v>
      </c>
      <c r="E16" s="63" t="inlineStr">
        <is>
          <t>MON</t>
        </is>
      </c>
      <c r="F16" s="63" t="inlineStr">
        <is>
          <t>MH0139</t>
        </is>
      </c>
      <c r="G16" s="63" t="inlineStr">
        <is>
          <t>KUL</t>
        </is>
      </c>
      <c r="H16" s="63" t="inlineStr">
        <is>
          <t>ADL</t>
        </is>
      </c>
      <c r="I16" s="65" t="n">
        <v>46307.93402777778</v>
      </c>
      <c r="J16" s="65" t="n">
        <v>46308.33333333334</v>
      </c>
      <c r="K16" s="63" t="inlineStr">
        <is>
          <t>BC</t>
        </is>
      </c>
      <c r="L16" s="66" t="inlineStr">
        <is>
          <t>A339</t>
        </is>
      </c>
      <c r="M16" s="63" t="inlineStr">
        <is>
          <t>A330-900 (A339)</t>
        </is>
      </c>
      <c r="N16" s="66" t="n"/>
      <c r="O16" s="63" t="inlineStr">
        <is>
          <t>1K</t>
        </is>
      </c>
      <c r="P16" s="63" t="inlineStr">
        <is>
          <t>5H 30M</t>
        </is>
      </c>
      <c r="Q16" s="63" t="inlineStr">
        <is>
          <t>Overnight ADL</t>
        </is>
      </c>
      <c r="R16" s="63" t="inlineStr">
        <is>
          <t>KUL/ADL/KUL</t>
        </is>
      </c>
      <c r="S16" s="63" t="inlineStr">
        <is>
          <t>ANZ</t>
        </is>
      </c>
      <c r="T16" s="63" t="inlineStr">
        <is>
          <t>1.5 Meal (Meal)</t>
        </is>
      </c>
      <c r="U16" s="63" t="inlineStr">
        <is>
          <t>KUL/ADL</t>
        </is>
      </c>
      <c r="V16" s="63" t="inlineStr">
        <is>
          <t>KUL</t>
        </is>
      </c>
      <c r="W16" s="63" t="inlineStr"/>
      <c r="X16" s="66" t="n"/>
      <c r="Y16" s="66" t="n"/>
      <c r="Z16" s="67">
        <f>IF(AND(INDEX(TZ_DSTS,MATCH(G16,TZ_STN,0))&lt;&gt;"",(I16-INDEX(TZ_STD,MATCH(G16,TZ_STN,0))/24)&gt;=INDEX(TZ_DSTS,MATCH(G16,TZ_STN,0)),(I16-INDEX(TZ_STD,MATCH(G16,TZ_STN,0))/24)&lt;INDEX(TZ_DSTE,MATCH(G16,TZ_STN,0))),INDEX(TZ_DST,MATCH(G16,TZ_STN,0)),INDEX(TZ_STD,MATCH(G16,TZ_STN,0)))</f>
        <v/>
      </c>
      <c r="AA16" s="68">
        <f>I16-Z16/24</f>
        <v/>
      </c>
      <c r="AB16" s="69">
        <f>(J16-(IF(AND(INDEX(TZ_DSTS,MATCH(H16,TZ_STN,0))&lt;&gt;"",(J16-INDEX(TZ_STD,MATCH(H16,TZ_STN,0))/24)&gt;=INDEX(TZ_DSTS,MATCH(H16,TZ_STN,0)),(J16-INDEX(TZ_STD,MATCH(H16,TZ_STN,0))/24)&lt;INDEX(TZ_DSTE,MATCH(H16,TZ_STN,0))),INDEX(TZ_DST,MATCH(H16,TZ_STN,0)),INDEX(TZ_STD,MATCH(H16,TZ_STN,0))))/24-AA16)*24</f>
        <v/>
      </c>
      <c r="AC16" s="68">
        <f>AA16-7</f>
        <v/>
      </c>
      <c r="AD16" s="68">
        <f>AA16-1</f>
        <v/>
      </c>
      <c r="AE16" s="68">
        <f>AA16-0.5</f>
        <v/>
      </c>
      <c r="AF16" s="68">
        <f>AA16</f>
        <v/>
      </c>
      <c r="AG16" s="68">
        <f>AC16+(IF(AND(INDEX(TZ_DSTS,MATCH(V16,TZ_STN,0))&lt;&gt;"",AC16&gt;=INDEX(TZ_DSTS,MATCH(V16,TZ_STN,0)),AC16&lt;INDEX(TZ_DSTE,MATCH(V16,TZ_STN,0))),INDEX(TZ_DST,MATCH(V16,TZ_STN,0)),INDEX(TZ_STD,MATCH(V16,TZ_STN,0))))/24</f>
        <v/>
      </c>
      <c r="AH16" s="68">
        <f>AD16+(IF(AND(INDEX(TZ_DSTS,MATCH(V16,TZ_STN,0))&lt;&gt;"",AD16&gt;=INDEX(TZ_DSTS,MATCH(V16,TZ_STN,0)),AD16&lt;INDEX(TZ_DSTE,MATCH(V16,TZ_STN,0))),INDEX(TZ_DST,MATCH(V16,TZ_STN,0)),INDEX(TZ_STD,MATCH(V16,TZ_STN,0))))/24</f>
        <v/>
      </c>
      <c r="AI16" s="68">
        <f>AE16+(IF(AND(INDEX(TZ_DSTS,MATCH(V16,TZ_STN,0))&lt;&gt;"",AE16&gt;=INDEX(TZ_DSTS,MATCH(V16,TZ_STN,0)),AE16&lt;INDEX(TZ_DSTE,MATCH(V16,TZ_STN,0))),INDEX(TZ_DST,MATCH(V16,TZ_STN,0)),INDEX(TZ_STD,MATCH(V16,TZ_STN,0))))/24</f>
        <v/>
      </c>
      <c r="AJ16" s="70">
        <f>IFERROR(SUMIFS(Checks!$AJ$5:$AJ$748,Checks!$B$5:$B$748,$A16,Checks!$G$5:$G$748,"T-7D")/SUMIFS(Checks!$AI$5:$AI$748,Checks!$B$5:$B$748,$A16,Checks!$G$5:$G$748,"T-7D"),"n/a")</f>
        <v/>
      </c>
      <c r="AK16" s="70">
        <f>IFERROR(SUMIFS(Checks!$AJ$5:$AJ$748,Checks!$B$5:$B$748,$A16,Checks!$G$5:$G$748,"T-24H")/SUMIFS(Checks!$AI$5:$AI$748,Checks!$B$5:$B$748,$A16,Checks!$G$5:$G$748,"T-24H"),"n/a")</f>
        <v/>
      </c>
      <c r="AL16" s="70">
        <f>IFERROR(SUMIFS(Checks!$AJ$5:$AJ$748,Checks!$B$5:$B$748,$A16,Checks!$G$5:$G$748,"T-12H PREP")/SUMIFS(Checks!$AI$5:$AI$748,Checks!$B$5:$B$748,$A16,Checks!$G$5:$G$748,"T-12H PREP"),"n/a")</f>
        <v/>
      </c>
      <c r="AM16" s="70">
        <f>IFERROR(SUMIFS(Checks!$AJ$5:$AJ$748,Checks!$B$5:$B$748,$A16,Checks!$G$5:$G$748,"UPLIFT")/SUMIFS(Checks!$AI$5:$AI$748,Checks!$B$5:$B$748,$A16,Checks!$G$5:$G$748,"UPLIFT"),"n/a")</f>
        <v/>
      </c>
      <c r="AN16" s="70">
        <f>IFERROR(SUMIFS(Checks!$AJ$5:$AJ$748,Checks!$B$5:$B$748,$A16)/SUMIFS(Checks!$AI$5:$AI$748,Checks!$B$5:$B$748,$A16),"n/a")</f>
        <v/>
      </c>
      <c r="AO16" s="67">
        <f>AW16-AV16</f>
        <v/>
      </c>
      <c r="AP16" s="67">
        <f>SUMIFS(Checks!$AK$5:$AK$748,Checks!$B$5:$B$748,$A16)</f>
        <v/>
      </c>
      <c r="AQ16" s="67">
        <f>SUMIFS(Checks!$AL$5:$AL$748,Checks!$B$5:$B$748,$A16)</f>
        <v/>
      </c>
      <c r="AR16" s="67">
        <f>Documents!P16</f>
        <v/>
      </c>
      <c r="AS16" s="67">
        <f>SUMIFS(Checks!$AN$5:$AN$748,Checks!$B$5:$B$748,$A16)</f>
        <v/>
      </c>
      <c r="AT16" s="71">
        <f>IF(AND(AW16&gt;0,AO16=0,AQ16=0,AR16=0,AU16=0),"READY",IF(AP16&gt;0,"NOT READY – OVERDUE",IF(AQ16&gt;0,"NOT READY – DISCREPANCY",IF(AU16&gt;0,"NOT READY – INVALID ENTRY",IF(AR16&gt;0,"NOT READY – DOCUMENTS OUTSTANDING",IF(AS16&gt;0,"NOT READY – CLARIFICATION OPEN",IF(AND(AV16&gt;0,SUMIFS(Checks!$AJ$5:$AJ$748,Checks!$B$5:$B$748,$A16,Checks!$H$5:$H$748,"Preparation")=SUMIFS(Checks!$AI$5:$AI$748,Checks!$B$5:$B$748,$A16,Checks!$H$5:$H$748,"Preparation")),"PREP DONE – AWAITING UPLIFT",IF(AV16=0,"NOT STARTED","IN PROGRESS"))))))))</f>
        <v/>
      </c>
      <c r="AU16" s="67">
        <f>SUMIFS(Checks!$AM$5:$AM$748,Checks!$B$5:$B$748,$A16)</f>
        <v/>
      </c>
      <c r="AV16" s="67">
        <f>SUMIFS(Checks!$AJ$5:$AJ$748,Checks!$B$5:$B$748,$A16)</f>
        <v/>
      </c>
      <c r="AW16" s="67">
        <f>SUMIFS(Checks!$AI$5:$AI$748,Checks!$B$5:$B$748,$A16)</f>
        <v/>
      </c>
      <c r="AX16" s="68" t="inlineStr">
        <is>
          <t>n/a</t>
        </is>
      </c>
      <c r="AY16" s="68" t="inlineStr">
        <is>
          <t>n/a</t>
        </is>
      </c>
    </row>
    <row r="17" ht="36" customHeight="1">
      <c r="A17" s="63" t="inlineStr">
        <is>
          <t>F13</t>
        </is>
      </c>
      <c r="B17" s="63" t="n">
        <v>2</v>
      </c>
      <c r="C17" s="63" t="n">
        <v>13</v>
      </c>
      <c r="D17" s="64" t="n">
        <v>46309</v>
      </c>
      <c r="E17" s="63" t="inlineStr">
        <is>
          <t>WED</t>
        </is>
      </c>
      <c r="F17" s="63" t="inlineStr">
        <is>
          <t>MH0138</t>
        </is>
      </c>
      <c r="G17" s="63" t="inlineStr">
        <is>
          <t>ADL</t>
        </is>
      </c>
      <c r="H17" s="63" t="inlineStr">
        <is>
          <t>KUL</t>
        </is>
      </c>
      <c r="I17" s="65" t="n">
        <v>46309.44791666666</v>
      </c>
      <c r="J17" s="65" t="n">
        <v>46309.66666666666</v>
      </c>
      <c r="K17" s="63" t="inlineStr">
        <is>
          <t>EY</t>
        </is>
      </c>
      <c r="L17" s="66" t="inlineStr">
        <is>
          <t>A339</t>
        </is>
      </c>
      <c r="M17" s="63" t="inlineStr">
        <is>
          <t>A330-900 (A339)</t>
        </is>
      </c>
      <c r="N17" s="66" t="n"/>
      <c r="O17" s="63" t="inlineStr">
        <is>
          <t>11K</t>
        </is>
      </c>
      <c r="P17" s="63" t="inlineStr">
        <is>
          <t>-</t>
        </is>
      </c>
      <c r="Q17" s="63" t="inlineStr">
        <is>
          <t>Overnight KUL</t>
        </is>
      </c>
      <c r="R17" s="63" t="inlineStr">
        <is>
          <t>KUL/ADL/KUL</t>
        </is>
      </c>
      <c r="S17" s="63" t="inlineStr">
        <is>
          <t>ANZ</t>
        </is>
      </c>
      <c r="T17" s="63" t="inlineStr">
        <is>
          <t>1.5 Meal (Meal)</t>
        </is>
      </c>
      <c r="U17" s="63" t="inlineStr">
        <is>
          <t>KUL/ADL</t>
        </is>
      </c>
      <c r="V17" s="63" t="inlineStr">
        <is>
          <t>ADL</t>
        </is>
      </c>
      <c r="W17" s="63" t="inlineStr"/>
      <c r="X17" s="66" t="n"/>
      <c r="Y17" s="66" t="n"/>
      <c r="Z17" s="67">
        <f>IF(AND(INDEX(TZ_DSTS,MATCH(G17,TZ_STN,0))&lt;&gt;"",(I17-INDEX(TZ_STD,MATCH(G17,TZ_STN,0))/24)&gt;=INDEX(TZ_DSTS,MATCH(G17,TZ_STN,0)),(I17-INDEX(TZ_STD,MATCH(G17,TZ_STN,0))/24)&lt;INDEX(TZ_DSTE,MATCH(G17,TZ_STN,0))),INDEX(TZ_DST,MATCH(G17,TZ_STN,0)),INDEX(TZ_STD,MATCH(G17,TZ_STN,0)))</f>
        <v/>
      </c>
      <c r="AA17" s="68">
        <f>I17-Z17/24</f>
        <v/>
      </c>
      <c r="AB17" s="69">
        <f>(J17-(IF(AND(INDEX(TZ_DSTS,MATCH(H17,TZ_STN,0))&lt;&gt;"",(J17-INDEX(TZ_STD,MATCH(H17,TZ_STN,0))/24)&gt;=INDEX(TZ_DSTS,MATCH(H17,TZ_STN,0)),(J17-INDEX(TZ_STD,MATCH(H17,TZ_STN,0))/24)&lt;INDEX(TZ_DSTE,MATCH(H17,TZ_STN,0))),INDEX(TZ_DST,MATCH(H17,TZ_STN,0)),INDEX(TZ_STD,MATCH(H17,TZ_STN,0))))/24-AA17)*24</f>
        <v/>
      </c>
      <c r="AC17" s="68">
        <f>AA17-7</f>
        <v/>
      </c>
      <c r="AD17" s="68">
        <f>AA17-1</f>
        <v/>
      </c>
      <c r="AE17" s="68">
        <f>AA17-0.5</f>
        <v/>
      </c>
      <c r="AF17" s="68">
        <f>AA17</f>
        <v/>
      </c>
      <c r="AG17" s="68">
        <f>AC17+(IF(AND(INDEX(TZ_DSTS,MATCH(V17,TZ_STN,0))&lt;&gt;"",AC17&gt;=INDEX(TZ_DSTS,MATCH(V17,TZ_STN,0)),AC17&lt;INDEX(TZ_DSTE,MATCH(V17,TZ_STN,0))),INDEX(TZ_DST,MATCH(V17,TZ_STN,0)),INDEX(TZ_STD,MATCH(V17,TZ_STN,0))))/24</f>
        <v/>
      </c>
      <c r="AH17" s="68">
        <f>AD17+(IF(AND(INDEX(TZ_DSTS,MATCH(V17,TZ_STN,0))&lt;&gt;"",AD17&gt;=INDEX(TZ_DSTS,MATCH(V17,TZ_STN,0)),AD17&lt;INDEX(TZ_DSTE,MATCH(V17,TZ_STN,0))),INDEX(TZ_DST,MATCH(V17,TZ_STN,0)),INDEX(TZ_STD,MATCH(V17,TZ_STN,0))))/24</f>
        <v/>
      </c>
      <c r="AI17" s="68">
        <f>AE17+(IF(AND(INDEX(TZ_DSTS,MATCH(V17,TZ_STN,0))&lt;&gt;"",AE17&gt;=INDEX(TZ_DSTS,MATCH(V17,TZ_STN,0)),AE17&lt;INDEX(TZ_DSTE,MATCH(V17,TZ_STN,0))),INDEX(TZ_DST,MATCH(V17,TZ_STN,0)),INDEX(TZ_STD,MATCH(V17,TZ_STN,0))))/24</f>
        <v/>
      </c>
      <c r="AJ17" s="70">
        <f>IFERROR(SUMIFS(Checks!$AJ$5:$AJ$748,Checks!$B$5:$B$748,$A17,Checks!$G$5:$G$748,"T-7D")/SUMIFS(Checks!$AI$5:$AI$748,Checks!$B$5:$B$748,$A17,Checks!$G$5:$G$748,"T-7D"),"n/a")</f>
        <v/>
      </c>
      <c r="AK17" s="70">
        <f>IFERROR(SUMIFS(Checks!$AJ$5:$AJ$748,Checks!$B$5:$B$748,$A17,Checks!$G$5:$G$748,"T-24H")/SUMIFS(Checks!$AI$5:$AI$748,Checks!$B$5:$B$748,$A17,Checks!$G$5:$G$748,"T-24H"),"n/a")</f>
        <v/>
      </c>
      <c r="AL17" s="70">
        <f>IFERROR(SUMIFS(Checks!$AJ$5:$AJ$748,Checks!$B$5:$B$748,$A17,Checks!$G$5:$G$748,"T-12H PREP")/SUMIFS(Checks!$AI$5:$AI$748,Checks!$B$5:$B$748,$A17,Checks!$G$5:$G$748,"T-12H PREP"),"n/a")</f>
        <v/>
      </c>
      <c r="AM17" s="70">
        <f>IFERROR(SUMIFS(Checks!$AJ$5:$AJ$748,Checks!$B$5:$B$748,$A17,Checks!$G$5:$G$748,"UPLIFT")/SUMIFS(Checks!$AI$5:$AI$748,Checks!$B$5:$B$748,$A17,Checks!$G$5:$G$748,"UPLIFT"),"n/a")</f>
        <v/>
      </c>
      <c r="AN17" s="70">
        <f>IFERROR(SUMIFS(Checks!$AJ$5:$AJ$748,Checks!$B$5:$B$748,$A17)/SUMIFS(Checks!$AI$5:$AI$748,Checks!$B$5:$B$748,$A17),"n/a")</f>
        <v/>
      </c>
      <c r="AO17" s="67">
        <f>AW17-AV17</f>
        <v/>
      </c>
      <c r="AP17" s="67">
        <f>SUMIFS(Checks!$AK$5:$AK$748,Checks!$B$5:$B$748,$A17)</f>
        <v/>
      </c>
      <c r="AQ17" s="67">
        <f>SUMIFS(Checks!$AL$5:$AL$748,Checks!$B$5:$B$748,$A17)</f>
        <v/>
      </c>
      <c r="AR17" s="67">
        <f>Documents!P17</f>
        <v/>
      </c>
      <c r="AS17" s="67">
        <f>SUMIFS(Checks!$AN$5:$AN$748,Checks!$B$5:$B$748,$A17)</f>
        <v/>
      </c>
      <c r="AT17" s="71">
        <f>IF(AND(AW17&gt;0,AO17=0,AQ17=0,AR17=0,AU17=0),"READY",IF(AP17&gt;0,"NOT READY – OVERDUE",IF(AQ17&gt;0,"NOT READY – DISCREPANCY",IF(AU17&gt;0,"NOT READY – INVALID ENTRY",IF(AR17&gt;0,"NOT READY – DOCUMENTS OUTSTANDING",IF(AS17&gt;0,"NOT READY – CLARIFICATION OPEN",IF(AND(AV17&gt;0,SUMIFS(Checks!$AJ$5:$AJ$748,Checks!$B$5:$B$748,$A17,Checks!$H$5:$H$748,"Preparation")=SUMIFS(Checks!$AI$5:$AI$748,Checks!$B$5:$B$748,$A17,Checks!$H$5:$H$748,"Preparation")),"PREP DONE – AWAITING UPLIFT",IF(AV17=0,"NOT STARTED","IN PROGRESS"))))))))</f>
        <v/>
      </c>
      <c r="AU17" s="67">
        <f>SUMIFS(Checks!$AM$5:$AM$748,Checks!$B$5:$B$748,$A17)</f>
        <v/>
      </c>
      <c r="AV17" s="67">
        <f>SUMIFS(Checks!$AJ$5:$AJ$748,Checks!$B$5:$B$748,$A17)</f>
        <v/>
      </c>
      <c r="AW17" s="67">
        <f>SUMIFS(Checks!$AI$5:$AI$748,Checks!$B$5:$B$748,$A17)</f>
        <v/>
      </c>
      <c r="AX17" s="72" t="n"/>
      <c r="AY17" s="68">
        <f>IF(ISNUMBER(AX17),AX17,AA17-MIN($AB$16)/24)-UpliftWindowH/24</f>
        <v/>
      </c>
    </row>
    <row r="18" ht="36" customHeight="1">
      <c r="A18" s="63" t="inlineStr">
        <is>
          <t>F14</t>
        </is>
      </c>
      <c r="B18" s="63" t="n">
        <v>2</v>
      </c>
      <c r="C18" s="63" t="n">
        <v>14</v>
      </c>
      <c r="D18" s="64" t="n">
        <v>46310</v>
      </c>
      <c r="E18" s="63" t="inlineStr">
        <is>
          <t>THU</t>
        </is>
      </c>
      <c r="F18" s="63" t="inlineStr">
        <is>
          <t>MH0004</t>
        </is>
      </c>
      <c r="G18" s="63" t="inlineStr">
        <is>
          <t>KUL</t>
        </is>
      </c>
      <c r="H18" s="63" t="inlineStr">
        <is>
          <t>LHR</t>
        </is>
      </c>
      <c r="I18" s="65" t="n">
        <v>46310.40972222222</v>
      </c>
      <c r="J18" s="65" t="n">
        <v>46310.69097222222</v>
      </c>
      <c r="K18" s="63" t="inlineStr">
        <is>
          <t>EY</t>
        </is>
      </c>
      <c r="L18" s="66" t="inlineStr">
        <is>
          <t>A350</t>
        </is>
      </c>
      <c r="M18" s="63" t="inlineStr">
        <is>
          <t>A350-900: A359 (9M-MAB..MAG, row 6) or A350 9M-MAH (row 7) - tail to confirm</t>
        </is>
      </c>
      <c r="N18" s="66" t="n"/>
      <c r="O18" s="63" t="inlineStr">
        <is>
          <t>14C</t>
        </is>
      </c>
      <c r="P18" s="63" t="inlineStr">
        <is>
          <t>-</t>
        </is>
      </c>
      <c r="Q18" s="63" t="inlineStr"/>
      <c r="R18" s="63" t="inlineStr">
        <is>
          <t>KUL/LHR/KUL</t>
        </is>
      </c>
      <c r="S18" s="63" t="inlineStr">
        <is>
          <t>EUR</t>
        </is>
      </c>
      <c r="T18" s="63" t="inlineStr">
        <is>
          <t>2.5 Meal (Meal)</t>
        </is>
      </c>
      <c r="U18" s="63" t="inlineStr">
        <is>
          <t>KUL/LHR</t>
        </is>
      </c>
      <c r="V18" s="63" t="inlineStr">
        <is>
          <t>KUL</t>
        </is>
      </c>
      <c r="W18" s="63" t="inlineStr"/>
      <c r="X18" s="66" t="n"/>
      <c r="Y18" s="66" t="n"/>
      <c r="Z18" s="67">
        <f>IF(AND(INDEX(TZ_DSTS,MATCH(G18,TZ_STN,0))&lt;&gt;"",(I18-INDEX(TZ_STD,MATCH(G18,TZ_STN,0))/24)&gt;=INDEX(TZ_DSTS,MATCH(G18,TZ_STN,0)),(I18-INDEX(TZ_STD,MATCH(G18,TZ_STN,0))/24)&lt;INDEX(TZ_DSTE,MATCH(G18,TZ_STN,0))),INDEX(TZ_DST,MATCH(G18,TZ_STN,0)),INDEX(TZ_STD,MATCH(G18,TZ_STN,0)))</f>
        <v/>
      </c>
      <c r="AA18" s="68">
        <f>I18-Z18/24</f>
        <v/>
      </c>
      <c r="AB18" s="69">
        <f>(J18-(IF(AND(INDEX(TZ_DSTS,MATCH(H18,TZ_STN,0))&lt;&gt;"",(J18-INDEX(TZ_STD,MATCH(H18,TZ_STN,0))/24)&gt;=INDEX(TZ_DSTS,MATCH(H18,TZ_STN,0)),(J18-INDEX(TZ_STD,MATCH(H18,TZ_STN,0))/24)&lt;INDEX(TZ_DSTE,MATCH(H18,TZ_STN,0))),INDEX(TZ_DST,MATCH(H18,TZ_STN,0)),INDEX(TZ_STD,MATCH(H18,TZ_STN,0))))/24-AA18)*24</f>
        <v/>
      </c>
      <c r="AC18" s="68">
        <f>AA18-7</f>
        <v/>
      </c>
      <c r="AD18" s="68">
        <f>AA18-1</f>
        <v/>
      </c>
      <c r="AE18" s="68">
        <f>AA18-0.5</f>
        <v/>
      </c>
      <c r="AF18" s="68">
        <f>AA18</f>
        <v/>
      </c>
      <c r="AG18" s="68">
        <f>AC18+(IF(AND(INDEX(TZ_DSTS,MATCH(V18,TZ_STN,0))&lt;&gt;"",AC18&gt;=INDEX(TZ_DSTS,MATCH(V18,TZ_STN,0)),AC18&lt;INDEX(TZ_DSTE,MATCH(V18,TZ_STN,0))),INDEX(TZ_DST,MATCH(V18,TZ_STN,0)),INDEX(TZ_STD,MATCH(V18,TZ_STN,0))))/24</f>
        <v/>
      </c>
      <c r="AH18" s="68">
        <f>AD18+(IF(AND(INDEX(TZ_DSTS,MATCH(V18,TZ_STN,0))&lt;&gt;"",AD18&gt;=INDEX(TZ_DSTS,MATCH(V18,TZ_STN,0)),AD18&lt;INDEX(TZ_DSTE,MATCH(V18,TZ_STN,0))),INDEX(TZ_DST,MATCH(V18,TZ_STN,0)),INDEX(TZ_STD,MATCH(V18,TZ_STN,0))))/24</f>
        <v/>
      </c>
      <c r="AI18" s="68">
        <f>AE18+(IF(AND(INDEX(TZ_DSTS,MATCH(V18,TZ_STN,0))&lt;&gt;"",AE18&gt;=INDEX(TZ_DSTS,MATCH(V18,TZ_STN,0)),AE18&lt;INDEX(TZ_DSTE,MATCH(V18,TZ_STN,0))),INDEX(TZ_DST,MATCH(V18,TZ_STN,0)),INDEX(TZ_STD,MATCH(V18,TZ_STN,0))))/24</f>
        <v/>
      </c>
      <c r="AJ18" s="70">
        <f>IFERROR(SUMIFS(Checks!$AJ$5:$AJ$748,Checks!$B$5:$B$748,$A18,Checks!$G$5:$G$748,"T-7D")/SUMIFS(Checks!$AI$5:$AI$748,Checks!$B$5:$B$748,$A18,Checks!$G$5:$G$748,"T-7D"),"n/a")</f>
        <v/>
      </c>
      <c r="AK18" s="70">
        <f>IFERROR(SUMIFS(Checks!$AJ$5:$AJ$748,Checks!$B$5:$B$748,$A18,Checks!$G$5:$G$748,"T-24H")/SUMIFS(Checks!$AI$5:$AI$748,Checks!$B$5:$B$748,$A18,Checks!$G$5:$G$748,"T-24H"),"n/a")</f>
        <v/>
      </c>
      <c r="AL18" s="70">
        <f>IFERROR(SUMIFS(Checks!$AJ$5:$AJ$748,Checks!$B$5:$B$748,$A18,Checks!$G$5:$G$748,"T-12H PREP")/SUMIFS(Checks!$AI$5:$AI$748,Checks!$B$5:$B$748,$A18,Checks!$G$5:$G$748,"T-12H PREP"),"n/a")</f>
        <v/>
      </c>
      <c r="AM18" s="70">
        <f>IFERROR(SUMIFS(Checks!$AJ$5:$AJ$748,Checks!$B$5:$B$748,$A18,Checks!$G$5:$G$748,"UPLIFT")/SUMIFS(Checks!$AI$5:$AI$748,Checks!$B$5:$B$748,$A18,Checks!$G$5:$G$748,"UPLIFT"),"n/a")</f>
        <v/>
      </c>
      <c r="AN18" s="70">
        <f>IFERROR(SUMIFS(Checks!$AJ$5:$AJ$748,Checks!$B$5:$B$748,$A18)/SUMIFS(Checks!$AI$5:$AI$748,Checks!$B$5:$B$748,$A18),"n/a")</f>
        <v/>
      </c>
      <c r="AO18" s="67">
        <f>AW18-AV18</f>
        <v/>
      </c>
      <c r="AP18" s="67">
        <f>SUMIFS(Checks!$AK$5:$AK$748,Checks!$B$5:$B$748,$A18)</f>
        <v/>
      </c>
      <c r="AQ18" s="67">
        <f>SUMIFS(Checks!$AL$5:$AL$748,Checks!$B$5:$B$748,$A18)</f>
        <v/>
      </c>
      <c r="AR18" s="67">
        <f>Documents!P18</f>
        <v/>
      </c>
      <c r="AS18" s="67">
        <f>SUMIFS(Checks!$AN$5:$AN$748,Checks!$B$5:$B$748,$A18)</f>
        <v/>
      </c>
      <c r="AT18" s="71">
        <f>IF(AND(AW18&gt;0,AO18=0,AQ18=0,AR18=0,AU18=0),"READY",IF(AP18&gt;0,"NOT READY – OVERDUE",IF(AQ18&gt;0,"NOT READY – DISCREPANCY",IF(AU18&gt;0,"NOT READY – INVALID ENTRY",IF(AR18&gt;0,"NOT READY – DOCUMENTS OUTSTANDING",IF(AS18&gt;0,"NOT READY – CLARIFICATION OPEN",IF(AND(AV18&gt;0,SUMIFS(Checks!$AJ$5:$AJ$748,Checks!$B$5:$B$748,$A18,Checks!$H$5:$H$748,"Preparation")=SUMIFS(Checks!$AI$5:$AI$748,Checks!$B$5:$B$748,$A18,Checks!$H$5:$H$748,"Preparation")),"PREP DONE – AWAITING UPLIFT",IF(AV18=0,"NOT STARTED","IN PROGRESS"))))))))</f>
        <v/>
      </c>
      <c r="AU18" s="67">
        <f>SUMIFS(Checks!$AM$5:$AM$748,Checks!$B$5:$B$748,$A18)</f>
        <v/>
      </c>
      <c r="AV18" s="67">
        <f>SUMIFS(Checks!$AJ$5:$AJ$748,Checks!$B$5:$B$748,$A18)</f>
        <v/>
      </c>
      <c r="AW18" s="67">
        <f>SUMIFS(Checks!$AI$5:$AI$748,Checks!$B$5:$B$748,$A18)</f>
        <v/>
      </c>
      <c r="AX18" s="68" t="inlineStr">
        <is>
          <t>n/a</t>
        </is>
      </c>
      <c r="AY18" s="68" t="inlineStr">
        <is>
          <t>n/a</t>
        </is>
      </c>
    </row>
    <row r="19" ht="36" customHeight="1">
      <c r="A19" s="63" t="inlineStr">
        <is>
          <t>F15</t>
        </is>
      </c>
      <c r="B19" s="63" t="n">
        <v>3</v>
      </c>
      <c r="C19" s="63" t="n">
        <v>15</v>
      </c>
      <c r="D19" s="64" t="n">
        <v>46320</v>
      </c>
      <c r="E19" s="63" t="inlineStr">
        <is>
          <t>SUN</t>
        </is>
      </c>
      <c r="F19" s="63" t="inlineStr">
        <is>
          <t>MH0003</t>
        </is>
      </c>
      <c r="G19" s="63" t="inlineStr">
        <is>
          <t>LHR</t>
        </is>
      </c>
      <c r="H19" s="63" t="inlineStr">
        <is>
          <t>KUL</t>
        </is>
      </c>
      <c r="I19" s="65" t="n">
        <v>46320.45833333334</v>
      </c>
      <c r="J19" s="65" t="n">
        <v>46321.28125</v>
      </c>
      <c r="K19" s="63" t="inlineStr">
        <is>
          <t>EY</t>
        </is>
      </c>
      <c r="L19" s="66" t="inlineStr">
        <is>
          <t>A350</t>
        </is>
      </c>
      <c r="M19" s="63" t="inlineStr">
        <is>
          <t>A350-900: A359 (9M-MAB..MAG, row 6) or A350 9M-MAH (row 7) - tail to confirm</t>
        </is>
      </c>
      <c r="N19" s="66" t="n"/>
      <c r="O19" s="63" t="inlineStr">
        <is>
          <t>12H</t>
        </is>
      </c>
      <c r="P19" s="63" t="inlineStr">
        <is>
          <t>-</t>
        </is>
      </c>
      <c r="Q19" s="63" t="inlineStr"/>
      <c r="R19" s="63" t="inlineStr">
        <is>
          <t>KUL/LHR/KUL</t>
        </is>
      </c>
      <c r="S19" s="63" t="inlineStr">
        <is>
          <t>EUR</t>
        </is>
      </c>
      <c r="T19" s="63" t="inlineStr">
        <is>
          <t>2.5 Meal (Meal)</t>
        </is>
      </c>
      <c r="U19" s="63" t="inlineStr">
        <is>
          <t>KUL/LHR</t>
        </is>
      </c>
      <c r="V19" s="63" t="inlineStr">
        <is>
          <t>LHR</t>
        </is>
      </c>
      <c r="W19" s="63" t="inlineStr"/>
      <c r="X19" s="66" t="n"/>
      <c r="Y19" s="66" t="n"/>
      <c r="Z19" s="67">
        <f>IF(AND(INDEX(TZ_DSTS,MATCH(G19,TZ_STN,0))&lt;&gt;"",(I19-INDEX(TZ_STD,MATCH(G19,TZ_STN,0))/24)&gt;=INDEX(TZ_DSTS,MATCH(G19,TZ_STN,0)),(I19-INDEX(TZ_STD,MATCH(G19,TZ_STN,0))/24)&lt;INDEX(TZ_DSTE,MATCH(G19,TZ_STN,0))),INDEX(TZ_DST,MATCH(G19,TZ_STN,0)),INDEX(TZ_STD,MATCH(G19,TZ_STN,0)))</f>
        <v/>
      </c>
      <c r="AA19" s="68">
        <f>I19-Z19/24</f>
        <v/>
      </c>
      <c r="AB19" s="69">
        <f>(J19-(IF(AND(INDEX(TZ_DSTS,MATCH(H19,TZ_STN,0))&lt;&gt;"",(J19-INDEX(TZ_STD,MATCH(H19,TZ_STN,0))/24)&gt;=INDEX(TZ_DSTS,MATCH(H19,TZ_STN,0)),(J19-INDEX(TZ_STD,MATCH(H19,TZ_STN,0))/24)&lt;INDEX(TZ_DSTE,MATCH(H19,TZ_STN,0))),INDEX(TZ_DST,MATCH(H19,TZ_STN,0)),INDEX(TZ_STD,MATCH(H19,TZ_STN,0))))/24-AA19)*24</f>
        <v/>
      </c>
      <c r="AC19" s="68">
        <f>AA19-7</f>
        <v/>
      </c>
      <c r="AD19" s="68">
        <f>AA19-1</f>
        <v/>
      </c>
      <c r="AE19" s="68">
        <f>AA19-0.5</f>
        <v/>
      </c>
      <c r="AF19" s="68">
        <f>AA19</f>
        <v/>
      </c>
      <c r="AG19" s="68">
        <f>AC19+(IF(AND(INDEX(TZ_DSTS,MATCH(V19,TZ_STN,0))&lt;&gt;"",AC19&gt;=INDEX(TZ_DSTS,MATCH(V19,TZ_STN,0)),AC19&lt;INDEX(TZ_DSTE,MATCH(V19,TZ_STN,0))),INDEX(TZ_DST,MATCH(V19,TZ_STN,0)),INDEX(TZ_STD,MATCH(V19,TZ_STN,0))))/24</f>
        <v/>
      </c>
      <c r="AH19" s="68">
        <f>AD19+(IF(AND(INDEX(TZ_DSTS,MATCH(V19,TZ_STN,0))&lt;&gt;"",AD19&gt;=INDEX(TZ_DSTS,MATCH(V19,TZ_STN,0)),AD19&lt;INDEX(TZ_DSTE,MATCH(V19,TZ_STN,0))),INDEX(TZ_DST,MATCH(V19,TZ_STN,0)),INDEX(TZ_STD,MATCH(V19,TZ_STN,0))))/24</f>
        <v/>
      </c>
      <c r="AI19" s="68">
        <f>AE19+(IF(AND(INDEX(TZ_DSTS,MATCH(V19,TZ_STN,0))&lt;&gt;"",AE19&gt;=INDEX(TZ_DSTS,MATCH(V19,TZ_STN,0)),AE19&lt;INDEX(TZ_DSTE,MATCH(V19,TZ_STN,0))),INDEX(TZ_DST,MATCH(V19,TZ_STN,0)),INDEX(TZ_STD,MATCH(V19,TZ_STN,0))))/24</f>
        <v/>
      </c>
      <c r="AJ19" s="70">
        <f>IFERROR(SUMIFS(Checks!$AJ$5:$AJ$748,Checks!$B$5:$B$748,$A19,Checks!$G$5:$G$748,"T-7D")/SUMIFS(Checks!$AI$5:$AI$748,Checks!$B$5:$B$748,$A19,Checks!$G$5:$G$748,"T-7D"),"n/a")</f>
        <v/>
      </c>
      <c r="AK19" s="70">
        <f>IFERROR(SUMIFS(Checks!$AJ$5:$AJ$748,Checks!$B$5:$B$748,$A19,Checks!$G$5:$G$748,"T-24H")/SUMIFS(Checks!$AI$5:$AI$748,Checks!$B$5:$B$748,$A19,Checks!$G$5:$G$748,"T-24H"),"n/a")</f>
        <v/>
      </c>
      <c r="AL19" s="70">
        <f>IFERROR(SUMIFS(Checks!$AJ$5:$AJ$748,Checks!$B$5:$B$748,$A19,Checks!$G$5:$G$748,"T-12H PREP")/SUMIFS(Checks!$AI$5:$AI$748,Checks!$B$5:$B$748,$A19,Checks!$G$5:$G$748,"T-12H PREP"),"n/a")</f>
        <v/>
      </c>
      <c r="AM19" s="70">
        <f>IFERROR(SUMIFS(Checks!$AJ$5:$AJ$748,Checks!$B$5:$B$748,$A19,Checks!$G$5:$G$748,"UPLIFT")/SUMIFS(Checks!$AI$5:$AI$748,Checks!$B$5:$B$748,$A19,Checks!$G$5:$G$748,"UPLIFT"),"n/a")</f>
        <v/>
      </c>
      <c r="AN19" s="70">
        <f>IFERROR(SUMIFS(Checks!$AJ$5:$AJ$748,Checks!$B$5:$B$748,$A19)/SUMIFS(Checks!$AI$5:$AI$748,Checks!$B$5:$B$748,$A19),"n/a")</f>
        <v/>
      </c>
      <c r="AO19" s="67">
        <f>AW19-AV19</f>
        <v/>
      </c>
      <c r="AP19" s="67">
        <f>SUMIFS(Checks!$AK$5:$AK$748,Checks!$B$5:$B$748,$A19)</f>
        <v/>
      </c>
      <c r="AQ19" s="67">
        <f>SUMIFS(Checks!$AL$5:$AL$748,Checks!$B$5:$B$748,$A19)</f>
        <v/>
      </c>
      <c r="AR19" s="67">
        <f>Documents!P19</f>
        <v/>
      </c>
      <c r="AS19" s="67">
        <f>SUMIFS(Checks!$AN$5:$AN$748,Checks!$B$5:$B$748,$A19)</f>
        <v/>
      </c>
      <c r="AT19" s="71">
        <f>IF(AND(AW19&gt;0,AO19=0,AQ19=0,AR19=0,AU19=0),"READY",IF(AP19&gt;0,"NOT READY – OVERDUE",IF(AQ19&gt;0,"NOT READY – DISCREPANCY",IF(AU19&gt;0,"NOT READY – INVALID ENTRY",IF(AR19&gt;0,"NOT READY – DOCUMENTS OUTSTANDING",IF(AS19&gt;0,"NOT READY – CLARIFICATION OPEN",IF(AND(AV19&gt;0,SUMIFS(Checks!$AJ$5:$AJ$748,Checks!$B$5:$B$748,$A19,Checks!$H$5:$H$748,"Preparation")=SUMIFS(Checks!$AI$5:$AI$748,Checks!$B$5:$B$748,$A19,Checks!$H$5:$H$748,"Preparation")),"PREP DONE – AWAITING UPLIFT",IF(AV19=0,"NOT STARTED","IN PROGRESS"))))))))</f>
        <v/>
      </c>
      <c r="AU19" s="67">
        <f>SUMIFS(Checks!$AM$5:$AM$748,Checks!$B$5:$B$748,$A19)</f>
        <v/>
      </c>
      <c r="AV19" s="67">
        <f>SUMIFS(Checks!$AJ$5:$AJ$748,Checks!$B$5:$B$748,$A19)</f>
        <v/>
      </c>
      <c r="AW19" s="67">
        <f>SUMIFS(Checks!$AI$5:$AI$748,Checks!$B$5:$B$748,$A19)</f>
        <v/>
      </c>
      <c r="AX19" s="68" t="inlineStr">
        <is>
          <t>n/a</t>
        </is>
      </c>
      <c r="AY19" s="68" t="inlineStr">
        <is>
          <t>n/a</t>
        </is>
      </c>
    </row>
    <row r="20" ht="36" customHeight="1">
      <c r="A20" s="63" t="inlineStr">
        <is>
          <t>F16</t>
        </is>
      </c>
      <c r="B20" s="63" t="n">
        <v>3</v>
      </c>
      <c r="C20" s="63" t="n">
        <v>16</v>
      </c>
      <c r="D20" s="64" t="n">
        <v>46321</v>
      </c>
      <c r="E20" s="63" t="inlineStr">
        <is>
          <t>MON</t>
        </is>
      </c>
      <c r="F20" s="63" t="inlineStr">
        <is>
          <t>MH0072</t>
        </is>
      </c>
      <c r="G20" s="63" t="inlineStr">
        <is>
          <t>KUL</t>
        </is>
      </c>
      <c r="H20" s="63" t="inlineStr">
        <is>
          <t>HKG</t>
        </is>
      </c>
      <c r="I20" s="65" t="n">
        <v>46321.38194444445</v>
      </c>
      <c r="J20" s="65" t="n">
        <v>46321.55208333334</v>
      </c>
      <c r="K20" s="63" t="inlineStr">
        <is>
          <t>EY</t>
        </is>
      </c>
      <c r="L20" s="66" t="inlineStr">
        <is>
          <t>B738MAX</t>
        </is>
      </c>
      <c r="M20" s="63" t="inlineStr">
        <is>
          <t>B737-8 (B7M8)</t>
        </is>
      </c>
      <c r="N20" s="66" t="n"/>
      <c r="O20" s="63" t="inlineStr">
        <is>
          <t>4C</t>
        </is>
      </c>
      <c r="P20" s="63" t="inlineStr">
        <is>
          <t>2H 25M</t>
        </is>
      </c>
      <c r="Q20" s="63" t="inlineStr">
        <is>
          <t>Overnight HKG</t>
        </is>
      </c>
      <c r="R20" s="63" t="inlineStr">
        <is>
          <t>KUL/HKG/KUL</t>
        </is>
      </c>
      <c r="S20" s="63" t="inlineStr">
        <is>
          <t>ORIENTAL</t>
        </is>
      </c>
      <c r="T20" s="63" t="inlineStr">
        <is>
          <t>1 Meal + DAT(Noodles Svc) (Meal)</t>
        </is>
      </c>
      <c r="U20" s="63" t="inlineStr">
        <is>
          <t>KUL/HKG</t>
        </is>
      </c>
      <c r="V20" s="63" t="inlineStr">
        <is>
          <t>KUL</t>
        </is>
      </c>
      <c r="W20" s="63" t="inlineStr"/>
      <c r="X20" s="66" t="n"/>
      <c r="Y20" s="66" t="n"/>
      <c r="Z20" s="67">
        <f>IF(AND(INDEX(TZ_DSTS,MATCH(G20,TZ_STN,0))&lt;&gt;"",(I20-INDEX(TZ_STD,MATCH(G20,TZ_STN,0))/24)&gt;=INDEX(TZ_DSTS,MATCH(G20,TZ_STN,0)),(I20-INDEX(TZ_STD,MATCH(G20,TZ_STN,0))/24)&lt;INDEX(TZ_DSTE,MATCH(G20,TZ_STN,0))),INDEX(TZ_DST,MATCH(G20,TZ_STN,0)),INDEX(TZ_STD,MATCH(G20,TZ_STN,0)))</f>
        <v/>
      </c>
      <c r="AA20" s="68">
        <f>I20-Z20/24</f>
        <v/>
      </c>
      <c r="AB20" s="69">
        <f>(J20-(IF(AND(INDEX(TZ_DSTS,MATCH(H20,TZ_STN,0))&lt;&gt;"",(J20-INDEX(TZ_STD,MATCH(H20,TZ_STN,0))/24)&gt;=INDEX(TZ_DSTS,MATCH(H20,TZ_STN,0)),(J20-INDEX(TZ_STD,MATCH(H20,TZ_STN,0))/24)&lt;INDEX(TZ_DSTE,MATCH(H20,TZ_STN,0))),INDEX(TZ_DST,MATCH(H20,TZ_STN,0)),INDEX(TZ_STD,MATCH(H20,TZ_STN,0))))/24-AA20)*24</f>
        <v/>
      </c>
      <c r="AC20" s="68">
        <f>AA20-7</f>
        <v/>
      </c>
      <c r="AD20" s="68">
        <f>AA20-1</f>
        <v/>
      </c>
      <c r="AE20" s="68">
        <f>AA20-0.5</f>
        <v/>
      </c>
      <c r="AF20" s="68">
        <f>AA20</f>
        <v/>
      </c>
      <c r="AG20" s="68">
        <f>AC20+(IF(AND(INDEX(TZ_DSTS,MATCH(V20,TZ_STN,0))&lt;&gt;"",AC20&gt;=INDEX(TZ_DSTS,MATCH(V20,TZ_STN,0)),AC20&lt;INDEX(TZ_DSTE,MATCH(V20,TZ_STN,0))),INDEX(TZ_DST,MATCH(V20,TZ_STN,0)),INDEX(TZ_STD,MATCH(V20,TZ_STN,0))))/24</f>
        <v/>
      </c>
      <c r="AH20" s="68">
        <f>AD20+(IF(AND(INDEX(TZ_DSTS,MATCH(V20,TZ_STN,0))&lt;&gt;"",AD20&gt;=INDEX(TZ_DSTS,MATCH(V20,TZ_STN,0)),AD20&lt;INDEX(TZ_DSTE,MATCH(V20,TZ_STN,0))),INDEX(TZ_DST,MATCH(V20,TZ_STN,0)),INDEX(TZ_STD,MATCH(V20,TZ_STN,0))))/24</f>
        <v/>
      </c>
      <c r="AI20" s="68">
        <f>AE20+(IF(AND(INDEX(TZ_DSTS,MATCH(V20,TZ_STN,0))&lt;&gt;"",AE20&gt;=INDEX(TZ_DSTS,MATCH(V20,TZ_STN,0)),AE20&lt;INDEX(TZ_DSTE,MATCH(V20,TZ_STN,0))),INDEX(TZ_DST,MATCH(V20,TZ_STN,0)),INDEX(TZ_STD,MATCH(V20,TZ_STN,0))))/24</f>
        <v/>
      </c>
      <c r="AJ20" s="70">
        <f>IFERROR(SUMIFS(Checks!$AJ$5:$AJ$748,Checks!$B$5:$B$748,$A20,Checks!$G$5:$G$748,"T-7D")/SUMIFS(Checks!$AI$5:$AI$748,Checks!$B$5:$B$748,$A20,Checks!$G$5:$G$748,"T-7D"),"n/a")</f>
        <v/>
      </c>
      <c r="AK20" s="70">
        <f>IFERROR(SUMIFS(Checks!$AJ$5:$AJ$748,Checks!$B$5:$B$748,$A20,Checks!$G$5:$G$748,"T-24H")/SUMIFS(Checks!$AI$5:$AI$748,Checks!$B$5:$B$748,$A20,Checks!$G$5:$G$748,"T-24H"),"n/a")</f>
        <v/>
      </c>
      <c r="AL20" s="70">
        <f>IFERROR(SUMIFS(Checks!$AJ$5:$AJ$748,Checks!$B$5:$B$748,$A20,Checks!$G$5:$G$748,"T-12H PREP")/SUMIFS(Checks!$AI$5:$AI$748,Checks!$B$5:$B$748,$A20,Checks!$G$5:$G$748,"T-12H PREP"),"n/a")</f>
        <v/>
      </c>
      <c r="AM20" s="70">
        <f>IFERROR(SUMIFS(Checks!$AJ$5:$AJ$748,Checks!$B$5:$B$748,$A20,Checks!$G$5:$G$748,"UPLIFT")/SUMIFS(Checks!$AI$5:$AI$748,Checks!$B$5:$B$748,$A20,Checks!$G$5:$G$748,"UPLIFT"),"n/a")</f>
        <v/>
      </c>
      <c r="AN20" s="70">
        <f>IFERROR(SUMIFS(Checks!$AJ$5:$AJ$748,Checks!$B$5:$B$748,$A20)/SUMIFS(Checks!$AI$5:$AI$748,Checks!$B$5:$B$748,$A20),"n/a")</f>
        <v/>
      </c>
      <c r="AO20" s="67">
        <f>AW20-AV20</f>
        <v/>
      </c>
      <c r="AP20" s="67">
        <f>SUMIFS(Checks!$AK$5:$AK$748,Checks!$B$5:$B$748,$A20)</f>
        <v/>
      </c>
      <c r="AQ20" s="67">
        <f>SUMIFS(Checks!$AL$5:$AL$748,Checks!$B$5:$B$748,$A20)</f>
        <v/>
      </c>
      <c r="AR20" s="67">
        <f>Documents!P20</f>
        <v/>
      </c>
      <c r="AS20" s="67">
        <f>SUMIFS(Checks!$AN$5:$AN$748,Checks!$B$5:$B$748,$A20)</f>
        <v/>
      </c>
      <c r="AT20" s="71">
        <f>IF(AND(AW20&gt;0,AO20=0,AQ20=0,AR20=0,AU20=0),"READY",IF(AP20&gt;0,"NOT READY – OVERDUE",IF(AQ20&gt;0,"NOT READY – DISCREPANCY",IF(AU20&gt;0,"NOT READY – INVALID ENTRY",IF(AR20&gt;0,"NOT READY – DOCUMENTS OUTSTANDING",IF(AS20&gt;0,"NOT READY – CLARIFICATION OPEN",IF(AND(AV20&gt;0,SUMIFS(Checks!$AJ$5:$AJ$748,Checks!$B$5:$B$748,$A20,Checks!$H$5:$H$748,"Preparation")=SUMIFS(Checks!$AI$5:$AI$748,Checks!$B$5:$B$748,$A20,Checks!$H$5:$H$748,"Preparation")),"PREP DONE – AWAITING UPLIFT",IF(AV20=0,"NOT STARTED","IN PROGRESS"))))))))</f>
        <v/>
      </c>
      <c r="AU20" s="67">
        <f>SUMIFS(Checks!$AM$5:$AM$748,Checks!$B$5:$B$748,$A20)</f>
        <v/>
      </c>
      <c r="AV20" s="67">
        <f>SUMIFS(Checks!$AJ$5:$AJ$748,Checks!$B$5:$B$748,$A20)</f>
        <v/>
      </c>
      <c r="AW20" s="67">
        <f>SUMIFS(Checks!$AI$5:$AI$748,Checks!$B$5:$B$748,$A20)</f>
        <v/>
      </c>
      <c r="AX20" s="68" t="inlineStr">
        <is>
          <t>n/a</t>
        </is>
      </c>
      <c r="AY20" s="68" t="inlineStr">
        <is>
          <t>n/a</t>
        </is>
      </c>
    </row>
    <row r="21" ht="36" customHeight="1">
      <c r="A21" s="63" t="inlineStr">
        <is>
          <t>F17</t>
        </is>
      </c>
      <c r="B21" s="63" t="n">
        <v>3</v>
      </c>
      <c r="C21" s="63" t="n">
        <v>17</v>
      </c>
      <c r="D21" s="64" t="n">
        <v>46322</v>
      </c>
      <c r="E21" s="63" t="inlineStr">
        <is>
          <t>TUE</t>
        </is>
      </c>
      <c r="F21" s="63" t="inlineStr">
        <is>
          <t>MH0073</t>
        </is>
      </c>
      <c r="G21" s="63" t="inlineStr">
        <is>
          <t>HKG</t>
        </is>
      </c>
      <c r="H21" s="63" t="inlineStr">
        <is>
          <t>KUL</t>
        </is>
      </c>
      <c r="I21" s="65" t="n">
        <v>46322.61805555555</v>
      </c>
      <c r="J21" s="65" t="n">
        <v>46322.78819444445</v>
      </c>
      <c r="K21" s="63" t="inlineStr">
        <is>
          <t>BC</t>
        </is>
      </c>
      <c r="L21" s="66" t="inlineStr">
        <is>
          <t>B738MAX</t>
        </is>
      </c>
      <c r="M21" s="63" t="inlineStr">
        <is>
          <t>B737-8 (B7M8)</t>
        </is>
      </c>
      <c r="N21" s="66" t="n"/>
      <c r="O21" s="63" t="inlineStr">
        <is>
          <t>1C</t>
        </is>
      </c>
      <c r="P21" s="63" t="inlineStr">
        <is>
          <t>-</t>
        </is>
      </c>
      <c r="Q21" s="63" t="inlineStr"/>
      <c r="R21" s="63" t="inlineStr">
        <is>
          <t>KUL/HKG/KUL</t>
        </is>
      </c>
      <c r="S21" s="63" t="inlineStr">
        <is>
          <t>ORIENTAL</t>
        </is>
      </c>
      <c r="T21" s="63" t="inlineStr">
        <is>
          <t>1 Meal + DAT(Noodles Svc) (Meal)</t>
        </is>
      </c>
      <c r="U21" s="63" t="inlineStr">
        <is>
          <t>KUL/HKG</t>
        </is>
      </c>
      <c r="V21" s="63" t="inlineStr">
        <is>
          <t>HKG</t>
        </is>
      </c>
      <c r="W21" s="63" t="inlineStr"/>
      <c r="X21" s="66" t="n"/>
      <c r="Y21" s="66" t="n"/>
      <c r="Z21" s="67">
        <f>IF(AND(INDEX(TZ_DSTS,MATCH(G21,TZ_STN,0))&lt;&gt;"",(I21-INDEX(TZ_STD,MATCH(G21,TZ_STN,0))/24)&gt;=INDEX(TZ_DSTS,MATCH(G21,TZ_STN,0)),(I21-INDEX(TZ_STD,MATCH(G21,TZ_STN,0))/24)&lt;INDEX(TZ_DSTE,MATCH(G21,TZ_STN,0))),INDEX(TZ_DST,MATCH(G21,TZ_STN,0)),INDEX(TZ_STD,MATCH(G21,TZ_STN,0)))</f>
        <v/>
      </c>
      <c r="AA21" s="68">
        <f>I21-Z21/24</f>
        <v/>
      </c>
      <c r="AB21" s="69">
        <f>(J21-(IF(AND(INDEX(TZ_DSTS,MATCH(H21,TZ_STN,0))&lt;&gt;"",(J21-INDEX(TZ_STD,MATCH(H21,TZ_STN,0))/24)&gt;=INDEX(TZ_DSTS,MATCH(H21,TZ_STN,0)),(J21-INDEX(TZ_STD,MATCH(H21,TZ_STN,0))/24)&lt;INDEX(TZ_DSTE,MATCH(H21,TZ_STN,0))),INDEX(TZ_DST,MATCH(H21,TZ_STN,0)),INDEX(TZ_STD,MATCH(H21,TZ_STN,0))))/24-AA21)*24</f>
        <v/>
      </c>
      <c r="AC21" s="68">
        <f>AA21-7</f>
        <v/>
      </c>
      <c r="AD21" s="68">
        <f>AA21-1</f>
        <v/>
      </c>
      <c r="AE21" s="68">
        <f>AA21-0.5</f>
        <v/>
      </c>
      <c r="AF21" s="68">
        <f>AA21</f>
        <v/>
      </c>
      <c r="AG21" s="68">
        <f>AC21+(IF(AND(INDEX(TZ_DSTS,MATCH(V21,TZ_STN,0))&lt;&gt;"",AC21&gt;=INDEX(TZ_DSTS,MATCH(V21,TZ_STN,0)),AC21&lt;INDEX(TZ_DSTE,MATCH(V21,TZ_STN,0))),INDEX(TZ_DST,MATCH(V21,TZ_STN,0)),INDEX(TZ_STD,MATCH(V21,TZ_STN,0))))/24</f>
        <v/>
      </c>
      <c r="AH21" s="68">
        <f>AD21+(IF(AND(INDEX(TZ_DSTS,MATCH(V21,TZ_STN,0))&lt;&gt;"",AD21&gt;=INDEX(TZ_DSTS,MATCH(V21,TZ_STN,0)),AD21&lt;INDEX(TZ_DSTE,MATCH(V21,TZ_STN,0))),INDEX(TZ_DST,MATCH(V21,TZ_STN,0)),INDEX(TZ_STD,MATCH(V21,TZ_STN,0))))/24</f>
        <v/>
      </c>
      <c r="AI21" s="68">
        <f>AE21+(IF(AND(INDEX(TZ_DSTS,MATCH(V21,TZ_STN,0))&lt;&gt;"",AE21&gt;=INDEX(TZ_DSTS,MATCH(V21,TZ_STN,0)),AE21&lt;INDEX(TZ_DSTE,MATCH(V21,TZ_STN,0))),INDEX(TZ_DST,MATCH(V21,TZ_STN,0)),INDEX(TZ_STD,MATCH(V21,TZ_STN,0))))/24</f>
        <v/>
      </c>
      <c r="AJ21" s="70">
        <f>IFERROR(SUMIFS(Checks!$AJ$5:$AJ$748,Checks!$B$5:$B$748,$A21,Checks!$G$5:$G$748,"T-7D")/SUMIFS(Checks!$AI$5:$AI$748,Checks!$B$5:$B$748,$A21,Checks!$G$5:$G$748,"T-7D"),"n/a")</f>
        <v/>
      </c>
      <c r="AK21" s="70">
        <f>IFERROR(SUMIFS(Checks!$AJ$5:$AJ$748,Checks!$B$5:$B$748,$A21,Checks!$G$5:$G$748,"T-24H")/SUMIFS(Checks!$AI$5:$AI$748,Checks!$B$5:$B$748,$A21,Checks!$G$5:$G$748,"T-24H"),"n/a")</f>
        <v/>
      </c>
      <c r="AL21" s="70">
        <f>IFERROR(SUMIFS(Checks!$AJ$5:$AJ$748,Checks!$B$5:$B$748,$A21,Checks!$G$5:$G$748,"T-12H PREP")/SUMIFS(Checks!$AI$5:$AI$748,Checks!$B$5:$B$748,$A21,Checks!$G$5:$G$748,"T-12H PREP"),"n/a")</f>
        <v/>
      </c>
      <c r="AM21" s="70">
        <f>IFERROR(SUMIFS(Checks!$AJ$5:$AJ$748,Checks!$B$5:$B$748,$A21,Checks!$G$5:$G$748,"UPLIFT")/SUMIFS(Checks!$AI$5:$AI$748,Checks!$B$5:$B$748,$A21,Checks!$G$5:$G$748,"UPLIFT"),"n/a")</f>
        <v/>
      </c>
      <c r="AN21" s="70">
        <f>IFERROR(SUMIFS(Checks!$AJ$5:$AJ$748,Checks!$B$5:$B$748,$A21)/SUMIFS(Checks!$AI$5:$AI$748,Checks!$B$5:$B$748,$A21),"n/a")</f>
        <v/>
      </c>
      <c r="AO21" s="67">
        <f>AW21-AV21</f>
        <v/>
      </c>
      <c r="AP21" s="67">
        <f>SUMIFS(Checks!$AK$5:$AK$748,Checks!$B$5:$B$748,$A21)</f>
        <v/>
      </c>
      <c r="AQ21" s="67">
        <f>SUMIFS(Checks!$AL$5:$AL$748,Checks!$B$5:$B$748,$A21)</f>
        <v/>
      </c>
      <c r="AR21" s="67">
        <f>Documents!P21</f>
        <v/>
      </c>
      <c r="AS21" s="67">
        <f>SUMIFS(Checks!$AN$5:$AN$748,Checks!$B$5:$B$748,$A21)</f>
        <v/>
      </c>
      <c r="AT21" s="71">
        <f>IF(AND(AW21&gt;0,AO21=0,AQ21=0,AR21=0,AU21=0),"READY",IF(AP21&gt;0,"NOT READY – OVERDUE",IF(AQ21&gt;0,"NOT READY – DISCREPANCY",IF(AU21&gt;0,"NOT READY – INVALID ENTRY",IF(AR21&gt;0,"NOT READY – DOCUMENTS OUTSTANDING",IF(AS21&gt;0,"NOT READY – CLARIFICATION OPEN",IF(AND(AV21&gt;0,SUMIFS(Checks!$AJ$5:$AJ$748,Checks!$B$5:$B$748,$A21,Checks!$H$5:$H$748,"Preparation")=SUMIFS(Checks!$AI$5:$AI$748,Checks!$B$5:$B$748,$A21,Checks!$H$5:$H$748,"Preparation")),"PREP DONE – AWAITING UPLIFT",IF(AV21=0,"NOT STARTED","IN PROGRESS"))))))))</f>
        <v/>
      </c>
      <c r="AU21" s="67">
        <f>SUMIFS(Checks!$AM$5:$AM$748,Checks!$B$5:$B$748,$A21)</f>
        <v/>
      </c>
      <c r="AV21" s="67">
        <f>SUMIFS(Checks!$AJ$5:$AJ$748,Checks!$B$5:$B$748,$A21)</f>
        <v/>
      </c>
      <c r="AW21" s="67">
        <f>SUMIFS(Checks!$AI$5:$AI$748,Checks!$B$5:$B$748,$A21)</f>
        <v/>
      </c>
      <c r="AX21" s="72" t="n"/>
      <c r="AY21" s="68">
        <f>IF(ISNUMBER(AX21),AX21,AA21-MIN($AB$20)/24)-UpliftWindowH/24</f>
        <v/>
      </c>
    </row>
    <row r="22" ht="36" customHeight="1">
      <c r="A22" s="63" t="inlineStr">
        <is>
          <t>F18</t>
        </is>
      </c>
      <c r="B22" s="63" t="n">
        <v>3</v>
      </c>
      <c r="C22" s="63" t="n">
        <v>18</v>
      </c>
      <c r="D22" s="64" t="n">
        <v>46322</v>
      </c>
      <c r="E22" s="63" t="inlineStr">
        <is>
          <t>TUE</t>
        </is>
      </c>
      <c r="F22" s="63" t="inlineStr">
        <is>
          <t>MH0052</t>
        </is>
      </c>
      <c r="G22" s="63" t="inlineStr">
        <is>
          <t>KUL</t>
        </is>
      </c>
      <c r="H22" s="63" t="inlineStr">
        <is>
          <t>KIX</t>
        </is>
      </c>
      <c r="I22" s="65" t="n">
        <v>46322.93402777778</v>
      </c>
      <c r="J22" s="65" t="n">
        <v>46323.24652777778</v>
      </c>
      <c r="K22" s="63" t="inlineStr">
        <is>
          <t>BC</t>
        </is>
      </c>
      <c r="L22" s="66" t="inlineStr">
        <is>
          <t>A333</t>
        </is>
      </c>
      <c r="M22" s="63" t="inlineStr">
        <is>
          <t>A330-300 (A333)</t>
        </is>
      </c>
      <c r="N22" s="66" t="n"/>
      <c r="O22" s="63" t="inlineStr">
        <is>
          <t>1D</t>
        </is>
      </c>
      <c r="P22" s="63" t="inlineStr">
        <is>
          <t>3H 30M</t>
        </is>
      </c>
      <c r="Q22" s="63" t="inlineStr">
        <is>
          <t>Overnight KIX</t>
        </is>
      </c>
      <c r="R22" s="63" t="inlineStr">
        <is>
          <t>KUL/KIX/KUL</t>
        </is>
      </c>
      <c r="S22" s="63" t="inlineStr">
        <is>
          <t>NORTH ASIA</t>
        </is>
      </c>
      <c r="T22" s="63" t="inlineStr">
        <is>
          <t>1.5 Meal (Meal)</t>
        </is>
      </c>
      <c r="U22" s="63" t="inlineStr">
        <is>
          <t>KUL/KIX</t>
        </is>
      </c>
      <c r="V22" s="63" t="inlineStr">
        <is>
          <t>KUL</t>
        </is>
      </c>
      <c r="W22" s="63" t="inlineStr"/>
      <c r="X22" s="66" t="n"/>
      <c r="Y22" s="66" t="n"/>
      <c r="Z22" s="67">
        <f>IF(AND(INDEX(TZ_DSTS,MATCH(G22,TZ_STN,0))&lt;&gt;"",(I22-INDEX(TZ_STD,MATCH(G22,TZ_STN,0))/24)&gt;=INDEX(TZ_DSTS,MATCH(G22,TZ_STN,0)),(I22-INDEX(TZ_STD,MATCH(G22,TZ_STN,0))/24)&lt;INDEX(TZ_DSTE,MATCH(G22,TZ_STN,0))),INDEX(TZ_DST,MATCH(G22,TZ_STN,0)),INDEX(TZ_STD,MATCH(G22,TZ_STN,0)))</f>
        <v/>
      </c>
      <c r="AA22" s="68">
        <f>I22-Z22/24</f>
        <v/>
      </c>
      <c r="AB22" s="69">
        <f>(J22-(IF(AND(INDEX(TZ_DSTS,MATCH(H22,TZ_STN,0))&lt;&gt;"",(J22-INDEX(TZ_STD,MATCH(H22,TZ_STN,0))/24)&gt;=INDEX(TZ_DSTS,MATCH(H22,TZ_STN,0)),(J22-INDEX(TZ_STD,MATCH(H22,TZ_STN,0))/24)&lt;INDEX(TZ_DSTE,MATCH(H22,TZ_STN,0))),INDEX(TZ_DST,MATCH(H22,TZ_STN,0)),INDEX(TZ_STD,MATCH(H22,TZ_STN,0))))/24-AA22)*24</f>
        <v/>
      </c>
      <c r="AC22" s="68">
        <f>AA22-7</f>
        <v/>
      </c>
      <c r="AD22" s="68">
        <f>AA22-1</f>
        <v/>
      </c>
      <c r="AE22" s="68">
        <f>AA22-0.5</f>
        <v/>
      </c>
      <c r="AF22" s="68">
        <f>AA22</f>
        <v/>
      </c>
      <c r="AG22" s="68">
        <f>AC22+(IF(AND(INDEX(TZ_DSTS,MATCH(V22,TZ_STN,0))&lt;&gt;"",AC22&gt;=INDEX(TZ_DSTS,MATCH(V22,TZ_STN,0)),AC22&lt;INDEX(TZ_DSTE,MATCH(V22,TZ_STN,0))),INDEX(TZ_DST,MATCH(V22,TZ_STN,0)),INDEX(TZ_STD,MATCH(V22,TZ_STN,0))))/24</f>
        <v/>
      </c>
      <c r="AH22" s="68">
        <f>AD22+(IF(AND(INDEX(TZ_DSTS,MATCH(V22,TZ_STN,0))&lt;&gt;"",AD22&gt;=INDEX(TZ_DSTS,MATCH(V22,TZ_STN,0)),AD22&lt;INDEX(TZ_DSTE,MATCH(V22,TZ_STN,0))),INDEX(TZ_DST,MATCH(V22,TZ_STN,0)),INDEX(TZ_STD,MATCH(V22,TZ_STN,0))))/24</f>
        <v/>
      </c>
      <c r="AI22" s="68">
        <f>AE22+(IF(AND(INDEX(TZ_DSTS,MATCH(V22,TZ_STN,0))&lt;&gt;"",AE22&gt;=INDEX(TZ_DSTS,MATCH(V22,TZ_STN,0)),AE22&lt;INDEX(TZ_DSTE,MATCH(V22,TZ_STN,0))),INDEX(TZ_DST,MATCH(V22,TZ_STN,0)),INDEX(TZ_STD,MATCH(V22,TZ_STN,0))))/24</f>
        <v/>
      </c>
      <c r="AJ22" s="70">
        <f>IFERROR(SUMIFS(Checks!$AJ$5:$AJ$748,Checks!$B$5:$B$748,$A22,Checks!$G$5:$G$748,"T-7D")/SUMIFS(Checks!$AI$5:$AI$748,Checks!$B$5:$B$748,$A22,Checks!$G$5:$G$748,"T-7D"),"n/a")</f>
        <v/>
      </c>
      <c r="AK22" s="70">
        <f>IFERROR(SUMIFS(Checks!$AJ$5:$AJ$748,Checks!$B$5:$B$748,$A22,Checks!$G$5:$G$748,"T-24H")/SUMIFS(Checks!$AI$5:$AI$748,Checks!$B$5:$B$748,$A22,Checks!$G$5:$G$748,"T-24H"),"n/a")</f>
        <v/>
      </c>
      <c r="AL22" s="70">
        <f>IFERROR(SUMIFS(Checks!$AJ$5:$AJ$748,Checks!$B$5:$B$748,$A22,Checks!$G$5:$G$748,"T-12H PREP")/SUMIFS(Checks!$AI$5:$AI$748,Checks!$B$5:$B$748,$A22,Checks!$G$5:$G$748,"T-12H PREP"),"n/a")</f>
        <v/>
      </c>
      <c r="AM22" s="70">
        <f>IFERROR(SUMIFS(Checks!$AJ$5:$AJ$748,Checks!$B$5:$B$748,$A22,Checks!$G$5:$G$748,"UPLIFT")/SUMIFS(Checks!$AI$5:$AI$748,Checks!$B$5:$B$748,$A22,Checks!$G$5:$G$748,"UPLIFT"),"n/a")</f>
        <v/>
      </c>
      <c r="AN22" s="70">
        <f>IFERROR(SUMIFS(Checks!$AJ$5:$AJ$748,Checks!$B$5:$B$748,$A22)/SUMIFS(Checks!$AI$5:$AI$748,Checks!$B$5:$B$748,$A22),"n/a")</f>
        <v/>
      </c>
      <c r="AO22" s="67">
        <f>AW22-AV22</f>
        <v/>
      </c>
      <c r="AP22" s="67">
        <f>SUMIFS(Checks!$AK$5:$AK$748,Checks!$B$5:$B$748,$A22)</f>
        <v/>
      </c>
      <c r="AQ22" s="67">
        <f>SUMIFS(Checks!$AL$5:$AL$748,Checks!$B$5:$B$748,$A22)</f>
        <v/>
      </c>
      <c r="AR22" s="67">
        <f>Documents!P22</f>
        <v/>
      </c>
      <c r="AS22" s="67">
        <f>SUMIFS(Checks!$AN$5:$AN$748,Checks!$B$5:$B$748,$A22)</f>
        <v/>
      </c>
      <c r="AT22" s="71">
        <f>IF(AND(AW22&gt;0,AO22=0,AQ22=0,AR22=0,AU22=0),"READY",IF(AP22&gt;0,"NOT READY – OVERDUE",IF(AQ22&gt;0,"NOT READY – DISCREPANCY",IF(AU22&gt;0,"NOT READY – INVALID ENTRY",IF(AR22&gt;0,"NOT READY – DOCUMENTS OUTSTANDING",IF(AS22&gt;0,"NOT READY – CLARIFICATION OPEN",IF(AND(AV22&gt;0,SUMIFS(Checks!$AJ$5:$AJ$748,Checks!$B$5:$B$748,$A22,Checks!$H$5:$H$748,"Preparation")=SUMIFS(Checks!$AI$5:$AI$748,Checks!$B$5:$B$748,$A22,Checks!$H$5:$H$748,"Preparation")),"PREP DONE – AWAITING UPLIFT",IF(AV22=0,"NOT STARTED","IN PROGRESS"))))))))</f>
        <v/>
      </c>
      <c r="AU22" s="67">
        <f>SUMIFS(Checks!$AM$5:$AM$748,Checks!$B$5:$B$748,$A22)</f>
        <v/>
      </c>
      <c r="AV22" s="67">
        <f>SUMIFS(Checks!$AJ$5:$AJ$748,Checks!$B$5:$B$748,$A22)</f>
        <v/>
      </c>
      <c r="AW22" s="67">
        <f>SUMIFS(Checks!$AI$5:$AI$748,Checks!$B$5:$B$748,$A22)</f>
        <v/>
      </c>
      <c r="AX22" s="68" t="inlineStr">
        <is>
          <t>n/a</t>
        </is>
      </c>
      <c r="AY22" s="68" t="inlineStr">
        <is>
          <t>n/a</t>
        </is>
      </c>
    </row>
    <row r="23" ht="36" customHeight="1">
      <c r="A23" s="63" t="inlineStr">
        <is>
          <t>F19</t>
        </is>
      </c>
      <c r="B23" s="63" t="n">
        <v>3</v>
      </c>
      <c r="C23" s="63" t="n">
        <v>19</v>
      </c>
      <c r="D23" s="64" t="n">
        <v>46324</v>
      </c>
      <c r="E23" s="63" t="inlineStr">
        <is>
          <t>THU</t>
        </is>
      </c>
      <c r="F23" s="63" t="inlineStr">
        <is>
          <t>MH0053</t>
        </is>
      </c>
      <c r="G23" s="63" t="inlineStr">
        <is>
          <t>KIX</t>
        </is>
      </c>
      <c r="H23" s="63" t="inlineStr">
        <is>
          <t>KUL</t>
        </is>
      </c>
      <c r="I23" s="65" t="n">
        <v>46324.40277777778</v>
      </c>
      <c r="J23" s="65" t="n">
        <v>46324.69791666666</v>
      </c>
      <c r="K23" s="63" t="inlineStr">
        <is>
          <t>EY</t>
        </is>
      </c>
      <c r="L23" s="66" t="inlineStr">
        <is>
          <t>A333</t>
        </is>
      </c>
      <c r="M23" s="63" t="inlineStr">
        <is>
          <t>A330-300 (A333)</t>
        </is>
      </c>
      <c r="N23" s="66" t="n"/>
      <c r="O23" s="63" t="inlineStr">
        <is>
          <t>9C</t>
        </is>
      </c>
      <c r="P23" s="63" t="inlineStr">
        <is>
          <t>-</t>
        </is>
      </c>
      <c r="Q23" s="63" t="inlineStr"/>
      <c r="R23" s="63" t="inlineStr">
        <is>
          <t>KUL/KIX/KUL</t>
        </is>
      </c>
      <c r="S23" s="63" t="inlineStr">
        <is>
          <t>NORTH ASIA</t>
        </is>
      </c>
      <c r="T23" s="63" t="inlineStr">
        <is>
          <t>1.5 Meal (Meal)</t>
        </is>
      </c>
      <c r="U23" s="63" t="inlineStr">
        <is>
          <t>KUL/KIX</t>
        </is>
      </c>
      <c r="V23" s="63" t="inlineStr">
        <is>
          <t>KIX</t>
        </is>
      </c>
      <c r="W23" s="63" t="inlineStr"/>
      <c r="X23" s="66" t="n"/>
      <c r="Y23" s="66" t="n"/>
      <c r="Z23" s="67">
        <f>IF(AND(INDEX(TZ_DSTS,MATCH(G23,TZ_STN,0))&lt;&gt;"",(I23-INDEX(TZ_STD,MATCH(G23,TZ_STN,0))/24)&gt;=INDEX(TZ_DSTS,MATCH(G23,TZ_STN,0)),(I23-INDEX(TZ_STD,MATCH(G23,TZ_STN,0))/24)&lt;INDEX(TZ_DSTE,MATCH(G23,TZ_STN,0))),INDEX(TZ_DST,MATCH(G23,TZ_STN,0)),INDEX(TZ_STD,MATCH(G23,TZ_STN,0)))</f>
        <v/>
      </c>
      <c r="AA23" s="68">
        <f>I23-Z23/24</f>
        <v/>
      </c>
      <c r="AB23" s="69">
        <f>(J23-(IF(AND(INDEX(TZ_DSTS,MATCH(H23,TZ_STN,0))&lt;&gt;"",(J23-INDEX(TZ_STD,MATCH(H23,TZ_STN,0))/24)&gt;=INDEX(TZ_DSTS,MATCH(H23,TZ_STN,0)),(J23-INDEX(TZ_STD,MATCH(H23,TZ_STN,0))/24)&lt;INDEX(TZ_DSTE,MATCH(H23,TZ_STN,0))),INDEX(TZ_DST,MATCH(H23,TZ_STN,0)),INDEX(TZ_STD,MATCH(H23,TZ_STN,0))))/24-AA23)*24</f>
        <v/>
      </c>
      <c r="AC23" s="68">
        <f>AA23-7</f>
        <v/>
      </c>
      <c r="AD23" s="68">
        <f>AA23-1</f>
        <v/>
      </c>
      <c r="AE23" s="68">
        <f>AA23-0.5</f>
        <v/>
      </c>
      <c r="AF23" s="68">
        <f>AA23</f>
        <v/>
      </c>
      <c r="AG23" s="68">
        <f>AC23+(IF(AND(INDEX(TZ_DSTS,MATCH(V23,TZ_STN,0))&lt;&gt;"",AC23&gt;=INDEX(TZ_DSTS,MATCH(V23,TZ_STN,0)),AC23&lt;INDEX(TZ_DSTE,MATCH(V23,TZ_STN,0))),INDEX(TZ_DST,MATCH(V23,TZ_STN,0)),INDEX(TZ_STD,MATCH(V23,TZ_STN,0))))/24</f>
        <v/>
      </c>
      <c r="AH23" s="68">
        <f>AD23+(IF(AND(INDEX(TZ_DSTS,MATCH(V23,TZ_STN,0))&lt;&gt;"",AD23&gt;=INDEX(TZ_DSTS,MATCH(V23,TZ_STN,0)),AD23&lt;INDEX(TZ_DSTE,MATCH(V23,TZ_STN,0))),INDEX(TZ_DST,MATCH(V23,TZ_STN,0)),INDEX(TZ_STD,MATCH(V23,TZ_STN,0))))/24</f>
        <v/>
      </c>
      <c r="AI23" s="68">
        <f>AE23+(IF(AND(INDEX(TZ_DSTS,MATCH(V23,TZ_STN,0))&lt;&gt;"",AE23&gt;=INDEX(TZ_DSTS,MATCH(V23,TZ_STN,0)),AE23&lt;INDEX(TZ_DSTE,MATCH(V23,TZ_STN,0))),INDEX(TZ_DST,MATCH(V23,TZ_STN,0)),INDEX(TZ_STD,MATCH(V23,TZ_STN,0))))/24</f>
        <v/>
      </c>
      <c r="AJ23" s="70">
        <f>IFERROR(SUMIFS(Checks!$AJ$5:$AJ$748,Checks!$B$5:$B$748,$A23,Checks!$G$5:$G$748,"T-7D")/SUMIFS(Checks!$AI$5:$AI$748,Checks!$B$5:$B$748,$A23,Checks!$G$5:$G$748,"T-7D"),"n/a")</f>
        <v/>
      </c>
      <c r="AK23" s="70">
        <f>IFERROR(SUMIFS(Checks!$AJ$5:$AJ$748,Checks!$B$5:$B$748,$A23,Checks!$G$5:$G$748,"T-24H")/SUMIFS(Checks!$AI$5:$AI$748,Checks!$B$5:$B$748,$A23,Checks!$G$5:$G$748,"T-24H"),"n/a")</f>
        <v/>
      </c>
      <c r="AL23" s="70">
        <f>IFERROR(SUMIFS(Checks!$AJ$5:$AJ$748,Checks!$B$5:$B$748,$A23,Checks!$G$5:$G$748,"T-12H PREP")/SUMIFS(Checks!$AI$5:$AI$748,Checks!$B$5:$B$748,$A23,Checks!$G$5:$G$748,"T-12H PREP"),"n/a")</f>
        <v/>
      </c>
      <c r="AM23" s="70">
        <f>IFERROR(SUMIFS(Checks!$AJ$5:$AJ$748,Checks!$B$5:$B$748,$A23,Checks!$G$5:$G$748,"UPLIFT")/SUMIFS(Checks!$AI$5:$AI$748,Checks!$B$5:$B$748,$A23,Checks!$G$5:$G$748,"UPLIFT"),"n/a")</f>
        <v/>
      </c>
      <c r="AN23" s="70">
        <f>IFERROR(SUMIFS(Checks!$AJ$5:$AJ$748,Checks!$B$5:$B$748,$A23)/SUMIFS(Checks!$AI$5:$AI$748,Checks!$B$5:$B$748,$A23),"n/a")</f>
        <v/>
      </c>
      <c r="AO23" s="67">
        <f>AW23-AV23</f>
        <v/>
      </c>
      <c r="AP23" s="67">
        <f>SUMIFS(Checks!$AK$5:$AK$748,Checks!$B$5:$B$748,$A23)</f>
        <v/>
      </c>
      <c r="AQ23" s="67">
        <f>SUMIFS(Checks!$AL$5:$AL$748,Checks!$B$5:$B$748,$A23)</f>
        <v/>
      </c>
      <c r="AR23" s="67">
        <f>Documents!P23</f>
        <v/>
      </c>
      <c r="AS23" s="67">
        <f>SUMIFS(Checks!$AN$5:$AN$748,Checks!$B$5:$B$748,$A23)</f>
        <v/>
      </c>
      <c r="AT23" s="71">
        <f>IF(AND(AW23&gt;0,AO23=0,AQ23=0,AR23=0,AU23=0),"READY",IF(AP23&gt;0,"NOT READY – OVERDUE",IF(AQ23&gt;0,"NOT READY – DISCREPANCY",IF(AU23&gt;0,"NOT READY – INVALID ENTRY",IF(AR23&gt;0,"NOT READY – DOCUMENTS OUTSTANDING",IF(AS23&gt;0,"NOT READY – CLARIFICATION OPEN",IF(AND(AV23&gt;0,SUMIFS(Checks!$AJ$5:$AJ$748,Checks!$B$5:$B$748,$A23,Checks!$H$5:$H$748,"Preparation")=SUMIFS(Checks!$AI$5:$AI$748,Checks!$B$5:$B$748,$A23,Checks!$H$5:$H$748,"Preparation")),"PREP DONE – AWAITING UPLIFT",IF(AV23=0,"NOT STARTED","IN PROGRESS"))))))))</f>
        <v/>
      </c>
      <c r="AU23" s="67">
        <f>SUMIFS(Checks!$AM$5:$AM$748,Checks!$B$5:$B$748,$A23)</f>
        <v/>
      </c>
      <c r="AV23" s="67">
        <f>SUMIFS(Checks!$AJ$5:$AJ$748,Checks!$B$5:$B$748,$A23)</f>
        <v/>
      </c>
      <c r="AW23" s="67">
        <f>SUMIFS(Checks!$AI$5:$AI$748,Checks!$B$5:$B$748,$A23)</f>
        <v/>
      </c>
      <c r="AX23" s="68" t="inlineStr">
        <is>
          <t>n/a</t>
        </is>
      </c>
      <c r="AY23" s="68" t="inlineStr">
        <is>
          <t>n/a</t>
        </is>
      </c>
    </row>
    <row r="24" ht="36" customHeight="1">
      <c r="A24" s="63" t="inlineStr">
        <is>
          <t>F20</t>
        </is>
      </c>
      <c r="B24" s="63" t="n">
        <v>3</v>
      </c>
      <c r="C24" s="63" t="n">
        <v>20</v>
      </c>
      <c r="D24" s="64" t="n">
        <v>46324</v>
      </c>
      <c r="E24" s="63" t="inlineStr">
        <is>
          <t>THU</t>
        </is>
      </c>
      <c r="F24" s="63" t="inlineStr">
        <is>
          <t>MH1450</t>
        </is>
      </c>
      <c r="G24" s="63" t="inlineStr">
        <is>
          <t>KUL</t>
        </is>
      </c>
      <c r="H24" s="63" t="inlineStr">
        <is>
          <t>LGK</t>
        </is>
      </c>
      <c r="I24" s="65" t="n">
        <v>46324.77083333334</v>
      </c>
      <c r="J24" s="65" t="n">
        <v>46324.83333333334</v>
      </c>
      <c r="K24" s="63" t="inlineStr">
        <is>
          <t>EY</t>
        </is>
      </c>
      <c r="L24" s="66" t="inlineStr">
        <is>
          <t>B738MAX</t>
        </is>
      </c>
      <c r="M24" s="63" t="inlineStr">
        <is>
          <t>B737-8 (B7M8)</t>
        </is>
      </c>
      <c r="N24" s="66" t="n"/>
      <c r="O24" s="63" t="inlineStr">
        <is>
          <t>4A</t>
        </is>
      </c>
      <c r="P24" s="63" t="inlineStr">
        <is>
          <t>1H 45M</t>
        </is>
      </c>
      <c r="Q24" s="63" t="inlineStr">
        <is>
          <t>Overnight LGK</t>
        </is>
      </c>
      <c r="R24" s="63" t="inlineStr">
        <is>
          <t>KUL/LGK/KUL</t>
        </is>
      </c>
      <c r="S24" s="63" t="inlineStr">
        <is>
          <t>DOMESTIC</t>
        </is>
      </c>
      <c r="T24" s="63" t="inlineStr">
        <is>
          <t>Refreshment (Peanut &amp; Water)</t>
        </is>
      </c>
      <c r="U24" s="63" t="inlineStr">
        <is>
          <t>KUL</t>
        </is>
      </c>
      <c r="V24" s="63" t="inlineStr">
        <is>
          <t>KUL</t>
        </is>
      </c>
      <c r="W24" s="63" t="inlineStr"/>
      <c r="X24" s="66" t="n"/>
      <c r="Y24" s="66" t="n"/>
      <c r="Z24" s="67">
        <f>IF(AND(INDEX(TZ_DSTS,MATCH(G24,TZ_STN,0))&lt;&gt;"",(I24-INDEX(TZ_STD,MATCH(G24,TZ_STN,0))/24)&gt;=INDEX(TZ_DSTS,MATCH(G24,TZ_STN,0)),(I24-INDEX(TZ_STD,MATCH(G24,TZ_STN,0))/24)&lt;INDEX(TZ_DSTE,MATCH(G24,TZ_STN,0))),INDEX(TZ_DST,MATCH(G24,TZ_STN,0)),INDEX(TZ_STD,MATCH(G24,TZ_STN,0)))</f>
        <v/>
      </c>
      <c r="AA24" s="68">
        <f>I24-Z24/24</f>
        <v/>
      </c>
      <c r="AB24" s="69">
        <f>(J24-(IF(AND(INDEX(TZ_DSTS,MATCH(H24,TZ_STN,0))&lt;&gt;"",(J24-INDEX(TZ_STD,MATCH(H24,TZ_STN,0))/24)&gt;=INDEX(TZ_DSTS,MATCH(H24,TZ_STN,0)),(J24-INDEX(TZ_STD,MATCH(H24,TZ_STN,0))/24)&lt;INDEX(TZ_DSTE,MATCH(H24,TZ_STN,0))),INDEX(TZ_DST,MATCH(H24,TZ_STN,0)),INDEX(TZ_STD,MATCH(H24,TZ_STN,0))))/24-AA24)*24</f>
        <v/>
      </c>
      <c r="AC24" s="68">
        <f>AA24-7</f>
        <v/>
      </c>
      <c r="AD24" s="68">
        <f>AA24-1</f>
        <v/>
      </c>
      <c r="AE24" s="68">
        <f>AA24-0.5</f>
        <v/>
      </c>
      <c r="AF24" s="68">
        <f>AA24</f>
        <v/>
      </c>
      <c r="AG24" s="68">
        <f>AC24+(IF(AND(INDEX(TZ_DSTS,MATCH(V24,TZ_STN,0))&lt;&gt;"",AC24&gt;=INDEX(TZ_DSTS,MATCH(V24,TZ_STN,0)),AC24&lt;INDEX(TZ_DSTE,MATCH(V24,TZ_STN,0))),INDEX(TZ_DST,MATCH(V24,TZ_STN,0)),INDEX(TZ_STD,MATCH(V24,TZ_STN,0))))/24</f>
        <v/>
      </c>
      <c r="AH24" s="68">
        <f>AD24+(IF(AND(INDEX(TZ_DSTS,MATCH(V24,TZ_STN,0))&lt;&gt;"",AD24&gt;=INDEX(TZ_DSTS,MATCH(V24,TZ_STN,0)),AD24&lt;INDEX(TZ_DSTE,MATCH(V24,TZ_STN,0))),INDEX(TZ_DST,MATCH(V24,TZ_STN,0)),INDEX(TZ_STD,MATCH(V24,TZ_STN,0))))/24</f>
        <v/>
      </c>
      <c r="AI24" s="68">
        <f>AE24+(IF(AND(INDEX(TZ_DSTS,MATCH(V24,TZ_STN,0))&lt;&gt;"",AE24&gt;=INDEX(TZ_DSTS,MATCH(V24,TZ_STN,0)),AE24&lt;INDEX(TZ_DSTE,MATCH(V24,TZ_STN,0))),INDEX(TZ_DST,MATCH(V24,TZ_STN,0)),INDEX(TZ_STD,MATCH(V24,TZ_STN,0))))/24</f>
        <v/>
      </c>
      <c r="AJ24" s="70">
        <f>IFERROR(SUMIFS(Checks!$AJ$5:$AJ$748,Checks!$B$5:$B$748,$A24,Checks!$G$5:$G$748,"T-7D")/SUMIFS(Checks!$AI$5:$AI$748,Checks!$B$5:$B$748,$A24,Checks!$G$5:$G$748,"T-7D"),"n/a")</f>
        <v/>
      </c>
      <c r="AK24" s="70">
        <f>IFERROR(SUMIFS(Checks!$AJ$5:$AJ$748,Checks!$B$5:$B$748,$A24,Checks!$G$5:$G$748,"T-24H")/SUMIFS(Checks!$AI$5:$AI$748,Checks!$B$5:$B$748,$A24,Checks!$G$5:$G$748,"T-24H"),"n/a")</f>
        <v/>
      </c>
      <c r="AL24" s="70">
        <f>IFERROR(SUMIFS(Checks!$AJ$5:$AJ$748,Checks!$B$5:$B$748,$A24,Checks!$G$5:$G$748,"T-12H PREP")/SUMIFS(Checks!$AI$5:$AI$748,Checks!$B$5:$B$748,$A24,Checks!$G$5:$G$748,"T-12H PREP"),"n/a")</f>
        <v/>
      </c>
      <c r="AM24" s="70">
        <f>IFERROR(SUMIFS(Checks!$AJ$5:$AJ$748,Checks!$B$5:$B$748,$A24,Checks!$G$5:$G$748,"UPLIFT")/SUMIFS(Checks!$AI$5:$AI$748,Checks!$B$5:$B$748,$A24,Checks!$G$5:$G$748,"UPLIFT"),"n/a")</f>
        <v/>
      </c>
      <c r="AN24" s="70">
        <f>IFERROR(SUMIFS(Checks!$AJ$5:$AJ$748,Checks!$B$5:$B$748,$A24)/SUMIFS(Checks!$AI$5:$AI$748,Checks!$B$5:$B$748,$A24),"n/a")</f>
        <v/>
      </c>
      <c r="AO24" s="67">
        <f>AW24-AV24</f>
        <v/>
      </c>
      <c r="AP24" s="67">
        <f>SUMIFS(Checks!$AK$5:$AK$748,Checks!$B$5:$B$748,$A24)</f>
        <v/>
      </c>
      <c r="AQ24" s="67">
        <f>SUMIFS(Checks!$AL$5:$AL$748,Checks!$B$5:$B$748,$A24)</f>
        <v/>
      </c>
      <c r="AR24" s="67">
        <f>Documents!P24</f>
        <v/>
      </c>
      <c r="AS24" s="67">
        <f>SUMIFS(Checks!$AN$5:$AN$748,Checks!$B$5:$B$748,$A24)</f>
        <v/>
      </c>
      <c r="AT24" s="71">
        <f>IF(AND(AW24&gt;0,AO24=0,AQ24=0,AR24=0,AU24=0),"READY",IF(AP24&gt;0,"NOT READY – OVERDUE",IF(AQ24&gt;0,"NOT READY – DISCREPANCY",IF(AU24&gt;0,"NOT READY – INVALID ENTRY",IF(AR24&gt;0,"NOT READY – DOCUMENTS OUTSTANDING",IF(AS24&gt;0,"NOT READY – CLARIFICATION OPEN",IF(AND(AV24&gt;0,SUMIFS(Checks!$AJ$5:$AJ$748,Checks!$B$5:$B$748,$A24,Checks!$H$5:$H$748,"Preparation")=SUMIFS(Checks!$AI$5:$AI$748,Checks!$B$5:$B$748,$A24,Checks!$H$5:$H$748,"Preparation")),"PREP DONE – AWAITING UPLIFT",IF(AV24=0,"NOT STARTED","IN PROGRESS"))))))))</f>
        <v/>
      </c>
      <c r="AU24" s="67">
        <f>SUMIFS(Checks!$AM$5:$AM$748,Checks!$B$5:$B$748,$A24)</f>
        <v/>
      </c>
      <c r="AV24" s="67">
        <f>SUMIFS(Checks!$AJ$5:$AJ$748,Checks!$B$5:$B$748,$A24)</f>
        <v/>
      </c>
      <c r="AW24" s="67">
        <f>SUMIFS(Checks!$AI$5:$AI$748,Checks!$B$5:$B$748,$A24)</f>
        <v/>
      </c>
      <c r="AX24" s="68" t="inlineStr">
        <is>
          <t>n/a</t>
        </is>
      </c>
      <c r="AY24" s="68" t="inlineStr">
        <is>
          <t>n/a</t>
        </is>
      </c>
    </row>
    <row r="25" ht="36" customHeight="1">
      <c r="A25" s="63" t="inlineStr">
        <is>
          <t>F21</t>
        </is>
      </c>
      <c r="B25" s="63" t="n">
        <v>3</v>
      </c>
      <c r="C25" s="63" t="n">
        <v>21</v>
      </c>
      <c r="D25" s="64" t="n">
        <v>46325</v>
      </c>
      <c r="E25" s="63" t="inlineStr">
        <is>
          <t>FRI</t>
        </is>
      </c>
      <c r="F25" s="63" t="inlineStr">
        <is>
          <t>MH1437</t>
        </is>
      </c>
      <c r="G25" s="63" t="inlineStr">
        <is>
          <t>LGK</t>
        </is>
      </c>
      <c r="H25" s="63" t="inlineStr">
        <is>
          <t>KUL</t>
        </is>
      </c>
      <c r="I25" s="65" t="n">
        <v>46325.61458333334</v>
      </c>
      <c r="J25" s="65" t="n">
        <v>46325.67013888889</v>
      </c>
      <c r="K25" s="63" t="inlineStr">
        <is>
          <t>BC</t>
        </is>
      </c>
      <c r="L25" s="66" t="inlineStr">
        <is>
          <t>B738MAX</t>
        </is>
      </c>
      <c r="M25" s="63" t="inlineStr">
        <is>
          <t>B737-8 (B7M8)</t>
        </is>
      </c>
      <c r="N25" s="66" t="n"/>
      <c r="O25" s="63" t="inlineStr">
        <is>
          <t>1C</t>
        </is>
      </c>
      <c r="P25" s="63" t="inlineStr">
        <is>
          <t>-</t>
        </is>
      </c>
      <c r="Q25" s="63" t="inlineStr"/>
      <c r="R25" s="63" t="inlineStr">
        <is>
          <t>KUL/LGK/KUL</t>
        </is>
      </c>
      <c r="S25" s="63" t="inlineStr">
        <is>
          <t>DOMESTIC</t>
        </is>
      </c>
      <c r="T25" s="63" t="inlineStr">
        <is>
          <t>Refreshment (Peanut &amp; Water)</t>
        </is>
      </c>
      <c r="U25" s="63" t="inlineStr">
        <is>
          <t>KUL</t>
        </is>
      </c>
      <c r="V25" s="63" t="inlineStr">
        <is>
          <t>KUL</t>
        </is>
      </c>
      <c r="W25" s="63" t="inlineStr">
        <is>
          <t>F20</t>
        </is>
      </c>
      <c r="X25" s="66" t="n"/>
      <c r="Y25" s="66" t="n"/>
      <c r="Z25" s="67">
        <f>IF(AND(INDEX(TZ_DSTS,MATCH(G25,TZ_STN,0))&lt;&gt;"",(I25-INDEX(TZ_STD,MATCH(G25,TZ_STN,0))/24)&gt;=INDEX(TZ_DSTS,MATCH(G25,TZ_STN,0)),(I25-INDEX(TZ_STD,MATCH(G25,TZ_STN,0))/24)&lt;INDEX(TZ_DSTE,MATCH(G25,TZ_STN,0))),INDEX(TZ_DST,MATCH(G25,TZ_STN,0)),INDEX(TZ_STD,MATCH(G25,TZ_STN,0)))</f>
        <v/>
      </c>
      <c r="AA25" s="68">
        <f>I25-Z25/24</f>
        <v/>
      </c>
      <c r="AB25" s="69">
        <f>(J25-(IF(AND(INDEX(TZ_DSTS,MATCH(H25,TZ_STN,0))&lt;&gt;"",(J25-INDEX(TZ_STD,MATCH(H25,TZ_STN,0))/24)&gt;=INDEX(TZ_DSTS,MATCH(H25,TZ_STN,0)),(J25-INDEX(TZ_STD,MATCH(H25,TZ_STN,0))/24)&lt;INDEX(TZ_DSTE,MATCH(H25,TZ_STN,0))),INDEX(TZ_DST,MATCH(H25,TZ_STN,0)),INDEX(TZ_STD,MATCH(H25,TZ_STN,0))))/24-AA25)*24</f>
        <v/>
      </c>
      <c r="AC25" s="68">
        <f>AA25-7</f>
        <v/>
      </c>
      <c r="AD25" s="68">
        <f>MIN(AA25-1,AY25)</f>
        <v/>
      </c>
      <c r="AE25" s="68">
        <f>MIN(AA25-0.5,AY25)</f>
        <v/>
      </c>
      <c r="AF25" s="68">
        <f>AA25</f>
        <v/>
      </c>
      <c r="AG25" s="68">
        <f>AC25+(IF(AND(INDEX(TZ_DSTS,MATCH(V25,TZ_STN,0))&lt;&gt;"",AC25&gt;=INDEX(TZ_DSTS,MATCH(V25,TZ_STN,0)),AC25&lt;INDEX(TZ_DSTE,MATCH(V25,TZ_STN,0))),INDEX(TZ_DST,MATCH(V25,TZ_STN,0)),INDEX(TZ_STD,MATCH(V25,TZ_STN,0))))/24</f>
        <v/>
      </c>
      <c r="AH25" s="68">
        <f>AD25+(IF(AND(INDEX(TZ_DSTS,MATCH(V25,TZ_STN,0))&lt;&gt;"",AD25&gt;=INDEX(TZ_DSTS,MATCH(V25,TZ_STN,0)),AD25&lt;INDEX(TZ_DSTE,MATCH(V25,TZ_STN,0))),INDEX(TZ_DST,MATCH(V25,TZ_STN,0)),INDEX(TZ_STD,MATCH(V25,TZ_STN,0))))/24</f>
        <v/>
      </c>
      <c r="AI25" s="68">
        <f>AE25+(IF(AND(INDEX(TZ_DSTS,MATCH(V25,TZ_STN,0))&lt;&gt;"",AE25&gt;=INDEX(TZ_DSTS,MATCH(V25,TZ_STN,0)),AE25&lt;INDEX(TZ_DSTE,MATCH(V25,TZ_STN,0))),INDEX(TZ_DST,MATCH(V25,TZ_STN,0)),INDEX(TZ_STD,MATCH(V25,TZ_STN,0))))/24</f>
        <v/>
      </c>
      <c r="AJ25" s="70">
        <f>IFERROR(SUMIFS(Checks!$AJ$5:$AJ$748,Checks!$B$5:$B$748,$A25,Checks!$G$5:$G$748,"T-7D")/SUMIFS(Checks!$AI$5:$AI$748,Checks!$B$5:$B$748,$A25,Checks!$G$5:$G$748,"T-7D"),"n/a")</f>
        <v/>
      </c>
      <c r="AK25" s="70">
        <f>IFERROR(SUMIFS(Checks!$AJ$5:$AJ$748,Checks!$B$5:$B$748,$A25,Checks!$G$5:$G$748,"T-24H")/SUMIFS(Checks!$AI$5:$AI$748,Checks!$B$5:$B$748,$A25,Checks!$G$5:$G$748,"T-24H"),"n/a")</f>
        <v/>
      </c>
      <c r="AL25" s="70">
        <f>IFERROR(SUMIFS(Checks!$AJ$5:$AJ$748,Checks!$B$5:$B$748,$A25,Checks!$G$5:$G$748,"T-12H PREP")/SUMIFS(Checks!$AI$5:$AI$748,Checks!$B$5:$B$748,$A25,Checks!$G$5:$G$748,"T-12H PREP"),"n/a")</f>
        <v/>
      </c>
      <c r="AM25" s="70">
        <f>IFERROR(SUMIFS(Checks!$AJ$5:$AJ$748,Checks!$B$5:$B$748,$A25,Checks!$G$5:$G$748,"UPLIFT")/SUMIFS(Checks!$AI$5:$AI$748,Checks!$B$5:$B$748,$A25,Checks!$G$5:$G$748,"UPLIFT"),"n/a")</f>
        <v/>
      </c>
      <c r="AN25" s="70">
        <f>IFERROR(SUMIFS(Checks!$AJ$5:$AJ$748,Checks!$B$5:$B$748,$A25)/SUMIFS(Checks!$AI$5:$AI$748,Checks!$B$5:$B$748,$A25),"n/a")</f>
        <v/>
      </c>
      <c r="AO25" s="67">
        <f>AW25-AV25</f>
        <v/>
      </c>
      <c r="AP25" s="67">
        <f>SUMIFS(Checks!$AK$5:$AK$748,Checks!$B$5:$B$748,$A25)</f>
        <v/>
      </c>
      <c r="AQ25" s="67">
        <f>SUMIFS(Checks!$AL$5:$AL$748,Checks!$B$5:$B$748,$A25)</f>
        <v/>
      </c>
      <c r="AR25" s="67">
        <f>Documents!P25</f>
        <v/>
      </c>
      <c r="AS25" s="67">
        <f>SUMIFS(Checks!$AN$5:$AN$748,Checks!$B$5:$B$748,$A25)</f>
        <v/>
      </c>
      <c r="AT25" s="71">
        <f>IF(AND(AW25&gt;0,AO25=0,AQ25=0,AR25=0,AU25=0),"READY",IF(AP25&gt;0,"NOT READY – OVERDUE",IF(AQ25&gt;0,"NOT READY – DISCREPANCY",IF(AU25&gt;0,"NOT READY – INVALID ENTRY",IF(AR25&gt;0,"NOT READY – DOCUMENTS OUTSTANDING",IF(AS25&gt;0,"NOT READY – CLARIFICATION OPEN",IF(AND(AV25&gt;0,SUMIFS(Checks!$AJ$5:$AJ$748,Checks!$B$5:$B$748,$A25,Checks!$H$5:$H$748,"Preparation")=SUMIFS(Checks!$AI$5:$AI$748,Checks!$B$5:$B$748,$A25,Checks!$H$5:$H$748,"Preparation")),"PREP DONE – AWAITING UPLIFT",IF(AV25=0,"NOT STARTED","IN PROGRESS"))))))))</f>
        <v/>
      </c>
      <c r="AU25" s="67">
        <f>SUMIFS(Checks!$AM$5:$AM$748,Checks!$B$5:$B$748,$A25)</f>
        <v/>
      </c>
      <c r="AV25" s="67">
        <f>SUMIFS(Checks!$AJ$5:$AJ$748,Checks!$B$5:$B$748,$A25)</f>
        <v/>
      </c>
      <c r="AW25" s="67">
        <f>SUMIFS(Checks!$AI$5:$AI$748,Checks!$B$5:$B$748,$A25)</f>
        <v/>
      </c>
      <c r="AX25" s="72" t="n"/>
      <c r="AY25" s="68">
        <f>IF(ISNUMBER(AX25),AX25,AA25-MIN($AB$24)/24)-UpliftWindowH/24</f>
        <v/>
      </c>
    </row>
    <row r="26" ht="36" customHeight="1">
      <c r="A26" s="63" t="inlineStr">
        <is>
          <t>F22</t>
        </is>
      </c>
      <c r="B26" s="63" t="n">
        <v>3</v>
      </c>
      <c r="C26" s="63" t="n">
        <v>22</v>
      </c>
      <c r="D26" s="64" t="n">
        <v>46325</v>
      </c>
      <c r="E26" s="63" t="inlineStr">
        <is>
          <t>FRI</t>
        </is>
      </c>
      <c r="F26" s="63" t="inlineStr">
        <is>
          <t>MH0002</t>
        </is>
      </c>
      <c r="G26" s="63" t="inlineStr">
        <is>
          <t>KUL</t>
        </is>
      </c>
      <c r="H26" s="63" t="inlineStr">
        <is>
          <t>LHR</t>
        </is>
      </c>
      <c r="I26" s="65" t="n">
        <v>46325.97222222222</v>
      </c>
      <c r="J26" s="65" t="n">
        <v>46326.24652777778</v>
      </c>
      <c r="K26" s="63" t="inlineStr">
        <is>
          <t>BC</t>
        </is>
      </c>
      <c r="L26" s="66" t="inlineStr">
        <is>
          <t>A350</t>
        </is>
      </c>
      <c r="M26" s="63" t="inlineStr">
        <is>
          <t>A350-900: A359 (9M-MAB..MAG, row 6) or A350 9M-MAH (row 7) - tail to confirm</t>
        </is>
      </c>
      <c r="N26" s="66" t="n"/>
      <c r="O26" s="63" t="inlineStr">
        <is>
          <t>5A</t>
        </is>
      </c>
      <c r="P26" s="63" t="inlineStr">
        <is>
          <t>7H 15M</t>
        </is>
      </c>
      <c r="Q26" s="63" t="inlineStr"/>
      <c r="R26" s="63" t="inlineStr">
        <is>
          <t>KUL/LHR/KUL</t>
        </is>
      </c>
      <c r="S26" s="63" t="inlineStr">
        <is>
          <t>EUR</t>
        </is>
      </c>
      <c r="T26" s="63" t="inlineStr">
        <is>
          <t>2.5 Meal (Meal)</t>
        </is>
      </c>
      <c r="U26" s="63" t="inlineStr">
        <is>
          <t>KUL/LHR</t>
        </is>
      </c>
      <c r="V26" s="63" t="inlineStr">
        <is>
          <t>KUL</t>
        </is>
      </c>
      <c r="W26" s="63" t="inlineStr"/>
      <c r="X26" s="66" t="n"/>
      <c r="Y26" s="66" t="n"/>
      <c r="Z26" s="67">
        <f>IF(AND(INDEX(TZ_DSTS,MATCH(G26,TZ_STN,0))&lt;&gt;"",(I26-INDEX(TZ_STD,MATCH(G26,TZ_STN,0))/24)&gt;=INDEX(TZ_DSTS,MATCH(G26,TZ_STN,0)),(I26-INDEX(TZ_STD,MATCH(G26,TZ_STN,0))/24)&lt;INDEX(TZ_DSTE,MATCH(G26,TZ_STN,0))),INDEX(TZ_DST,MATCH(G26,TZ_STN,0)),INDEX(TZ_STD,MATCH(G26,TZ_STN,0)))</f>
        <v/>
      </c>
      <c r="AA26" s="68">
        <f>I26-Z26/24</f>
        <v/>
      </c>
      <c r="AB26" s="69">
        <f>(J26-(IF(AND(INDEX(TZ_DSTS,MATCH(H26,TZ_STN,0))&lt;&gt;"",(J26-INDEX(TZ_STD,MATCH(H26,TZ_STN,0))/24)&gt;=INDEX(TZ_DSTS,MATCH(H26,TZ_STN,0)),(J26-INDEX(TZ_STD,MATCH(H26,TZ_STN,0))/24)&lt;INDEX(TZ_DSTE,MATCH(H26,TZ_STN,0))),INDEX(TZ_DST,MATCH(H26,TZ_STN,0)),INDEX(TZ_STD,MATCH(H26,TZ_STN,0))))/24-AA26)*24</f>
        <v/>
      </c>
      <c r="AC26" s="68">
        <f>AA26-7</f>
        <v/>
      </c>
      <c r="AD26" s="68">
        <f>AA26-1</f>
        <v/>
      </c>
      <c r="AE26" s="68">
        <f>AA26-0.5</f>
        <v/>
      </c>
      <c r="AF26" s="68">
        <f>AA26</f>
        <v/>
      </c>
      <c r="AG26" s="68">
        <f>AC26+(IF(AND(INDEX(TZ_DSTS,MATCH(V26,TZ_STN,0))&lt;&gt;"",AC26&gt;=INDEX(TZ_DSTS,MATCH(V26,TZ_STN,0)),AC26&lt;INDEX(TZ_DSTE,MATCH(V26,TZ_STN,0))),INDEX(TZ_DST,MATCH(V26,TZ_STN,0)),INDEX(TZ_STD,MATCH(V26,TZ_STN,0))))/24</f>
        <v/>
      </c>
      <c r="AH26" s="68">
        <f>AD26+(IF(AND(INDEX(TZ_DSTS,MATCH(V26,TZ_STN,0))&lt;&gt;"",AD26&gt;=INDEX(TZ_DSTS,MATCH(V26,TZ_STN,0)),AD26&lt;INDEX(TZ_DSTE,MATCH(V26,TZ_STN,0))),INDEX(TZ_DST,MATCH(V26,TZ_STN,0)),INDEX(TZ_STD,MATCH(V26,TZ_STN,0))))/24</f>
        <v/>
      </c>
      <c r="AI26" s="68">
        <f>AE26+(IF(AND(INDEX(TZ_DSTS,MATCH(V26,TZ_STN,0))&lt;&gt;"",AE26&gt;=INDEX(TZ_DSTS,MATCH(V26,TZ_STN,0)),AE26&lt;INDEX(TZ_DSTE,MATCH(V26,TZ_STN,0))),INDEX(TZ_DST,MATCH(V26,TZ_STN,0)),INDEX(TZ_STD,MATCH(V26,TZ_STN,0))))/24</f>
        <v/>
      </c>
      <c r="AJ26" s="70">
        <f>IFERROR(SUMIFS(Checks!$AJ$5:$AJ$748,Checks!$B$5:$B$748,$A26,Checks!$G$5:$G$748,"T-7D")/SUMIFS(Checks!$AI$5:$AI$748,Checks!$B$5:$B$748,$A26,Checks!$G$5:$G$748,"T-7D"),"n/a")</f>
        <v/>
      </c>
      <c r="AK26" s="70">
        <f>IFERROR(SUMIFS(Checks!$AJ$5:$AJ$748,Checks!$B$5:$B$748,$A26,Checks!$G$5:$G$748,"T-24H")/SUMIFS(Checks!$AI$5:$AI$748,Checks!$B$5:$B$748,$A26,Checks!$G$5:$G$748,"T-24H"),"n/a")</f>
        <v/>
      </c>
      <c r="AL26" s="70">
        <f>IFERROR(SUMIFS(Checks!$AJ$5:$AJ$748,Checks!$B$5:$B$748,$A26,Checks!$G$5:$G$748,"T-12H PREP")/SUMIFS(Checks!$AI$5:$AI$748,Checks!$B$5:$B$748,$A26,Checks!$G$5:$G$748,"T-12H PREP"),"n/a")</f>
        <v/>
      </c>
      <c r="AM26" s="70">
        <f>IFERROR(SUMIFS(Checks!$AJ$5:$AJ$748,Checks!$B$5:$B$748,$A26,Checks!$G$5:$G$748,"UPLIFT")/SUMIFS(Checks!$AI$5:$AI$748,Checks!$B$5:$B$748,$A26,Checks!$G$5:$G$748,"UPLIFT"),"n/a")</f>
        <v/>
      </c>
      <c r="AN26" s="70">
        <f>IFERROR(SUMIFS(Checks!$AJ$5:$AJ$748,Checks!$B$5:$B$748,$A26)/SUMIFS(Checks!$AI$5:$AI$748,Checks!$B$5:$B$748,$A26),"n/a")</f>
        <v/>
      </c>
      <c r="AO26" s="67">
        <f>AW26-AV26</f>
        <v/>
      </c>
      <c r="AP26" s="67">
        <f>SUMIFS(Checks!$AK$5:$AK$748,Checks!$B$5:$B$748,$A26)</f>
        <v/>
      </c>
      <c r="AQ26" s="67">
        <f>SUMIFS(Checks!$AL$5:$AL$748,Checks!$B$5:$B$748,$A26)</f>
        <v/>
      </c>
      <c r="AR26" s="67">
        <f>Documents!P26</f>
        <v/>
      </c>
      <c r="AS26" s="67">
        <f>SUMIFS(Checks!$AN$5:$AN$748,Checks!$B$5:$B$748,$A26)</f>
        <v/>
      </c>
      <c r="AT26" s="71">
        <f>IF(AND(AW26&gt;0,AO26=0,AQ26=0,AR26=0,AU26=0),"READY",IF(AP26&gt;0,"NOT READY – OVERDUE",IF(AQ26&gt;0,"NOT READY – DISCREPANCY",IF(AU26&gt;0,"NOT READY – INVALID ENTRY",IF(AR26&gt;0,"NOT READY – DOCUMENTS OUTSTANDING",IF(AS26&gt;0,"NOT READY – CLARIFICATION OPEN",IF(AND(AV26&gt;0,SUMIFS(Checks!$AJ$5:$AJ$748,Checks!$B$5:$B$748,$A26,Checks!$H$5:$H$748,"Preparation")=SUMIFS(Checks!$AI$5:$AI$748,Checks!$B$5:$B$748,$A26,Checks!$H$5:$H$748,"Preparation")),"PREP DONE – AWAITING UPLIFT",IF(AV26=0,"NOT STARTED","IN PROGRESS"))))))))</f>
        <v/>
      </c>
      <c r="AU26" s="67">
        <f>SUMIFS(Checks!$AM$5:$AM$748,Checks!$B$5:$B$748,$A26)</f>
        <v/>
      </c>
      <c r="AV26" s="67">
        <f>SUMIFS(Checks!$AJ$5:$AJ$748,Checks!$B$5:$B$748,$A26)</f>
        <v/>
      </c>
      <c r="AW26" s="67">
        <f>SUMIFS(Checks!$AI$5:$AI$748,Checks!$B$5:$B$748,$A26)</f>
        <v/>
      </c>
      <c r="AX26" s="68" t="inlineStr">
        <is>
          <t>n/a</t>
        </is>
      </c>
      <c r="AY26" s="68" t="inlineStr">
        <is>
          <t>n/a</t>
        </is>
      </c>
    </row>
  </sheetData>
  <autoFilter ref="A4:AY26"/>
  <conditionalFormatting sqref="AT5:AT26">
    <cfRule type="cellIs" priority="1" operator="equal" dxfId="6">
      <formula>"READY"</formula>
    </cfRule>
    <cfRule type="expression" priority="2" dxfId="7">
      <formula>LEFT(AT5,9)="NOT READY"</formula>
    </cfRule>
    <cfRule type="expression" priority="3" dxfId="8">
      <formula>LEFT(AT5,9)="PREP DONE"</formula>
    </cfRule>
  </conditionalFormatting>
  <conditionalFormatting sqref="AP5:AS26">
    <cfRule type="cellIs" priority="4" operator="greaterThan" dxfId="0">
      <formula>0</formula>
    </cfRule>
  </conditionalFormatting>
  <dataValidations count="1">
    <dataValidation sqref="AX5:AX26" showDropDown="0" showInputMessage="0" showErrorMessage="1" allowBlank="1" error="Enter the carrying flight's KUL departure as a UTC date-time (Jul 2026 - Jan 2027)." type="decimal" operator="between">
      <formula1>46204</formula1>
      <formula2>46419</formula2>
    </dataValidation>
  </dataValidations>
  <printOptions gridLines="0"/>
  <pageMargins left="0.3" right="0.3" top="1" bottom="1" header="0.5" footer="0.5"/>
  <pageSetup orientation="landscape" paperSize="9" fitToHeight="0" fitToWidth="6"/>
  <headerFooter>
    <oddHeader/>
    <oddFooter>&amp;C&amp;8 &amp;A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AT748"/>
  <sheetViews>
    <sheetView tabSelected="0" zoomScale="85" workbookViewId="0">
      <pane xSplit="10" ySplit="4" topLeftCell="K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9" customWidth="1" min="3" max="3"/>
    <col width="10" customWidth="1" min="4" max="4"/>
    <col width="9" customWidth="1" min="5" max="5"/>
    <col width="6" customWidth="1" min="6" max="6"/>
    <col width="11" customWidth="1" min="7" max="7"/>
    <col width="11" customWidth="1" min="8" max="8"/>
    <col width="12" customWidth="1" min="9" max="9"/>
    <col width="38" customWidth="1" min="10" max="10"/>
    <col width="38" customWidth="1" min="11" max="11"/>
    <col width="30" customWidth="1" min="12" max="12"/>
    <col width="9" customWidth="1" min="13" max="13"/>
    <col width="13" customWidth="1" min="14" max="14"/>
    <col width="40" customWidth="1" min="15" max="15"/>
    <col width="8" customWidth="1" min="16" max="16"/>
    <col width="15" customWidth="1" min="17" max="17"/>
    <col width="15" customWidth="1" min="18" max="18"/>
    <col width="15" customWidth="1" min="19" max="19"/>
    <col width="14" customWidth="1" min="20" max="20"/>
    <col width="13" customWidth="1" min="21" max="21"/>
    <col width="28" customWidth="1" min="22" max="22"/>
    <col width="16" customWidth="1" min="23" max="23"/>
    <col width="9" customWidth="1" min="24" max="24"/>
    <col width="9" customWidth="1" min="25" max="25"/>
    <col width="20" customWidth="1" min="26" max="26"/>
    <col width="28" customWidth="1" min="27" max="27"/>
    <col width="9" customWidth="1" min="28" max="28"/>
    <col width="26" customWidth="1" min="29" max="29"/>
    <col width="17" customWidth="1" min="30" max="30"/>
    <col width="14" customWidth="1" min="31" max="31"/>
    <col width="9" customWidth="1" min="32" max="32"/>
    <col width="15" customWidth="1" min="33" max="33"/>
    <col width="34" customWidth="1" min="34" max="34"/>
    <col width="6" customWidth="1" min="35" max="35"/>
    <col width="7" customWidth="1" min="36" max="36"/>
    <col width="7" customWidth="1" min="37" max="37"/>
    <col width="9" customWidth="1" min="38" max="38"/>
    <col width="7" customWidth="1" min="39" max="39"/>
    <col width="9" customWidth="1" min="40" max="40"/>
    <col width="8" customWidth="1" min="41" max="41"/>
    <col width="9" customWidth="1" min="42" max="42"/>
    <col hidden="1" width="6" customWidth="1" min="43" max="43"/>
    <col hidden="1" width="6" customWidth="1" min="44" max="44"/>
    <col hidden="1" width="6" customWidth="1" min="45" max="45"/>
    <col hidden="1" width="8" customWidth="1" min="46" max="46"/>
  </cols>
  <sheetData>
    <row r="1" ht="26" customHeight="1">
      <c r="A1" s="1" t="inlineStr">
        <is>
          <t>Check register – every readiness record for every flight (single source of truth)</t>
        </is>
      </c>
    </row>
    <row r="2">
      <c r="A2" s="2" t="inlineStr">
        <is>
          <t>Enter results only in the yellow columns T–AE. Blank never counts as complete. Pass requires completion time, evidence and verifier (plus batch ID / quantities where required). N/A requires justification and verifier.</t>
        </is>
      </c>
    </row>
    <row r="4" ht="54" customHeight="1">
      <c r="A4" s="62" t="inlineStr">
        <is>
          <t>Check ID</t>
        </is>
      </c>
      <c r="B4" s="62" t="inlineStr">
        <is>
          <t>Flight ID</t>
        </is>
      </c>
      <c r="C4" s="62" t="inlineStr">
        <is>
          <t>Flight No</t>
        </is>
      </c>
      <c r="D4" s="62" t="inlineStr">
        <is>
          <t>Date</t>
        </is>
      </c>
      <c r="E4" s="62" t="inlineStr">
        <is>
          <t>Sector</t>
        </is>
      </c>
      <c r="F4" s="62" t="inlineStr">
        <is>
          <t>Class</t>
        </is>
      </c>
      <c r="G4" s="62" t="inlineStr">
        <is>
          <t>Checkpoint</t>
        </is>
      </c>
      <c r="H4" s="62" t="inlineStr">
        <is>
          <t>Check type</t>
        </is>
      </c>
      <c r="I4" s="62" t="inlineStr">
        <is>
          <t>Category</t>
        </is>
      </c>
      <c r="J4" s="62" t="inlineStr">
        <is>
          <t>Check item</t>
        </is>
      </c>
      <c r="K4" s="62" t="inlineStr">
        <is>
          <t>Requirement / expected (reference)</t>
        </is>
      </c>
      <c r="L4" s="62" t="inlineStr">
        <is>
          <t>Source reference</t>
        </is>
      </c>
      <c r="M4" s="62" t="inlineStr">
        <is>
          <t>Item uplift stn</t>
        </is>
      </c>
      <c r="N4" s="62" t="inlineStr">
        <is>
          <t>Applicability</t>
        </is>
      </c>
      <c r="O4" s="62" t="inlineStr">
        <is>
          <t>Rule note / clarification question</t>
        </is>
      </c>
      <c r="P4" s="62" t="inlineStr">
        <is>
          <t>Check station</t>
        </is>
      </c>
      <c r="Q4" s="62" t="inlineStr">
        <is>
          <t>Due (UTC)</t>
        </is>
      </c>
      <c r="R4" s="62" t="inlineStr">
        <is>
          <t>Due (local @ check stn)</t>
        </is>
      </c>
      <c r="S4" s="62" t="inlineStr">
        <is>
          <t>Earliest valid (UTC)</t>
        </is>
      </c>
      <c r="T4" s="62" t="inlineStr">
        <is>
          <t>PIC</t>
        </is>
      </c>
      <c r="U4" s="62" t="inlineStr">
        <is>
          <t>Status</t>
        </is>
      </c>
      <c r="V4" s="62" t="inlineStr">
        <is>
          <t>Result / assessment</t>
        </is>
      </c>
      <c r="W4" s="62" t="inlineStr">
        <is>
          <t>Batch ID (T-24H)</t>
        </is>
      </c>
      <c r="X4" s="62" t="inlineStr">
        <is>
          <t>Expected qty</t>
        </is>
      </c>
      <c r="Y4" s="62" t="inlineStr">
        <is>
          <t>Actual qty</t>
        </is>
      </c>
      <c r="Z4" s="62" t="inlineStr">
        <is>
          <t>Evidence ref</t>
        </is>
      </c>
      <c r="AA4" s="62" t="inlineStr">
        <is>
          <t>Corrective action</t>
        </is>
      </c>
      <c r="AB4" s="62" t="inlineStr">
        <is>
          <t>CA status</t>
        </is>
      </c>
      <c r="AC4" s="62" t="inlineStr">
        <is>
          <t>N/A justification</t>
        </is>
      </c>
      <c r="AD4" s="62" t="inlineStr">
        <is>
          <t>Completion time (local @ check stn)</t>
        </is>
      </c>
      <c r="AE4" s="62" t="inlineStr">
        <is>
          <t>Verifier</t>
        </is>
      </c>
      <c r="AF4" s="62" t="inlineStr">
        <is>
          <t>Qty variance</t>
        </is>
      </c>
      <c r="AG4" s="62" t="inlineStr">
        <is>
          <t>Completion (UTC)</t>
        </is>
      </c>
      <c r="AH4" s="62" t="inlineStr">
        <is>
          <t>RECORD STATE</t>
        </is>
      </c>
      <c r="AI4" s="62" t="inlineStr">
        <is>
          <t>In scope</t>
        </is>
      </c>
      <c r="AJ4" s="62" t="inlineStr">
        <is>
          <t>Complete</t>
        </is>
      </c>
      <c r="AK4" s="62" t="inlineStr">
        <is>
          <t>Overdue</t>
        </is>
      </c>
      <c r="AL4" s="62" t="inlineStr">
        <is>
          <t>Open discrepancy</t>
        </is>
      </c>
      <c r="AM4" s="62" t="inlineStr">
        <is>
          <t>Invalid</t>
        </is>
      </c>
      <c r="AN4" s="62" t="inlineStr">
        <is>
          <t>Clarification open</t>
        </is>
      </c>
      <c r="AO4" s="62" t="inlineStr">
        <is>
          <t>Overdue seq</t>
        </is>
      </c>
      <c r="AP4" s="62" t="inlineStr">
        <is>
          <t>Discrepancy seq</t>
        </is>
      </c>
      <c r="AQ4" s="62" t="inlineStr">
        <is>
          <t>Req batch</t>
        </is>
      </c>
      <c r="AR4" s="62" t="inlineStr">
        <is>
          <t>Req qty</t>
        </is>
      </c>
      <c r="AS4" s="62" t="inlineStr">
        <is>
          <t>Req doc</t>
        </is>
      </c>
      <c r="AT4" s="62" t="inlineStr">
        <is>
          <t>N/A permitted</t>
        </is>
      </c>
    </row>
    <row r="5" ht="40" customHeight="1">
      <c r="A5" s="63" t="inlineStr">
        <is>
          <t>F01-T7-01</t>
        </is>
      </c>
      <c r="B5" s="63" t="inlineStr">
        <is>
          <t>F01</t>
        </is>
      </c>
      <c r="C5" s="63">
        <f>Flights!$F$5</f>
        <v/>
      </c>
      <c r="D5" s="64">
        <f>Flights!$D$5</f>
        <v/>
      </c>
      <c r="E5" s="63">
        <f>Flights!$G$5&amp;"-"&amp;Flights!$H$5</f>
        <v/>
      </c>
      <c r="F5" s="63">
        <f>Flights!$K$5</f>
        <v/>
      </c>
      <c r="G5" s="63" t="inlineStr">
        <is>
          <t>T-7D</t>
        </is>
      </c>
      <c r="H5" s="63" t="inlineStr">
        <is>
          <t>Preparation</t>
        </is>
      </c>
      <c r="I5" s="63" t="inlineStr">
        <is>
          <t>Meal</t>
        </is>
      </c>
      <c r="J5" s="63" t="inlineStr">
        <is>
          <t>Meal sensory testing completed for this flight's menu cycle (assessed class)</t>
        </is>
      </c>
      <c r="K5" s="73" t="inlineStr">
        <is>
          <t>Record panel result / score in Result</t>
        </is>
      </c>
      <c r="L5" s="73" t="inlineStr">
        <is>
          <t>User brief (T-7 days)</t>
        </is>
      </c>
      <c r="M5" s="73" t="inlineStr"/>
      <c r="N5" s="73" t="inlineStr">
        <is>
          <t>Required</t>
        </is>
      </c>
      <c r="O5" s="73" t="inlineStr"/>
      <c r="P5" s="63" t="inlineStr">
        <is>
          <t>LHR</t>
        </is>
      </c>
      <c r="Q5" s="65">
        <f>Flights!$AC$5</f>
        <v/>
      </c>
      <c r="R5" s="65">
        <f>Q5+(IF(AND(INDEX(TZ_DSTS,MATCH(P5,TZ_STN,0))&lt;&gt;"",Q5&gt;=INDEX(TZ_DSTS,MATCH(P5,TZ_STN,0)),Q5&lt;INDEX(TZ_DSTE,MATCH(P5,TZ_STN,0))),INDEX(TZ_DST,MATCH(P5,TZ_STN,0)),INDEX(TZ_STD,MATCH(P5,TZ_STN,0))))/24</f>
        <v/>
      </c>
      <c r="S5" s="65" t="inlineStr"/>
      <c r="T5" s="66" t="n"/>
      <c r="U5" s="66" t="n"/>
      <c r="V5" s="66" t="n"/>
      <c r="W5" s="67" t="n"/>
      <c r="X5" s="66" t="n"/>
      <c r="Y5" s="66" t="n"/>
      <c r="Z5" s="66" t="n"/>
      <c r="AA5" s="66" t="n"/>
      <c r="AB5" s="66" t="n"/>
      <c r="AC5" s="66" t="n"/>
      <c r="AD5" s="72" t="n"/>
      <c r="AE5" s="66" t="n"/>
      <c r="AF5" s="67">
        <f>IF(AND(ISNUMBER(X5),ISNUMBER(Y5)),Y5-X5,"")</f>
        <v/>
      </c>
      <c r="AG5" s="68">
        <f>IF(ISNUMBER(AD5),AD5-(IF(AND(INDEX(TZ_DSTS,MATCH(P5,TZ_STN,0))&lt;&gt;"",(AD5-INDEX(TZ_STD,MATCH(P5,TZ_STN,0))/24)&gt;=INDEX(TZ_DSTS,MATCH(P5,TZ_STN,0)),(AD5-INDEX(TZ_STD,MATCH(P5,TZ_STN,0))/24)&lt;INDEX(TZ_DSTE,MATCH(P5,TZ_STN,0))),INDEX(TZ_DST,MATCH(P5,TZ_STN,0)),INDEX(TZ_STD,MATCH(P5,TZ_STN,0))))/24,"")</f>
        <v/>
      </c>
      <c r="AH5" s="71">
        <f>IF(N5="N/A – rule","N/A – RULE",IF(TRIM(U5)="N/A",IF(AT5=0,"INVALID – N/A not permitted for this mandatory check",IF(AND(TRIM(AC5)&lt;&gt;"",TRIM(AE5)&lt;&gt;"",TRIM(T5)&lt;&gt;""),"N/A – JUSTIFIED","INVALID – N/A needs justification, PIC and verifier")),IF(OR(TRIM(U5)="Pass",TRIM(U5)="Pass after CA"),IF(NOT(ISNUMBER(AD5)),"INVALID – completion time missing",IF(TRIM(T5)="","INVALID – PIC missing",IF(TRIM(Z5)="","INVALID – evidence missing",IF(TRIM(AE5)="","INVALID – verifier missing",IF(AND(AQ5=1,TRIM(W5)=""),"INVALID – batch ID missing",IF(AND(AR5=1,OR(NOT(ISNUMBER(X5)),NOT(ISNUMBER(Y5)))),"INVALID – expected/actual qty missing",IF(IF(AND(TRIM(U5)="Pass",ISNUMBER(AF5)),IF(AF5&lt;&gt;0,"INVALID – qty variance: use Fail or Pass after CA",""),"")&amp;IF(AND(TRIM(U5)="Pass",AB5="Open"),"INVALID – corrective action still open: use Fail, then Pass after CA","")&amp;IF(AND(TRIM(U5)="Pass after CA",OR(TRIM(AA5)="",AB5&lt;&gt;"Closed")),"INVALID – corrective action not recorded/closed","")&lt;&gt;"",IF(AND(TRIM(U5)="Pass",ISNUMBER(AF5)),IF(AF5&lt;&gt;0,"INVALID – qty variance: use Fail or Pass after CA",""),"")&amp;IF(AND(TRIM(U5)="Pass",AB5="Open"),"INVALID – corrective action still open: use Fail, then Pass after CA","")&amp;IF(AND(TRIM(U5)="Pass after CA",OR(TRIM(AA5)="",AB5&lt;&gt;"Closed")),"INVALID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window"),IF(AG5&gt;Flights!$AA$5,"INVALID – completed after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f>
        <v/>
      </c>
      <c r="AI5" s="67">
        <f>IF(OR(AH5="N/A – RULE",AH5="N/A – JUSTIFIED"),0,1)</f>
        <v/>
      </c>
      <c r="AJ5" s="67">
        <f>IF(LEFT(AH5,8)="COMPLETE",1,0)</f>
        <v/>
      </c>
      <c r="AK5" s="67">
        <f>IF(AND(AI5=1,AJ5=0,AsOfUTC&gt;Q5),1,0)</f>
        <v/>
      </c>
      <c r="AL5" s="67">
        <f>IF(AND(AI5=1,OR(TRIM(U5)="Fail",AB5="Open",AND(ISNUMBER(AF5),AF5&lt;&gt;0,TRIM(U5)&lt;&gt;"Pass after CA"))),1,0)</f>
        <v/>
      </c>
      <c r="AM5" s="67">
        <f>IF(LEFT(AH5,7)="INVALID",1,0)</f>
        <v/>
      </c>
      <c r="AN5" s="67">
        <f>IF(AND(N5="Clarification required",AI5=1,AJ5=0),1,0)</f>
        <v/>
      </c>
      <c r="AO5" s="67">
        <f>IF(AK5=1,SUM(AK$5:AK5),"")</f>
        <v/>
      </c>
      <c r="AP5" s="67">
        <f>IF(AL5=1,SUM(AL$5:AL5),"")</f>
        <v/>
      </c>
      <c r="AQ5" s="67" t="n">
        <v>0</v>
      </c>
      <c r="AR5" s="67" t="n">
        <v>0</v>
      </c>
      <c r="AS5" s="67" t="n">
        <v>0</v>
      </c>
      <c r="AT5" s="67" t="n">
        <v>0</v>
      </c>
    </row>
    <row r="6" ht="40" customHeight="1">
      <c r="A6" s="63" t="inlineStr">
        <is>
          <t>F01-T7-02</t>
        </is>
      </c>
      <c r="B6" s="63" t="inlineStr">
        <is>
          <t>F01</t>
        </is>
      </c>
      <c r="C6" s="63">
        <f>Flights!$F$5</f>
        <v/>
      </c>
      <c r="D6" s="64">
        <f>Flights!$D$5</f>
        <v/>
      </c>
      <c r="E6" s="63">
        <f>Flights!$G$5&amp;"-"&amp;Flights!$H$5</f>
        <v/>
      </c>
      <c r="F6" s="63">
        <f>Flights!$K$5</f>
        <v/>
      </c>
      <c r="G6" s="63" t="inlineStr">
        <is>
          <t>T-7D</t>
        </is>
      </c>
      <c r="H6" s="63" t="inlineStr">
        <is>
          <t>Preparation</t>
        </is>
      </c>
      <c r="I6" s="63" t="inlineStr">
        <is>
          <t>Menu</t>
        </is>
      </c>
      <c r="J6" s="63" t="inlineStr">
        <is>
          <t>Printed menu cards confirmed (content, cycle, language, quantity)</t>
        </is>
      </c>
      <c r="K6" s="73" t="inlineStr">
        <is>
          <t>Menu card matches approved menu for this flight</t>
        </is>
      </c>
      <c r="L6" s="73" t="inlineStr">
        <is>
          <t>User brief (T-7 days)</t>
        </is>
      </c>
      <c r="M6" s="73" t="inlineStr"/>
      <c r="N6" s="73" t="inlineStr">
        <is>
          <t>Required</t>
        </is>
      </c>
      <c r="O6" s="73" t="inlineStr"/>
      <c r="P6" s="63" t="inlineStr">
        <is>
          <t>LHR</t>
        </is>
      </c>
      <c r="Q6" s="65">
        <f>Flights!$AC$5</f>
        <v/>
      </c>
      <c r="R6" s="65">
        <f>Q6+(IF(AND(INDEX(TZ_DSTS,MATCH(P6,TZ_STN,0))&lt;&gt;"",Q6&gt;=INDEX(TZ_DSTS,MATCH(P6,TZ_STN,0)),Q6&lt;INDEX(TZ_DSTE,MATCH(P6,TZ_STN,0))),INDEX(TZ_DST,MATCH(P6,TZ_STN,0)),INDEX(TZ_STD,MATCH(P6,TZ_STN,0))))/24</f>
        <v/>
      </c>
      <c r="S6" s="65" t="inlineStr"/>
      <c r="T6" s="66" t="n"/>
      <c r="U6" s="66" t="n"/>
      <c r="V6" s="66" t="n"/>
      <c r="W6" s="67" t="n"/>
      <c r="X6" s="66" t="n"/>
      <c r="Y6" s="66" t="n"/>
      <c r="Z6" s="66" t="n"/>
      <c r="AA6" s="66" t="n"/>
      <c r="AB6" s="66" t="n"/>
      <c r="AC6" s="66" t="n"/>
      <c r="AD6" s="72" t="n"/>
      <c r="AE6" s="66" t="n"/>
      <c r="AF6" s="67">
        <f>IF(AND(ISNUMBER(X6),ISNUMBER(Y6)),Y6-X6,"")</f>
        <v/>
      </c>
      <c r="AG6" s="68">
        <f>IF(ISNUMBER(AD6),AD6-(IF(AND(INDEX(TZ_DSTS,MATCH(P6,TZ_STN,0))&lt;&gt;"",(AD6-INDEX(TZ_STD,MATCH(P6,TZ_STN,0))/24)&gt;=INDEX(TZ_DSTS,MATCH(P6,TZ_STN,0)),(AD6-INDEX(TZ_STD,MATCH(P6,TZ_STN,0))/24)&lt;INDEX(TZ_DSTE,MATCH(P6,TZ_STN,0))),INDEX(TZ_DST,MATCH(P6,TZ_STN,0)),INDEX(TZ_STD,MATCH(P6,TZ_STN,0))))/24,"")</f>
        <v/>
      </c>
      <c r="AH6" s="71">
        <f>IF(N6="N/A – rule","N/A – RULE",IF(TRIM(U6)="N/A",IF(AT6=0,"INVALID – N/A not permitted for this mandatory check",IF(AND(TRIM(AC6)&lt;&gt;"",TRIM(AE6)&lt;&gt;"",TRIM(T6)&lt;&gt;""),"N/A – JUSTIFIED","INVALID – N/A needs justification, PIC and verifier")),IF(OR(TRIM(U6)="Pass",TRIM(U6)="Pass after CA"),IF(NOT(ISNUMBER(AD6)),"INVALID – completion time missing",IF(TRIM(T6)="","INVALID – PIC missing",IF(TRIM(Z6)="","INVALID – evidence missing",IF(TRIM(AE6)="","INVALID – verifier missing",IF(AND(AQ6=1,TRIM(W6)=""),"INVALID – batch ID missing",IF(AND(AR6=1,OR(NOT(ISNUMBER(X6)),NOT(ISNUMBER(Y6)))),"INVALID – expected/actual qty missing",IF(IF(AND(TRIM(U6)="Pass",ISNUMBER(AF6)),IF(AF6&lt;&gt;0,"INVALID – qty variance: use Fail or Pass after CA",""),"")&amp;IF(AND(TRIM(U6)="Pass",AB6="Open"),"INVALID – corrective action still open: use Fail, then Pass after CA","")&amp;IF(AND(TRIM(U6)="Pass after CA",OR(TRIM(AA6)="",AB6&lt;&gt;"Closed")),"INVALID – corrective action not recorded/closed","")&lt;&gt;"",IF(AND(TRIM(U6)="Pass",ISNUMBER(AF6)),IF(AF6&lt;&gt;0,"INVALID – qty variance: use Fail or Pass after CA",""),"")&amp;IF(AND(TRIM(U6)="Pass",AB6="Open"),"INVALID – corrective action still open: use Fail, then Pass after CA","")&amp;IF(AND(TRIM(U6)="Pass after CA",OR(TRIM(AA6)="",AB6&lt;&gt;"Closed")),"INVALID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window"),IF(AG6&gt;Flights!$AA$5,"INVALID – completed after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f>
        <v/>
      </c>
      <c r="AI6" s="67">
        <f>IF(OR(AH6="N/A – RULE",AH6="N/A – JUSTIFIED"),0,1)</f>
        <v/>
      </c>
      <c r="AJ6" s="67">
        <f>IF(LEFT(AH6,8)="COMPLETE",1,0)</f>
        <v/>
      </c>
      <c r="AK6" s="67">
        <f>IF(AND(AI6=1,AJ6=0,AsOfUTC&gt;Q6),1,0)</f>
        <v/>
      </c>
      <c r="AL6" s="67">
        <f>IF(AND(AI6=1,OR(TRIM(U6)="Fail",AB6="Open",AND(ISNUMBER(AF6),AF6&lt;&gt;0,TRIM(U6)&lt;&gt;"Pass after CA"))),1,0)</f>
        <v/>
      </c>
      <c r="AM6" s="67">
        <f>IF(LEFT(AH6,7)="INVALID",1,0)</f>
        <v/>
      </c>
      <c r="AN6" s="67">
        <f>IF(AND(N6="Clarification required",AI6=1,AJ6=0),1,0)</f>
        <v/>
      </c>
      <c r="AO6" s="67">
        <f>IF(AK6=1,SUM(AK$5:AK6),"")</f>
        <v/>
      </c>
      <c r="AP6" s="67">
        <f>IF(AL6=1,SUM(AL$5:AL6),"")</f>
        <v/>
      </c>
      <c r="AQ6" s="67" t="n">
        <v>0</v>
      </c>
      <c r="AR6" s="67" t="n">
        <v>0</v>
      </c>
      <c r="AS6" s="67" t="n">
        <v>0</v>
      </c>
      <c r="AT6" s="67" t="n">
        <v>1</v>
      </c>
    </row>
    <row r="7" ht="41.5" customHeight="1">
      <c r="A7" s="63" t="inlineStr">
        <is>
          <t>F01-T7-03</t>
        </is>
      </c>
      <c r="B7" s="63" t="inlineStr">
        <is>
          <t>F01</t>
        </is>
      </c>
      <c r="C7" s="63">
        <f>Flights!$F$5</f>
        <v/>
      </c>
      <c r="D7" s="64">
        <f>Flights!$D$5</f>
        <v/>
      </c>
      <c r="E7" s="63">
        <f>Flights!$G$5&amp;"-"&amp;Flights!$H$5</f>
        <v/>
      </c>
      <c r="F7" s="63">
        <f>Flights!$K$5</f>
        <v/>
      </c>
      <c r="G7" s="63" t="inlineStr">
        <is>
          <t>T-7D</t>
        </is>
      </c>
      <c r="H7" s="63" t="inlineStr">
        <is>
          <t>Preparation</t>
        </is>
      </c>
      <c r="I7" s="63" t="inlineStr">
        <is>
          <t>IFE</t>
        </is>
      </c>
      <c r="J7" s="63" t="inlineStr">
        <is>
          <t>Digital menu in IFE confirmed (A339 only)</t>
        </is>
      </c>
      <c r="K7" s="73" t="inlineStr">
        <is>
          <t>Applies when fleet = A339</t>
        </is>
      </c>
      <c r="L7" s="73" t="inlineStr">
        <is>
          <t>User brief (T-7 days)</t>
        </is>
      </c>
      <c r="M7" s="73" t="inlineStr"/>
      <c r="N7" s="73">
        <f>IF(TRIM(Flights!$L$5)="A339","Required","N/A – rule")</f>
        <v/>
      </c>
      <c r="O7" s="73" t="inlineStr">
        <is>
          <t>Digital IFE menu applies to A339 only (user brief). Applicability follows the Fleet cell on Flights.</t>
        </is>
      </c>
      <c r="P7" s="63" t="inlineStr">
        <is>
          <t>LHR</t>
        </is>
      </c>
      <c r="Q7" s="65">
        <f>Flights!$AC$5</f>
        <v/>
      </c>
      <c r="R7" s="65">
        <f>Q7+(IF(AND(INDEX(TZ_DSTS,MATCH(P7,TZ_STN,0))&lt;&gt;"",Q7&gt;=INDEX(TZ_DSTS,MATCH(P7,TZ_STN,0)),Q7&lt;INDEX(TZ_DSTE,MATCH(P7,TZ_STN,0))),INDEX(TZ_DST,MATCH(P7,TZ_STN,0)),INDEX(TZ_STD,MATCH(P7,TZ_STN,0))))/24</f>
        <v/>
      </c>
      <c r="S7" s="65" t="inlineStr"/>
      <c r="T7" s="66" t="n"/>
      <c r="U7" s="66" t="n"/>
      <c r="V7" s="66" t="n"/>
      <c r="W7" s="67" t="n"/>
      <c r="X7" s="66" t="n"/>
      <c r="Y7" s="66" t="n"/>
      <c r="Z7" s="66" t="n"/>
      <c r="AA7" s="66" t="n"/>
      <c r="AB7" s="66" t="n"/>
      <c r="AC7" s="66" t="n"/>
      <c r="AD7" s="72" t="n"/>
      <c r="AE7" s="66" t="n"/>
      <c r="AF7" s="67">
        <f>IF(AND(ISNUMBER(X7),ISNUMBER(Y7)),Y7-X7,"")</f>
        <v/>
      </c>
      <c r="AG7" s="68">
        <f>IF(ISNUMBER(AD7),AD7-(IF(AND(INDEX(TZ_DSTS,MATCH(P7,TZ_STN,0))&lt;&gt;"",(AD7-INDEX(TZ_STD,MATCH(P7,TZ_STN,0))/24)&gt;=INDEX(TZ_DSTS,MATCH(P7,TZ_STN,0)),(AD7-INDEX(TZ_STD,MATCH(P7,TZ_STN,0))/24)&lt;INDEX(TZ_DSTE,MATCH(P7,TZ_STN,0))),INDEX(TZ_DST,MATCH(P7,TZ_STN,0)),INDEX(TZ_STD,MATCH(P7,TZ_STN,0))))/24,"")</f>
        <v/>
      </c>
      <c r="AH7" s="71">
        <f>IF(N7="N/A – rule","N/A – RULE",IF(TRIM(U7)="N/A",IF(AT7=0,"INVALID – N/A not permitted for this mandatory check",IF(AND(TRIM(AC7)&lt;&gt;"",TRIM(AE7)&lt;&gt;"",TRIM(T7)&lt;&gt;""),"N/A – JUSTIFIED","INVALID – N/A needs justification, PIC and verifier")),IF(OR(TRIM(U7)="Pass",TRIM(U7)="Pass after CA"),IF(NOT(ISNUMBER(AD7)),"INVALID – completion time missing",IF(TRIM(T7)="","INVALID – PIC missing",IF(TRIM(Z7)="","INVALID – evidence missing",IF(TRIM(AE7)="","INVALID – verifier missing",IF(AND(AQ7=1,TRIM(W7)=""),"INVALID – batch ID missing",IF(AND(AR7=1,OR(NOT(ISNUMBER(X7)),NOT(ISNUMBER(Y7)))),"INVALID – expected/actual qty missing",IF(IF(AND(TRIM(U7)="Pass",ISNUMBER(AF7)),IF(AF7&lt;&gt;0,"INVALID – qty variance: use Fail or Pass after CA",""),"")&amp;IF(AND(TRIM(U7)="Pass",AB7="Open"),"INVALID – corrective action still open: use Fail, then Pass after CA","")&amp;IF(AND(TRIM(U7)="Pass after CA",OR(TRIM(AA7)="",AB7&lt;&gt;"Closed")),"INVALID – corrective action not recorded/closed","")&lt;&gt;"",IF(AND(TRIM(U7)="Pass",ISNUMBER(AF7)),IF(AF7&lt;&gt;0,"INVALID – qty variance: use Fail or Pass after CA",""),"")&amp;IF(AND(TRIM(U7)="Pass",AB7="Open"),"INVALID – corrective action still open: use Fail, then Pass after CA","")&amp;IF(AND(TRIM(U7)="Pass after CA",OR(TRIM(AA7)="",AB7&lt;&gt;"Closed")),"INVALID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window"),IF(AG7&gt;Flights!$AA$5,"INVALID – completed after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f>
        <v/>
      </c>
      <c r="AI7" s="67">
        <f>IF(OR(AH7="N/A – RULE",AH7="N/A – JUSTIFIED"),0,1)</f>
        <v/>
      </c>
      <c r="AJ7" s="67">
        <f>IF(LEFT(AH7,8)="COMPLETE",1,0)</f>
        <v/>
      </c>
      <c r="AK7" s="67">
        <f>IF(AND(AI7=1,AJ7=0,AsOfUTC&gt;Q7),1,0)</f>
        <v/>
      </c>
      <c r="AL7" s="67">
        <f>IF(AND(AI7=1,OR(TRIM(U7)="Fail",AB7="Open",AND(ISNUMBER(AF7),AF7&lt;&gt;0,TRIM(U7)&lt;&gt;"Pass after CA"))),1,0)</f>
        <v/>
      </c>
      <c r="AM7" s="67">
        <f>IF(LEFT(AH7,7)="INVALID",1,0)</f>
        <v/>
      </c>
      <c r="AN7" s="67">
        <f>IF(AND(N7="Clarification required",AI7=1,AJ7=0),1,0)</f>
        <v/>
      </c>
      <c r="AO7" s="67">
        <f>IF(AK7=1,SUM(AK$5:AK7),"")</f>
        <v/>
      </c>
      <c r="AP7" s="67">
        <f>IF(AL7=1,SUM(AL$5:AL7),"")</f>
        <v/>
      </c>
      <c r="AQ7" s="67" t="n">
        <v>0</v>
      </c>
      <c r="AR7" s="67" t="n">
        <v>0</v>
      </c>
      <c r="AS7" s="67" t="n">
        <v>0</v>
      </c>
      <c r="AT7" s="67" t="n">
        <v>0</v>
      </c>
    </row>
    <row r="8" ht="40" customHeight="1">
      <c r="A8" s="63" t="inlineStr">
        <is>
          <t>F01-T7-04</t>
        </is>
      </c>
      <c r="B8" s="63" t="inlineStr">
        <is>
          <t>F01</t>
        </is>
      </c>
      <c r="C8" s="63">
        <f>Flights!$F$5</f>
        <v/>
      </c>
      <c r="D8" s="64">
        <f>Flights!$D$5</f>
        <v/>
      </c>
      <c r="E8" s="63">
        <f>Flights!$G$5&amp;"-"&amp;Flights!$H$5</f>
        <v/>
      </c>
      <c r="F8" s="63">
        <f>Flights!$K$5</f>
        <v/>
      </c>
      <c r="G8" s="63" t="inlineStr">
        <is>
          <t>T-7D</t>
        </is>
      </c>
      <c r="H8" s="63" t="inlineStr">
        <is>
          <t>Preparation</t>
        </is>
      </c>
      <c r="I8" s="63" t="inlineStr">
        <is>
          <t>Staffing</t>
        </is>
      </c>
      <c r="J8" s="63" t="inlineStr">
        <is>
          <t>Experienced catering officer assigned to this flight</t>
        </is>
      </c>
      <c r="K8" s="73" t="inlineStr">
        <is>
          <t>Record officer name in Result</t>
        </is>
      </c>
      <c r="L8" s="73" t="inlineStr">
        <is>
          <t>User brief (T-7 days)</t>
        </is>
      </c>
      <c r="M8" s="73" t="inlineStr"/>
      <c r="N8" s="73" t="inlineStr">
        <is>
          <t>Required</t>
        </is>
      </c>
      <c r="O8" s="73" t="inlineStr"/>
      <c r="P8" s="63" t="inlineStr">
        <is>
          <t>LHR</t>
        </is>
      </c>
      <c r="Q8" s="65">
        <f>Flights!$AC$5</f>
        <v/>
      </c>
      <c r="R8" s="65">
        <f>Q8+(IF(AND(INDEX(TZ_DSTS,MATCH(P8,TZ_STN,0))&lt;&gt;"",Q8&gt;=INDEX(TZ_DSTS,MATCH(P8,TZ_STN,0)),Q8&lt;INDEX(TZ_DSTE,MATCH(P8,TZ_STN,0))),INDEX(TZ_DST,MATCH(P8,TZ_STN,0)),INDEX(TZ_STD,MATCH(P8,TZ_STN,0))))/24</f>
        <v/>
      </c>
      <c r="S8" s="65" t="inlineStr"/>
      <c r="T8" s="66" t="n"/>
      <c r="U8" s="66" t="n"/>
      <c r="V8" s="66" t="n"/>
      <c r="W8" s="67" t="n"/>
      <c r="X8" s="66" t="n"/>
      <c r="Y8" s="66" t="n"/>
      <c r="Z8" s="66" t="n"/>
      <c r="AA8" s="66" t="n"/>
      <c r="AB8" s="66" t="n"/>
      <c r="AC8" s="66" t="n"/>
      <c r="AD8" s="72" t="n"/>
      <c r="AE8" s="66" t="n"/>
      <c r="AF8" s="67">
        <f>IF(AND(ISNUMBER(X8),ISNUMBER(Y8)),Y8-X8,"")</f>
        <v/>
      </c>
      <c r="AG8" s="68">
        <f>IF(ISNUMBER(AD8),AD8-(IF(AND(INDEX(TZ_DSTS,MATCH(P8,TZ_STN,0))&lt;&gt;"",(AD8-INDEX(TZ_STD,MATCH(P8,TZ_STN,0))/24)&gt;=INDEX(TZ_DSTS,MATCH(P8,TZ_STN,0)),(AD8-INDEX(TZ_STD,MATCH(P8,TZ_STN,0))/24)&lt;INDEX(TZ_DSTE,MATCH(P8,TZ_STN,0))),INDEX(TZ_DST,MATCH(P8,TZ_STN,0)),INDEX(TZ_STD,MATCH(P8,TZ_STN,0))))/24,"")</f>
        <v/>
      </c>
      <c r="AH8" s="71">
        <f>IF(N8="N/A – rule","N/A – RULE",IF(TRIM(U8)="N/A",IF(AT8=0,"INVALID – N/A not permitted for this mandatory check",IF(AND(TRIM(AC8)&lt;&gt;"",TRIM(AE8)&lt;&gt;"",TRIM(T8)&lt;&gt;""),"N/A – JUSTIFIED","INVALID – N/A needs justification, PIC and verifier")),IF(OR(TRIM(U8)="Pass",TRIM(U8)="Pass after CA"),IF(NOT(ISNUMBER(AD8)),"INVALID – completion time missing",IF(TRIM(T8)="","INVALID – PIC missing",IF(TRIM(Z8)="","INVALID – evidence missing",IF(TRIM(AE8)="","INVALID – verifier missing",IF(AND(AQ8=1,TRIM(W8)=""),"INVALID – batch ID missing",IF(AND(AR8=1,OR(NOT(ISNUMBER(X8)),NOT(ISNUMBER(Y8)))),"INVALID – expected/actual qty missing",IF(IF(AND(TRIM(U8)="Pass",ISNUMBER(AF8)),IF(AF8&lt;&gt;0,"INVALID – qty variance: use Fail or Pass after CA",""),"")&amp;IF(AND(TRIM(U8)="Pass",AB8="Open"),"INVALID – corrective action still open: use Fail, then Pass after CA","")&amp;IF(AND(TRIM(U8)="Pass after CA",OR(TRIM(AA8)="",AB8&lt;&gt;"Closed")),"INVALID – corrective action not recorded/closed","")&lt;&gt;"",IF(AND(TRIM(U8)="Pass",ISNUMBER(AF8)),IF(AF8&lt;&gt;0,"INVALID – qty variance: use Fail or Pass after CA",""),"")&amp;IF(AND(TRIM(U8)="Pass",AB8="Open"),"INVALID – corrective action still open: use Fail, then Pass after CA","")&amp;IF(AND(TRIM(U8)="Pass after CA",OR(TRIM(AA8)="",AB8&lt;&gt;"Closed")),"INVALID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window"),IF(AG8&gt;Flights!$AA$5,"INVALID – completed after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f>
        <v/>
      </c>
      <c r="AI8" s="67">
        <f>IF(OR(AH8="N/A – RULE",AH8="N/A – JUSTIFIED"),0,1)</f>
        <v/>
      </c>
      <c r="AJ8" s="67">
        <f>IF(LEFT(AH8,8)="COMPLETE",1,0)</f>
        <v/>
      </c>
      <c r="AK8" s="67">
        <f>IF(AND(AI8=1,AJ8=0,AsOfUTC&gt;Q8),1,0)</f>
        <v/>
      </c>
      <c r="AL8" s="67">
        <f>IF(AND(AI8=1,OR(TRIM(U8)="Fail",AB8="Open",AND(ISNUMBER(AF8),AF8&lt;&gt;0,TRIM(U8)&lt;&gt;"Pass after CA"))),1,0)</f>
        <v/>
      </c>
      <c r="AM8" s="67">
        <f>IF(LEFT(AH8,7)="INVALID",1,0)</f>
        <v/>
      </c>
      <c r="AN8" s="67">
        <f>IF(AND(N8="Clarification required",AI8=1,AJ8=0),1,0)</f>
        <v/>
      </c>
      <c r="AO8" s="67">
        <f>IF(AK8=1,SUM(AK$5:AK8),"")</f>
        <v/>
      </c>
      <c r="AP8" s="67">
        <f>IF(AL8=1,SUM(AL$5:AL8),"")</f>
        <v/>
      </c>
      <c r="AQ8" s="67" t="n">
        <v>0</v>
      </c>
      <c r="AR8" s="67" t="n">
        <v>0</v>
      </c>
      <c r="AS8" s="67" t="n">
        <v>0</v>
      </c>
      <c r="AT8" s="67" t="n">
        <v>0</v>
      </c>
    </row>
    <row r="9" ht="40" customHeight="1">
      <c r="A9" s="63" t="inlineStr">
        <is>
          <t>F01-T7-05</t>
        </is>
      </c>
      <c r="B9" s="63" t="inlineStr">
        <is>
          <t>F01</t>
        </is>
      </c>
      <c r="C9" s="63">
        <f>Flights!$F$5</f>
        <v/>
      </c>
      <c r="D9" s="64">
        <f>Flights!$D$5</f>
        <v/>
      </c>
      <c r="E9" s="63">
        <f>Flights!$G$5&amp;"-"&amp;Flights!$H$5</f>
        <v/>
      </c>
      <c r="F9" s="63">
        <f>Flights!$K$5</f>
        <v/>
      </c>
      <c r="G9" s="63" t="inlineStr">
        <is>
          <t>T-7D</t>
        </is>
      </c>
      <c r="H9" s="63" t="inlineStr">
        <is>
          <t>Preparation</t>
        </is>
      </c>
      <c r="I9" s="63" t="inlineStr">
        <is>
          <t>ISOP</t>
        </is>
      </c>
      <c r="J9" s="63" t="inlineStr">
        <is>
          <t>All latest applicable ISOP revisions communicated to caterer</t>
        </is>
      </c>
      <c r="K9" s="73" t="inlineStr">
        <is>
          <t>List revision numbers in Result (see ISOP register)</t>
        </is>
      </c>
      <c r="L9" s="73" t="inlineStr">
        <is>
          <t>User brief (T-7 days)</t>
        </is>
      </c>
      <c r="M9" s="73" t="inlineStr"/>
      <c r="N9" s="73" t="inlineStr">
        <is>
          <t>Required</t>
        </is>
      </c>
      <c r="O9" s="73" t="inlineStr"/>
      <c r="P9" s="63" t="inlineStr">
        <is>
          <t>LHR</t>
        </is>
      </c>
      <c r="Q9" s="65">
        <f>Flights!$AC$5</f>
        <v/>
      </c>
      <c r="R9" s="65">
        <f>Q9+(IF(AND(INDEX(TZ_DSTS,MATCH(P9,TZ_STN,0))&lt;&gt;"",Q9&gt;=INDEX(TZ_DSTS,MATCH(P9,TZ_STN,0)),Q9&lt;INDEX(TZ_DSTE,MATCH(P9,TZ_STN,0))),INDEX(TZ_DST,MATCH(P9,TZ_STN,0)),INDEX(TZ_STD,MATCH(P9,TZ_STN,0))))/24</f>
        <v/>
      </c>
      <c r="S9" s="65" t="inlineStr"/>
      <c r="T9" s="66" t="n"/>
      <c r="U9" s="66" t="n"/>
      <c r="V9" s="66" t="n"/>
      <c r="W9" s="67" t="n"/>
      <c r="X9" s="66" t="n"/>
      <c r="Y9" s="66" t="n"/>
      <c r="Z9" s="66" t="n"/>
      <c r="AA9" s="66" t="n"/>
      <c r="AB9" s="66" t="n"/>
      <c r="AC9" s="66" t="n"/>
      <c r="AD9" s="72" t="n"/>
      <c r="AE9" s="66" t="n"/>
      <c r="AF9" s="67">
        <f>IF(AND(ISNUMBER(X9),ISNUMBER(Y9)),Y9-X9,"")</f>
        <v/>
      </c>
      <c r="AG9" s="68">
        <f>IF(ISNUMBER(AD9),AD9-(IF(AND(INDEX(TZ_DSTS,MATCH(P9,TZ_STN,0))&lt;&gt;"",(AD9-INDEX(TZ_STD,MATCH(P9,TZ_STN,0))/24)&gt;=INDEX(TZ_DSTS,MATCH(P9,TZ_STN,0)),(AD9-INDEX(TZ_STD,MATCH(P9,TZ_STN,0))/24)&lt;INDEX(TZ_DSTE,MATCH(P9,TZ_STN,0))),INDEX(TZ_DST,MATCH(P9,TZ_STN,0)),INDEX(TZ_STD,MATCH(P9,TZ_STN,0))))/24,"")</f>
        <v/>
      </c>
      <c r="AH9" s="71">
        <f>IF(N9="N/A – rule","N/A – RULE",IF(TRIM(U9)="N/A",IF(AT9=0,"INVALID – N/A not permitted for this mandatory check",IF(AND(TRIM(AC9)&lt;&gt;"",TRIM(AE9)&lt;&gt;"",TRIM(T9)&lt;&gt;""),"N/A – JUSTIFIED","INVALID – N/A needs justification, PIC and verifier")),IF(OR(TRIM(U9)="Pass",TRIM(U9)="Pass after CA"),IF(NOT(ISNUMBER(AD9)),"INVALID – completion time missing",IF(TRIM(T9)="","INVALID – PIC missing",IF(TRIM(Z9)="","INVALID – evidence missing",IF(TRIM(AE9)="","INVALID – verifier missing",IF(AND(AQ9=1,TRIM(W9)=""),"INVALID – batch ID missing",IF(AND(AR9=1,OR(NOT(ISNUMBER(X9)),NOT(ISNUMBER(Y9)))),"INVALID – expected/actual qty missing",IF(IF(AND(TRIM(U9)="Pass",ISNUMBER(AF9)),IF(AF9&lt;&gt;0,"INVALID – qty variance: use Fail or Pass after CA",""),"")&amp;IF(AND(TRIM(U9)="Pass",AB9="Open"),"INVALID – corrective action still open: use Fail, then Pass after CA","")&amp;IF(AND(TRIM(U9)="Pass after CA",OR(TRIM(AA9)="",AB9&lt;&gt;"Closed")),"INVALID – corrective action not recorded/closed","")&lt;&gt;"",IF(AND(TRIM(U9)="Pass",ISNUMBER(AF9)),IF(AF9&lt;&gt;0,"INVALID – qty variance: use Fail or Pass after CA",""),"")&amp;IF(AND(TRIM(U9)="Pass",AB9="Open"),"INVALID – corrective action still open: use Fail, then Pass after CA","")&amp;IF(AND(TRIM(U9)="Pass after CA",OR(TRIM(AA9)="",AB9&lt;&gt;"Closed")),"INVALID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window"),IF(AG9&gt;Flights!$AA$5,"INVALID – completed after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f>
        <v/>
      </c>
      <c r="AI9" s="67">
        <f>IF(OR(AH9="N/A – RULE",AH9="N/A – JUSTIFIED"),0,1)</f>
        <v/>
      </c>
      <c r="AJ9" s="67">
        <f>IF(LEFT(AH9,8)="COMPLETE",1,0)</f>
        <v/>
      </c>
      <c r="AK9" s="67">
        <f>IF(AND(AI9=1,AJ9=0,AsOfUTC&gt;Q9),1,0)</f>
        <v/>
      </c>
      <c r="AL9" s="67">
        <f>IF(AND(AI9=1,OR(TRIM(U9)="Fail",AB9="Open",AND(ISNUMBER(AF9),AF9&lt;&gt;0,TRIM(U9)&lt;&gt;"Pass after CA"))),1,0)</f>
        <v/>
      </c>
      <c r="AM9" s="67">
        <f>IF(LEFT(AH9,7)="INVALID",1,0)</f>
        <v/>
      </c>
      <c r="AN9" s="67">
        <f>IF(AND(N9="Clarification required",AI9=1,AJ9=0),1,0)</f>
        <v/>
      </c>
      <c r="AO9" s="67">
        <f>IF(AK9=1,SUM(AK$5:AK9),"")</f>
        <v/>
      </c>
      <c r="AP9" s="67">
        <f>IF(AL9=1,SUM(AL$5:AL9),"")</f>
        <v/>
      </c>
      <c r="AQ9" s="67" t="n">
        <v>0</v>
      </c>
      <c r="AR9" s="67" t="n">
        <v>0</v>
      </c>
      <c r="AS9" s="67" t="n">
        <v>0</v>
      </c>
      <c r="AT9" s="67" t="n">
        <v>0</v>
      </c>
    </row>
    <row r="10" ht="40" customHeight="1">
      <c r="A10" s="63" t="inlineStr">
        <is>
          <t>F01-T7-06</t>
        </is>
      </c>
      <c r="B10" s="63" t="inlineStr">
        <is>
          <t>F01</t>
        </is>
      </c>
      <c r="C10" s="63">
        <f>Flights!$F$5</f>
        <v/>
      </c>
      <c r="D10" s="64">
        <f>Flights!$D$5</f>
        <v/>
      </c>
      <c r="E10" s="63">
        <f>Flights!$G$5&amp;"-"&amp;Flights!$H$5</f>
        <v/>
      </c>
      <c r="F10" s="63">
        <f>Flights!$K$5</f>
        <v/>
      </c>
      <c r="G10" s="63" t="inlineStr">
        <is>
          <t>T-7D</t>
        </is>
      </c>
      <c r="H10" s="63" t="inlineStr">
        <is>
          <t>Preparation</t>
        </is>
      </c>
      <c r="I10" s="63" t="inlineStr">
        <is>
          <t>ISOP</t>
        </is>
      </c>
      <c r="J10" s="63" t="inlineStr">
        <is>
          <t>Caterer acknowledgement of ISOP revisions recorded</t>
        </is>
      </c>
      <c r="K10" s="73" t="inlineStr">
        <is>
          <t>Record acknowledgement ref in Evidence</t>
        </is>
      </c>
      <c r="L10" s="73" t="inlineStr">
        <is>
          <t>User brief (T-7 days)</t>
        </is>
      </c>
      <c r="M10" s="73" t="inlineStr"/>
      <c r="N10" s="73" t="inlineStr">
        <is>
          <t>Required</t>
        </is>
      </c>
      <c r="O10" s="73" t="inlineStr"/>
      <c r="P10" s="63" t="inlineStr">
        <is>
          <t>LHR</t>
        </is>
      </c>
      <c r="Q10" s="65">
        <f>Flights!$AC$5</f>
        <v/>
      </c>
      <c r="R10" s="65">
        <f>Q10+(IF(AND(INDEX(TZ_DSTS,MATCH(P10,TZ_STN,0))&lt;&gt;"",Q10&gt;=INDEX(TZ_DSTS,MATCH(P10,TZ_STN,0)),Q10&lt;INDEX(TZ_DSTE,MATCH(P10,TZ_STN,0))),INDEX(TZ_DST,MATCH(P10,TZ_STN,0)),INDEX(TZ_STD,MATCH(P10,TZ_STN,0))))/24</f>
        <v/>
      </c>
      <c r="S10" s="65" t="inlineStr"/>
      <c r="T10" s="66" t="n"/>
      <c r="U10" s="66" t="n"/>
      <c r="V10" s="66" t="n"/>
      <c r="W10" s="67" t="n"/>
      <c r="X10" s="66" t="n"/>
      <c r="Y10" s="66" t="n"/>
      <c r="Z10" s="66" t="n"/>
      <c r="AA10" s="66" t="n"/>
      <c r="AB10" s="66" t="n"/>
      <c r="AC10" s="66" t="n"/>
      <c r="AD10" s="72" t="n"/>
      <c r="AE10" s="66" t="n"/>
      <c r="AF10" s="67">
        <f>IF(AND(ISNUMBER(X10),ISNUMBER(Y10)),Y10-X10,"")</f>
        <v/>
      </c>
      <c r="AG10" s="68">
        <f>IF(ISNUMBER(AD10),AD10-(IF(AND(INDEX(TZ_DSTS,MATCH(P10,TZ_STN,0))&lt;&gt;"",(AD10-INDEX(TZ_STD,MATCH(P10,TZ_STN,0))/24)&gt;=INDEX(TZ_DSTS,MATCH(P10,TZ_STN,0)),(AD10-INDEX(TZ_STD,MATCH(P10,TZ_STN,0))/24)&lt;INDEX(TZ_DSTE,MATCH(P10,TZ_STN,0))),INDEX(TZ_DST,MATCH(P10,TZ_STN,0)),INDEX(TZ_STD,MATCH(P10,TZ_STN,0))))/24,"")</f>
        <v/>
      </c>
      <c r="AH10" s="71">
        <f>IF(N10="N/A – rule","N/A – RULE",IF(TRIM(U10)="N/A",IF(AT10=0,"INVALID – N/A not permitted for this mandatory check",IF(AND(TRIM(AC10)&lt;&gt;"",TRIM(AE10)&lt;&gt;"",TRIM(T10)&lt;&gt;""),"N/A – JUSTIFIED","INVALID – N/A needs justification, PIC and verifier")),IF(OR(TRIM(U10)="Pass",TRIM(U10)="Pass after CA"),IF(NOT(ISNUMBER(AD10)),"INVALID – completion time missing",IF(TRIM(T10)="","INVALID – PIC missing",IF(TRIM(Z10)="","INVALID – evidence missing",IF(TRIM(AE10)="","INVALID – verifier missing",IF(AND(AQ10=1,TRIM(W10)=""),"INVALID – batch ID missing",IF(AND(AR10=1,OR(NOT(ISNUMBER(X10)),NOT(ISNUMBER(Y10)))),"INVALID – expected/actual qty missing",IF(IF(AND(TRIM(U10)="Pass",ISNUMBER(AF10)),IF(AF10&lt;&gt;0,"INVALID – qty variance: use Fail or Pass after CA",""),"")&amp;IF(AND(TRIM(U10)="Pass",AB10="Open"),"INVALID – corrective action still open: use Fail, then Pass after CA","")&amp;IF(AND(TRIM(U10)="Pass after CA",OR(TRIM(AA10)="",AB10&lt;&gt;"Closed")),"INVALID – corrective action not recorded/closed","")&lt;&gt;"",IF(AND(TRIM(U10)="Pass",ISNUMBER(AF10)),IF(AF10&lt;&gt;0,"INVALID – qty variance: use Fail or Pass after CA",""),"")&amp;IF(AND(TRIM(U10)="Pass",AB10="Open"),"INVALID – corrective action still open: use Fail, then Pass after CA","")&amp;IF(AND(TRIM(U10)="Pass after CA",OR(TRIM(AA10)="",AB10&lt;&gt;"Closed")),"INVALID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window"),IF(AG10&gt;Flights!$AA$5,"INVALID – completed after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f>
        <v/>
      </c>
      <c r="AI10" s="67">
        <f>IF(OR(AH10="N/A – RULE",AH10="N/A – JUSTIFIED"),0,1)</f>
        <v/>
      </c>
      <c r="AJ10" s="67">
        <f>IF(LEFT(AH10,8)="COMPLETE",1,0)</f>
        <v/>
      </c>
      <c r="AK10" s="67">
        <f>IF(AND(AI10=1,AJ10=0,AsOfUTC&gt;Q10),1,0)</f>
        <v/>
      </c>
      <c r="AL10" s="67">
        <f>IF(AND(AI10=1,OR(TRIM(U10)="Fail",AB10="Open",AND(ISNUMBER(AF10),AF10&lt;&gt;0,TRIM(U10)&lt;&gt;"Pass after CA"))),1,0)</f>
        <v/>
      </c>
      <c r="AM10" s="67">
        <f>IF(LEFT(AH10,7)="INVALID",1,0)</f>
        <v/>
      </c>
      <c r="AN10" s="67">
        <f>IF(AND(N10="Clarification required",AI10=1,AJ10=0),1,0)</f>
        <v/>
      </c>
      <c r="AO10" s="67">
        <f>IF(AK10=1,SUM(AK$5:AK10),"")</f>
        <v/>
      </c>
      <c r="AP10" s="67">
        <f>IF(AL10=1,SUM(AL$5:AL10),"")</f>
        <v/>
      </c>
      <c r="AQ10" s="67" t="n">
        <v>0</v>
      </c>
      <c r="AR10" s="67" t="n">
        <v>0</v>
      </c>
      <c r="AS10" s="67" t="n">
        <v>0</v>
      </c>
      <c r="AT10" s="67" t="n">
        <v>0</v>
      </c>
    </row>
    <row r="11" ht="40" customHeight="1">
      <c r="A11" s="63" t="inlineStr">
        <is>
          <t>F01-T7-07</t>
        </is>
      </c>
      <c r="B11" s="63" t="inlineStr">
        <is>
          <t>F01</t>
        </is>
      </c>
      <c r="C11" s="63">
        <f>Flights!$F$5</f>
        <v/>
      </c>
      <c r="D11" s="64">
        <f>Flights!$D$5</f>
        <v/>
      </c>
      <c r="E11" s="63">
        <f>Flights!$G$5&amp;"-"&amp;Flights!$H$5</f>
        <v/>
      </c>
      <c r="F11" s="63">
        <f>Flights!$K$5</f>
        <v/>
      </c>
      <c r="G11" s="63" t="inlineStr">
        <is>
          <t>T-7D</t>
        </is>
      </c>
      <c r="H11" s="63" t="inlineStr">
        <is>
          <t>Preparation</t>
        </is>
      </c>
      <c r="I11" s="63" t="inlineStr">
        <is>
          <t>Documents</t>
        </is>
      </c>
      <c r="J11" s="63" t="inlineStr">
        <is>
          <t>Galley loading diagram (GLD) received, revision recorded &amp; attached</t>
        </is>
      </c>
      <c r="K11" s="73" t="inlineStr">
        <is>
          <t>Documents sheet row complete</t>
        </is>
      </c>
      <c r="L11" s="73" t="inlineStr">
        <is>
          <t>User brief (T-7 days)</t>
        </is>
      </c>
      <c r="M11" s="73" t="inlineStr"/>
      <c r="N11" s="73" t="inlineStr">
        <is>
          <t>Required</t>
        </is>
      </c>
      <c r="O11" s="73" t="inlineStr"/>
      <c r="P11" s="63" t="inlineStr">
        <is>
          <t>LHR</t>
        </is>
      </c>
      <c r="Q11" s="65">
        <f>Flights!$AC$5</f>
        <v/>
      </c>
      <c r="R11" s="65">
        <f>Q11+(IF(AND(INDEX(TZ_DSTS,MATCH(P11,TZ_STN,0))&lt;&gt;"",Q11&gt;=INDEX(TZ_DSTS,MATCH(P11,TZ_STN,0)),Q11&lt;INDEX(TZ_DSTE,MATCH(P11,TZ_STN,0))),INDEX(TZ_DST,MATCH(P11,TZ_STN,0)),INDEX(TZ_STD,MATCH(P11,TZ_STN,0))))/24</f>
        <v/>
      </c>
      <c r="S11" s="65" t="inlineStr"/>
      <c r="T11" s="66" t="n"/>
      <c r="U11" s="66" t="n"/>
      <c r="V11" s="66" t="n"/>
      <c r="W11" s="67" t="n"/>
      <c r="X11" s="66" t="n"/>
      <c r="Y11" s="66" t="n"/>
      <c r="Z11" s="66" t="n"/>
      <c r="AA11" s="66" t="n"/>
      <c r="AB11" s="66" t="n"/>
      <c r="AC11" s="66" t="n"/>
      <c r="AD11" s="72" t="n"/>
      <c r="AE11" s="66" t="n"/>
      <c r="AF11" s="67">
        <f>IF(AND(ISNUMBER(X11),ISNUMBER(Y11)),Y11-X11,"")</f>
        <v/>
      </c>
      <c r="AG11" s="68">
        <f>IF(ISNUMBER(AD11),AD11-(IF(AND(INDEX(TZ_DSTS,MATCH(P11,TZ_STN,0))&lt;&gt;"",(AD11-INDEX(TZ_STD,MATCH(P11,TZ_STN,0))/24)&gt;=INDEX(TZ_DSTS,MATCH(P11,TZ_STN,0)),(AD11-INDEX(TZ_STD,MATCH(P11,TZ_STN,0))/24)&lt;INDEX(TZ_DSTE,MATCH(P11,TZ_STN,0))),INDEX(TZ_DST,MATCH(P11,TZ_STN,0)),INDEX(TZ_STD,MATCH(P11,TZ_STN,0))))/24,"")</f>
        <v/>
      </c>
      <c r="AH11" s="71">
        <f>IF(N11="N/A – rule","N/A – RULE",IF(TRIM(U11)="N/A",IF(AT11=0,"INVALID – N/A not permitted for this mandatory check",IF(AND(TRIM(AC11)&lt;&gt;"",TRIM(AE11)&lt;&gt;"",TRIM(T11)&lt;&gt;""),"N/A – JUSTIFIED","INVALID – N/A needs justification, PIC and verifier")),IF(OR(TRIM(U11)="Pass",TRIM(U11)="Pass after CA"),IF(NOT(ISNUMBER(AD11)),"INVALID – completion time missing",IF(TRIM(T11)="","INVALID – PIC missing",IF(TRIM(Z11)="","INVALID – evidence missing",IF(TRIM(AE11)="","INVALID – verifier missing",IF(AND(AQ11=1,TRIM(W11)=""),"INVALID – batch ID missing",IF(AND(AR11=1,OR(NOT(ISNUMBER(X11)),NOT(ISNUMBER(Y11)))),"INVALID – expected/actual qty missing",IF(IF(AND(TRIM(U11)="Pass",ISNUMBER(AF11)),IF(AF11&lt;&gt;0,"INVALID – qty variance: use Fail or Pass after CA",""),"")&amp;IF(AND(TRIM(U11)="Pass",AB11="Open"),"INVALID – corrective action still open: use Fail, then Pass after CA","")&amp;IF(AND(TRIM(U11)="Pass after CA",OR(TRIM(AA11)="",AB11&lt;&gt;"Closed")),"INVALID – corrective action not recorded/closed","")&lt;&gt;"",IF(AND(TRIM(U11)="Pass",ISNUMBER(AF11)),IF(AF11&lt;&gt;0,"INVALID – qty variance: use Fail or Pass after CA",""),"")&amp;IF(AND(TRIM(U11)="Pass",AB11="Open"),"INVALID – corrective action still open: use Fail, then Pass after CA","")&amp;IF(AND(TRIM(U11)="Pass after CA",OR(TRIM(AA11)="",AB11&lt;&gt;"Closed")),"INVALID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window"),IF(AG11&gt;Flights!$AA$5,"INVALID – completed after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f>
        <v/>
      </c>
      <c r="AI11" s="67">
        <f>IF(OR(AH11="N/A – RULE",AH11="N/A – JUSTIFIED"),0,1)</f>
        <v/>
      </c>
      <c r="AJ11" s="67">
        <f>IF(LEFT(AH11,8)="COMPLETE",1,0)</f>
        <v/>
      </c>
      <c r="AK11" s="67">
        <f>IF(AND(AI11=1,AJ11=0,AsOfUTC&gt;Q11),1,0)</f>
        <v/>
      </c>
      <c r="AL11" s="67">
        <f>IF(AND(AI11=1,OR(TRIM(U11)="Fail",AB11="Open",AND(ISNUMBER(AF11),AF11&lt;&gt;0,TRIM(U11)&lt;&gt;"Pass after CA"))),1,0)</f>
        <v/>
      </c>
      <c r="AM11" s="67">
        <f>IF(LEFT(AH11,7)="INVALID",1,0)</f>
        <v/>
      </c>
      <c r="AN11" s="67">
        <f>IF(AND(N11="Clarification required",AI11=1,AJ11=0),1,0)</f>
        <v/>
      </c>
      <c r="AO11" s="67">
        <f>IF(AK11=1,SUM(AK$5:AK11),"")</f>
        <v/>
      </c>
      <c r="AP11" s="67">
        <f>IF(AL11=1,SUM(AL$5:AL11),"")</f>
        <v/>
      </c>
      <c r="AQ11" s="67" t="n">
        <v>0</v>
      </c>
      <c r="AR11" s="67" t="n">
        <v>0</v>
      </c>
      <c r="AS11" s="67" t="n">
        <v>1</v>
      </c>
      <c r="AT11" s="67" t="n">
        <v>0</v>
      </c>
    </row>
    <row r="12" ht="40" customHeight="1">
      <c r="A12" s="63" t="inlineStr">
        <is>
          <t>F01-T7-08</t>
        </is>
      </c>
      <c r="B12" s="63" t="inlineStr">
        <is>
          <t>F01</t>
        </is>
      </c>
      <c r="C12" s="63">
        <f>Flights!$F$5</f>
        <v/>
      </c>
      <c r="D12" s="64">
        <f>Flights!$D$5</f>
        <v/>
      </c>
      <c r="E12" s="63">
        <f>Flights!$G$5&amp;"-"&amp;Flights!$H$5</f>
        <v/>
      </c>
      <c r="F12" s="63">
        <f>Flights!$K$5</f>
        <v/>
      </c>
      <c r="G12" s="63" t="inlineStr">
        <is>
          <t>T-7D</t>
        </is>
      </c>
      <c r="H12" s="63" t="inlineStr">
        <is>
          <t>Preparation</t>
        </is>
      </c>
      <c r="I12" s="63" t="inlineStr">
        <is>
          <t>Documents</t>
        </is>
      </c>
      <c r="J12" s="63" t="inlineStr">
        <is>
          <t>Menu checklist received, revision recorded &amp; attached</t>
        </is>
      </c>
      <c r="K12" s="73" t="inlineStr">
        <is>
          <t>Documents sheet row complete</t>
        </is>
      </c>
      <c r="L12" s="73" t="inlineStr">
        <is>
          <t>User brief (T-7 days)</t>
        </is>
      </c>
      <c r="M12" s="73" t="inlineStr"/>
      <c r="N12" s="73" t="inlineStr">
        <is>
          <t>Required</t>
        </is>
      </c>
      <c r="O12" s="73" t="inlineStr"/>
      <c r="P12" s="63" t="inlineStr">
        <is>
          <t>LHR</t>
        </is>
      </c>
      <c r="Q12" s="65">
        <f>Flights!$AC$5</f>
        <v/>
      </c>
      <c r="R12" s="65">
        <f>Q12+(IF(AND(INDEX(TZ_DSTS,MATCH(P12,TZ_STN,0))&lt;&gt;"",Q12&gt;=INDEX(TZ_DSTS,MATCH(P12,TZ_STN,0)),Q12&lt;INDEX(TZ_DSTE,MATCH(P12,TZ_STN,0))),INDEX(TZ_DST,MATCH(P12,TZ_STN,0)),INDEX(TZ_STD,MATCH(P12,TZ_STN,0))))/24</f>
        <v/>
      </c>
      <c r="S12" s="65" t="inlineStr"/>
      <c r="T12" s="66" t="n"/>
      <c r="U12" s="66" t="n"/>
      <c r="V12" s="66" t="n"/>
      <c r="W12" s="67" t="n"/>
      <c r="X12" s="66" t="n"/>
      <c r="Y12" s="66" t="n"/>
      <c r="Z12" s="66" t="n"/>
      <c r="AA12" s="66" t="n"/>
      <c r="AB12" s="66" t="n"/>
      <c r="AC12" s="66" t="n"/>
      <c r="AD12" s="72" t="n"/>
      <c r="AE12" s="66" t="n"/>
      <c r="AF12" s="67">
        <f>IF(AND(ISNUMBER(X12),ISNUMBER(Y12)),Y12-X12,"")</f>
        <v/>
      </c>
      <c r="AG12" s="68">
        <f>IF(ISNUMBER(AD12),AD12-(IF(AND(INDEX(TZ_DSTS,MATCH(P12,TZ_STN,0))&lt;&gt;"",(AD12-INDEX(TZ_STD,MATCH(P12,TZ_STN,0))/24)&gt;=INDEX(TZ_DSTS,MATCH(P12,TZ_STN,0)),(AD12-INDEX(TZ_STD,MATCH(P12,TZ_STN,0))/24)&lt;INDEX(TZ_DSTE,MATCH(P12,TZ_STN,0))),INDEX(TZ_DST,MATCH(P12,TZ_STN,0)),INDEX(TZ_STD,MATCH(P12,TZ_STN,0))))/24,"")</f>
        <v/>
      </c>
      <c r="AH12" s="71">
        <f>IF(N12="N/A – rule","N/A – RULE",IF(TRIM(U12)="N/A",IF(AT12=0,"INVALID – N/A not permitted for this mandatory check",IF(AND(TRIM(AC12)&lt;&gt;"",TRIM(AE12)&lt;&gt;"",TRIM(T12)&lt;&gt;""),"N/A – JUSTIFIED","INVALID – N/A needs justification, PIC and verifier")),IF(OR(TRIM(U12)="Pass",TRIM(U12)="Pass after CA"),IF(NOT(ISNUMBER(AD12)),"INVALID – completion time missing",IF(TRIM(T12)="","INVALID – PIC missing",IF(TRIM(Z12)="","INVALID – evidence missing",IF(TRIM(AE12)="","INVALID – verifier missing",IF(AND(AQ12=1,TRIM(W12)=""),"INVALID – batch ID missing",IF(AND(AR12=1,OR(NOT(ISNUMBER(X12)),NOT(ISNUMBER(Y12)))),"INVALID – expected/actual qty missing",IF(IF(AND(TRIM(U12)="Pass",ISNUMBER(AF12)),IF(AF12&lt;&gt;0,"INVALID – qty variance: use Fail or Pass after CA",""),"")&amp;IF(AND(TRIM(U12)="Pass",AB12="Open"),"INVALID – corrective action still open: use Fail, then Pass after CA","")&amp;IF(AND(TRIM(U12)="Pass after CA",OR(TRIM(AA12)="",AB12&lt;&gt;"Closed")),"INVALID – corrective action not recorded/closed","")&lt;&gt;"",IF(AND(TRIM(U12)="Pass",ISNUMBER(AF12)),IF(AF12&lt;&gt;0,"INVALID – qty variance: use Fail or Pass after CA",""),"")&amp;IF(AND(TRIM(U12)="Pass",AB12="Open"),"INVALID – corrective action still open: use Fail, then Pass after CA","")&amp;IF(AND(TRIM(U12)="Pass after CA",OR(TRIM(AA12)="",AB12&lt;&gt;"Closed")),"INVALID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window"),IF(AG12&gt;Flights!$AA$5,"INVALID – completed after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f>
        <v/>
      </c>
      <c r="AI12" s="67">
        <f>IF(OR(AH12="N/A – RULE",AH12="N/A – JUSTIFIED"),0,1)</f>
        <v/>
      </c>
      <c r="AJ12" s="67">
        <f>IF(LEFT(AH12,8)="COMPLETE",1,0)</f>
        <v/>
      </c>
      <c r="AK12" s="67">
        <f>IF(AND(AI12=1,AJ12=0,AsOfUTC&gt;Q12),1,0)</f>
        <v/>
      </c>
      <c r="AL12" s="67">
        <f>IF(AND(AI12=1,OR(TRIM(U12)="Fail",AB12="Open",AND(ISNUMBER(AF12),AF12&lt;&gt;0,TRIM(U12)&lt;&gt;"Pass after CA"))),1,0)</f>
        <v/>
      </c>
      <c r="AM12" s="67">
        <f>IF(LEFT(AH12,7)="INVALID",1,0)</f>
        <v/>
      </c>
      <c r="AN12" s="67">
        <f>IF(AND(N12="Clarification required",AI12=1,AJ12=0),1,0)</f>
        <v/>
      </c>
      <c r="AO12" s="67">
        <f>IF(AK12=1,SUM(AK$5:AK12),"")</f>
        <v/>
      </c>
      <c r="AP12" s="67">
        <f>IF(AL12=1,SUM(AL$5:AL12),"")</f>
        <v/>
      </c>
      <c r="AQ12" s="67" t="n">
        <v>0</v>
      </c>
      <c r="AR12" s="67" t="n">
        <v>0</v>
      </c>
      <c r="AS12" s="67" t="n">
        <v>2</v>
      </c>
      <c r="AT12" s="67" t="n">
        <v>0</v>
      </c>
    </row>
    <row r="13" ht="40" customHeight="1">
      <c r="A13" s="63" t="inlineStr">
        <is>
          <t>F01-T7-09</t>
        </is>
      </c>
      <c r="B13" s="63" t="inlineStr">
        <is>
          <t>F01</t>
        </is>
      </c>
      <c r="C13" s="63">
        <f>Flights!$F$5</f>
        <v/>
      </c>
      <c r="D13" s="64">
        <f>Flights!$D$5</f>
        <v/>
      </c>
      <c r="E13" s="63">
        <f>Flights!$G$5&amp;"-"&amp;Flights!$H$5</f>
        <v/>
      </c>
      <c r="F13" s="63">
        <f>Flights!$K$5</f>
        <v/>
      </c>
      <c r="G13" s="63" t="inlineStr">
        <is>
          <t>T-7D</t>
        </is>
      </c>
      <c r="H13" s="63" t="inlineStr">
        <is>
          <t>Preparation</t>
        </is>
      </c>
      <c r="I13" s="63" t="inlineStr">
        <is>
          <t>Uplift plan</t>
        </is>
      </c>
      <c r="J13" s="63" t="inlineStr">
        <is>
          <t>Uplift plan confirmed with caterer vs STD Uplift Information</t>
        </is>
      </c>
      <c r="K13" s="73" t="inlineStr">
        <is>
          <t>Service: 2.5 Meal (Meal); meal uplift stn LHR (ref lists KUL/LHR)</t>
        </is>
      </c>
      <c r="L13" s="73" t="inlineStr">
        <is>
          <t>STD UPLIFT INFORMATION.xlsx &gt; CATERING UPLIFT STN!C9:G9</t>
        </is>
      </c>
      <c r="M13" s="73" t="inlineStr"/>
      <c r="N13" s="73" t="inlineStr">
        <is>
          <t>Required</t>
        </is>
      </c>
      <c r="O13" s="73" t="inlineStr"/>
      <c r="P13" s="63" t="inlineStr">
        <is>
          <t>LHR</t>
        </is>
      </c>
      <c r="Q13" s="65">
        <f>Flights!$AC$5</f>
        <v/>
      </c>
      <c r="R13" s="65">
        <f>Q13+(IF(AND(INDEX(TZ_DSTS,MATCH(P13,TZ_STN,0))&lt;&gt;"",Q13&gt;=INDEX(TZ_DSTS,MATCH(P13,TZ_STN,0)),Q13&lt;INDEX(TZ_DSTE,MATCH(P13,TZ_STN,0))),INDEX(TZ_DST,MATCH(P13,TZ_STN,0)),INDEX(TZ_STD,MATCH(P13,TZ_STN,0))))/24</f>
        <v/>
      </c>
      <c r="S13" s="65" t="inlineStr"/>
      <c r="T13" s="66" t="n"/>
      <c r="U13" s="66" t="n"/>
      <c r="V13" s="66" t="n"/>
      <c r="W13" s="67" t="n"/>
      <c r="X13" s="66" t="n"/>
      <c r="Y13" s="66" t="n"/>
      <c r="Z13" s="66" t="n"/>
      <c r="AA13" s="66" t="n"/>
      <c r="AB13" s="66" t="n"/>
      <c r="AC13" s="66" t="n"/>
      <c r="AD13" s="72" t="n"/>
      <c r="AE13" s="66" t="n"/>
      <c r="AF13" s="67">
        <f>IF(AND(ISNUMBER(X13),ISNUMBER(Y13)),Y13-X13,"")</f>
        <v/>
      </c>
      <c r="AG13" s="68">
        <f>IF(ISNUMBER(AD13),AD13-(IF(AND(INDEX(TZ_DSTS,MATCH(P13,TZ_STN,0))&lt;&gt;"",(AD13-INDEX(TZ_STD,MATCH(P13,TZ_STN,0))/24)&gt;=INDEX(TZ_DSTS,MATCH(P13,TZ_STN,0)),(AD13-INDEX(TZ_STD,MATCH(P13,TZ_STN,0))/24)&lt;INDEX(TZ_DSTE,MATCH(P13,TZ_STN,0))),INDEX(TZ_DST,MATCH(P13,TZ_STN,0)),INDEX(TZ_STD,MATCH(P13,TZ_STN,0))))/24,"")</f>
        <v/>
      </c>
      <c r="AH13" s="71">
        <f>IF(N13="N/A – rule","N/A – RULE",IF(TRIM(U13)="N/A",IF(AT13=0,"INVALID – N/A not permitted for this mandatory check",IF(AND(TRIM(AC13)&lt;&gt;"",TRIM(AE13)&lt;&gt;"",TRIM(T13)&lt;&gt;""),"N/A – JUSTIFIED","INVALID – N/A needs justification, PIC and verifier")),IF(OR(TRIM(U13)="Pass",TRIM(U13)="Pass after CA"),IF(NOT(ISNUMBER(AD13)),"INVALID – completion time missing",IF(TRIM(T13)="","INVALID – PIC missing",IF(TRIM(Z13)="","INVALID – evidence missing",IF(TRIM(AE13)="","INVALID – verifier missing",IF(AND(AQ13=1,TRIM(W13)=""),"INVALID – batch ID missing",IF(AND(AR13=1,OR(NOT(ISNUMBER(X13)),NOT(ISNUMBER(Y13)))),"INVALID – expected/actual qty missing",IF(IF(AND(TRIM(U13)="Pass",ISNUMBER(AF13)),IF(AF13&lt;&gt;0,"INVALID – qty variance: use Fail or Pass after CA",""),"")&amp;IF(AND(TRIM(U13)="Pass",AB13="Open"),"INVALID – corrective action still open: use Fail, then Pass after CA","")&amp;IF(AND(TRIM(U13)="Pass after CA",OR(TRIM(AA13)="",AB13&lt;&gt;"Closed")),"INVALID – corrective action not recorded/closed","")&lt;&gt;"",IF(AND(TRIM(U13)="Pass",ISNUMBER(AF13)),IF(AF13&lt;&gt;0,"INVALID – qty variance: use Fail or Pass after CA",""),"")&amp;IF(AND(TRIM(U13)="Pass",AB13="Open"),"INVALID – corrective action still open: use Fail, then Pass after CA","")&amp;IF(AND(TRIM(U13)="Pass after CA",OR(TRIM(AA13)="",AB13&lt;&gt;"Closed")),"INVALID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window"),IF(AG13&gt;Flights!$AA$5,"INVALID – completed after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f>
        <v/>
      </c>
      <c r="AI13" s="67">
        <f>IF(OR(AH13="N/A – RULE",AH13="N/A – JUSTIFIED"),0,1)</f>
        <v/>
      </c>
      <c r="AJ13" s="67">
        <f>IF(LEFT(AH13,8)="COMPLETE",1,0)</f>
        <v/>
      </c>
      <c r="AK13" s="67">
        <f>IF(AND(AI13=1,AJ13=0,AsOfUTC&gt;Q13),1,0)</f>
        <v/>
      </c>
      <c r="AL13" s="67">
        <f>IF(AND(AI13=1,OR(TRIM(U13)="Fail",AB13="Open",AND(ISNUMBER(AF13),AF13&lt;&gt;0,TRIM(U13)&lt;&gt;"Pass after CA"))),1,0)</f>
        <v/>
      </c>
      <c r="AM13" s="67">
        <f>IF(LEFT(AH13,7)="INVALID",1,0)</f>
        <v/>
      </c>
      <c r="AN13" s="67">
        <f>IF(AND(N13="Clarification required",AI13=1,AJ13=0),1,0)</f>
        <v/>
      </c>
      <c r="AO13" s="67">
        <f>IF(AK13=1,SUM(AK$5:AK13),"")</f>
        <v/>
      </c>
      <c r="AP13" s="67">
        <f>IF(AL13=1,SUM(AL$5:AL13),"")</f>
        <v/>
      </c>
      <c r="AQ13" s="67" t="n">
        <v>0</v>
      </c>
      <c r="AR13" s="67" t="n">
        <v>0</v>
      </c>
      <c r="AS13" s="67" t="n">
        <v>0</v>
      </c>
      <c r="AT13" s="67" t="n">
        <v>0</v>
      </c>
    </row>
    <row r="14" ht="40" customHeight="1">
      <c r="A14" s="63" t="inlineStr">
        <is>
          <t>F01-T24-01</t>
        </is>
      </c>
      <c r="B14" s="63" t="inlineStr">
        <is>
          <t>F01</t>
        </is>
      </c>
      <c r="C14" s="63">
        <f>Flights!$F$5</f>
        <v/>
      </c>
      <c r="D14" s="64">
        <f>Flights!$D$5</f>
        <v/>
      </c>
      <c r="E14" s="63">
        <f>Flights!$G$5&amp;"-"&amp;Flights!$H$5</f>
        <v/>
      </c>
      <c r="F14" s="63">
        <f>Flights!$K$5</f>
        <v/>
      </c>
      <c r="G14" s="63" t="inlineStr">
        <is>
          <t>T-24H</t>
        </is>
      </c>
      <c r="H14" s="63" t="inlineStr">
        <is>
          <t>Preparation</t>
        </is>
      </c>
      <c r="I14" s="63" t="inlineStr">
        <is>
          <t>Meal</t>
        </is>
      </c>
      <c r="J14" s="63" t="inlineStr">
        <is>
          <t>Sensory test repeated on ACTUAL production batch for this flight</t>
        </is>
      </c>
      <c r="K14" s="73" t="inlineStr">
        <is>
          <t>Batch ID, result, CA and acceptance mandatory</t>
        </is>
      </c>
      <c r="L14" s="73" t="inlineStr">
        <is>
          <t>User brief (T-24 hours)</t>
        </is>
      </c>
      <c r="M14" s="73" t="inlineStr"/>
      <c r="N14" s="73" t="inlineStr">
        <is>
          <t>Required</t>
        </is>
      </c>
      <c r="O14" s="73" t="inlineStr"/>
      <c r="P14" s="63" t="inlineStr">
        <is>
          <t>LHR</t>
        </is>
      </c>
      <c r="Q14" s="65">
        <f>Flights!$AD$5</f>
        <v/>
      </c>
      <c r="R14" s="65">
        <f>Q14+(IF(AND(INDEX(TZ_DSTS,MATCH(P14,TZ_STN,0))&lt;&gt;"",Q14&gt;=INDEX(TZ_DSTS,MATCH(P14,TZ_STN,0)),Q14&lt;INDEX(TZ_DSTE,MATCH(P14,TZ_STN,0))),INDEX(TZ_DST,MATCH(P14,TZ_STN,0)),INDEX(TZ_STD,MATCH(P14,TZ_STN,0))))/24</f>
        <v/>
      </c>
      <c r="S14" s="65">
        <f>Q14-T24EarlyH/24</f>
        <v/>
      </c>
      <c r="T14" s="66" t="n"/>
      <c r="U14" s="66" t="n"/>
      <c r="V14" s="66" t="n"/>
      <c r="W14" s="66" t="n"/>
      <c r="X14" s="66" t="n"/>
      <c r="Y14" s="66" t="n"/>
      <c r="Z14" s="66" t="n"/>
      <c r="AA14" s="66" t="n"/>
      <c r="AB14" s="66" t="n"/>
      <c r="AC14" s="66" t="n"/>
      <c r="AD14" s="72" t="n"/>
      <c r="AE14" s="66" t="n"/>
      <c r="AF14" s="67">
        <f>IF(AND(ISNUMBER(X14),ISNUMBER(Y14)),Y14-X14,"")</f>
        <v/>
      </c>
      <c r="AG14" s="68">
        <f>IF(ISNUMBER(AD14),AD14-(IF(AND(INDEX(TZ_DSTS,MATCH(P14,TZ_STN,0))&lt;&gt;"",(AD14-INDEX(TZ_STD,MATCH(P14,TZ_STN,0))/24)&gt;=INDEX(TZ_DSTS,MATCH(P14,TZ_STN,0)),(AD14-INDEX(TZ_STD,MATCH(P14,TZ_STN,0))/24)&lt;INDEX(TZ_DSTE,MATCH(P14,TZ_STN,0))),INDEX(TZ_DST,MATCH(P14,TZ_STN,0)),INDEX(TZ_STD,MATCH(P14,TZ_STN,0))))/24,"")</f>
        <v/>
      </c>
      <c r="AH14" s="71">
        <f>IF(N14="N/A – rule","N/A – RULE",IF(TRIM(U14)="N/A",IF(AT14=0,"INVALID – N/A not permitted for this mandatory check",IF(AND(TRIM(AC14)&lt;&gt;"",TRIM(AE14)&lt;&gt;"",TRIM(T14)&lt;&gt;""),"N/A – JUSTIFIED","INVALID – N/A needs justification, PIC and verifier")),IF(OR(TRIM(U14)="Pass",TRIM(U14)="Pass after CA"),IF(NOT(ISNUMBER(AD14)),"INVALID – completion time missing",IF(TRIM(T14)="","INVALID – PIC missing",IF(TRIM(Z14)="","INVALID – evidence missing",IF(TRIM(AE14)="","INVALID – verifier missing",IF(AND(AQ14=1,TRIM(W14)=""),"INVALID – batch ID missing",IF(AND(AR14=1,OR(NOT(ISNUMBER(X14)),NOT(ISNUMBER(Y14)))),"INVALID – expected/actual qty missing",IF(IF(AND(TRIM(U14)="Pass",ISNUMBER(AF14)),IF(AF14&lt;&gt;0,"INVALID – qty variance: use Fail or Pass after CA",""),"")&amp;IF(AND(TRIM(U14)="Pass",AB14="Open"),"INVALID – corrective action still open: use Fail, then Pass after CA","")&amp;IF(AND(TRIM(U14)="Pass after CA",OR(TRIM(AA14)="",AB14&lt;&gt;"Closed")),"INVALID – corrective action not recorded/closed","")&lt;&gt;"",IF(AND(TRIM(U14)="Pass",ISNUMBER(AF14)),IF(AF14&lt;&gt;0,"INVALID – qty variance: use Fail or Pass after CA",""),"")&amp;IF(AND(TRIM(U14)="Pass",AB14="Open"),"INVALID – corrective action still open: use Fail, then Pass after CA","")&amp;IF(AND(TRIM(U14)="Pass after CA",OR(TRIM(AA14)="",AB14&lt;&gt;"Closed")),"INVALID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window"),IF(AG14&gt;Flights!$AA$5,"INVALID – completed after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f>
        <v/>
      </c>
      <c r="AI14" s="67">
        <f>IF(OR(AH14="N/A – RULE",AH14="N/A – JUSTIFIED"),0,1)</f>
        <v/>
      </c>
      <c r="AJ14" s="67">
        <f>IF(LEFT(AH14,8)="COMPLETE",1,0)</f>
        <v/>
      </c>
      <c r="AK14" s="67">
        <f>IF(AND(AI14=1,AJ14=0,AsOfUTC&gt;Q14),1,0)</f>
        <v/>
      </c>
      <c r="AL14" s="67">
        <f>IF(AND(AI14=1,OR(TRIM(U14)="Fail",AB14="Open",AND(ISNUMBER(AF14),AF14&lt;&gt;0,TRIM(U14)&lt;&gt;"Pass after CA"))),1,0)</f>
        <v/>
      </c>
      <c r="AM14" s="67">
        <f>IF(LEFT(AH14,7)="INVALID",1,0)</f>
        <v/>
      </c>
      <c r="AN14" s="67">
        <f>IF(AND(N14="Clarification required",AI14=1,AJ14=0),1,0)</f>
        <v/>
      </c>
      <c r="AO14" s="67">
        <f>IF(AK14=1,SUM(AK$5:AK14),"")</f>
        <v/>
      </c>
      <c r="AP14" s="67">
        <f>IF(AL14=1,SUM(AL$5:AL14),"")</f>
        <v/>
      </c>
      <c r="AQ14" s="67" t="n">
        <v>1</v>
      </c>
      <c r="AR14" s="67" t="n">
        <v>0</v>
      </c>
      <c r="AS14" s="67" t="n">
        <v>0</v>
      </c>
      <c r="AT14" s="67" t="n">
        <v>0</v>
      </c>
    </row>
    <row r="15" ht="40" customHeight="1">
      <c r="A15" s="63" t="inlineStr">
        <is>
          <t>F01-T12-01</t>
        </is>
      </c>
      <c r="B15" s="63" t="inlineStr">
        <is>
          <t>F01</t>
        </is>
      </c>
      <c r="C15" s="63">
        <f>Flights!$F$5</f>
        <v/>
      </c>
      <c r="D15" s="64">
        <f>Flights!$D$5</f>
        <v/>
      </c>
      <c r="E15" s="63">
        <f>Flights!$G$5&amp;"-"&amp;Flights!$H$5</f>
        <v/>
      </c>
      <c r="F15" s="63">
        <f>Flights!$K$5</f>
        <v/>
      </c>
      <c r="G15" s="63" t="inlineStr">
        <is>
          <t>T-12H PREP</t>
        </is>
      </c>
      <c r="H15" s="63" t="inlineStr">
        <is>
          <t>Preparation</t>
        </is>
      </c>
      <c r="I15" s="63" t="inlineStr">
        <is>
          <t>Meal</t>
        </is>
      </c>
      <c r="J15" s="63" t="inlineStr">
        <is>
          <t>Meal quality vs menu checklist</t>
        </is>
      </c>
      <c r="K15" s="73" t="inlineStr"/>
      <c r="L15" s="73" t="inlineStr">
        <is>
          <t>User brief (T-12 hours)</t>
        </is>
      </c>
      <c r="M15" s="73" t="inlineStr"/>
      <c r="N15" s="73" t="inlineStr">
        <is>
          <t>Required</t>
        </is>
      </c>
      <c r="O15" s="73" t="inlineStr">
        <is>
          <t>Preparation check at caterer - does NOT confirm loading.</t>
        </is>
      </c>
      <c r="P15" s="63" t="inlineStr">
        <is>
          <t>LHR</t>
        </is>
      </c>
      <c r="Q15" s="65">
        <f>Flights!$AE$5</f>
        <v/>
      </c>
      <c r="R15" s="65">
        <f>Q15+(IF(AND(INDEX(TZ_DSTS,MATCH(P15,TZ_STN,0))&lt;&gt;"",Q15&gt;=INDEX(TZ_DSTS,MATCH(P15,TZ_STN,0)),Q15&lt;INDEX(TZ_DSTE,MATCH(P15,TZ_STN,0))),INDEX(TZ_DST,MATCH(P15,TZ_STN,0)),INDEX(TZ_STD,MATCH(P15,TZ_STN,0))))/24</f>
        <v/>
      </c>
      <c r="S15" s="65">
        <f>Q15-T12EarlyH/24</f>
        <v/>
      </c>
      <c r="T15" s="66" t="n"/>
      <c r="U15" s="66" t="n"/>
      <c r="V15" s="66" t="n"/>
      <c r="W15" s="67" t="n"/>
      <c r="X15" s="66" t="n"/>
      <c r="Y15" s="66" t="n"/>
      <c r="Z15" s="66" t="n"/>
      <c r="AA15" s="66" t="n"/>
      <c r="AB15" s="66" t="n"/>
      <c r="AC15" s="66" t="n"/>
      <c r="AD15" s="72" t="n"/>
      <c r="AE15" s="66" t="n"/>
      <c r="AF15" s="67">
        <f>IF(AND(ISNUMBER(X15),ISNUMBER(Y15)),Y15-X15,"")</f>
        <v/>
      </c>
      <c r="AG15" s="68">
        <f>IF(ISNUMBER(AD15),AD15-(IF(AND(INDEX(TZ_DSTS,MATCH(P15,TZ_STN,0))&lt;&gt;"",(AD15-INDEX(TZ_STD,MATCH(P15,TZ_STN,0))/24)&gt;=INDEX(TZ_DSTS,MATCH(P15,TZ_STN,0)),(AD15-INDEX(TZ_STD,MATCH(P15,TZ_STN,0))/24)&lt;INDEX(TZ_DSTE,MATCH(P15,TZ_STN,0))),INDEX(TZ_DST,MATCH(P15,TZ_STN,0)),INDEX(TZ_STD,MATCH(P15,TZ_STN,0))))/24,"")</f>
        <v/>
      </c>
      <c r="AH15" s="71">
        <f>IF(N15="N/A – rule","N/A – RULE",IF(TRIM(U15)="N/A",IF(AT15=0,"INVALID – N/A not permitted for this mandatory check",IF(AND(TRIM(AC15)&lt;&gt;"",TRIM(AE15)&lt;&gt;"",TRIM(T15)&lt;&gt;""),"N/A – JUSTIFIED","INVALID – N/A needs justification, PIC and verifier")),IF(OR(TRIM(U15)="Pass",TRIM(U15)="Pass after CA"),IF(NOT(ISNUMBER(AD15)),"INVALID – completion time missing",IF(TRIM(T15)="","INVALID – PIC missing",IF(TRIM(Z15)="","INVALID – evidence missing",IF(TRIM(AE15)="","INVALID – verifier missing",IF(AND(AQ15=1,TRIM(W15)=""),"INVALID – batch ID missing",IF(AND(AR15=1,OR(NOT(ISNUMBER(X15)),NOT(ISNUMBER(Y15)))),"INVALID – expected/actual qty missing",IF(IF(AND(TRIM(U15)="Pass",ISNUMBER(AF15)),IF(AF15&lt;&gt;0,"INVALID – qty variance: use Fail or Pass after CA",""),"")&amp;IF(AND(TRIM(U15)="Pass",AB15="Open"),"INVALID – corrective action still open: use Fail, then Pass after CA","")&amp;IF(AND(TRIM(U15)="Pass after CA",OR(TRIM(AA15)="",AB15&lt;&gt;"Closed")),"INVALID – corrective action not recorded/closed","")&lt;&gt;"",IF(AND(TRIM(U15)="Pass",ISNUMBER(AF15)),IF(AF15&lt;&gt;0,"INVALID – qty variance: use Fail or Pass after CA",""),"")&amp;IF(AND(TRIM(U15)="Pass",AB15="Open"),"INVALID – corrective action still open: use Fail, then Pass after CA","")&amp;IF(AND(TRIM(U15)="Pass after CA",OR(TRIM(AA15)="",AB15&lt;&gt;"Closed")),"INVALID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window"),IF(AG15&gt;Flights!$AA$5,"INVALID – completed after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f>
        <v/>
      </c>
      <c r="AI15" s="67">
        <f>IF(OR(AH15="N/A – RULE",AH15="N/A – JUSTIFIED"),0,1)</f>
        <v/>
      </c>
      <c r="AJ15" s="67">
        <f>IF(LEFT(AH15,8)="COMPLETE",1,0)</f>
        <v/>
      </c>
      <c r="AK15" s="67">
        <f>IF(AND(AI15=1,AJ15=0,AsOfUTC&gt;Q15),1,0)</f>
        <v/>
      </c>
      <c r="AL15" s="67">
        <f>IF(AND(AI15=1,OR(TRIM(U15)="Fail",AB15="Open",AND(ISNUMBER(AF15),AF15&lt;&gt;0,TRIM(U15)&lt;&gt;"Pass after CA"))),1,0)</f>
        <v/>
      </c>
      <c r="AM15" s="67">
        <f>IF(LEFT(AH15,7)="INVALID",1,0)</f>
        <v/>
      </c>
      <c r="AN15" s="67">
        <f>IF(AND(N15="Clarification required",AI15=1,AJ15=0),1,0)</f>
        <v/>
      </c>
      <c r="AO15" s="67">
        <f>IF(AK15=1,SUM(AK$5:AK15),"")</f>
        <v/>
      </c>
      <c r="AP15" s="67">
        <f>IF(AL15=1,SUM(AL$5:AL15),"")</f>
        <v/>
      </c>
      <c r="AQ15" s="67" t="n">
        <v>0</v>
      </c>
      <c r="AR15" s="67" t="n">
        <v>0</v>
      </c>
      <c r="AS15" s="67" t="n">
        <v>0</v>
      </c>
      <c r="AT15" s="67" t="n">
        <v>0</v>
      </c>
    </row>
    <row r="16" ht="40" customHeight="1">
      <c r="A16" s="63" t="inlineStr">
        <is>
          <t>F01-T12-02</t>
        </is>
      </c>
      <c r="B16" s="63" t="inlineStr">
        <is>
          <t>F01</t>
        </is>
      </c>
      <c r="C16" s="63">
        <f>Flights!$F$5</f>
        <v/>
      </c>
      <c r="D16" s="64">
        <f>Flights!$D$5</f>
        <v/>
      </c>
      <c r="E16" s="63">
        <f>Flights!$G$5&amp;"-"&amp;Flights!$H$5</f>
        <v/>
      </c>
      <c r="F16" s="63">
        <f>Flights!$K$5</f>
        <v/>
      </c>
      <c r="G16" s="63" t="inlineStr">
        <is>
          <t>T-12H PREP</t>
        </is>
      </c>
      <c r="H16" s="63" t="inlineStr">
        <is>
          <t>Preparation</t>
        </is>
      </c>
      <c r="I16" s="63" t="inlineStr">
        <is>
          <t>Meal</t>
        </is>
      </c>
      <c r="J16" s="63" t="inlineStr">
        <is>
          <t>Meal quantities vs menu checklist</t>
        </is>
      </c>
      <c r="K16" s="73" t="inlineStr">
        <is>
          <t>Enter expected &amp; actual</t>
        </is>
      </c>
      <c r="L16" s="73" t="inlineStr">
        <is>
          <t>User brief (T-12 hours)</t>
        </is>
      </c>
      <c r="M16" s="73" t="inlineStr"/>
      <c r="N16" s="73" t="inlineStr">
        <is>
          <t>Required</t>
        </is>
      </c>
      <c r="O16" s="73" t="inlineStr">
        <is>
          <t>Preparation check at caterer - does NOT confirm loading.</t>
        </is>
      </c>
      <c r="P16" s="63" t="inlineStr">
        <is>
          <t>LHR</t>
        </is>
      </c>
      <c r="Q16" s="65">
        <f>Flights!$AE$5</f>
        <v/>
      </c>
      <c r="R16" s="65">
        <f>Q16+(IF(AND(INDEX(TZ_DSTS,MATCH(P16,TZ_STN,0))&lt;&gt;"",Q16&gt;=INDEX(TZ_DSTS,MATCH(P16,TZ_STN,0)),Q16&lt;INDEX(TZ_DSTE,MATCH(P16,TZ_STN,0))),INDEX(TZ_DST,MATCH(P16,TZ_STN,0)),INDEX(TZ_STD,MATCH(P16,TZ_STN,0))))/24</f>
        <v/>
      </c>
      <c r="S16" s="65">
        <f>Q16-T12EarlyH/24</f>
        <v/>
      </c>
      <c r="T16" s="66" t="n"/>
      <c r="U16" s="66" t="n"/>
      <c r="V16" s="66" t="n"/>
      <c r="W16" s="67" t="n"/>
      <c r="X16" s="66" t="n"/>
      <c r="Y16" s="66" t="n"/>
      <c r="Z16" s="66" t="n"/>
      <c r="AA16" s="66" t="n"/>
      <c r="AB16" s="66" t="n"/>
      <c r="AC16" s="66" t="n"/>
      <c r="AD16" s="72" t="n"/>
      <c r="AE16" s="66" t="n"/>
      <c r="AF16" s="67">
        <f>IF(AND(ISNUMBER(X16),ISNUMBER(Y16)),Y16-X16,"")</f>
        <v/>
      </c>
      <c r="AG16" s="68">
        <f>IF(ISNUMBER(AD16),AD16-(IF(AND(INDEX(TZ_DSTS,MATCH(P16,TZ_STN,0))&lt;&gt;"",(AD16-INDEX(TZ_STD,MATCH(P16,TZ_STN,0))/24)&gt;=INDEX(TZ_DSTS,MATCH(P16,TZ_STN,0)),(AD16-INDEX(TZ_STD,MATCH(P16,TZ_STN,0))/24)&lt;INDEX(TZ_DSTE,MATCH(P16,TZ_STN,0))),INDEX(TZ_DST,MATCH(P16,TZ_STN,0)),INDEX(TZ_STD,MATCH(P16,TZ_STN,0))))/24,"")</f>
        <v/>
      </c>
      <c r="AH16" s="71">
        <f>IF(N16="N/A – rule","N/A – RULE",IF(TRIM(U16)="N/A",IF(AT16=0,"INVALID – N/A not permitted for this mandatory check",IF(AND(TRIM(AC16)&lt;&gt;"",TRIM(AE16)&lt;&gt;"",TRIM(T16)&lt;&gt;""),"N/A – JUSTIFIED","INVALID – N/A needs justification, PIC and verifier")),IF(OR(TRIM(U16)="Pass",TRIM(U16)="Pass after CA"),IF(NOT(ISNUMBER(AD16)),"INVALID – completion time missing",IF(TRIM(T16)="","INVALID – PIC missing",IF(TRIM(Z16)="","INVALID – evidence missing",IF(TRIM(AE16)="","INVALID – verifier missing",IF(AND(AQ16=1,TRIM(W16)=""),"INVALID – batch ID missing",IF(AND(AR16=1,OR(NOT(ISNUMBER(X16)),NOT(ISNUMBER(Y16)))),"INVALID – expected/actual qty missing",IF(IF(AND(TRIM(U16)="Pass",ISNUMBER(AF16)),IF(AF16&lt;&gt;0,"INVALID – qty variance: use Fail or Pass after CA",""),"")&amp;IF(AND(TRIM(U16)="Pass",AB16="Open"),"INVALID – corrective action still open: use Fail, then Pass after CA","")&amp;IF(AND(TRIM(U16)="Pass after CA",OR(TRIM(AA16)="",AB16&lt;&gt;"Closed")),"INVALID – corrective action not recorded/closed","")&lt;&gt;"",IF(AND(TRIM(U16)="Pass",ISNUMBER(AF16)),IF(AF16&lt;&gt;0,"INVALID – qty variance: use Fail or Pass after CA",""),"")&amp;IF(AND(TRIM(U16)="Pass",AB16="Open"),"INVALID – corrective action still open: use Fail, then Pass after CA","")&amp;IF(AND(TRIM(U16)="Pass after CA",OR(TRIM(AA16)="",AB16&lt;&gt;"Closed")),"INVALID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window"),IF(AG16&gt;Flights!$AA$5,"INVALID – completed after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f>
        <v/>
      </c>
      <c r="AI16" s="67">
        <f>IF(OR(AH16="N/A – RULE",AH16="N/A – JUSTIFIED"),0,1)</f>
        <v/>
      </c>
      <c r="AJ16" s="67">
        <f>IF(LEFT(AH16,8)="COMPLETE",1,0)</f>
        <v/>
      </c>
      <c r="AK16" s="67">
        <f>IF(AND(AI16=1,AJ16=0,AsOfUTC&gt;Q16),1,0)</f>
        <v/>
      </c>
      <c r="AL16" s="67">
        <f>IF(AND(AI16=1,OR(TRIM(U16)="Fail",AB16="Open",AND(ISNUMBER(AF16),AF16&lt;&gt;0,TRIM(U16)&lt;&gt;"Pass after CA"))),1,0)</f>
        <v/>
      </c>
      <c r="AM16" s="67">
        <f>IF(LEFT(AH16,7)="INVALID",1,0)</f>
        <v/>
      </c>
      <c r="AN16" s="67">
        <f>IF(AND(N16="Clarification required",AI16=1,AJ16=0),1,0)</f>
        <v/>
      </c>
      <c r="AO16" s="67">
        <f>IF(AK16=1,SUM(AK$5:AK16),"")</f>
        <v/>
      </c>
      <c r="AP16" s="67">
        <f>IF(AL16=1,SUM(AL$5:AL16),"")</f>
        <v/>
      </c>
      <c r="AQ16" s="67" t="n">
        <v>0</v>
      </c>
      <c r="AR16" s="67" t="n">
        <v>1</v>
      </c>
      <c r="AS16" s="67" t="n">
        <v>0</v>
      </c>
      <c r="AT16" s="67" t="n">
        <v>0</v>
      </c>
    </row>
    <row r="17" ht="40" customHeight="1">
      <c r="A17" s="63" t="inlineStr">
        <is>
          <t>F01-T12-03</t>
        </is>
      </c>
      <c r="B17" s="63" t="inlineStr">
        <is>
          <t>F01</t>
        </is>
      </c>
      <c r="C17" s="63">
        <f>Flights!$F$5</f>
        <v/>
      </c>
      <c r="D17" s="64">
        <f>Flights!$D$5</f>
        <v/>
      </c>
      <c r="E17" s="63">
        <f>Flights!$G$5&amp;"-"&amp;Flights!$H$5</f>
        <v/>
      </c>
      <c r="F17" s="63">
        <f>Flights!$K$5</f>
        <v/>
      </c>
      <c r="G17" s="63" t="inlineStr">
        <is>
          <t>T-12H PREP</t>
        </is>
      </c>
      <c r="H17" s="63" t="inlineStr">
        <is>
          <t>Preparation</t>
        </is>
      </c>
      <c r="I17" s="63" t="inlineStr">
        <is>
          <t>Equipment</t>
        </is>
      </c>
      <c r="J17" s="63" t="inlineStr">
        <is>
          <t>Equipment cleanliness vs GLD</t>
        </is>
      </c>
      <c r="K17" s="73" t="inlineStr"/>
      <c r="L17" s="73" t="inlineStr">
        <is>
          <t>User brief (T-12 hours)</t>
        </is>
      </c>
      <c r="M17" s="73" t="inlineStr"/>
      <c r="N17" s="73" t="inlineStr">
        <is>
          <t>Required</t>
        </is>
      </c>
      <c r="O17" s="73" t="inlineStr">
        <is>
          <t>Preparation check at caterer - does NOT confirm loading.</t>
        </is>
      </c>
      <c r="P17" s="63" t="inlineStr">
        <is>
          <t>LHR</t>
        </is>
      </c>
      <c r="Q17" s="65">
        <f>Flights!$AE$5</f>
        <v/>
      </c>
      <c r="R17" s="65">
        <f>Q17+(IF(AND(INDEX(TZ_DSTS,MATCH(P17,TZ_STN,0))&lt;&gt;"",Q17&gt;=INDEX(TZ_DSTS,MATCH(P17,TZ_STN,0)),Q17&lt;INDEX(TZ_DSTE,MATCH(P17,TZ_STN,0))),INDEX(TZ_DST,MATCH(P17,TZ_STN,0)),INDEX(TZ_STD,MATCH(P17,TZ_STN,0))))/24</f>
        <v/>
      </c>
      <c r="S17" s="65">
        <f>Q17-T12EarlyH/24</f>
        <v/>
      </c>
      <c r="T17" s="66" t="n"/>
      <c r="U17" s="66" t="n"/>
      <c r="V17" s="66" t="n"/>
      <c r="W17" s="67" t="n"/>
      <c r="X17" s="66" t="n"/>
      <c r="Y17" s="66" t="n"/>
      <c r="Z17" s="66" t="n"/>
      <c r="AA17" s="66" t="n"/>
      <c r="AB17" s="66" t="n"/>
      <c r="AC17" s="66" t="n"/>
      <c r="AD17" s="72" t="n"/>
      <c r="AE17" s="66" t="n"/>
      <c r="AF17" s="67">
        <f>IF(AND(ISNUMBER(X17),ISNUMBER(Y17)),Y17-X17,"")</f>
        <v/>
      </c>
      <c r="AG17" s="68">
        <f>IF(ISNUMBER(AD17),AD17-(IF(AND(INDEX(TZ_DSTS,MATCH(P17,TZ_STN,0))&lt;&gt;"",(AD17-INDEX(TZ_STD,MATCH(P17,TZ_STN,0))/24)&gt;=INDEX(TZ_DSTS,MATCH(P17,TZ_STN,0)),(AD17-INDEX(TZ_STD,MATCH(P17,TZ_STN,0))/24)&lt;INDEX(TZ_DSTE,MATCH(P17,TZ_STN,0))),INDEX(TZ_DST,MATCH(P17,TZ_STN,0)),INDEX(TZ_STD,MATCH(P17,TZ_STN,0))))/24,"")</f>
        <v/>
      </c>
      <c r="AH17" s="71">
        <f>IF(N17="N/A – rule","N/A – RULE",IF(TRIM(U17)="N/A",IF(AT17=0,"INVALID – N/A not permitted for this mandatory check",IF(AND(TRIM(AC17)&lt;&gt;"",TRIM(AE17)&lt;&gt;"",TRIM(T17)&lt;&gt;""),"N/A – JUSTIFIED","INVALID – N/A needs justification, PIC and verifier")),IF(OR(TRIM(U17)="Pass",TRIM(U17)="Pass after CA"),IF(NOT(ISNUMBER(AD17)),"INVALID – completion time missing",IF(TRIM(T17)="","INVALID – PIC missing",IF(TRIM(Z17)="","INVALID – evidence missing",IF(TRIM(AE17)="","INVALID – verifier missing",IF(AND(AQ17=1,TRIM(W17)=""),"INVALID – batch ID missing",IF(AND(AR17=1,OR(NOT(ISNUMBER(X17)),NOT(ISNUMBER(Y17)))),"INVALID – expected/actual qty missing",IF(IF(AND(TRIM(U17)="Pass",ISNUMBER(AF17)),IF(AF17&lt;&gt;0,"INVALID – qty variance: use Fail or Pass after CA",""),"")&amp;IF(AND(TRIM(U17)="Pass",AB17="Open"),"INVALID – corrective action still open: use Fail, then Pass after CA","")&amp;IF(AND(TRIM(U17)="Pass after CA",OR(TRIM(AA17)="",AB17&lt;&gt;"Closed")),"INVALID – corrective action not recorded/closed","")&lt;&gt;"",IF(AND(TRIM(U17)="Pass",ISNUMBER(AF17)),IF(AF17&lt;&gt;0,"INVALID – qty variance: use Fail or Pass after CA",""),"")&amp;IF(AND(TRIM(U17)="Pass",AB17="Open"),"INVALID – corrective action still open: use Fail, then Pass after CA","")&amp;IF(AND(TRIM(U17)="Pass after CA",OR(TRIM(AA17)="",AB17&lt;&gt;"Closed")),"INVALID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window"),IF(AG17&gt;Flights!$AA$5,"INVALID – completed after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f>
        <v/>
      </c>
      <c r="AI17" s="67">
        <f>IF(OR(AH17="N/A – RULE",AH17="N/A – JUSTIFIED"),0,1)</f>
        <v/>
      </c>
      <c r="AJ17" s="67">
        <f>IF(LEFT(AH17,8)="COMPLETE",1,0)</f>
        <v/>
      </c>
      <c r="AK17" s="67">
        <f>IF(AND(AI17=1,AJ17=0,AsOfUTC&gt;Q17),1,0)</f>
        <v/>
      </c>
      <c r="AL17" s="67">
        <f>IF(AND(AI17=1,OR(TRIM(U17)="Fail",AB17="Open",AND(ISNUMBER(AF17),AF17&lt;&gt;0,TRIM(U17)&lt;&gt;"Pass after CA"))),1,0)</f>
        <v/>
      </c>
      <c r="AM17" s="67">
        <f>IF(LEFT(AH17,7)="INVALID",1,0)</f>
        <v/>
      </c>
      <c r="AN17" s="67">
        <f>IF(AND(N17="Clarification required",AI17=1,AJ17=0),1,0)</f>
        <v/>
      </c>
      <c r="AO17" s="67">
        <f>IF(AK17=1,SUM(AK$5:AK17),"")</f>
        <v/>
      </c>
      <c r="AP17" s="67">
        <f>IF(AL17=1,SUM(AL$5:AL17),"")</f>
        <v/>
      </c>
      <c r="AQ17" s="67" t="n">
        <v>0</v>
      </c>
      <c r="AR17" s="67" t="n">
        <v>0</v>
      </c>
      <c r="AS17" s="67" t="n">
        <v>0</v>
      </c>
      <c r="AT17" s="67" t="n">
        <v>0</v>
      </c>
    </row>
    <row r="18" ht="40" customHeight="1">
      <c r="A18" s="63" t="inlineStr">
        <is>
          <t>F01-T12-04</t>
        </is>
      </c>
      <c r="B18" s="63" t="inlineStr">
        <is>
          <t>F01</t>
        </is>
      </c>
      <c r="C18" s="63">
        <f>Flights!$F$5</f>
        <v/>
      </c>
      <c r="D18" s="64">
        <f>Flights!$D$5</f>
        <v/>
      </c>
      <c r="E18" s="63">
        <f>Flights!$G$5&amp;"-"&amp;Flights!$H$5</f>
        <v/>
      </c>
      <c r="F18" s="63">
        <f>Flights!$K$5</f>
        <v/>
      </c>
      <c r="G18" s="63" t="inlineStr">
        <is>
          <t>T-12H PREP</t>
        </is>
      </c>
      <c r="H18" s="63" t="inlineStr">
        <is>
          <t>Preparation</t>
        </is>
      </c>
      <c r="I18" s="63" t="inlineStr">
        <is>
          <t>Equipment</t>
        </is>
      </c>
      <c r="J18" s="63" t="inlineStr">
        <is>
          <t>Equipment presentation vs GLD</t>
        </is>
      </c>
      <c r="K18" s="73" t="inlineStr"/>
      <c r="L18" s="73" t="inlineStr">
        <is>
          <t>User brief (T-12 hours)</t>
        </is>
      </c>
      <c r="M18" s="73" t="inlineStr"/>
      <c r="N18" s="73" t="inlineStr">
        <is>
          <t>Required</t>
        </is>
      </c>
      <c r="O18" s="73" t="inlineStr">
        <is>
          <t>Preparation check at caterer - does NOT confirm loading.</t>
        </is>
      </c>
      <c r="P18" s="63" t="inlineStr">
        <is>
          <t>LHR</t>
        </is>
      </c>
      <c r="Q18" s="65">
        <f>Flights!$AE$5</f>
        <v/>
      </c>
      <c r="R18" s="65">
        <f>Q18+(IF(AND(INDEX(TZ_DSTS,MATCH(P18,TZ_STN,0))&lt;&gt;"",Q18&gt;=INDEX(TZ_DSTS,MATCH(P18,TZ_STN,0)),Q18&lt;INDEX(TZ_DSTE,MATCH(P18,TZ_STN,0))),INDEX(TZ_DST,MATCH(P18,TZ_STN,0)),INDEX(TZ_STD,MATCH(P18,TZ_STN,0))))/24</f>
        <v/>
      </c>
      <c r="S18" s="65">
        <f>Q18-T12EarlyH/24</f>
        <v/>
      </c>
      <c r="T18" s="66" t="n"/>
      <c r="U18" s="66" t="n"/>
      <c r="V18" s="66" t="n"/>
      <c r="W18" s="67" t="n"/>
      <c r="X18" s="66" t="n"/>
      <c r="Y18" s="66" t="n"/>
      <c r="Z18" s="66" t="n"/>
      <c r="AA18" s="66" t="n"/>
      <c r="AB18" s="66" t="n"/>
      <c r="AC18" s="66" t="n"/>
      <c r="AD18" s="72" t="n"/>
      <c r="AE18" s="66" t="n"/>
      <c r="AF18" s="67">
        <f>IF(AND(ISNUMBER(X18),ISNUMBER(Y18)),Y18-X18,"")</f>
        <v/>
      </c>
      <c r="AG18" s="68">
        <f>IF(ISNUMBER(AD18),AD18-(IF(AND(INDEX(TZ_DSTS,MATCH(P18,TZ_STN,0))&lt;&gt;"",(AD18-INDEX(TZ_STD,MATCH(P18,TZ_STN,0))/24)&gt;=INDEX(TZ_DSTS,MATCH(P18,TZ_STN,0)),(AD18-INDEX(TZ_STD,MATCH(P18,TZ_STN,0))/24)&lt;INDEX(TZ_DSTE,MATCH(P18,TZ_STN,0))),INDEX(TZ_DST,MATCH(P18,TZ_STN,0)),INDEX(TZ_STD,MATCH(P18,TZ_STN,0))))/24,"")</f>
        <v/>
      </c>
      <c r="AH18" s="71">
        <f>IF(N18="N/A – rule","N/A – RULE",IF(TRIM(U18)="N/A",IF(AT18=0,"INVALID – N/A not permitted for this mandatory check",IF(AND(TRIM(AC18)&lt;&gt;"",TRIM(AE18)&lt;&gt;"",TRIM(T18)&lt;&gt;""),"N/A – JUSTIFIED","INVALID – N/A needs justification, PIC and verifier")),IF(OR(TRIM(U18)="Pass",TRIM(U18)="Pass after CA"),IF(NOT(ISNUMBER(AD18)),"INVALID – completion time missing",IF(TRIM(T18)="","INVALID – PIC missing",IF(TRIM(Z18)="","INVALID – evidence missing",IF(TRIM(AE18)="","INVALID – verifier missing",IF(AND(AQ18=1,TRIM(W18)=""),"INVALID – batch ID missing",IF(AND(AR18=1,OR(NOT(ISNUMBER(X18)),NOT(ISNUMBER(Y18)))),"INVALID – expected/actual qty missing",IF(IF(AND(TRIM(U18)="Pass",ISNUMBER(AF18)),IF(AF18&lt;&gt;0,"INVALID – qty variance: use Fail or Pass after CA",""),"")&amp;IF(AND(TRIM(U18)="Pass",AB18="Open"),"INVALID – corrective action still open: use Fail, then Pass after CA","")&amp;IF(AND(TRIM(U18)="Pass after CA",OR(TRIM(AA18)="",AB18&lt;&gt;"Closed")),"INVALID – corrective action not recorded/closed","")&lt;&gt;"",IF(AND(TRIM(U18)="Pass",ISNUMBER(AF18)),IF(AF18&lt;&gt;0,"INVALID – qty variance: use Fail or Pass after CA",""),"")&amp;IF(AND(TRIM(U18)="Pass",AB18="Open"),"INVALID – corrective action still open: use Fail, then Pass after CA","")&amp;IF(AND(TRIM(U18)="Pass after CA",OR(TRIM(AA18)="",AB18&lt;&gt;"Closed")),"INVALID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window"),IF(AG18&gt;Flights!$AA$5,"INVALID – completed after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f>
        <v/>
      </c>
      <c r="AI18" s="67">
        <f>IF(OR(AH18="N/A – RULE",AH18="N/A – JUSTIFIED"),0,1)</f>
        <v/>
      </c>
      <c r="AJ18" s="67">
        <f>IF(LEFT(AH18,8)="COMPLETE",1,0)</f>
        <v/>
      </c>
      <c r="AK18" s="67">
        <f>IF(AND(AI18=1,AJ18=0,AsOfUTC&gt;Q18),1,0)</f>
        <v/>
      </c>
      <c r="AL18" s="67">
        <f>IF(AND(AI18=1,OR(TRIM(U18)="Fail",AB18="Open",AND(ISNUMBER(AF18),AF18&lt;&gt;0,TRIM(U18)&lt;&gt;"Pass after CA"))),1,0)</f>
        <v/>
      </c>
      <c r="AM18" s="67">
        <f>IF(LEFT(AH18,7)="INVALID",1,0)</f>
        <v/>
      </c>
      <c r="AN18" s="67">
        <f>IF(AND(N18="Clarification required",AI18=1,AJ18=0),1,0)</f>
        <v/>
      </c>
      <c r="AO18" s="67">
        <f>IF(AK18=1,SUM(AK$5:AK18),"")</f>
        <v/>
      </c>
      <c r="AP18" s="67">
        <f>IF(AL18=1,SUM(AL$5:AL18),"")</f>
        <v/>
      </c>
      <c r="AQ18" s="67" t="n">
        <v>0</v>
      </c>
      <c r="AR18" s="67" t="n">
        <v>0</v>
      </c>
      <c r="AS18" s="67" t="n">
        <v>0</v>
      </c>
      <c r="AT18" s="67" t="n">
        <v>0</v>
      </c>
    </row>
    <row r="19" ht="40" customHeight="1">
      <c r="A19" s="63" t="inlineStr">
        <is>
          <t>F01-T12-05</t>
        </is>
      </c>
      <c r="B19" s="63" t="inlineStr">
        <is>
          <t>F01</t>
        </is>
      </c>
      <c r="C19" s="63">
        <f>Flights!$F$5</f>
        <v/>
      </c>
      <c r="D19" s="64">
        <f>Flights!$D$5</f>
        <v/>
      </c>
      <c r="E19" s="63">
        <f>Flights!$G$5&amp;"-"&amp;Flights!$H$5</f>
        <v/>
      </c>
      <c r="F19" s="63">
        <f>Flights!$K$5</f>
        <v/>
      </c>
      <c r="G19" s="63" t="inlineStr">
        <is>
          <t>T-12H PREP</t>
        </is>
      </c>
      <c r="H19" s="63" t="inlineStr">
        <is>
          <t>Preparation</t>
        </is>
      </c>
      <c r="I19" s="63" t="inlineStr">
        <is>
          <t>Equipment</t>
        </is>
      </c>
      <c r="J19" s="63" t="inlineStr">
        <is>
          <t>Equipment serviceability vs GLD</t>
        </is>
      </c>
      <c r="K19" s="73" t="inlineStr"/>
      <c r="L19" s="73" t="inlineStr">
        <is>
          <t>User brief (T-12 hours)</t>
        </is>
      </c>
      <c r="M19" s="73" t="inlineStr"/>
      <c r="N19" s="73" t="inlineStr">
        <is>
          <t>Required</t>
        </is>
      </c>
      <c r="O19" s="73" t="inlineStr">
        <is>
          <t>Preparation check at caterer - does NOT confirm loading.</t>
        </is>
      </c>
      <c r="P19" s="63" t="inlineStr">
        <is>
          <t>LHR</t>
        </is>
      </c>
      <c r="Q19" s="65">
        <f>Flights!$AE$5</f>
        <v/>
      </c>
      <c r="R19" s="65">
        <f>Q19+(IF(AND(INDEX(TZ_DSTS,MATCH(P19,TZ_STN,0))&lt;&gt;"",Q19&gt;=INDEX(TZ_DSTS,MATCH(P19,TZ_STN,0)),Q19&lt;INDEX(TZ_DSTE,MATCH(P19,TZ_STN,0))),INDEX(TZ_DST,MATCH(P19,TZ_STN,0)),INDEX(TZ_STD,MATCH(P19,TZ_STN,0))))/24</f>
        <v/>
      </c>
      <c r="S19" s="65">
        <f>Q19-T12EarlyH/24</f>
        <v/>
      </c>
      <c r="T19" s="66" t="n"/>
      <c r="U19" s="66" t="n"/>
      <c r="V19" s="66" t="n"/>
      <c r="W19" s="67" t="n"/>
      <c r="X19" s="66" t="n"/>
      <c r="Y19" s="66" t="n"/>
      <c r="Z19" s="66" t="n"/>
      <c r="AA19" s="66" t="n"/>
      <c r="AB19" s="66" t="n"/>
      <c r="AC19" s="66" t="n"/>
      <c r="AD19" s="72" t="n"/>
      <c r="AE19" s="66" t="n"/>
      <c r="AF19" s="67">
        <f>IF(AND(ISNUMBER(X19),ISNUMBER(Y19)),Y19-X19,"")</f>
        <v/>
      </c>
      <c r="AG19" s="68">
        <f>IF(ISNUMBER(AD19),AD19-(IF(AND(INDEX(TZ_DSTS,MATCH(P19,TZ_STN,0))&lt;&gt;"",(AD19-INDEX(TZ_STD,MATCH(P19,TZ_STN,0))/24)&gt;=INDEX(TZ_DSTS,MATCH(P19,TZ_STN,0)),(AD19-INDEX(TZ_STD,MATCH(P19,TZ_STN,0))/24)&lt;INDEX(TZ_DSTE,MATCH(P19,TZ_STN,0))),INDEX(TZ_DST,MATCH(P19,TZ_STN,0)),INDEX(TZ_STD,MATCH(P19,TZ_STN,0))))/24,"")</f>
        <v/>
      </c>
      <c r="AH19" s="71">
        <f>IF(N19="N/A – rule","N/A – RULE",IF(TRIM(U19)="N/A",IF(AT19=0,"INVALID – N/A not permitted for this mandatory check",IF(AND(TRIM(AC19)&lt;&gt;"",TRIM(AE19)&lt;&gt;"",TRIM(T19)&lt;&gt;""),"N/A – JUSTIFIED","INVALID – N/A needs justification, PIC and verifier")),IF(OR(TRIM(U19)="Pass",TRIM(U19)="Pass after CA"),IF(NOT(ISNUMBER(AD19)),"INVALID – completion time missing",IF(TRIM(T19)="","INVALID – PIC missing",IF(TRIM(Z19)="","INVALID – evidence missing",IF(TRIM(AE19)="","INVALID – verifier missing",IF(AND(AQ19=1,TRIM(W19)=""),"INVALID – batch ID missing",IF(AND(AR19=1,OR(NOT(ISNUMBER(X19)),NOT(ISNUMBER(Y19)))),"INVALID – expected/actual qty missing",IF(IF(AND(TRIM(U19)="Pass",ISNUMBER(AF19)),IF(AF19&lt;&gt;0,"INVALID – qty variance: use Fail or Pass after CA",""),"")&amp;IF(AND(TRIM(U19)="Pass",AB19="Open"),"INVALID – corrective action still open: use Fail, then Pass after CA","")&amp;IF(AND(TRIM(U19)="Pass after CA",OR(TRIM(AA19)="",AB19&lt;&gt;"Closed")),"INVALID – corrective action not recorded/closed","")&lt;&gt;"",IF(AND(TRIM(U19)="Pass",ISNUMBER(AF19)),IF(AF19&lt;&gt;0,"INVALID – qty variance: use Fail or Pass after CA",""),"")&amp;IF(AND(TRIM(U19)="Pass",AB19="Open"),"INVALID – corrective action still open: use Fail, then Pass after CA","")&amp;IF(AND(TRIM(U19)="Pass after CA",OR(TRIM(AA19)="",AB19&lt;&gt;"Closed")),"INVALID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window"),IF(AG19&gt;Flights!$AA$5,"INVALID – completed after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f>
        <v/>
      </c>
      <c r="AI19" s="67">
        <f>IF(OR(AH19="N/A – RULE",AH19="N/A – JUSTIFIED"),0,1)</f>
        <v/>
      </c>
      <c r="AJ19" s="67">
        <f>IF(LEFT(AH19,8)="COMPLETE",1,0)</f>
        <v/>
      </c>
      <c r="AK19" s="67">
        <f>IF(AND(AI19=1,AJ19=0,AsOfUTC&gt;Q19),1,0)</f>
        <v/>
      </c>
      <c r="AL19" s="67">
        <f>IF(AND(AI19=1,OR(TRIM(U19)="Fail",AB19="Open",AND(ISNUMBER(AF19),AF19&lt;&gt;0,TRIM(U19)&lt;&gt;"Pass after CA"))),1,0)</f>
        <v/>
      </c>
      <c r="AM19" s="67">
        <f>IF(LEFT(AH19,7)="INVALID",1,0)</f>
        <v/>
      </c>
      <c r="AN19" s="67">
        <f>IF(AND(N19="Clarification required",AI19=1,AJ19=0),1,0)</f>
        <v/>
      </c>
      <c r="AO19" s="67">
        <f>IF(AK19=1,SUM(AK$5:AK19),"")</f>
        <v/>
      </c>
      <c r="AP19" s="67">
        <f>IF(AL19=1,SUM(AL$5:AL19),"")</f>
        <v/>
      </c>
      <c r="AQ19" s="67" t="n">
        <v>0</v>
      </c>
      <c r="AR19" s="67" t="n">
        <v>0</v>
      </c>
      <c r="AS19" s="67" t="n">
        <v>0</v>
      </c>
      <c r="AT19" s="67" t="n">
        <v>0</v>
      </c>
    </row>
    <row r="20" ht="141.5" customHeight="1">
      <c r="A20" s="63" t="inlineStr">
        <is>
          <t>F01-T12-06</t>
        </is>
      </c>
      <c r="B20" s="63" t="inlineStr">
        <is>
          <t>F01</t>
        </is>
      </c>
      <c r="C20" s="63">
        <f>Flights!$F$5</f>
        <v/>
      </c>
      <c r="D20" s="64">
        <f>Flights!$D$5</f>
        <v/>
      </c>
      <c r="E20" s="63">
        <f>Flights!$G$5&amp;"-"&amp;Flights!$H$5</f>
        <v/>
      </c>
      <c r="F20" s="63">
        <f>Flights!$K$5</f>
        <v/>
      </c>
      <c r="G20" s="63" t="inlineStr">
        <is>
          <t>T-12H PREP</t>
        </is>
      </c>
      <c r="H20" s="63" t="inlineStr">
        <is>
          <t>Preparation</t>
        </is>
      </c>
      <c r="I20" s="63" t="inlineStr">
        <is>
          <t>Equipment</t>
        </is>
      </c>
      <c r="J20" s="63" t="inlineStr">
        <is>
          <t>Equipment quantities vs GLD</t>
        </is>
      </c>
      <c r="K20"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20" s="73" t="inlineStr">
        <is>
          <t>User brief (T-12 hours)</t>
        </is>
      </c>
      <c r="M20" s="73" t="inlineStr"/>
      <c r="N20" s="73" t="inlineStr">
        <is>
          <t>Required</t>
        </is>
      </c>
      <c r="O20" s="73" t="inlineStr">
        <is>
          <t>Preparation check at caterer - does NOT confirm loading.</t>
        </is>
      </c>
      <c r="P20" s="63" t="inlineStr">
        <is>
          <t>LHR</t>
        </is>
      </c>
      <c r="Q20" s="65">
        <f>Flights!$AE$5</f>
        <v/>
      </c>
      <c r="R20" s="65">
        <f>Q20+(IF(AND(INDEX(TZ_DSTS,MATCH(P20,TZ_STN,0))&lt;&gt;"",Q20&gt;=INDEX(TZ_DSTS,MATCH(P20,TZ_STN,0)),Q20&lt;INDEX(TZ_DSTE,MATCH(P20,TZ_STN,0))),INDEX(TZ_DST,MATCH(P20,TZ_STN,0)),INDEX(TZ_STD,MATCH(P20,TZ_STN,0))))/24</f>
        <v/>
      </c>
      <c r="S20" s="65">
        <f>Q20-T12EarlyH/24</f>
        <v/>
      </c>
      <c r="T20" s="66" t="n"/>
      <c r="U20" s="66" t="n"/>
      <c r="V20" s="66" t="n"/>
      <c r="W20" s="67" t="n"/>
      <c r="X20" s="66" t="n"/>
      <c r="Y20" s="66" t="n"/>
      <c r="Z20" s="66" t="n"/>
      <c r="AA20" s="66" t="n"/>
      <c r="AB20" s="66" t="n"/>
      <c r="AC20" s="66" t="n"/>
      <c r="AD20" s="72" t="n"/>
      <c r="AE20" s="66" t="n"/>
      <c r="AF20" s="67">
        <f>IF(AND(ISNUMBER(X20),ISNUMBER(Y20)),Y20-X20,"")</f>
        <v/>
      </c>
      <c r="AG20" s="68">
        <f>IF(ISNUMBER(AD20),AD20-(IF(AND(INDEX(TZ_DSTS,MATCH(P20,TZ_STN,0))&lt;&gt;"",(AD20-INDEX(TZ_STD,MATCH(P20,TZ_STN,0))/24)&gt;=INDEX(TZ_DSTS,MATCH(P20,TZ_STN,0)),(AD20-INDEX(TZ_STD,MATCH(P20,TZ_STN,0))/24)&lt;INDEX(TZ_DSTE,MATCH(P20,TZ_STN,0))),INDEX(TZ_DST,MATCH(P20,TZ_STN,0)),INDEX(TZ_STD,MATCH(P20,TZ_STN,0))))/24,"")</f>
        <v/>
      </c>
      <c r="AH20" s="71">
        <f>IF(N20="N/A – rule","N/A – RULE",IF(TRIM(U20)="N/A",IF(AT20=0,"INVALID – N/A not permitted for this mandatory check",IF(AND(TRIM(AC20)&lt;&gt;"",TRIM(AE20)&lt;&gt;"",TRIM(T20)&lt;&gt;""),"N/A – JUSTIFIED","INVALID – N/A needs justification, PIC and verifier")),IF(OR(TRIM(U20)="Pass",TRIM(U20)="Pass after CA"),IF(NOT(ISNUMBER(AD20)),"INVALID – completion time missing",IF(TRIM(T20)="","INVALID – PIC missing",IF(TRIM(Z20)="","INVALID – evidence missing",IF(TRIM(AE20)="","INVALID – verifier missing",IF(AND(AQ20=1,TRIM(W20)=""),"INVALID – batch ID missing",IF(AND(AR20=1,OR(NOT(ISNUMBER(X20)),NOT(ISNUMBER(Y20)))),"INVALID – expected/actual qty missing",IF(IF(AND(TRIM(U20)="Pass",ISNUMBER(AF20)),IF(AF20&lt;&gt;0,"INVALID – qty variance: use Fail or Pass after CA",""),"")&amp;IF(AND(TRIM(U20)="Pass",AB20="Open"),"INVALID – corrective action still open: use Fail, then Pass after CA","")&amp;IF(AND(TRIM(U20)="Pass after CA",OR(TRIM(AA20)="",AB20&lt;&gt;"Closed")),"INVALID – corrective action not recorded/closed","")&lt;&gt;"",IF(AND(TRIM(U20)="Pass",ISNUMBER(AF20)),IF(AF20&lt;&gt;0,"INVALID – qty variance: use Fail or Pass after CA",""),"")&amp;IF(AND(TRIM(U20)="Pass",AB20="Open"),"INVALID – corrective action still open: use Fail, then Pass after CA","")&amp;IF(AND(TRIM(U20)="Pass after CA",OR(TRIM(AA20)="",AB20&lt;&gt;"Closed")),"INVALID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window"),IF(AG20&gt;Flights!$AA$5,"INVALID – completed after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f>
        <v/>
      </c>
      <c r="AI20" s="67">
        <f>IF(OR(AH20="N/A – RULE",AH20="N/A – JUSTIFIED"),0,1)</f>
        <v/>
      </c>
      <c r="AJ20" s="67">
        <f>IF(LEFT(AH20,8)="COMPLETE",1,0)</f>
        <v/>
      </c>
      <c r="AK20" s="67">
        <f>IF(AND(AI20=1,AJ20=0,AsOfUTC&gt;Q20),1,0)</f>
        <v/>
      </c>
      <c r="AL20" s="67">
        <f>IF(AND(AI20=1,OR(TRIM(U20)="Fail",AB20="Open",AND(ISNUMBER(AF20),AF20&lt;&gt;0,TRIM(U20)&lt;&gt;"Pass after CA"))),1,0)</f>
        <v/>
      </c>
      <c r="AM20" s="67">
        <f>IF(LEFT(AH20,7)="INVALID",1,0)</f>
        <v/>
      </c>
      <c r="AN20" s="67">
        <f>IF(AND(N20="Clarification required",AI20=1,AJ20=0),1,0)</f>
        <v/>
      </c>
      <c r="AO20" s="67">
        <f>IF(AK20=1,SUM(AK$5:AK20),"")</f>
        <v/>
      </c>
      <c r="AP20" s="67">
        <f>IF(AL20=1,SUM(AL$5:AL20),"")</f>
        <v/>
      </c>
      <c r="AQ20" s="67" t="n">
        <v>0</v>
      </c>
      <c r="AR20" s="67" t="n">
        <v>1</v>
      </c>
      <c r="AS20" s="67" t="n">
        <v>0</v>
      </c>
      <c r="AT20" s="67" t="n">
        <v>0</v>
      </c>
    </row>
    <row r="21" ht="40" customHeight="1">
      <c r="A21" s="63" t="inlineStr">
        <is>
          <t>F01-T12-07</t>
        </is>
      </c>
      <c r="B21" s="63" t="inlineStr">
        <is>
          <t>F01</t>
        </is>
      </c>
      <c r="C21" s="63">
        <f>Flights!$F$5</f>
        <v/>
      </c>
      <c r="D21" s="64">
        <f>Flights!$D$5</f>
        <v/>
      </c>
      <c r="E21" s="63">
        <f>Flights!$G$5&amp;"-"&amp;Flights!$H$5</f>
        <v/>
      </c>
      <c r="F21" s="63">
        <f>Flights!$K$5</f>
        <v/>
      </c>
      <c r="G21" s="63" t="inlineStr">
        <is>
          <t>T-12H PREP</t>
        </is>
      </c>
      <c r="H21" s="63" t="inlineStr">
        <is>
          <t>Preparation</t>
        </is>
      </c>
      <c r="I21" s="63" t="inlineStr">
        <is>
          <t>Equipment</t>
        </is>
      </c>
      <c r="J21" s="63" t="inlineStr">
        <is>
          <t>Loading positions planned vs GLD</t>
        </is>
      </c>
      <c r="K21" s="73" t="inlineStr"/>
      <c r="L21" s="73" t="inlineStr">
        <is>
          <t>User brief (T-12 hours)</t>
        </is>
      </c>
      <c r="M21" s="73" t="inlineStr"/>
      <c r="N21" s="73" t="inlineStr">
        <is>
          <t>Required</t>
        </is>
      </c>
      <c r="O21" s="73" t="inlineStr">
        <is>
          <t>Preparation check at caterer - does NOT confirm loading.</t>
        </is>
      </c>
      <c r="P21" s="63" t="inlineStr">
        <is>
          <t>LHR</t>
        </is>
      </c>
      <c r="Q21" s="65">
        <f>Flights!$AE$5</f>
        <v/>
      </c>
      <c r="R21" s="65">
        <f>Q21+(IF(AND(INDEX(TZ_DSTS,MATCH(P21,TZ_STN,0))&lt;&gt;"",Q21&gt;=INDEX(TZ_DSTS,MATCH(P21,TZ_STN,0)),Q21&lt;INDEX(TZ_DSTE,MATCH(P21,TZ_STN,0))),INDEX(TZ_DST,MATCH(P21,TZ_STN,0)),INDEX(TZ_STD,MATCH(P21,TZ_STN,0))))/24</f>
        <v/>
      </c>
      <c r="S21" s="65">
        <f>Q21-T12EarlyH/24</f>
        <v/>
      </c>
      <c r="T21" s="66" t="n"/>
      <c r="U21" s="66" t="n"/>
      <c r="V21" s="66" t="n"/>
      <c r="W21" s="67" t="n"/>
      <c r="X21" s="66" t="n"/>
      <c r="Y21" s="66" t="n"/>
      <c r="Z21" s="66" t="n"/>
      <c r="AA21" s="66" t="n"/>
      <c r="AB21" s="66" t="n"/>
      <c r="AC21" s="66" t="n"/>
      <c r="AD21" s="72" t="n"/>
      <c r="AE21" s="66" t="n"/>
      <c r="AF21" s="67">
        <f>IF(AND(ISNUMBER(X21),ISNUMBER(Y21)),Y21-X21,"")</f>
        <v/>
      </c>
      <c r="AG21" s="68">
        <f>IF(ISNUMBER(AD21),AD21-(IF(AND(INDEX(TZ_DSTS,MATCH(P21,TZ_STN,0))&lt;&gt;"",(AD21-INDEX(TZ_STD,MATCH(P21,TZ_STN,0))/24)&gt;=INDEX(TZ_DSTS,MATCH(P21,TZ_STN,0)),(AD21-INDEX(TZ_STD,MATCH(P21,TZ_STN,0))/24)&lt;INDEX(TZ_DSTE,MATCH(P21,TZ_STN,0))),INDEX(TZ_DST,MATCH(P21,TZ_STN,0)),INDEX(TZ_STD,MATCH(P21,TZ_STN,0))))/24,"")</f>
        <v/>
      </c>
      <c r="AH21" s="71">
        <f>IF(N21="N/A – rule","N/A – RULE",IF(TRIM(U21)="N/A",IF(AT21=0,"INVALID – N/A not permitted for this mandatory check",IF(AND(TRIM(AC21)&lt;&gt;"",TRIM(AE21)&lt;&gt;"",TRIM(T21)&lt;&gt;""),"N/A – JUSTIFIED","INVALID – N/A needs justification, PIC and verifier")),IF(OR(TRIM(U21)="Pass",TRIM(U21)="Pass after CA"),IF(NOT(ISNUMBER(AD21)),"INVALID – completion time missing",IF(TRIM(T21)="","INVALID – PIC missing",IF(TRIM(Z21)="","INVALID – evidence missing",IF(TRIM(AE21)="","INVALID – verifier missing",IF(AND(AQ21=1,TRIM(W21)=""),"INVALID – batch ID missing",IF(AND(AR21=1,OR(NOT(ISNUMBER(X21)),NOT(ISNUMBER(Y21)))),"INVALID – expected/actual qty missing",IF(IF(AND(TRIM(U21)="Pass",ISNUMBER(AF21)),IF(AF21&lt;&gt;0,"INVALID – qty variance: use Fail or Pass after CA",""),"")&amp;IF(AND(TRIM(U21)="Pass",AB21="Open"),"INVALID – corrective action still open: use Fail, then Pass after CA","")&amp;IF(AND(TRIM(U21)="Pass after CA",OR(TRIM(AA21)="",AB21&lt;&gt;"Closed")),"INVALID – corrective action not recorded/closed","")&lt;&gt;"",IF(AND(TRIM(U21)="Pass",ISNUMBER(AF21)),IF(AF21&lt;&gt;0,"INVALID – qty variance: use Fail or Pass after CA",""),"")&amp;IF(AND(TRIM(U21)="Pass",AB21="Open"),"INVALID – corrective action still open: use Fail, then Pass after CA","")&amp;IF(AND(TRIM(U21)="Pass after CA",OR(TRIM(AA21)="",AB21&lt;&gt;"Closed")),"INVALID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window"),IF(AG21&gt;Flights!$AA$5,"INVALID – completed after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f>
        <v/>
      </c>
      <c r="AI21" s="67">
        <f>IF(OR(AH21="N/A – RULE",AH21="N/A – JUSTIFIED"),0,1)</f>
        <v/>
      </c>
      <c r="AJ21" s="67">
        <f>IF(LEFT(AH21,8)="COMPLETE",1,0)</f>
        <v/>
      </c>
      <c r="AK21" s="67">
        <f>IF(AND(AI21=1,AJ21=0,AsOfUTC&gt;Q21),1,0)</f>
        <v/>
      </c>
      <c r="AL21" s="67">
        <f>IF(AND(AI21=1,OR(TRIM(U21)="Fail",AB21="Open",AND(ISNUMBER(AF21),AF21&lt;&gt;0,TRIM(U21)&lt;&gt;"Pass after CA"))),1,0)</f>
        <v/>
      </c>
      <c r="AM21" s="67">
        <f>IF(LEFT(AH21,7)="INVALID",1,0)</f>
        <v/>
      </c>
      <c r="AN21" s="67">
        <f>IF(AND(N21="Clarification required",AI21=1,AJ21=0),1,0)</f>
        <v/>
      </c>
      <c r="AO21" s="67">
        <f>IF(AK21=1,SUM(AK$5:AK21),"")</f>
        <v/>
      </c>
      <c r="AP21" s="67">
        <f>IF(AL21=1,SUM(AL$5:AL21),"")</f>
        <v/>
      </c>
      <c r="AQ21" s="67" t="n">
        <v>0</v>
      </c>
      <c r="AR21" s="67" t="n">
        <v>0</v>
      </c>
      <c r="AS21" s="67" t="n">
        <v>0</v>
      </c>
      <c r="AT21" s="67" t="n">
        <v>0</v>
      </c>
    </row>
    <row r="22" ht="54" customHeight="1">
      <c r="A22" s="63" t="inlineStr">
        <is>
          <t>F01-T12-08</t>
        </is>
      </c>
      <c r="B22" s="63" t="inlineStr">
        <is>
          <t>F01</t>
        </is>
      </c>
      <c r="C22" s="63">
        <f>Flights!$F$5</f>
        <v/>
      </c>
      <c r="D22" s="64">
        <f>Flights!$D$5</f>
        <v/>
      </c>
      <c r="E22" s="63">
        <f>Flights!$G$5&amp;"-"&amp;Flights!$H$5</f>
        <v/>
      </c>
      <c r="F22" s="63">
        <f>Flights!$K$5</f>
        <v/>
      </c>
      <c r="G22" s="63" t="inlineStr">
        <is>
          <t>T-12H PREP</t>
        </is>
      </c>
      <c r="H22" s="63" t="inlineStr">
        <is>
          <t>Preparation</t>
        </is>
      </c>
      <c r="I22" s="63" t="inlineStr">
        <is>
          <t>Amenities</t>
        </is>
      </c>
      <c r="J22" s="63" t="inlineStr">
        <is>
          <t>Toiletry kits - prepared</t>
        </is>
      </c>
      <c r="K22" s="73" t="inlineStr">
        <is>
          <t>Available for sector (ticked in reference)</t>
        </is>
      </c>
      <c r="L22" s="73" t="inlineStr">
        <is>
          <t>STD UPLIFT INFORMATION.xlsx &gt; AMENITIES!D12 / H12</t>
        </is>
      </c>
      <c r="M22" s="73" t="inlineStr">
        <is>
          <t>LHR</t>
        </is>
      </c>
      <c r="N22" s="73" t="inlineStr">
        <is>
          <t>Clarification required</t>
        </is>
      </c>
      <c r="O22" s="73" t="inlineStr">
        <is>
          <t>Reference does not state the cabin class for toiletry kits. Confirm whether EY receives them; if not, mark N/A with the confirmation as justification.</t>
        </is>
      </c>
      <c r="P22" s="63" t="inlineStr">
        <is>
          <t>LHR</t>
        </is>
      </c>
      <c r="Q22" s="65">
        <f>Flights!$AE$5</f>
        <v/>
      </c>
      <c r="R22" s="65">
        <f>Q22+(IF(AND(INDEX(TZ_DSTS,MATCH(P22,TZ_STN,0))&lt;&gt;"",Q22&gt;=INDEX(TZ_DSTS,MATCH(P22,TZ_STN,0)),Q22&lt;INDEX(TZ_DSTE,MATCH(P22,TZ_STN,0))),INDEX(TZ_DST,MATCH(P22,TZ_STN,0)),INDEX(TZ_STD,MATCH(P22,TZ_STN,0))))/24</f>
        <v/>
      </c>
      <c r="S22" s="65">
        <f>Q22-T12EarlyH/24</f>
        <v/>
      </c>
      <c r="T22" s="66" t="n"/>
      <c r="U22" s="66" t="n"/>
      <c r="V22" s="66" t="n"/>
      <c r="W22" s="67" t="n"/>
      <c r="X22" s="66" t="n"/>
      <c r="Y22" s="66" t="n"/>
      <c r="Z22" s="66" t="n"/>
      <c r="AA22" s="66" t="n"/>
      <c r="AB22" s="66" t="n"/>
      <c r="AC22" s="66" t="n"/>
      <c r="AD22" s="72" t="n"/>
      <c r="AE22" s="66" t="n"/>
      <c r="AF22" s="67">
        <f>IF(AND(ISNUMBER(X22),ISNUMBER(Y22)),Y22-X22,"")</f>
        <v/>
      </c>
      <c r="AG22" s="68">
        <f>IF(ISNUMBER(AD22),AD22-(IF(AND(INDEX(TZ_DSTS,MATCH(P22,TZ_STN,0))&lt;&gt;"",(AD22-INDEX(TZ_STD,MATCH(P22,TZ_STN,0))/24)&gt;=INDEX(TZ_DSTS,MATCH(P22,TZ_STN,0)),(AD22-INDEX(TZ_STD,MATCH(P22,TZ_STN,0))/24)&lt;INDEX(TZ_DSTE,MATCH(P22,TZ_STN,0))),INDEX(TZ_DST,MATCH(P22,TZ_STN,0)),INDEX(TZ_STD,MATCH(P22,TZ_STN,0))))/24,"")</f>
        <v/>
      </c>
      <c r="AH22" s="71">
        <f>IF(N22="N/A – rule","N/A – RULE",IF(TRIM(U22)="N/A",IF(AT22=0,"INVALID – N/A not permitted for this mandatory check",IF(AND(TRIM(AC22)&lt;&gt;"",TRIM(AE22)&lt;&gt;"",TRIM(T22)&lt;&gt;""),"N/A – JUSTIFIED","INVALID – N/A needs justification, PIC and verifier")),IF(OR(TRIM(U22)="Pass",TRIM(U22)="Pass after CA"),IF(NOT(ISNUMBER(AD22)),"INVALID – completion time missing",IF(TRIM(T22)="","INVALID – PIC missing",IF(TRIM(Z22)="","INVALID – evidence missing",IF(TRIM(AE22)="","INVALID – verifier missing",IF(AND(AQ22=1,TRIM(W22)=""),"INVALID – batch ID missing",IF(AND(AR22=1,OR(NOT(ISNUMBER(X22)),NOT(ISNUMBER(Y22)))),"INVALID – expected/actual qty missing",IF(IF(AND(TRIM(U22)="Pass",ISNUMBER(AF22)),IF(AF22&lt;&gt;0,"INVALID – qty variance: use Fail or Pass after CA",""),"")&amp;IF(AND(TRIM(U22)="Pass",AB22="Open"),"INVALID – corrective action still open: use Fail, then Pass after CA","")&amp;IF(AND(TRIM(U22)="Pass after CA",OR(TRIM(AA22)="",AB22&lt;&gt;"Closed")),"INVALID – corrective action not recorded/closed","")&lt;&gt;"",IF(AND(TRIM(U22)="Pass",ISNUMBER(AF22)),IF(AF22&lt;&gt;0,"INVALID – qty variance: use Fail or Pass after CA",""),"")&amp;IF(AND(TRIM(U22)="Pass",AB22="Open"),"INVALID – corrective action still open: use Fail, then Pass after CA","")&amp;IF(AND(TRIM(U22)="Pass after CA",OR(TRIM(AA22)="",AB22&lt;&gt;"Closed")),"INVALID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window"),IF(AG22&gt;Flights!$AA$5,"INVALID – completed after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f>
        <v/>
      </c>
      <c r="AI22" s="67">
        <f>IF(OR(AH22="N/A – RULE",AH22="N/A – JUSTIFIED"),0,1)</f>
        <v/>
      </c>
      <c r="AJ22" s="67">
        <f>IF(LEFT(AH22,8)="COMPLETE",1,0)</f>
        <v/>
      </c>
      <c r="AK22" s="67">
        <f>IF(AND(AI22=1,AJ22=0,AsOfUTC&gt;Q22),1,0)</f>
        <v/>
      </c>
      <c r="AL22" s="67">
        <f>IF(AND(AI22=1,OR(TRIM(U22)="Fail",AB22="Open",AND(ISNUMBER(AF22),AF22&lt;&gt;0,TRIM(U22)&lt;&gt;"Pass after CA"))),1,0)</f>
        <v/>
      </c>
      <c r="AM22" s="67">
        <f>IF(LEFT(AH22,7)="INVALID",1,0)</f>
        <v/>
      </c>
      <c r="AN22" s="67">
        <f>IF(AND(N22="Clarification required",AI22=1,AJ22=0),1,0)</f>
        <v/>
      </c>
      <c r="AO22" s="67">
        <f>IF(AK22=1,SUM(AK$5:AK22),"")</f>
        <v/>
      </c>
      <c r="AP22" s="67">
        <f>IF(AL22=1,SUM(AL$5:AL22),"")</f>
        <v/>
      </c>
      <c r="AQ22" s="67" t="n">
        <v>0</v>
      </c>
      <c r="AR22" s="67" t="n">
        <v>0</v>
      </c>
      <c r="AS22" s="67" t="n">
        <v>0</v>
      </c>
      <c r="AT22" s="67" t="n">
        <v>1</v>
      </c>
    </row>
    <row r="23" ht="41.5" customHeight="1">
      <c r="A23" s="63" t="inlineStr">
        <is>
          <t>F01-T12-09</t>
        </is>
      </c>
      <c r="B23" s="63" t="inlineStr">
        <is>
          <t>F01</t>
        </is>
      </c>
      <c r="C23" s="63">
        <f>Flights!$F$5</f>
        <v/>
      </c>
      <c r="D23" s="64">
        <f>Flights!$D$5</f>
        <v/>
      </c>
      <c r="E23" s="63">
        <f>Flights!$G$5&amp;"-"&amp;Flights!$H$5</f>
        <v/>
      </c>
      <c r="F23" s="63">
        <f>Flights!$K$5</f>
        <v/>
      </c>
      <c r="G23" s="63" t="inlineStr">
        <is>
          <t>T-12H PREP</t>
        </is>
      </c>
      <c r="H23" s="63" t="inlineStr">
        <is>
          <t>Preparation</t>
        </is>
      </c>
      <c r="I23" s="63" t="inlineStr">
        <is>
          <t>Seat Linen</t>
        </is>
      </c>
      <c r="J23" s="63" t="inlineStr">
        <is>
          <t>Seat pillow (EY) - prepared</t>
        </is>
      </c>
      <c r="K23" s="73" t="inlineStr">
        <is>
          <t>Available 100% (ticked in reference)</t>
        </is>
      </c>
      <c r="L23" s="73" t="inlineStr">
        <is>
          <t>STD UPLIFT INFORMATION.xlsx &gt; SEAT LINEN!I7</t>
        </is>
      </c>
      <c r="M23" s="73" t="inlineStr">
        <is>
          <t>Not stated in reference</t>
        </is>
      </c>
      <c r="N23" s="73" t="inlineStr">
        <is>
          <t>Required</t>
        </is>
      </c>
      <c r="O23" s="73" t="inlineStr">
        <is>
          <t>Reference gives no uplift stn for this item: preparation checked at the meal uplift stn (LHR) - confirm with caterer.</t>
        </is>
      </c>
      <c r="P23" s="63" t="inlineStr">
        <is>
          <t>LHR</t>
        </is>
      </c>
      <c r="Q23" s="65">
        <f>Flights!$AE$5</f>
        <v/>
      </c>
      <c r="R23" s="65">
        <f>Q23+(IF(AND(INDEX(TZ_DSTS,MATCH(P23,TZ_STN,0))&lt;&gt;"",Q23&gt;=INDEX(TZ_DSTS,MATCH(P23,TZ_STN,0)),Q23&lt;INDEX(TZ_DSTE,MATCH(P23,TZ_STN,0))),INDEX(TZ_DST,MATCH(P23,TZ_STN,0)),INDEX(TZ_STD,MATCH(P23,TZ_STN,0))))/24</f>
        <v/>
      </c>
      <c r="S23" s="65">
        <f>Q23-T12EarlyH/24</f>
        <v/>
      </c>
      <c r="T23" s="66" t="n"/>
      <c r="U23" s="66" t="n"/>
      <c r="V23" s="66" t="n"/>
      <c r="W23" s="67" t="n"/>
      <c r="X23" s="66" t="n"/>
      <c r="Y23" s="66" t="n"/>
      <c r="Z23" s="66" t="n"/>
      <c r="AA23" s="66" t="n"/>
      <c r="AB23" s="66" t="n"/>
      <c r="AC23" s="66" t="n"/>
      <c r="AD23" s="72" t="n"/>
      <c r="AE23" s="66" t="n"/>
      <c r="AF23" s="67">
        <f>IF(AND(ISNUMBER(X23),ISNUMBER(Y23)),Y23-X23,"")</f>
        <v/>
      </c>
      <c r="AG23" s="68">
        <f>IF(ISNUMBER(AD23),AD23-(IF(AND(INDEX(TZ_DSTS,MATCH(P23,TZ_STN,0))&lt;&gt;"",(AD23-INDEX(TZ_STD,MATCH(P23,TZ_STN,0))/24)&gt;=INDEX(TZ_DSTS,MATCH(P23,TZ_STN,0)),(AD23-INDEX(TZ_STD,MATCH(P23,TZ_STN,0))/24)&lt;INDEX(TZ_DSTE,MATCH(P23,TZ_STN,0))),INDEX(TZ_DST,MATCH(P23,TZ_STN,0)),INDEX(TZ_STD,MATCH(P23,TZ_STN,0))))/24,"")</f>
        <v/>
      </c>
      <c r="AH23" s="71">
        <f>IF(N23="N/A – rule","N/A – RULE",IF(TRIM(U23)="N/A",IF(AT23=0,"INVALID – N/A not permitted for this mandatory check",IF(AND(TRIM(AC23)&lt;&gt;"",TRIM(AE23)&lt;&gt;"",TRIM(T23)&lt;&gt;""),"N/A – JUSTIFIED","INVALID – N/A needs justification, PIC and verifier")),IF(OR(TRIM(U23)="Pass",TRIM(U23)="Pass after CA"),IF(NOT(ISNUMBER(AD23)),"INVALID – completion time missing",IF(TRIM(T23)="","INVALID – PIC missing",IF(TRIM(Z23)="","INVALID – evidence missing",IF(TRIM(AE23)="","INVALID – verifier missing",IF(AND(AQ23=1,TRIM(W23)=""),"INVALID – batch ID missing",IF(AND(AR23=1,OR(NOT(ISNUMBER(X23)),NOT(ISNUMBER(Y23)))),"INVALID – expected/actual qty missing",IF(IF(AND(TRIM(U23)="Pass",ISNUMBER(AF23)),IF(AF23&lt;&gt;0,"INVALID – qty variance: use Fail or Pass after CA",""),"")&amp;IF(AND(TRIM(U23)="Pass",AB23="Open"),"INVALID – corrective action still open: use Fail, then Pass after CA","")&amp;IF(AND(TRIM(U23)="Pass after CA",OR(TRIM(AA23)="",AB23&lt;&gt;"Closed")),"INVALID – corrective action not recorded/closed","")&lt;&gt;"",IF(AND(TRIM(U23)="Pass",ISNUMBER(AF23)),IF(AF23&lt;&gt;0,"INVALID – qty variance: use Fail or Pass after CA",""),"")&amp;IF(AND(TRIM(U23)="Pass",AB23="Open"),"INVALID – corrective action still open: use Fail, then Pass after CA","")&amp;IF(AND(TRIM(U23)="Pass after CA",OR(TRIM(AA23)="",AB23&lt;&gt;"Closed")),"INVALID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window"),IF(AG23&gt;Flights!$AA$5,"INVALID – completed after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f>
        <v/>
      </c>
      <c r="AI23" s="67">
        <f>IF(OR(AH23="N/A – RULE",AH23="N/A – JUSTIFIED"),0,1)</f>
        <v/>
      </c>
      <c r="AJ23" s="67">
        <f>IF(LEFT(AH23,8)="COMPLETE",1,0)</f>
        <v/>
      </c>
      <c r="AK23" s="67">
        <f>IF(AND(AI23=1,AJ23=0,AsOfUTC&gt;Q23),1,0)</f>
        <v/>
      </c>
      <c r="AL23" s="67">
        <f>IF(AND(AI23=1,OR(TRIM(U23)="Fail",AB23="Open",AND(ISNUMBER(AF23),AF23&lt;&gt;0,TRIM(U23)&lt;&gt;"Pass after CA"))),1,0)</f>
        <v/>
      </c>
      <c r="AM23" s="67">
        <f>IF(LEFT(AH23,7)="INVALID",1,0)</f>
        <v/>
      </c>
      <c r="AN23" s="67">
        <f>IF(AND(N23="Clarification required",AI23=1,AJ23=0),1,0)</f>
        <v/>
      </c>
      <c r="AO23" s="67">
        <f>IF(AK23=1,SUM(AK$5:AK23),"")</f>
        <v/>
      </c>
      <c r="AP23" s="67">
        <f>IF(AL23=1,SUM(AL$5:AL23),"")</f>
        <v/>
      </c>
      <c r="AQ23" s="67" t="n">
        <v>0</v>
      </c>
      <c r="AR23" s="67" t="n">
        <v>0</v>
      </c>
      <c r="AS23" s="67" t="n">
        <v>0</v>
      </c>
      <c r="AT23" s="67" t="n">
        <v>1</v>
      </c>
    </row>
    <row r="24" ht="91.5" customHeight="1">
      <c r="A24" s="63" t="inlineStr">
        <is>
          <t>F01-T12-10</t>
        </is>
      </c>
      <c r="B24" s="63" t="inlineStr">
        <is>
          <t>F01</t>
        </is>
      </c>
      <c r="C24" s="63">
        <f>Flights!$F$5</f>
        <v/>
      </c>
      <c r="D24" s="64">
        <f>Flights!$D$5</f>
        <v/>
      </c>
      <c r="E24" s="63">
        <f>Flights!$G$5&amp;"-"&amp;Flights!$H$5</f>
        <v/>
      </c>
      <c r="F24" s="63">
        <f>Flights!$K$5</f>
        <v/>
      </c>
      <c r="G24" s="63" t="inlineStr">
        <is>
          <t>T-12H PREP</t>
        </is>
      </c>
      <c r="H24" s="63" t="inlineStr">
        <is>
          <t>Preparation</t>
        </is>
      </c>
      <c r="I24" s="63" t="inlineStr">
        <is>
          <t>Seat Linen</t>
        </is>
      </c>
      <c r="J24" s="63" t="inlineStr">
        <is>
          <t>Blanket (EY) - prepared</t>
        </is>
      </c>
      <c r="K24" s="73" t="inlineStr">
        <is>
          <t>Available 100% (ticked in reference); qty 280 (A350 9M-MAH) / 260 (A359) - per tail</t>
        </is>
      </c>
      <c r="L24" s="73" t="inlineStr">
        <is>
          <t>STD UPLIFT INFORMATION.xlsx &gt; SEAT LINEN!J7</t>
        </is>
      </c>
      <c r="M24" s="73" t="inlineStr">
        <is>
          <t>Not stated in reference</t>
        </is>
      </c>
      <c r="N24" s="73" t="inlineStr">
        <is>
          <t>Required</t>
        </is>
      </c>
      <c r="O24" s="73" t="inlineStr">
        <is>
          <t>EY blanket: flight above 3 hours excl. Regional (SEAT LINEN!B74:C74); block 13.25 h. Qty per tail: A350 280 pcs (SEAT LINEN!B76:C76), A359 260 pcs (SEAT LINEN!B77:C77). Reference gives no uplift stn for this item: preparation checked at the meal uplift stn (LHR) - confirm with caterer.</t>
        </is>
      </c>
      <c r="P24" s="63" t="inlineStr">
        <is>
          <t>LHR</t>
        </is>
      </c>
      <c r="Q24" s="65">
        <f>Flights!$AE$5</f>
        <v/>
      </c>
      <c r="R24" s="65">
        <f>Q24+(IF(AND(INDEX(TZ_DSTS,MATCH(P24,TZ_STN,0))&lt;&gt;"",Q24&gt;=INDEX(TZ_DSTS,MATCH(P24,TZ_STN,0)),Q24&lt;INDEX(TZ_DSTE,MATCH(P24,TZ_STN,0))),INDEX(TZ_DST,MATCH(P24,TZ_STN,0)),INDEX(TZ_STD,MATCH(P24,TZ_STN,0))))/24</f>
        <v/>
      </c>
      <c r="S24" s="65">
        <f>Q24-T12EarlyH/24</f>
        <v/>
      </c>
      <c r="T24" s="66" t="n"/>
      <c r="U24" s="66" t="n"/>
      <c r="V24" s="66" t="n"/>
      <c r="W24" s="67" t="n"/>
      <c r="X24" s="74">
        <f>IF(TRIM(Flights!$N$5)="","",IF(ISNUMBER(SEARCH("MAH",Flights!$N$5)),280,260))</f>
        <v/>
      </c>
      <c r="Y24" s="66" t="n"/>
      <c r="Z24" s="66" t="n"/>
      <c r="AA24" s="66" t="n"/>
      <c r="AB24" s="66" t="n"/>
      <c r="AC24" s="66" t="n"/>
      <c r="AD24" s="72" t="n"/>
      <c r="AE24" s="66" t="n"/>
      <c r="AF24" s="67">
        <f>IF(AND(ISNUMBER(X24),ISNUMBER(Y24)),Y24-X24,"")</f>
        <v/>
      </c>
      <c r="AG24" s="68">
        <f>IF(ISNUMBER(AD24),AD24-(IF(AND(INDEX(TZ_DSTS,MATCH(P24,TZ_STN,0))&lt;&gt;"",(AD24-INDEX(TZ_STD,MATCH(P24,TZ_STN,0))/24)&gt;=INDEX(TZ_DSTS,MATCH(P24,TZ_STN,0)),(AD24-INDEX(TZ_STD,MATCH(P24,TZ_STN,0))/24)&lt;INDEX(TZ_DSTE,MATCH(P24,TZ_STN,0))),INDEX(TZ_DST,MATCH(P24,TZ_STN,0)),INDEX(TZ_STD,MATCH(P24,TZ_STN,0))))/24,"")</f>
        <v/>
      </c>
      <c r="AH24" s="71">
        <f>IF(N24="N/A – rule","N/A – RULE",IF(TRIM(U24)="N/A",IF(AT24=0,"INVALID – N/A not permitted for this mandatory check",IF(AND(TRIM(AC24)&lt;&gt;"",TRIM(AE24)&lt;&gt;"",TRIM(T24)&lt;&gt;""),"N/A – JUSTIFIED","INVALID – N/A needs justification, PIC and verifier")),IF(OR(TRIM(U24)="Pass",TRIM(U24)="Pass after CA"),IF(NOT(ISNUMBER(AD24)),"INVALID – completion time missing",IF(TRIM(T24)="","INVALID – PIC missing",IF(TRIM(Z24)="","INVALID – evidence missing",IF(TRIM(AE24)="","INVALID – verifier missing",IF(AND(AQ24=1,TRIM(W24)=""),"INVALID – batch ID missing",IF(AND(AR24=1,OR(NOT(ISNUMBER(X24)),NOT(ISNUMBER(Y24)))),"INVALID – expected/actual qty missing",IF(IF(AND(TRIM(U24)="Pass",ISNUMBER(AF24)),IF(AF24&lt;&gt;0,"INVALID – qty variance: use Fail or Pass after CA",""),"")&amp;IF(AND(TRIM(U24)="Pass",AB24="Open"),"INVALID – corrective action still open: use Fail, then Pass after CA","")&amp;IF(AND(TRIM(U24)="Pass after CA",OR(TRIM(AA24)="",AB24&lt;&gt;"Closed")),"INVALID – corrective action not recorded/closed","")&lt;&gt;"",IF(AND(TRIM(U24)="Pass",ISNUMBER(AF24)),IF(AF24&lt;&gt;0,"INVALID – qty variance: use Fail or Pass after CA",""),"")&amp;IF(AND(TRIM(U24)="Pass",AB24="Open"),"INVALID – corrective action still open: use Fail, then Pass after CA","")&amp;IF(AND(TRIM(U24)="Pass after CA",OR(TRIM(AA24)="",AB24&lt;&gt;"Closed")),"INVALID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window"),IF(AG24&gt;Flights!$AA$5,"INVALID – completed after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f>
        <v/>
      </c>
      <c r="AI24" s="67">
        <f>IF(OR(AH24="N/A – RULE",AH24="N/A – JUSTIFIED"),0,1)</f>
        <v/>
      </c>
      <c r="AJ24" s="67">
        <f>IF(LEFT(AH24,8)="COMPLETE",1,0)</f>
        <v/>
      </c>
      <c r="AK24" s="67">
        <f>IF(AND(AI24=1,AJ24=0,AsOfUTC&gt;Q24),1,0)</f>
        <v/>
      </c>
      <c r="AL24" s="67">
        <f>IF(AND(AI24=1,OR(TRIM(U24)="Fail",AB24="Open",AND(ISNUMBER(AF24),AF24&lt;&gt;0,TRIM(U24)&lt;&gt;"Pass after CA"))),1,0)</f>
        <v/>
      </c>
      <c r="AM24" s="67">
        <f>IF(LEFT(AH24,7)="INVALID",1,0)</f>
        <v/>
      </c>
      <c r="AN24" s="67">
        <f>IF(AND(N24="Clarification required",AI24=1,AJ24=0),1,0)</f>
        <v/>
      </c>
      <c r="AO24" s="67">
        <f>IF(AK24=1,SUM(AK$5:AK24),"")</f>
        <v/>
      </c>
      <c r="AP24" s="67">
        <f>IF(AL24=1,SUM(AL$5:AL24),"")</f>
        <v/>
      </c>
      <c r="AQ24" s="67" t="n">
        <v>0</v>
      </c>
      <c r="AR24" s="67" t="n">
        <v>1</v>
      </c>
      <c r="AS24" s="67" t="n">
        <v>0</v>
      </c>
      <c r="AT24" s="67" t="n">
        <v>1</v>
      </c>
    </row>
    <row r="25" ht="40" customHeight="1">
      <c r="A25" s="63" t="inlineStr">
        <is>
          <t>F01-UPL-01</t>
        </is>
      </c>
      <c r="B25" s="63" t="inlineStr">
        <is>
          <t>F01</t>
        </is>
      </c>
      <c r="C25" s="63">
        <f>Flights!$F$5</f>
        <v/>
      </c>
      <c r="D25" s="64">
        <f>Flights!$D$5</f>
        <v/>
      </c>
      <c r="E25" s="63">
        <f>Flights!$G$5&amp;"-"&amp;Flights!$H$5</f>
        <v/>
      </c>
      <c r="F25" s="63">
        <f>Flights!$K$5</f>
        <v/>
      </c>
      <c r="G25" s="63" t="inlineStr">
        <is>
          <t>UPLIFT</t>
        </is>
      </c>
      <c r="H25" s="63" t="inlineStr">
        <is>
          <t>Physical uplift</t>
        </is>
      </c>
      <c r="I25" s="63" t="inlineStr">
        <is>
          <t>Meal</t>
        </is>
      </c>
      <c r="J25" s="63" t="inlineStr">
        <is>
          <t>Meals physically uplifted on board - quantity vs menu checklist</t>
        </is>
      </c>
      <c r="K25" s="73" t="inlineStr">
        <is>
          <t>Enter expected &amp; actual</t>
        </is>
      </c>
      <c r="L25" s="73" t="inlineStr">
        <is>
          <t>User brief (T-12 hours - physical uplift)</t>
        </is>
      </c>
      <c r="M25" s="73" t="inlineStr"/>
      <c r="N25" s="73" t="inlineStr">
        <is>
          <t>Required</t>
        </is>
      </c>
      <c r="O25" s="73" t="inlineStr">
        <is>
          <t>Confirm on board before departure; completion time must fall inside the uplift window.</t>
        </is>
      </c>
      <c r="P25" s="63" t="inlineStr">
        <is>
          <t>LHR</t>
        </is>
      </c>
      <c r="Q25" s="65">
        <f>Flights!$AF$5</f>
        <v/>
      </c>
      <c r="R25" s="65">
        <f>Q25+(IF(AND(INDEX(TZ_DSTS,MATCH(P25,TZ_STN,0))&lt;&gt;"",Q25&gt;=INDEX(TZ_DSTS,MATCH(P25,TZ_STN,0)),Q25&lt;INDEX(TZ_DSTE,MATCH(P25,TZ_STN,0))),INDEX(TZ_DST,MATCH(P25,TZ_STN,0)),INDEX(TZ_STD,MATCH(P25,TZ_STN,0))))/24</f>
        <v/>
      </c>
      <c r="S25" s="65">
        <f>Q25-UpliftWindowH/24</f>
        <v/>
      </c>
      <c r="T25" s="66" t="n"/>
      <c r="U25" s="66" t="n"/>
      <c r="V25" s="66" t="n"/>
      <c r="W25" s="67" t="n"/>
      <c r="X25" s="66" t="n"/>
      <c r="Y25" s="66" t="n"/>
      <c r="Z25" s="66" t="n"/>
      <c r="AA25" s="66" t="n"/>
      <c r="AB25" s="66" t="n"/>
      <c r="AC25" s="66" t="n"/>
      <c r="AD25" s="72" t="n"/>
      <c r="AE25" s="66" t="n"/>
      <c r="AF25" s="67">
        <f>IF(AND(ISNUMBER(X25),ISNUMBER(Y25)),Y25-X25,"")</f>
        <v/>
      </c>
      <c r="AG25" s="68">
        <f>IF(ISNUMBER(AD25),AD25-(IF(AND(INDEX(TZ_DSTS,MATCH(P25,TZ_STN,0))&lt;&gt;"",(AD25-INDEX(TZ_STD,MATCH(P25,TZ_STN,0))/24)&gt;=INDEX(TZ_DSTS,MATCH(P25,TZ_STN,0)),(AD25-INDEX(TZ_STD,MATCH(P25,TZ_STN,0))/24)&lt;INDEX(TZ_DSTE,MATCH(P25,TZ_STN,0))),INDEX(TZ_DST,MATCH(P25,TZ_STN,0)),INDEX(TZ_STD,MATCH(P25,TZ_STN,0))))/24,"")</f>
        <v/>
      </c>
      <c r="AH25" s="71">
        <f>IF(N25="N/A – rule","N/A – RULE",IF(TRIM(U25)="N/A",IF(AT25=0,"INVALID – N/A not permitted for this mandatory check",IF(AND(TRIM(AC25)&lt;&gt;"",TRIM(AE25)&lt;&gt;"",TRIM(T25)&lt;&gt;""),"N/A – JUSTIFIED","INVALID – N/A needs justification, PIC and verifier")),IF(OR(TRIM(U25)="Pass",TRIM(U25)="Pass after CA"),IF(NOT(ISNUMBER(AD25)),"INVALID – completion time missing",IF(TRIM(T25)="","INVALID – PIC missing",IF(TRIM(Z25)="","INVALID – evidence missing",IF(TRIM(AE25)="","INVALID – verifier missing",IF(AND(AQ25=1,TRIM(W25)=""),"INVALID – batch ID missing",IF(AND(AR25=1,OR(NOT(ISNUMBER(X25)),NOT(ISNUMBER(Y25)))),"INVALID – expected/actual qty missing",IF(IF(AND(TRIM(U25)="Pass",ISNUMBER(AF25)),IF(AF25&lt;&gt;0,"INVALID – qty variance: use Fail or Pass after CA",""),"")&amp;IF(AND(TRIM(U25)="Pass",AB25="Open"),"INVALID – corrective action still open: use Fail, then Pass after CA","")&amp;IF(AND(TRIM(U25)="Pass after CA",OR(TRIM(AA25)="",AB25&lt;&gt;"Closed")),"INVALID – corrective action not recorded/closed","")&lt;&gt;"",IF(AND(TRIM(U25)="Pass",ISNUMBER(AF25)),IF(AF25&lt;&gt;0,"INVALID – qty variance: use Fail or Pass after CA",""),"")&amp;IF(AND(TRIM(U25)="Pass",AB25="Open"),"INVALID – corrective action still open: use Fail, then Pass after CA","")&amp;IF(AND(TRIM(U25)="Pass after CA",OR(TRIM(AA25)="",AB25&lt;&gt;"Closed")),"INVALID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window"),IF(AG25&gt;Flights!$AA$5,"INVALID – completed after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f>
        <v/>
      </c>
      <c r="AI25" s="67">
        <f>IF(OR(AH25="N/A – RULE",AH25="N/A – JUSTIFIED"),0,1)</f>
        <v/>
      </c>
      <c r="AJ25" s="67">
        <f>IF(LEFT(AH25,8)="COMPLETE",1,0)</f>
        <v/>
      </c>
      <c r="AK25" s="67">
        <f>IF(AND(AI25=1,AJ25=0,AsOfUTC&gt;Q25),1,0)</f>
        <v/>
      </c>
      <c r="AL25" s="67">
        <f>IF(AND(AI25=1,OR(TRIM(U25)="Fail",AB25="Open",AND(ISNUMBER(AF25),AF25&lt;&gt;0,TRIM(U25)&lt;&gt;"Pass after CA"))),1,0)</f>
        <v/>
      </c>
      <c r="AM25" s="67">
        <f>IF(LEFT(AH25,7)="INVALID",1,0)</f>
        <v/>
      </c>
      <c r="AN25" s="67">
        <f>IF(AND(N25="Clarification required",AI25=1,AJ25=0),1,0)</f>
        <v/>
      </c>
      <c r="AO25" s="67">
        <f>IF(AK25=1,SUM(AK$5:AK25),"")</f>
        <v/>
      </c>
      <c r="AP25" s="67">
        <f>IF(AL25=1,SUM(AL$5:AL25),"")</f>
        <v/>
      </c>
      <c r="AQ25" s="67" t="n">
        <v>0</v>
      </c>
      <c r="AR25" s="67" t="n">
        <v>1</v>
      </c>
      <c r="AS25" s="67" t="n">
        <v>0</v>
      </c>
      <c r="AT25" s="67" t="n">
        <v>0</v>
      </c>
    </row>
    <row r="26" ht="40" customHeight="1">
      <c r="A26" s="63" t="inlineStr">
        <is>
          <t>F01-UPL-02</t>
        </is>
      </c>
      <c r="B26" s="63" t="inlineStr">
        <is>
          <t>F01</t>
        </is>
      </c>
      <c r="C26" s="63">
        <f>Flights!$F$5</f>
        <v/>
      </c>
      <c r="D26" s="64">
        <f>Flights!$D$5</f>
        <v/>
      </c>
      <c r="E26" s="63">
        <f>Flights!$G$5&amp;"-"&amp;Flights!$H$5</f>
        <v/>
      </c>
      <c r="F26" s="63">
        <f>Flights!$K$5</f>
        <v/>
      </c>
      <c r="G26" s="63" t="inlineStr">
        <is>
          <t>UPLIFT</t>
        </is>
      </c>
      <c r="H26" s="63" t="inlineStr">
        <is>
          <t>Physical uplift</t>
        </is>
      </c>
      <c r="I26" s="63" t="inlineStr">
        <is>
          <t>Equipment</t>
        </is>
      </c>
      <c r="J26" s="63" t="inlineStr">
        <is>
          <t>Equipment physically loaded at GLD positions - quantity &amp; positions</t>
        </is>
      </c>
      <c r="K26" s="73" t="inlineStr">
        <is>
          <t>Enter expected &amp; actual</t>
        </is>
      </c>
      <c r="L26" s="73" t="inlineStr">
        <is>
          <t>User brief (T-12 hours - physical uplift)</t>
        </is>
      </c>
      <c r="M26" s="73" t="inlineStr"/>
      <c r="N26" s="73" t="inlineStr">
        <is>
          <t>Required</t>
        </is>
      </c>
      <c r="O26" s="73" t="inlineStr">
        <is>
          <t>Confirm on board before departure; completion time must fall inside the uplift window.</t>
        </is>
      </c>
      <c r="P26" s="63" t="inlineStr">
        <is>
          <t>LHR</t>
        </is>
      </c>
      <c r="Q26" s="65">
        <f>Flights!$AF$5</f>
        <v/>
      </c>
      <c r="R26" s="65">
        <f>Q26+(IF(AND(INDEX(TZ_DSTS,MATCH(P26,TZ_STN,0))&lt;&gt;"",Q26&gt;=INDEX(TZ_DSTS,MATCH(P26,TZ_STN,0)),Q26&lt;INDEX(TZ_DSTE,MATCH(P26,TZ_STN,0))),INDEX(TZ_DST,MATCH(P26,TZ_STN,0)),INDEX(TZ_STD,MATCH(P26,TZ_STN,0))))/24</f>
        <v/>
      </c>
      <c r="S26" s="65">
        <f>Q26-UpliftWindowH/24</f>
        <v/>
      </c>
      <c r="T26" s="66" t="n"/>
      <c r="U26" s="66" t="n"/>
      <c r="V26" s="66" t="n"/>
      <c r="W26" s="67" t="n"/>
      <c r="X26" s="66" t="n"/>
      <c r="Y26" s="66" t="n"/>
      <c r="Z26" s="66" t="n"/>
      <c r="AA26" s="66" t="n"/>
      <c r="AB26" s="66" t="n"/>
      <c r="AC26" s="66" t="n"/>
      <c r="AD26" s="72" t="n"/>
      <c r="AE26" s="66" t="n"/>
      <c r="AF26" s="67">
        <f>IF(AND(ISNUMBER(X26),ISNUMBER(Y26)),Y26-X26,"")</f>
        <v/>
      </c>
      <c r="AG26" s="68">
        <f>IF(ISNUMBER(AD26),AD26-(IF(AND(INDEX(TZ_DSTS,MATCH(P26,TZ_STN,0))&lt;&gt;"",(AD26-INDEX(TZ_STD,MATCH(P26,TZ_STN,0))/24)&gt;=INDEX(TZ_DSTS,MATCH(P26,TZ_STN,0)),(AD26-INDEX(TZ_STD,MATCH(P26,TZ_STN,0))/24)&lt;INDEX(TZ_DSTE,MATCH(P26,TZ_STN,0))),INDEX(TZ_DST,MATCH(P26,TZ_STN,0)),INDEX(TZ_STD,MATCH(P26,TZ_STN,0))))/24,"")</f>
        <v/>
      </c>
      <c r="AH26" s="71">
        <f>IF(N26="N/A – rule","N/A – RULE",IF(TRIM(U26)="N/A",IF(AT26=0,"INVALID – N/A not permitted for this mandatory check",IF(AND(TRIM(AC26)&lt;&gt;"",TRIM(AE26)&lt;&gt;"",TRIM(T26)&lt;&gt;""),"N/A – JUSTIFIED","INVALID – N/A needs justification, PIC and verifier")),IF(OR(TRIM(U26)="Pass",TRIM(U26)="Pass after CA"),IF(NOT(ISNUMBER(AD26)),"INVALID – completion time missing",IF(TRIM(T26)="","INVALID – PIC missing",IF(TRIM(Z26)="","INVALID – evidence missing",IF(TRIM(AE26)="","INVALID – verifier missing",IF(AND(AQ26=1,TRIM(W26)=""),"INVALID – batch ID missing",IF(AND(AR26=1,OR(NOT(ISNUMBER(X26)),NOT(ISNUMBER(Y26)))),"INVALID – expected/actual qty missing",IF(IF(AND(TRIM(U26)="Pass",ISNUMBER(AF26)),IF(AF26&lt;&gt;0,"INVALID – qty variance: use Fail or Pass after CA",""),"")&amp;IF(AND(TRIM(U26)="Pass",AB26="Open"),"INVALID – corrective action still open: use Fail, then Pass after CA","")&amp;IF(AND(TRIM(U26)="Pass after CA",OR(TRIM(AA26)="",AB26&lt;&gt;"Closed")),"INVALID – corrective action not recorded/closed","")&lt;&gt;"",IF(AND(TRIM(U26)="Pass",ISNUMBER(AF26)),IF(AF26&lt;&gt;0,"INVALID – qty variance: use Fail or Pass after CA",""),"")&amp;IF(AND(TRIM(U26)="Pass",AB26="Open"),"INVALID – corrective action still open: use Fail, then Pass after CA","")&amp;IF(AND(TRIM(U26)="Pass after CA",OR(TRIM(AA26)="",AB26&lt;&gt;"Closed")),"INVALID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window"),IF(AG26&gt;Flights!$AA$5,"INVALID – completed after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f>
        <v/>
      </c>
      <c r="AI26" s="67">
        <f>IF(OR(AH26="N/A – RULE",AH26="N/A – JUSTIFIED"),0,1)</f>
        <v/>
      </c>
      <c r="AJ26" s="67">
        <f>IF(LEFT(AH26,8)="COMPLETE",1,0)</f>
        <v/>
      </c>
      <c r="AK26" s="67">
        <f>IF(AND(AI26=1,AJ26=0,AsOfUTC&gt;Q26),1,0)</f>
        <v/>
      </c>
      <c r="AL26" s="67">
        <f>IF(AND(AI26=1,OR(TRIM(U26)="Fail",AB26="Open",AND(ISNUMBER(AF26),AF26&lt;&gt;0,TRIM(U26)&lt;&gt;"Pass after CA"))),1,0)</f>
        <v/>
      </c>
      <c r="AM26" s="67">
        <f>IF(LEFT(AH26,7)="INVALID",1,0)</f>
        <v/>
      </c>
      <c r="AN26" s="67">
        <f>IF(AND(N26="Clarification required",AI26=1,AJ26=0),1,0)</f>
        <v/>
      </c>
      <c r="AO26" s="67">
        <f>IF(AK26=1,SUM(AK$5:AK26),"")</f>
        <v/>
      </c>
      <c r="AP26" s="67">
        <f>IF(AL26=1,SUM(AL$5:AL26),"")</f>
        <v/>
      </c>
      <c r="AQ26" s="67" t="n">
        <v>0</v>
      </c>
      <c r="AR26" s="67" t="n">
        <v>1</v>
      </c>
      <c r="AS26" s="67" t="n">
        <v>0</v>
      </c>
      <c r="AT26" s="67" t="n">
        <v>0</v>
      </c>
    </row>
    <row r="27" ht="54" customHeight="1">
      <c r="A27" s="63" t="inlineStr">
        <is>
          <t>F01-UPL-03</t>
        </is>
      </c>
      <c r="B27" s="63" t="inlineStr">
        <is>
          <t>F01</t>
        </is>
      </c>
      <c r="C27" s="63">
        <f>Flights!$F$5</f>
        <v/>
      </c>
      <c r="D27" s="64">
        <f>Flights!$D$5</f>
        <v/>
      </c>
      <c r="E27" s="63">
        <f>Flights!$G$5&amp;"-"&amp;Flights!$H$5</f>
        <v/>
      </c>
      <c r="F27" s="63">
        <f>Flights!$K$5</f>
        <v/>
      </c>
      <c r="G27" s="63" t="inlineStr">
        <is>
          <t>UPLIFT</t>
        </is>
      </c>
      <c r="H27" s="63" t="inlineStr">
        <is>
          <t>Physical uplift</t>
        </is>
      </c>
      <c r="I27" s="63" t="inlineStr">
        <is>
          <t>Amenities</t>
        </is>
      </c>
      <c r="J27" s="63" t="inlineStr">
        <is>
          <t>Toiletry kits - on board</t>
        </is>
      </c>
      <c r="K27" s="73" t="inlineStr">
        <is>
          <t>Available for sector (ticked in reference)</t>
        </is>
      </c>
      <c r="L27" s="73" t="inlineStr">
        <is>
          <t>STD UPLIFT INFORMATION.xlsx &gt; AMENITIES!D12 / H12</t>
        </is>
      </c>
      <c r="M27" s="73" t="inlineStr">
        <is>
          <t>LHR</t>
        </is>
      </c>
      <c r="N27" s="73" t="inlineStr">
        <is>
          <t>Clarification required</t>
        </is>
      </c>
      <c r="O27" s="73" t="inlineStr">
        <is>
          <t>Reference does not state the cabin class for toiletry kits. Confirm whether EY receives them; if not, mark N/A with the confirmation as justification.</t>
        </is>
      </c>
      <c r="P27" s="63" t="inlineStr">
        <is>
          <t>LHR</t>
        </is>
      </c>
      <c r="Q27" s="65">
        <f>Flights!$AF$5</f>
        <v/>
      </c>
      <c r="R27" s="65">
        <f>Q27+(IF(AND(INDEX(TZ_DSTS,MATCH(P27,TZ_STN,0))&lt;&gt;"",Q27&gt;=INDEX(TZ_DSTS,MATCH(P27,TZ_STN,0)),Q27&lt;INDEX(TZ_DSTE,MATCH(P27,TZ_STN,0))),INDEX(TZ_DST,MATCH(P27,TZ_STN,0)),INDEX(TZ_STD,MATCH(P27,TZ_STN,0))))/24</f>
        <v/>
      </c>
      <c r="S27" s="65">
        <f>Q27-UpliftWindowH/24</f>
        <v/>
      </c>
      <c r="T27" s="66" t="n"/>
      <c r="U27" s="66" t="n"/>
      <c r="V27" s="66" t="n"/>
      <c r="W27" s="67" t="n"/>
      <c r="X27" s="66" t="n"/>
      <c r="Y27" s="66" t="n"/>
      <c r="Z27" s="66" t="n"/>
      <c r="AA27" s="66" t="n"/>
      <c r="AB27" s="66" t="n"/>
      <c r="AC27" s="66" t="n"/>
      <c r="AD27" s="72" t="n"/>
      <c r="AE27" s="66" t="n"/>
      <c r="AF27" s="67">
        <f>IF(AND(ISNUMBER(X27),ISNUMBER(Y27)),Y27-X27,"")</f>
        <v/>
      </c>
      <c r="AG27" s="68">
        <f>IF(ISNUMBER(AD27),AD27-(IF(AND(INDEX(TZ_DSTS,MATCH(P27,TZ_STN,0))&lt;&gt;"",(AD27-INDEX(TZ_STD,MATCH(P27,TZ_STN,0))/24)&gt;=INDEX(TZ_DSTS,MATCH(P27,TZ_STN,0)),(AD27-INDEX(TZ_STD,MATCH(P27,TZ_STN,0))/24)&lt;INDEX(TZ_DSTE,MATCH(P27,TZ_STN,0))),INDEX(TZ_DST,MATCH(P27,TZ_STN,0)),INDEX(TZ_STD,MATCH(P27,TZ_STN,0))))/24,"")</f>
        <v/>
      </c>
      <c r="AH27" s="71">
        <f>IF(N27="N/A – rule","N/A – RULE",IF(TRIM(U27)="N/A",IF(AT27=0,"INVALID – N/A not permitted for this mandatory check",IF(AND(TRIM(AC27)&lt;&gt;"",TRIM(AE27)&lt;&gt;"",TRIM(T27)&lt;&gt;""),"N/A – JUSTIFIED","INVALID – N/A needs justification, PIC and verifier")),IF(OR(TRIM(U27)="Pass",TRIM(U27)="Pass after CA"),IF(NOT(ISNUMBER(AD27)),"INVALID – completion time missing",IF(TRIM(T27)="","INVALID – PIC missing",IF(TRIM(Z27)="","INVALID – evidence missing",IF(TRIM(AE27)="","INVALID – verifier missing",IF(AND(AQ27=1,TRIM(W27)=""),"INVALID – batch ID missing",IF(AND(AR27=1,OR(NOT(ISNUMBER(X27)),NOT(ISNUMBER(Y27)))),"INVALID – expected/actual qty missing",IF(IF(AND(TRIM(U27)="Pass",ISNUMBER(AF27)),IF(AF27&lt;&gt;0,"INVALID – qty variance: use Fail or Pass after CA",""),"")&amp;IF(AND(TRIM(U27)="Pass",AB27="Open"),"INVALID – corrective action still open: use Fail, then Pass after CA","")&amp;IF(AND(TRIM(U27)="Pass after CA",OR(TRIM(AA27)="",AB27&lt;&gt;"Closed")),"INVALID – corrective action not recorded/closed","")&lt;&gt;"",IF(AND(TRIM(U27)="Pass",ISNUMBER(AF27)),IF(AF27&lt;&gt;0,"INVALID – qty variance: use Fail or Pass after CA",""),"")&amp;IF(AND(TRIM(U27)="Pass",AB27="Open"),"INVALID – corrective action still open: use Fail, then Pass after CA","")&amp;IF(AND(TRIM(U27)="Pass after CA",OR(TRIM(AA27)="",AB27&lt;&gt;"Closed")),"INVALID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window"),IF(AG27&gt;Flights!$AA$5,"INVALID – completed after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f>
        <v/>
      </c>
      <c r="AI27" s="67">
        <f>IF(OR(AH27="N/A – RULE",AH27="N/A – JUSTIFIED"),0,1)</f>
        <v/>
      </c>
      <c r="AJ27" s="67">
        <f>IF(LEFT(AH27,8)="COMPLETE",1,0)</f>
        <v/>
      </c>
      <c r="AK27" s="67">
        <f>IF(AND(AI27=1,AJ27=0,AsOfUTC&gt;Q27),1,0)</f>
        <v/>
      </c>
      <c r="AL27" s="67">
        <f>IF(AND(AI27=1,OR(TRIM(U27)="Fail",AB27="Open",AND(ISNUMBER(AF27),AF27&lt;&gt;0,TRIM(U27)&lt;&gt;"Pass after CA"))),1,0)</f>
        <v/>
      </c>
      <c r="AM27" s="67">
        <f>IF(LEFT(AH27,7)="INVALID",1,0)</f>
        <v/>
      </c>
      <c r="AN27" s="67">
        <f>IF(AND(N27="Clarification required",AI27=1,AJ27=0),1,0)</f>
        <v/>
      </c>
      <c r="AO27" s="67">
        <f>IF(AK27=1,SUM(AK$5:AK27),"")</f>
        <v/>
      </c>
      <c r="AP27" s="67">
        <f>IF(AL27=1,SUM(AL$5:AL27),"")</f>
        <v/>
      </c>
      <c r="AQ27" s="67" t="n">
        <v>0</v>
      </c>
      <c r="AR27" s="67" t="n">
        <v>0</v>
      </c>
      <c r="AS27" s="67" t="n">
        <v>0</v>
      </c>
      <c r="AT27" s="67" t="n">
        <v>1</v>
      </c>
    </row>
    <row r="28" ht="40" customHeight="1">
      <c r="A28" s="63" t="inlineStr">
        <is>
          <t>F01-UPL-04</t>
        </is>
      </c>
      <c r="B28" s="63" t="inlineStr">
        <is>
          <t>F01</t>
        </is>
      </c>
      <c r="C28" s="63">
        <f>Flights!$F$5</f>
        <v/>
      </c>
      <c r="D28" s="64">
        <f>Flights!$D$5</f>
        <v/>
      </c>
      <c r="E28" s="63">
        <f>Flights!$G$5&amp;"-"&amp;Flights!$H$5</f>
        <v/>
      </c>
      <c r="F28" s="63">
        <f>Flights!$K$5</f>
        <v/>
      </c>
      <c r="G28" s="63" t="inlineStr">
        <is>
          <t>UPLIFT</t>
        </is>
      </c>
      <c r="H28" s="63" t="inlineStr">
        <is>
          <t>Physical uplift</t>
        </is>
      </c>
      <c r="I28" s="63" t="inlineStr">
        <is>
          <t>Seat Linen</t>
        </is>
      </c>
      <c r="J28" s="63" t="inlineStr">
        <is>
          <t>Seat pillow (EY) - on board</t>
        </is>
      </c>
      <c r="K28" s="73" t="inlineStr">
        <is>
          <t>Available 100% (ticked in reference)</t>
        </is>
      </c>
      <c r="L28" s="73" t="inlineStr">
        <is>
          <t>STD UPLIFT INFORMATION.xlsx &gt; SEAT LINEN!I7</t>
        </is>
      </c>
      <c r="M28" s="73" t="inlineStr">
        <is>
          <t>Not stated in reference</t>
        </is>
      </c>
      <c r="N28" s="73" t="inlineStr">
        <is>
          <t>Required</t>
        </is>
      </c>
      <c r="O28" s="73" t="inlineStr"/>
      <c r="P28" s="63" t="inlineStr">
        <is>
          <t>LHR</t>
        </is>
      </c>
      <c r="Q28" s="65">
        <f>Flights!$AF$5</f>
        <v/>
      </c>
      <c r="R28" s="65">
        <f>Q28+(IF(AND(INDEX(TZ_DSTS,MATCH(P28,TZ_STN,0))&lt;&gt;"",Q28&gt;=INDEX(TZ_DSTS,MATCH(P28,TZ_STN,0)),Q28&lt;INDEX(TZ_DSTE,MATCH(P28,TZ_STN,0))),INDEX(TZ_DST,MATCH(P28,TZ_STN,0)),INDEX(TZ_STD,MATCH(P28,TZ_STN,0))))/24</f>
        <v/>
      </c>
      <c r="S28" s="65">
        <f>Q28-UpliftWindowH/24</f>
        <v/>
      </c>
      <c r="T28" s="66" t="n"/>
      <c r="U28" s="66" t="n"/>
      <c r="V28" s="66" t="n"/>
      <c r="W28" s="67" t="n"/>
      <c r="X28" s="66" t="n"/>
      <c r="Y28" s="66" t="n"/>
      <c r="Z28" s="66" t="n"/>
      <c r="AA28" s="66" t="n"/>
      <c r="AB28" s="66" t="n"/>
      <c r="AC28" s="66" t="n"/>
      <c r="AD28" s="72" t="n"/>
      <c r="AE28" s="66" t="n"/>
      <c r="AF28" s="67">
        <f>IF(AND(ISNUMBER(X28),ISNUMBER(Y28)),Y28-X28,"")</f>
        <v/>
      </c>
      <c r="AG28" s="68">
        <f>IF(ISNUMBER(AD28),AD28-(IF(AND(INDEX(TZ_DSTS,MATCH(P28,TZ_STN,0))&lt;&gt;"",(AD28-INDEX(TZ_STD,MATCH(P28,TZ_STN,0))/24)&gt;=INDEX(TZ_DSTS,MATCH(P28,TZ_STN,0)),(AD28-INDEX(TZ_STD,MATCH(P28,TZ_STN,0))/24)&lt;INDEX(TZ_DSTE,MATCH(P28,TZ_STN,0))),INDEX(TZ_DST,MATCH(P28,TZ_STN,0)),INDEX(TZ_STD,MATCH(P28,TZ_STN,0))))/24,"")</f>
        <v/>
      </c>
      <c r="AH28" s="71">
        <f>IF(N28="N/A – rule","N/A – RULE",IF(TRIM(U28)="N/A",IF(AT28=0,"INVALID – N/A not permitted for this mandatory check",IF(AND(TRIM(AC28)&lt;&gt;"",TRIM(AE28)&lt;&gt;"",TRIM(T28)&lt;&gt;""),"N/A – JUSTIFIED","INVALID – N/A needs justification, PIC and verifier")),IF(OR(TRIM(U28)="Pass",TRIM(U28)="Pass after CA"),IF(NOT(ISNUMBER(AD28)),"INVALID – completion time missing",IF(TRIM(T28)="","INVALID – PIC missing",IF(TRIM(Z28)="","INVALID – evidence missing",IF(TRIM(AE28)="","INVALID – verifier missing",IF(AND(AQ28=1,TRIM(W28)=""),"INVALID – batch ID missing",IF(AND(AR28=1,OR(NOT(ISNUMBER(X28)),NOT(ISNUMBER(Y28)))),"INVALID – expected/actual qty missing",IF(IF(AND(TRIM(U28)="Pass",ISNUMBER(AF28)),IF(AF28&lt;&gt;0,"INVALID – qty variance: use Fail or Pass after CA",""),"")&amp;IF(AND(TRIM(U28)="Pass",AB28="Open"),"INVALID – corrective action still open: use Fail, then Pass after CA","")&amp;IF(AND(TRIM(U28)="Pass after CA",OR(TRIM(AA28)="",AB28&lt;&gt;"Closed")),"INVALID – corrective action not recorded/closed","")&lt;&gt;"",IF(AND(TRIM(U28)="Pass",ISNUMBER(AF28)),IF(AF28&lt;&gt;0,"INVALID – qty variance: use Fail or Pass after CA",""),"")&amp;IF(AND(TRIM(U28)="Pass",AB28="Open"),"INVALID – corrective action still open: use Fail, then Pass after CA","")&amp;IF(AND(TRIM(U28)="Pass after CA",OR(TRIM(AA28)="",AB28&lt;&gt;"Closed")),"INVALID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window"),IF(AG28&gt;Flights!$AA$5,"INVALID – completed after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f>
        <v/>
      </c>
      <c r="AI28" s="67">
        <f>IF(OR(AH28="N/A – RULE",AH28="N/A – JUSTIFIED"),0,1)</f>
        <v/>
      </c>
      <c r="AJ28" s="67">
        <f>IF(LEFT(AH28,8)="COMPLETE",1,0)</f>
        <v/>
      </c>
      <c r="AK28" s="67">
        <f>IF(AND(AI28=1,AJ28=0,AsOfUTC&gt;Q28),1,0)</f>
        <v/>
      </c>
      <c r="AL28" s="67">
        <f>IF(AND(AI28=1,OR(TRIM(U28)="Fail",AB28="Open",AND(ISNUMBER(AF28),AF28&lt;&gt;0,TRIM(U28)&lt;&gt;"Pass after CA"))),1,0)</f>
        <v/>
      </c>
      <c r="AM28" s="67">
        <f>IF(LEFT(AH28,7)="INVALID",1,0)</f>
        <v/>
      </c>
      <c r="AN28" s="67">
        <f>IF(AND(N28="Clarification required",AI28=1,AJ28=0),1,0)</f>
        <v/>
      </c>
      <c r="AO28" s="67">
        <f>IF(AK28=1,SUM(AK$5:AK28),"")</f>
        <v/>
      </c>
      <c r="AP28" s="67">
        <f>IF(AL28=1,SUM(AL$5:AL28),"")</f>
        <v/>
      </c>
      <c r="AQ28" s="67" t="n">
        <v>0</v>
      </c>
      <c r="AR28" s="67" t="n">
        <v>0</v>
      </c>
      <c r="AS28" s="67" t="n">
        <v>0</v>
      </c>
      <c r="AT28" s="67" t="n">
        <v>1</v>
      </c>
    </row>
    <row r="29" ht="54" customHeight="1">
      <c r="A29" s="63" t="inlineStr">
        <is>
          <t>F01-UPL-05</t>
        </is>
      </c>
      <c r="B29" s="63" t="inlineStr">
        <is>
          <t>F01</t>
        </is>
      </c>
      <c r="C29" s="63">
        <f>Flights!$F$5</f>
        <v/>
      </c>
      <c r="D29" s="64">
        <f>Flights!$D$5</f>
        <v/>
      </c>
      <c r="E29" s="63">
        <f>Flights!$G$5&amp;"-"&amp;Flights!$H$5</f>
        <v/>
      </c>
      <c r="F29" s="63">
        <f>Flights!$K$5</f>
        <v/>
      </c>
      <c r="G29" s="63" t="inlineStr">
        <is>
          <t>UPLIFT</t>
        </is>
      </c>
      <c r="H29" s="63" t="inlineStr">
        <is>
          <t>Physical uplift</t>
        </is>
      </c>
      <c r="I29" s="63" t="inlineStr">
        <is>
          <t>Seat Linen</t>
        </is>
      </c>
      <c r="J29" s="63" t="inlineStr">
        <is>
          <t>Blanket (EY) - on board</t>
        </is>
      </c>
      <c r="K29" s="73" t="inlineStr">
        <is>
          <t>Available 100% (ticked in reference); qty 280 (A350 9M-MAH) / 260 (A359) - per tail</t>
        </is>
      </c>
      <c r="L29" s="73" t="inlineStr">
        <is>
          <t>STD UPLIFT INFORMATION.xlsx &gt; SEAT LINEN!J7</t>
        </is>
      </c>
      <c r="M29" s="73" t="inlineStr">
        <is>
          <t>Not stated in reference</t>
        </is>
      </c>
      <c r="N29" s="73" t="inlineStr">
        <is>
          <t>Required</t>
        </is>
      </c>
      <c r="O29" s="73" t="inlineStr">
        <is>
          <t>EY blanket: flight above 3 hours excl. Regional (SEAT LINEN!B74:C74); block 13.25 h. Qty per tail: A350 280 pcs (SEAT LINEN!B76:C76), A359 260 pcs (SEAT LINEN!B77:C77).</t>
        </is>
      </c>
      <c r="P29" s="63" t="inlineStr">
        <is>
          <t>LHR</t>
        </is>
      </c>
      <c r="Q29" s="65">
        <f>Flights!$AF$5</f>
        <v/>
      </c>
      <c r="R29" s="65">
        <f>Q29+(IF(AND(INDEX(TZ_DSTS,MATCH(P29,TZ_STN,0))&lt;&gt;"",Q29&gt;=INDEX(TZ_DSTS,MATCH(P29,TZ_STN,0)),Q29&lt;INDEX(TZ_DSTE,MATCH(P29,TZ_STN,0))),INDEX(TZ_DST,MATCH(P29,TZ_STN,0)),INDEX(TZ_STD,MATCH(P29,TZ_STN,0))))/24</f>
        <v/>
      </c>
      <c r="S29" s="65">
        <f>Q29-UpliftWindowH/24</f>
        <v/>
      </c>
      <c r="T29" s="66" t="n"/>
      <c r="U29" s="66" t="n"/>
      <c r="V29" s="66" t="n"/>
      <c r="W29" s="67" t="n"/>
      <c r="X29" s="74">
        <f>IF(TRIM(Flights!$N$5)="","",IF(ISNUMBER(SEARCH("MAH",Flights!$N$5)),280,260))</f>
        <v/>
      </c>
      <c r="Y29" s="66" t="n"/>
      <c r="Z29" s="66" t="n"/>
      <c r="AA29" s="66" t="n"/>
      <c r="AB29" s="66" t="n"/>
      <c r="AC29" s="66" t="n"/>
      <c r="AD29" s="72" t="n"/>
      <c r="AE29" s="66" t="n"/>
      <c r="AF29" s="67">
        <f>IF(AND(ISNUMBER(X29),ISNUMBER(Y29)),Y29-X29,"")</f>
        <v/>
      </c>
      <c r="AG29" s="68">
        <f>IF(ISNUMBER(AD29),AD29-(IF(AND(INDEX(TZ_DSTS,MATCH(P29,TZ_STN,0))&lt;&gt;"",(AD29-INDEX(TZ_STD,MATCH(P29,TZ_STN,0))/24)&gt;=INDEX(TZ_DSTS,MATCH(P29,TZ_STN,0)),(AD29-INDEX(TZ_STD,MATCH(P29,TZ_STN,0))/24)&lt;INDEX(TZ_DSTE,MATCH(P29,TZ_STN,0))),INDEX(TZ_DST,MATCH(P29,TZ_STN,0)),INDEX(TZ_STD,MATCH(P29,TZ_STN,0))))/24,"")</f>
        <v/>
      </c>
      <c r="AH29" s="71">
        <f>IF(N29="N/A – rule","N/A – RULE",IF(TRIM(U29)="N/A",IF(AT29=0,"INVALID – N/A not permitted for this mandatory check",IF(AND(TRIM(AC29)&lt;&gt;"",TRIM(AE29)&lt;&gt;"",TRIM(T29)&lt;&gt;""),"N/A – JUSTIFIED","INVALID – N/A needs justification, PIC and verifier")),IF(OR(TRIM(U29)="Pass",TRIM(U29)="Pass after CA"),IF(NOT(ISNUMBER(AD29)),"INVALID – completion time missing",IF(TRIM(T29)="","INVALID – PIC missing",IF(TRIM(Z29)="","INVALID – evidence missing",IF(TRIM(AE29)="","INVALID – verifier missing",IF(AND(AQ29=1,TRIM(W29)=""),"INVALID – batch ID missing",IF(AND(AR29=1,OR(NOT(ISNUMBER(X29)),NOT(ISNUMBER(Y29)))),"INVALID – expected/actual qty missing",IF(IF(AND(TRIM(U29)="Pass",ISNUMBER(AF29)),IF(AF29&lt;&gt;0,"INVALID – qty variance: use Fail or Pass after CA",""),"")&amp;IF(AND(TRIM(U29)="Pass",AB29="Open"),"INVALID – corrective action still open: use Fail, then Pass after CA","")&amp;IF(AND(TRIM(U29)="Pass after CA",OR(TRIM(AA29)="",AB29&lt;&gt;"Closed")),"INVALID – corrective action not recorded/closed","")&lt;&gt;"",IF(AND(TRIM(U29)="Pass",ISNUMBER(AF29)),IF(AF29&lt;&gt;0,"INVALID – qty variance: use Fail or Pass after CA",""),"")&amp;IF(AND(TRIM(U29)="Pass",AB29="Open"),"INVALID – corrective action still open: use Fail, then Pass after CA","")&amp;IF(AND(TRIM(U29)="Pass after CA",OR(TRIM(AA29)="",AB29&lt;&gt;"Closed")),"INVALID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window"),IF(AG29&gt;Flights!$AA$5,"INVALID – completed after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f>
        <v/>
      </c>
      <c r="AI29" s="67">
        <f>IF(OR(AH29="N/A – RULE",AH29="N/A – JUSTIFIED"),0,1)</f>
        <v/>
      </c>
      <c r="AJ29" s="67">
        <f>IF(LEFT(AH29,8)="COMPLETE",1,0)</f>
        <v/>
      </c>
      <c r="AK29" s="67">
        <f>IF(AND(AI29=1,AJ29=0,AsOfUTC&gt;Q29),1,0)</f>
        <v/>
      </c>
      <c r="AL29" s="67">
        <f>IF(AND(AI29=1,OR(TRIM(U29)="Fail",AB29="Open",AND(ISNUMBER(AF29),AF29&lt;&gt;0,TRIM(U29)&lt;&gt;"Pass after CA"))),1,0)</f>
        <v/>
      </c>
      <c r="AM29" s="67">
        <f>IF(LEFT(AH29,7)="INVALID",1,0)</f>
        <v/>
      </c>
      <c r="AN29" s="67">
        <f>IF(AND(N29="Clarification required",AI29=1,AJ29=0),1,0)</f>
        <v/>
      </c>
      <c r="AO29" s="67">
        <f>IF(AK29=1,SUM(AK$5:AK29),"")</f>
        <v/>
      </c>
      <c r="AP29" s="67">
        <f>IF(AL29=1,SUM(AL$5:AL29),"")</f>
        <v/>
      </c>
      <c r="AQ29" s="67" t="n">
        <v>0</v>
      </c>
      <c r="AR29" s="67" t="n">
        <v>1</v>
      </c>
      <c r="AS29" s="67" t="n">
        <v>0</v>
      </c>
      <c r="AT29" s="67" t="n">
        <v>1</v>
      </c>
    </row>
    <row r="30" ht="40" customHeight="1">
      <c r="A30" s="63" t="inlineStr">
        <is>
          <t>F02-T7-01</t>
        </is>
      </c>
      <c r="B30" s="63" t="inlineStr">
        <is>
          <t>F02</t>
        </is>
      </c>
      <c r="C30" s="63">
        <f>Flights!$F$6</f>
        <v/>
      </c>
      <c r="D30" s="64">
        <f>Flights!$D$6</f>
        <v/>
      </c>
      <c r="E30" s="63">
        <f>Flights!$G$6&amp;"-"&amp;Flights!$H$6</f>
        <v/>
      </c>
      <c r="F30" s="63">
        <f>Flights!$K$6</f>
        <v/>
      </c>
      <c r="G30" s="63" t="inlineStr">
        <is>
          <t>T-7D</t>
        </is>
      </c>
      <c r="H30" s="63" t="inlineStr">
        <is>
          <t>Preparation</t>
        </is>
      </c>
      <c r="I30" s="63" t="inlineStr">
        <is>
          <t>Meal</t>
        </is>
      </c>
      <c r="J30" s="63" t="inlineStr">
        <is>
          <t>Meal sensory testing completed for this flight's menu cycle (assessed class)</t>
        </is>
      </c>
      <c r="K30" s="73" t="inlineStr">
        <is>
          <t>Record panel result / score in Result</t>
        </is>
      </c>
      <c r="L30" s="73" t="inlineStr">
        <is>
          <t>User brief (T-7 days)</t>
        </is>
      </c>
      <c r="M30" s="73" t="inlineStr"/>
      <c r="N30" s="73" t="inlineStr">
        <is>
          <t>Required</t>
        </is>
      </c>
      <c r="O30" s="73" t="inlineStr"/>
      <c r="P30" s="63" t="inlineStr">
        <is>
          <t>KUL</t>
        </is>
      </c>
      <c r="Q30" s="65">
        <f>Flights!$AC$6</f>
        <v/>
      </c>
      <c r="R30" s="65">
        <f>Q30+(IF(AND(INDEX(TZ_DSTS,MATCH(P30,TZ_STN,0))&lt;&gt;"",Q30&gt;=INDEX(TZ_DSTS,MATCH(P30,TZ_STN,0)),Q30&lt;INDEX(TZ_DSTE,MATCH(P30,TZ_STN,0))),INDEX(TZ_DST,MATCH(P30,TZ_STN,0)),INDEX(TZ_STD,MATCH(P30,TZ_STN,0))))/24</f>
        <v/>
      </c>
      <c r="S30" s="65" t="inlineStr"/>
      <c r="T30" s="66" t="n"/>
      <c r="U30" s="66" t="n"/>
      <c r="V30" s="66" t="n"/>
      <c r="W30" s="67" t="n"/>
      <c r="X30" s="66" t="n"/>
      <c r="Y30" s="66" t="n"/>
      <c r="Z30" s="66" t="n"/>
      <c r="AA30" s="66" t="n"/>
      <c r="AB30" s="66" t="n"/>
      <c r="AC30" s="66" t="n"/>
      <c r="AD30" s="72" t="n"/>
      <c r="AE30" s="66" t="n"/>
      <c r="AF30" s="67">
        <f>IF(AND(ISNUMBER(X30),ISNUMBER(Y30)),Y30-X30,"")</f>
        <v/>
      </c>
      <c r="AG30" s="68">
        <f>IF(ISNUMBER(AD30),AD30-(IF(AND(INDEX(TZ_DSTS,MATCH(P30,TZ_STN,0))&lt;&gt;"",(AD30-INDEX(TZ_STD,MATCH(P30,TZ_STN,0))/24)&gt;=INDEX(TZ_DSTS,MATCH(P30,TZ_STN,0)),(AD30-INDEX(TZ_STD,MATCH(P30,TZ_STN,0))/24)&lt;INDEX(TZ_DSTE,MATCH(P30,TZ_STN,0))),INDEX(TZ_DST,MATCH(P30,TZ_STN,0)),INDEX(TZ_STD,MATCH(P30,TZ_STN,0))))/24,"")</f>
        <v/>
      </c>
      <c r="AH30" s="71">
        <f>IF(N30="N/A – rule","N/A – RULE",IF(TRIM(U30)="N/A",IF(AT30=0,"INVALID – N/A not permitted for this mandatory check",IF(AND(TRIM(AC30)&lt;&gt;"",TRIM(AE30)&lt;&gt;"",TRIM(T30)&lt;&gt;""),"N/A – JUSTIFIED","INVALID – N/A needs justification, PIC and verifier")),IF(OR(TRIM(U30)="Pass",TRIM(U30)="Pass after CA"),IF(NOT(ISNUMBER(AD30)),"INVALID – completion time missing",IF(TRIM(T30)="","INVALID – PIC missing",IF(TRIM(Z30)="","INVALID – evidence missing",IF(TRIM(AE30)="","INVALID – verifier missing",IF(AND(AQ30=1,TRIM(W30)=""),"INVALID – batch ID missing",IF(AND(AR30=1,OR(NOT(ISNUMBER(X30)),NOT(ISNUMBER(Y30)))),"INVALID – expected/actual qty missing",IF(IF(AND(TRIM(U30)="Pass",ISNUMBER(AF30)),IF(AF30&lt;&gt;0,"INVALID – qty variance: use Fail or Pass after CA",""),"")&amp;IF(AND(TRIM(U30)="Pass",AB30="Open"),"INVALID – corrective action still open: use Fail, then Pass after CA","")&amp;IF(AND(TRIM(U30)="Pass after CA",OR(TRIM(AA30)="",AB30&lt;&gt;"Closed")),"INVALID – corrective action not recorded/closed","")&lt;&gt;"",IF(AND(TRIM(U30)="Pass",ISNUMBER(AF30)),IF(AF30&lt;&gt;0,"INVALID – qty variance: use Fail or Pass after CA",""),"")&amp;IF(AND(TRIM(U30)="Pass",AB30="Open"),"INVALID – corrective action still open: use Fail, then Pass after CA","")&amp;IF(AND(TRIM(U30)="Pass after CA",OR(TRIM(AA30)="",AB30&lt;&gt;"Closed")),"INVALID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window"),IF(AG30&gt;Flights!$AA$6,"INVALID – completed after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f>
        <v/>
      </c>
      <c r="AI30" s="67">
        <f>IF(OR(AH30="N/A – RULE",AH30="N/A – JUSTIFIED"),0,1)</f>
        <v/>
      </c>
      <c r="AJ30" s="67">
        <f>IF(LEFT(AH30,8)="COMPLETE",1,0)</f>
        <v/>
      </c>
      <c r="AK30" s="67">
        <f>IF(AND(AI30=1,AJ30=0,AsOfUTC&gt;Q30),1,0)</f>
        <v/>
      </c>
      <c r="AL30" s="67">
        <f>IF(AND(AI30=1,OR(TRIM(U30)="Fail",AB30="Open",AND(ISNUMBER(AF30),AF30&lt;&gt;0,TRIM(U30)&lt;&gt;"Pass after CA"))),1,0)</f>
        <v/>
      </c>
      <c r="AM30" s="67">
        <f>IF(LEFT(AH30,7)="INVALID",1,0)</f>
        <v/>
      </c>
      <c r="AN30" s="67">
        <f>IF(AND(N30="Clarification required",AI30=1,AJ30=0),1,0)</f>
        <v/>
      </c>
      <c r="AO30" s="67">
        <f>IF(AK30=1,SUM(AK$5:AK30),"")</f>
        <v/>
      </c>
      <c r="AP30" s="67">
        <f>IF(AL30=1,SUM(AL$5:AL30),"")</f>
        <v/>
      </c>
      <c r="AQ30" s="67" t="n">
        <v>0</v>
      </c>
      <c r="AR30" s="67" t="n">
        <v>0</v>
      </c>
      <c r="AS30" s="67" t="n">
        <v>0</v>
      </c>
      <c r="AT30" s="67" t="n">
        <v>0</v>
      </c>
    </row>
    <row r="31" ht="40" customHeight="1">
      <c r="A31" s="63" t="inlineStr">
        <is>
          <t>F02-T7-02</t>
        </is>
      </c>
      <c r="B31" s="63" t="inlineStr">
        <is>
          <t>F02</t>
        </is>
      </c>
      <c r="C31" s="63">
        <f>Flights!$F$6</f>
        <v/>
      </c>
      <c r="D31" s="64">
        <f>Flights!$D$6</f>
        <v/>
      </c>
      <c r="E31" s="63">
        <f>Flights!$G$6&amp;"-"&amp;Flights!$H$6</f>
        <v/>
      </c>
      <c r="F31" s="63">
        <f>Flights!$K$6</f>
        <v/>
      </c>
      <c r="G31" s="63" t="inlineStr">
        <is>
          <t>T-7D</t>
        </is>
      </c>
      <c r="H31" s="63" t="inlineStr">
        <is>
          <t>Preparation</t>
        </is>
      </c>
      <c r="I31" s="63" t="inlineStr">
        <is>
          <t>Menu</t>
        </is>
      </c>
      <c r="J31" s="63" t="inlineStr">
        <is>
          <t>Printed menu cards confirmed (content, cycle, language, quantity)</t>
        </is>
      </c>
      <c r="K31" s="73" t="inlineStr">
        <is>
          <t>Menu card matches approved menu for this flight</t>
        </is>
      </c>
      <c r="L31" s="73" t="inlineStr">
        <is>
          <t>User brief (T-7 days)</t>
        </is>
      </c>
      <c r="M31" s="73" t="inlineStr"/>
      <c r="N31" s="73" t="inlineStr">
        <is>
          <t>Required</t>
        </is>
      </c>
      <c r="O31" s="73" t="inlineStr"/>
      <c r="P31" s="63" t="inlineStr">
        <is>
          <t>KUL</t>
        </is>
      </c>
      <c r="Q31" s="65">
        <f>Flights!$AC$6</f>
        <v/>
      </c>
      <c r="R31" s="65">
        <f>Q31+(IF(AND(INDEX(TZ_DSTS,MATCH(P31,TZ_STN,0))&lt;&gt;"",Q31&gt;=INDEX(TZ_DSTS,MATCH(P31,TZ_STN,0)),Q31&lt;INDEX(TZ_DSTE,MATCH(P31,TZ_STN,0))),INDEX(TZ_DST,MATCH(P31,TZ_STN,0)),INDEX(TZ_STD,MATCH(P31,TZ_STN,0))))/24</f>
        <v/>
      </c>
      <c r="S31" s="65" t="inlineStr"/>
      <c r="T31" s="66" t="n"/>
      <c r="U31" s="66" t="n"/>
      <c r="V31" s="66" t="n"/>
      <c r="W31" s="67" t="n"/>
      <c r="X31" s="66" t="n"/>
      <c r="Y31" s="66" t="n"/>
      <c r="Z31" s="66" t="n"/>
      <c r="AA31" s="66" t="n"/>
      <c r="AB31" s="66" t="n"/>
      <c r="AC31" s="66" t="n"/>
      <c r="AD31" s="72" t="n"/>
      <c r="AE31" s="66" t="n"/>
      <c r="AF31" s="67">
        <f>IF(AND(ISNUMBER(X31),ISNUMBER(Y31)),Y31-X31,"")</f>
        <v/>
      </c>
      <c r="AG31" s="68">
        <f>IF(ISNUMBER(AD31),AD31-(IF(AND(INDEX(TZ_DSTS,MATCH(P31,TZ_STN,0))&lt;&gt;"",(AD31-INDEX(TZ_STD,MATCH(P31,TZ_STN,0))/24)&gt;=INDEX(TZ_DSTS,MATCH(P31,TZ_STN,0)),(AD31-INDEX(TZ_STD,MATCH(P31,TZ_STN,0))/24)&lt;INDEX(TZ_DSTE,MATCH(P31,TZ_STN,0))),INDEX(TZ_DST,MATCH(P31,TZ_STN,0)),INDEX(TZ_STD,MATCH(P31,TZ_STN,0))))/24,"")</f>
        <v/>
      </c>
      <c r="AH31" s="71">
        <f>IF(N31="N/A – rule","N/A – RULE",IF(TRIM(U31)="N/A",IF(AT31=0,"INVALID – N/A not permitted for this mandatory check",IF(AND(TRIM(AC31)&lt;&gt;"",TRIM(AE31)&lt;&gt;"",TRIM(T31)&lt;&gt;""),"N/A – JUSTIFIED","INVALID – N/A needs justification, PIC and verifier")),IF(OR(TRIM(U31)="Pass",TRIM(U31)="Pass after CA"),IF(NOT(ISNUMBER(AD31)),"INVALID – completion time missing",IF(TRIM(T31)="","INVALID – PIC missing",IF(TRIM(Z31)="","INVALID – evidence missing",IF(TRIM(AE31)="","INVALID – verifier missing",IF(AND(AQ31=1,TRIM(W31)=""),"INVALID – batch ID missing",IF(AND(AR31=1,OR(NOT(ISNUMBER(X31)),NOT(ISNUMBER(Y31)))),"INVALID – expected/actual qty missing",IF(IF(AND(TRIM(U31)="Pass",ISNUMBER(AF31)),IF(AF31&lt;&gt;0,"INVALID – qty variance: use Fail or Pass after CA",""),"")&amp;IF(AND(TRIM(U31)="Pass",AB31="Open"),"INVALID – corrective action still open: use Fail, then Pass after CA","")&amp;IF(AND(TRIM(U31)="Pass after CA",OR(TRIM(AA31)="",AB31&lt;&gt;"Closed")),"INVALID – corrective action not recorded/closed","")&lt;&gt;"",IF(AND(TRIM(U31)="Pass",ISNUMBER(AF31)),IF(AF31&lt;&gt;0,"INVALID – qty variance: use Fail or Pass after CA",""),"")&amp;IF(AND(TRIM(U31)="Pass",AB31="Open"),"INVALID – corrective action still open: use Fail, then Pass after CA","")&amp;IF(AND(TRIM(U31)="Pass after CA",OR(TRIM(AA31)="",AB31&lt;&gt;"Closed")),"INVALID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window"),IF(AG31&gt;Flights!$AA$6,"INVALID – completed after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f>
        <v/>
      </c>
      <c r="AI31" s="67">
        <f>IF(OR(AH31="N/A – RULE",AH31="N/A – JUSTIFIED"),0,1)</f>
        <v/>
      </c>
      <c r="AJ31" s="67">
        <f>IF(LEFT(AH31,8)="COMPLETE",1,0)</f>
        <v/>
      </c>
      <c r="AK31" s="67">
        <f>IF(AND(AI31=1,AJ31=0,AsOfUTC&gt;Q31),1,0)</f>
        <v/>
      </c>
      <c r="AL31" s="67">
        <f>IF(AND(AI31=1,OR(TRIM(U31)="Fail",AB31="Open",AND(ISNUMBER(AF31),AF31&lt;&gt;0,TRIM(U31)&lt;&gt;"Pass after CA"))),1,0)</f>
        <v/>
      </c>
      <c r="AM31" s="67">
        <f>IF(LEFT(AH31,7)="INVALID",1,0)</f>
        <v/>
      </c>
      <c r="AN31" s="67">
        <f>IF(AND(N31="Clarification required",AI31=1,AJ31=0),1,0)</f>
        <v/>
      </c>
      <c r="AO31" s="67">
        <f>IF(AK31=1,SUM(AK$5:AK31),"")</f>
        <v/>
      </c>
      <c r="AP31" s="67">
        <f>IF(AL31=1,SUM(AL$5:AL31),"")</f>
        <v/>
      </c>
      <c r="AQ31" s="67" t="n">
        <v>0</v>
      </c>
      <c r="AR31" s="67" t="n">
        <v>0</v>
      </c>
      <c r="AS31" s="67" t="n">
        <v>0</v>
      </c>
      <c r="AT31" s="67" t="n">
        <v>1</v>
      </c>
    </row>
    <row r="32" ht="41.5" customHeight="1">
      <c r="A32" s="63" t="inlineStr">
        <is>
          <t>F02-T7-03</t>
        </is>
      </c>
      <c r="B32" s="63" t="inlineStr">
        <is>
          <t>F02</t>
        </is>
      </c>
      <c r="C32" s="63">
        <f>Flights!$F$6</f>
        <v/>
      </c>
      <c r="D32" s="64">
        <f>Flights!$D$6</f>
        <v/>
      </c>
      <c r="E32" s="63">
        <f>Flights!$G$6&amp;"-"&amp;Flights!$H$6</f>
        <v/>
      </c>
      <c r="F32" s="63">
        <f>Flights!$K$6</f>
        <v/>
      </c>
      <c r="G32" s="63" t="inlineStr">
        <is>
          <t>T-7D</t>
        </is>
      </c>
      <c r="H32" s="63" t="inlineStr">
        <is>
          <t>Preparation</t>
        </is>
      </c>
      <c r="I32" s="63" t="inlineStr">
        <is>
          <t>IFE</t>
        </is>
      </c>
      <c r="J32" s="63" t="inlineStr">
        <is>
          <t>Digital menu in IFE confirmed (A339 only)</t>
        </is>
      </c>
      <c r="K32" s="73" t="inlineStr">
        <is>
          <t>Applies when fleet = A339</t>
        </is>
      </c>
      <c r="L32" s="73" t="inlineStr">
        <is>
          <t>User brief (T-7 days)</t>
        </is>
      </c>
      <c r="M32" s="73" t="inlineStr"/>
      <c r="N32" s="73">
        <f>IF(TRIM(Flights!$L$6)="A339","Required","N/A – rule")</f>
        <v/>
      </c>
      <c r="O32" s="73" t="inlineStr">
        <is>
          <t>Digital IFE menu applies to A339 only (user brief). Applicability follows the Fleet cell on Flights.</t>
        </is>
      </c>
      <c r="P32" s="63" t="inlineStr">
        <is>
          <t>KUL</t>
        </is>
      </c>
      <c r="Q32" s="65">
        <f>Flights!$AC$6</f>
        <v/>
      </c>
      <c r="R32" s="65">
        <f>Q32+(IF(AND(INDEX(TZ_DSTS,MATCH(P32,TZ_STN,0))&lt;&gt;"",Q32&gt;=INDEX(TZ_DSTS,MATCH(P32,TZ_STN,0)),Q32&lt;INDEX(TZ_DSTE,MATCH(P32,TZ_STN,0))),INDEX(TZ_DST,MATCH(P32,TZ_STN,0)),INDEX(TZ_STD,MATCH(P32,TZ_STN,0))))/24</f>
        <v/>
      </c>
      <c r="S32" s="65" t="inlineStr"/>
      <c r="T32" s="66" t="n"/>
      <c r="U32" s="66" t="n"/>
      <c r="V32" s="66" t="n"/>
      <c r="W32" s="67" t="n"/>
      <c r="X32" s="66" t="n"/>
      <c r="Y32" s="66" t="n"/>
      <c r="Z32" s="66" t="n"/>
      <c r="AA32" s="66" t="n"/>
      <c r="AB32" s="66" t="n"/>
      <c r="AC32" s="66" t="n"/>
      <c r="AD32" s="72" t="n"/>
      <c r="AE32" s="66" t="n"/>
      <c r="AF32" s="67">
        <f>IF(AND(ISNUMBER(X32),ISNUMBER(Y32)),Y32-X32,"")</f>
        <v/>
      </c>
      <c r="AG32" s="68">
        <f>IF(ISNUMBER(AD32),AD32-(IF(AND(INDEX(TZ_DSTS,MATCH(P32,TZ_STN,0))&lt;&gt;"",(AD32-INDEX(TZ_STD,MATCH(P32,TZ_STN,0))/24)&gt;=INDEX(TZ_DSTS,MATCH(P32,TZ_STN,0)),(AD32-INDEX(TZ_STD,MATCH(P32,TZ_STN,0))/24)&lt;INDEX(TZ_DSTE,MATCH(P32,TZ_STN,0))),INDEX(TZ_DST,MATCH(P32,TZ_STN,0)),INDEX(TZ_STD,MATCH(P32,TZ_STN,0))))/24,"")</f>
        <v/>
      </c>
      <c r="AH32" s="71">
        <f>IF(N32="N/A – rule","N/A – RULE",IF(TRIM(U32)="N/A",IF(AT32=0,"INVALID – N/A not permitted for this mandatory check",IF(AND(TRIM(AC32)&lt;&gt;"",TRIM(AE32)&lt;&gt;"",TRIM(T32)&lt;&gt;""),"N/A – JUSTIFIED","INVALID – N/A needs justification, PIC and verifier")),IF(OR(TRIM(U32)="Pass",TRIM(U32)="Pass after CA"),IF(NOT(ISNUMBER(AD32)),"INVALID – completion time missing",IF(TRIM(T32)="","INVALID – PIC missing",IF(TRIM(Z32)="","INVALID – evidence missing",IF(TRIM(AE32)="","INVALID – verifier missing",IF(AND(AQ32=1,TRIM(W32)=""),"INVALID – batch ID missing",IF(AND(AR32=1,OR(NOT(ISNUMBER(X32)),NOT(ISNUMBER(Y32)))),"INVALID – expected/actual qty missing",IF(IF(AND(TRIM(U32)="Pass",ISNUMBER(AF32)),IF(AF32&lt;&gt;0,"INVALID – qty variance: use Fail or Pass after CA",""),"")&amp;IF(AND(TRIM(U32)="Pass",AB32="Open"),"INVALID – corrective action still open: use Fail, then Pass after CA","")&amp;IF(AND(TRIM(U32)="Pass after CA",OR(TRIM(AA32)="",AB32&lt;&gt;"Closed")),"INVALID – corrective action not recorded/closed","")&lt;&gt;"",IF(AND(TRIM(U32)="Pass",ISNUMBER(AF32)),IF(AF32&lt;&gt;0,"INVALID – qty variance: use Fail or Pass after CA",""),"")&amp;IF(AND(TRIM(U32)="Pass",AB32="Open"),"INVALID – corrective action still open: use Fail, then Pass after CA","")&amp;IF(AND(TRIM(U32)="Pass after CA",OR(TRIM(AA32)="",AB32&lt;&gt;"Closed")),"INVALID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window"),IF(AG32&gt;Flights!$AA$6,"INVALID – completed after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f>
        <v/>
      </c>
      <c r="AI32" s="67">
        <f>IF(OR(AH32="N/A – RULE",AH32="N/A – JUSTIFIED"),0,1)</f>
        <v/>
      </c>
      <c r="AJ32" s="67">
        <f>IF(LEFT(AH32,8)="COMPLETE",1,0)</f>
        <v/>
      </c>
      <c r="AK32" s="67">
        <f>IF(AND(AI32=1,AJ32=0,AsOfUTC&gt;Q32),1,0)</f>
        <v/>
      </c>
      <c r="AL32" s="67">
        <f>IF(AND(AI32=1,OR(TRIM(U32)="Fail",AB32="Open",AND(ISNUMBER(AF32),AF32&lt;&gt;0,TRIM(U32)&lt;&gt;"Pass after CA"))),1,0)</f>
        <v/>
      </c>
      <c r="AM32" s="67">
        <f>IF(LEFT(AH32,7)="INVALID",1,0)</f>
        <v/>
      </c>
      <c r="AN32" s="67">
        <f>IF(AND(N32="Clarification required",AI32=1,AJ32=0),1,0)</f>
        <v/>
      </c>
      <c r="AO32" s="67">
        <f>IF(AK32=1,SUM(AK$5:AK32),"")</f>
        <v/>
      </c>
      <c r="AP32" s="67">
        <f>IF(AL32=1,SUM(AL$5:AL32),"")</f>
        <v/>
      </c>
      <c r="AQ32" s="67" t="n">
        <v>0</v>
      </c>
      <c r="AR32" s="67" t="n">
        <v>0</v>
      </c>
      <c r="AS32" s="67" t="n">
        <v>0</v>
      </c>
      <c r="AT32" s="67" t="n">
        <v>0</v>
      </c>
    </row>
    <row r="33" ht="40" customHeight="1">
      <c r="A33" s="63" t="inlineStr">
        <is>
          <t>F02-T7-04</t>
        </is>
      </c>
      <c r="B33" s="63" t="inlineStr">
        <is>
          <t>F02</t>
        </is>
      </c>
      <c r="C33" s="63">
        <f>Flights!$F$6</f>
        <v/>
      </c>
      <c r="D33" s="64">
        <f>Flights!$D$6</f>
        <v/>
      </c>
      <c r="E33" s="63">
        <f>Flights!$G$6&amp;"-"&amp;Flights!$H$6</f>
        <v/>
      </c>
      <c r="F33" s="63">
        <f>Flights!$K$6</f>
        <v/>
      </c>
      <c r="G33" s="63" t="inlineStr">
        <is>
          <t>T-7D</t>
        </is>
      </c>
      <c r="H33" s="63" t="inlineStr">
        <is>
          <t>Preparation</t>
        </is>
      </c>
      <c r="I33" s="63" t="inlineStr">
        <is>
          <t>Staffing</t>
        </is>
      </c>
      <c r="J33" s="63" t="inlineStr">
        <is>
          <t>Experienced catering officer assigned to this flight</t>
        </is>
      </c>
      <c r="K33" s="73" t="inlineStr">
        <is>
          <t>Record officer name in Result</t>
        </is>
      </c>
      <c r="L33" s="73" t="inlineStr">
        <is>
          <t>User brief (T-7 days)</t>
        </is>
      </c>
      <c r="M33" s="73" t="inlineStr"/>
      <c r="N33" s="73" t="inlineStr">
        <is>
          <t>Required</t>
        </is>
      </c>
      <c r="O33" s="73" t="inlineStr"/>
      <c r="P33" s="63" t="inlineStr">
        <is>
          <t>KUL</t>
        </is>
      </c>
      <c r="Q33" s="65">
        <f>Flights!$AC$6</f>
        <v/>
      </c>
      <c r="R33" s="65">
        <f>Q33+(IF(AND(INDEX(TZ_DSTS,MATCH(P33,TZ_STN,0))&lt;&gt;"",Q33&gt;=INDEX(TZ_DSTS,MATCH(P33,TZ_STN,0)),Q33&lt;INDEX(TZ_DSTE,MATCH(P33,TZ_STN,0))),INDEX(TZ_DST,MATCH(P33,TZ_STN,0)),INDEX(TZ_STD,MATCH(P33,TZ_STN,0))))/24</f>
        <v/>
      </c>
      <c r="S33" s="65" t="inlineStr"/>
      <c r="T33" s="66" t="n"/>
      <c r="U33" s="66" t="n"/>
      <c r="V33" s="66" t="n"/>
      <c r="W33" s="67" t="n"/>
      <c r="X33" s="66" t="n"/>
      <c r="Y33" s="66" t="n"/>
      <c r="Z33" s="66" t="n"/>
      <c r="AA33" s="66" t="n"/>
      <c r="AB33" s="66" t="n"/>
      <c r="AC33" s="66" t="n"/>
      <c r="AD33" s="72" t="n"/>
      <c r="AE33" s="66" t="n"/>
      <c r="AF33" s="67">
        <f>IF(AND(ISNUMBER(X33),ISNUMBER(Y33)),Y33-X33,"")</f>
        <v/>
      </c>
      <c r="AG33" s="68">
        <f>IF(ISNUMBER(AD33),AD33-(IF(AND(INDEX(TZ_DSTS,MATCH(P33,TZ_STN,0))&lt;&gt;"",(AD33-INDEX(TZ_STD,MATCH(P33,TZ_STN,0))/24)&gt;=INDEX(TZ_DSTS,MATCH(P33,TZ_STN,0)),(AD33-INDEX(TZ_STD,MATCH(P33,TZ_STN,0))/24)&lt;INDEX(TZ_DSTE,MATCH(P33,TZ_STN,0))),INDEX(TZ_DST,MATCH(P33,TZ_STN,0)),INDEX(TZ_STD,MATCH(P33,TZ_STN,0))))/24,"")</f>
        <v/>
      </c>
      <c r="AH33" s="71">
        <f>IF(N33="N/A – rule","N/A – RULE",IF(TRIM(U33)="N/A",IF(AT33=0,"INVALID – N/A not permitted for this mandatory check",IF(AND(TRIM(AC33)&lt;&gt;"",TRIM(AE33)&lt;&gt;"",TRIM(T33)&lt;&gt;""),"N/A – JUSTIFIED","INVALID – N/A needs justification, PIC and verifier")),IF(OR(TRIM(U33)="Pass",TRIM(U33)="Pass after CA"),IF(NOT(ISNUMBER(AD33)),"INVALID – completion time missing",IF(TRIM(T33)="","INVALID – PIC missing",IF(TRIM(Z33)="","INVALID – evidence missing",IF(TRIM(AE33)="","INVALID – verifier missing",IF(AND(AQ33=1,TRIM(W33)=""),"INVALID – batch ID missing",IF(AND(AR33=1,OR(NOT(ISNUMBER(X33)),NOT(ISNUMBER(Y33)))),"INVALID – expected/actual qty missing",IF(IF(AND(TRIM(U33)="Pass",ISNUMBER(AF33)),IF(AF33&lt;&gt;0,"INVALID – qty variance: use Fail or Pass after CA",""),"")&amp;IF(AND(TRIM(U33)="Pass",AB33="Open"),"INVALID – corrective action still open: use Fail, then Pass after CA","")&amp;IF(AND(TRIM(U33)="Pass after CA",OR(TRIM(AA33)="",AB33&lt;&gt;"Closed")),"INVALID – corrective action not recorded/closed","")&lt;&gt;"",IF(AND(TRIM(U33)="Pass",ISNUMBER(AF33)),IF(AF33&lt;&gt;0,"INVALID – qty variance: use Fail or Pass after CA",""),"")&amp;IF(AND(TRIM(U33)="Pass",AB33="Open"),"INVALID – corrective action still open: use Fail, then Pass after CA","")&amp;IF(AND(TRIM(U33)="Pass after CA",OR(TRIM(AA33)="",AB33&lt;&gt;"Closed")),"INVALID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window"),IF(AG33&gt;Flights!$AA$6,"INVALID – completed after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f>
        <v/>
      </c>
      <c r="AI33" s="67">
        <f>IF(OR(AH33="N/A – RULE",AH33="N/A – JUSTIFIED"),0,1)</f>
        <v/>
      </c>
      <c r="AJ33" s="67">
        <f>IF(LEFT(AH33,8)="COMPLETE",1,0)</f>
        <v/>
      </c>
      <c r="AK33" s="67">
        <f>IF(AND(AI33=1,AJ33=0,AsOfUTC&gt;Q33),1,0)</f>
        <v/>
      </c>
      <c r="AL33" s="67">
        <f>IF(AND(AI33=1,OR(TRIM(U33)="Fail",AB33="Open",AND(ISNUMBER(AF33),AF33&lt;&gt;0,TRIM(U33)&lt;&gt;"Pass after CA"))),1,0)</f>
        <v/>
      </c>
      <c r="AM33" s="67">
        <f>IF(LEFT(AH33,7)="INVALID",1,0)</f>
        <v/>
      </c>
      <c r="AN33" s="67">
        <f>IF(AND(N33="Clarification required",AI33=1,AJ33=0),1,0)</f>
        <v/>
      </c>
      <c r="AO33" s="67">
        <f>IF(AK33=1,SUM(AK$5:AK33),"")</f>
        <v/>
      </c>
      <c r="AP33" s="67">
        <f>IF(AL33=1,SUM(AL$5:AL33),"")</f>
        <v/>
      </c>
      <c r="AQ33" s="67" t="n">
        <v>0</v>
      </c>
      <c r="AR33" s="67" t="n">
        <v>0</v>
      </c>
      <c r="AS33" s="67" t="n">
        <v>0</v>
      </c>
      <c r="AT33" s="67" t="n">
        <v>0</v>
      </c>
    </row>
    <row r="34" ht="40" customHeight="1">
      <c r="A34" s="63" t="inlineStr">
        <is>
          <t>F02-T7-05</t>
        </is>
      </c>
      <c r="B34" s="63" t="inlineStr">
        <is>
          <t>F02</t>
        </is>
      </c>
      <c r="C34" s="63">
        <f>Flights!$F$6</f>
        <v/>
      </c>
      <c r="D34" s="64">
        <f>Flights!$D$6</f>
        <v/>
      </c>
      <c r="E34" s="63">
        <f>Flights!$G$6&amp;"-"&amp;Flights!$H$6</f>
        <v/>
      </c>
      <c r="F34" s="63">
        <f>Flights!$K$6</f>
        <v/>
      </c>
      <c r="G34" s="63" t="inlineStr">
        <is>
          <t>T-7D</t>
        </is>
      </c>
      <c r="H34" s="63" t="inlineStr">
        <is>
          <t>Preparation</t>
        </is>
      </c>
      <c r="I34" s="63" t="inlineStr">
        <is>
          <t>ISOP</t>
        </is>
      </c>
      <c r="J34" s="63" t="inlineStr">
        <is>
          <t>All latest applicable ISOP revisions communicated to caterer</t>
        </is>
      </c>
      <c r="K34" s="73" t="inlineStr">
        <is>
          <t>List revision numbers in Result (see ISOP register)</t>
        </is>
      </c>
      <c r="L34" s="73" t="inlineStr">
        <is>
          <t>User brief (T-7 days)</t>
        </is>
      </c>
      <c r="M34" s="73" t="inlineStr"/>
      <c r="N34" s="73" t="inlineStr">
        <is>
          <t>Required</t>
        </is>
      </c>
      <c r="O34" s="73" t="inlineStr"/>
      <c r="P34" s="63" t="inlineStr">
        <is>
          <t>KUL</t>
        </is>
      </c>
      <c r="Q34" s="65">
        <f>Flights!$AC$6</f>
        <v/>
      </c>
      <c r="R34" s="65">
        <f>Q34+(IF(AND(INDEX(TZ_DSTS,MATCH(P34,TZ_STN,0))&lt;&gt;"",Q34&gt;=INDEX(TZ_DSTS,MATCH(P34,TZ_STN,0)),Q34&lt;INDEX(TZ_DSTE,MATCH(P34,TZ_STN,0))),INDEX(TZ_DST,MATCH(P34,TZ_STN,0)),INDEX(TZ_STD,MATCH(P34,TZ_STN,0))))/24</f>
        <v/>
      </c>
      <c r="S34" s="65" t="inlineStr"/>
      <c r="T34" s="66" t="n"/>
      <c r="U34" s="66" t="n"/>
      <c r="V34" s="66" t="n"/>
      <c r="W34" s="67" t="n"/>
      <c r="X34" s="66" t="n"/>
      <c r="Y34" s="66" t="n"/>
      <c r="Z34" s="66" t="n"/>
      <c r="AA34" s="66" t="n"/>
      <c r="AB34" s="66" t="n"/>
      <c r="AC34" s="66" t="n"/>
      <c r="AD34" s="72" t="n"/>
      <c r="AE34" s="66" t="n"/>
      <c r="AF34" s="67">
        <f>IF(AND(ISNUMBER(X34),ISNUMBER(Y34)),Y34-X34,"")</f>
        <v/>
      </c>
      <c r="AG34" s="68">
        <f>IF(ISNUMBER(AD34),AD34-(IF(AND(INDEX(TZ_DSTS,MATCH(P34,TZ_STN,0))&lt;&gt;"",(AD34-INDEX(TZ_STD,MATCH(P34,TZ_STN,0))/24)&gt;=INDEX(TZ_DSTS,MATCH(P34,TZ_STN,0)),(AD34-INDEX(TZ_STD,MATCH(P34,TZ_STN,0))/24)&lt;INDEX(TZ_DSTE,MATCH(P34,TZ_STN,0))),INDEX(TZ_DST,MATCH(P34,TZ_STN,0)),INDEX(TZ_STD,MATCH(P34,TZ_STN,0))))/24,"")</f>
        <v/>
      </c>
      <c r="AH34" s="71">
        <f>IF(N34="N/A – rule","N/A – RULE",IF(TRIM(U34)="N/A",IF(AT34=0,"INVALID – N/A not permitted for this mandatory check",IF(AND(TRIM(AC34)&lt;&gt;"",TRIM(AE34)&lt;&gt;"",TRIM(T34)&lt;&gt;""),"N/A – JUSTIFIED","INVALID – N/A needs justification, PIC and verifier")),IF(OR(TRIM(U34)="Pass",TRIM(U34)="Pass after CA"),IF(NOT(ISNUMBER(AD34)),"INVALID – completion time missing",IF(TRIM(T34)="","INVALID – PIC missing",IF(TRIM(Z34)="","INVALID – evidence missing",IF(TRIM(AE34)="","INVALID – verifier missing",IF(AND(AQ34=1,TRIM(W34)=""),"INVALID – batch ID missing",IF(AND(AR34=1,OR(NOT(ISNUMBER(X34)),NOT(ISNUMBER(Y34)))),"INVALID – expected/actual qty missing",IF(IF(AND(TRIM(U34)="Pass",ISNUMBER(AF34)),IF(AF34&lt;&gt;0,"INVALID – qty variance: use Fail or Pass after CA",""),"")&amp;IF(AND(TRIM(U34)="Pass",AB34="Open"),"INVALID – corrective action still open: use Fail, then Pass after CA","")&amp;IF(AND(TRIM(U34)="Pass after CA",OR(TRIM(AA34)="",AB34&lt;&gt;"Closed")),"INVALID – corrective action not recorded/closed","")&lt;&gt;"",IF(AND(TRIM(U34)="Pass",ISNUMBER(AF34)),IF(AF34&lt;&gt;0,"INVALID – qty variance: use Fail or Pass after CA",""),"")&amp;IF(AND(TRIM(U34)="Pass",AB34="Open"),"INVALID – corrective action still open: use Fail, then Pass after CA","")&amp;IF(AND(TRIM(U34)="Pass after CA",OR(TRIM(AA34)="",AB34&lt;&gt;"Closed")),"INVALID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window"),IF(AG34&gt;Flights!$AA$6,"INVALID – completed after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f>
        <v/>
      </c>
      <c r="AI34" s="67">
        <f>IF(OR(AH34="N/A – RULE",AH34="N/A – JUSTIFIED"),0,1)</f>
        <v/>
      </c>
      <c r="AJ34" s="67">
        <f>IF(LEFT(AH34,8)="COMPLETE",1,0)</f>
        <v/>
      </c>
      <c r="AK34" s="67">
        <f>IF(AND(AI34=1,AJ34=0,AsOfUTC&gt;Q34),1,0)</f>
        <v/>
      </c>
      <c r="AL34" s="67">
        <f>IF(AND(AI34=1,OR(TRIM(U34)="Fail",AB34="Open",AND(ISNUMBER(AF34),AF34&lt;&gt;0,TRIM(U34)&lt;&gt;"Pass after CA"))),1,0)</f>
        <v/>
      </c>
      <c r="AM34" s="67">
        <f>IF(LEFT(AH34,7)="INVALID",1,0)</f>
        <v/>
      </c>
      <c r="AN34" s="67">
        <f>IF(AND(N34="Clarification required",AI34=1,AJ34=0),1,0)</f>
        <v/>
      </c>
      <c r="AO34" s="67">
        <f>IF(AK34=1,SUM(AK$5:AK34),"")</f>
        <v/>
      </c>
      <c r="AP34" s="67">
        <f>IF(AL34=1,SUM(AL$5:AL34),"")</f>
        <v/>
      </c>
      <c r="AQ34" s="67" t="n">
        <v>0</v>
      </c>
      <c r="AR34" s="67" t="n">
        <v>0</v>
      </c>
      <c r="AS34" s="67" t="n">
        <v>0</v>
      </c>
      <c r="AT34" s="67" t="n">
        <v>0</v>
      </c>
    </row>
    <row r="35" ht="40" customHeight="1">
      <c r="A35" s="63" t="inlineStr">
        <is>
          <t>F02-T7-06</t>
        </is>
      </c>
      <c r="B35" s="63" t="inlineStr">
        <is>
          <t>F02</t>
        </is>
      </c>
      <c r="C35" s="63">
        <f>Flights!$F$6</f>
        <v/>
      </c>
      <c r="D35" s="64">
        <f>Flights!$D$6</f>
        <v/>
      </c>
      <c r="E35" s="63">
        <f>Flights!$G$6&amp;"-"&amp;Flights!$H$6</f>
        <v/>
      </c>
      <c r="F35" s="63">
        <f>Flights!$K$6</f>
        <v/>
      </c>
      <c r="G35" s="63" t="inlineStr">
        <is>
          <t>T-7D</t>
        </is>
      </c>
      <c r="H35" s="63" t="inlineStr">
        <is>
          <t>Preparation</t>
        </is>
      </c>
      <c r="I35" s="63" t="inlineStr">
        <is>
          <t>ISOP</t>
        </is>
      </c>
      <c r="J35" s="63" t="inlineStr">
        <is>
          <t>Caterer acknowledgement of ISOP revisions recorded</t>
        </is>
      </c>
      <c r="K35" s="73" t="inlineStr">
        <is>
          <t>Record acknowledgement ref in Evidence</t>
        </is>
      </c>
      <c r="L35" s="73" t="inlineStr">
        <is>
          <t>User brief (T-7 days)</t>
        </is>
      </c>
      <c r="M35" s="73" t="inlineStr"/>
      <c r="N35" s="73" t="inlineStr">
        <is>
          <t>Required</t>
        </is>
      </c>
      <c r="O35" s="73" t="inlineStr"/>
      <c r="P35" s="63" t="inlineStr">
        <is>
          <t>KUL</t>
        </is>
      </c>
      <c r="Q35" s="65">
        <f>Flights!$AC$6</f>
        <v/>
      </c>
      <c r="R35" s="65">
        <f>Q35+(IF(AND(INDEX(TZ_DSTS,MATCH(P35,TZ_STN,0))&lt;&gt;"",Q35&gt;=INDEX(TZ_DSTS,MATCH(P35,TZ_STN,0)),Q35&lt;INDEX(TZ_DSTE,MATCH(P35,TZ_STN,0))),INDEX(TZ_DST,MATCH(P35,TZ_STN,0)),INDEX(TZ_STD,MATCH(P35,TZ_STN,0))))/24</f>
        <v/>
      </c>
      <c r="S35" s="65" t="inlineStr"/>
      <c r="T35" s="66" t="n"/>
      <c r="U35" s="66" t="n"/>
      <c r="V35" s="66" t="n"/>
      <c r="W35" s="67" t="n"/>
      <c r="X35" s="66" t="n"/>
      <c r="Y35" s="66" t="n"/>
      <c r="Z35" s="66" t="n"/>
      <c r="AA35" s="66" t="n"/>
      <c r="AB35" s="66" t="n"/>
      <c r="AC35" s="66" t="n"/>
      <c r="AD35" s="72" t="n"/>
      <c r="AE35" s="66" t="n"/>
      <c r="AF35" s="67">
        <f>IF(AND(ISNUMBER(X35),ISNUMBER(Y35)),Y35-X35,"")</f>
        <v/>
      </c>
      <c r="AG35" s="68">
        <f>IF(ISNUMBER(AD35),AD35-(IF(AND(INDEX(TZ_DSTS,MATCH(P35,TZ_STN,0))&lt;&gt;"",(AD35-INDEX(TZ_STD,MATCH(P35,TZ_STN,0))/24)&gt;=INDEX(TZ_DSTS,MATCH(P35,TZ_STN,0)),(AD35-INDEX(TZ_STD,MATCH(P35,TZ_STN,0))/24)&lt;INDEX(TZ_DSTE,MATCH(P35,TZ_STN,0))),INDEX(TZ_DST,MATCH(P35,TZ_STN,0)),INDEX(TZ_STD,MATCH(P35,TZ_STN,0))))/24,"")</f>
        <v/>
      </c>
      <c r="AH35" s="71">
        <f>IF(N35="N/A – rule","N/A – RULE",IF(TRIM(U35)="N/A",IF(AT35=0,"INVALID – N/A not permitted for this mandatory check",IF(AND(TRIM(AC35)&lt;&gt;"",TRIM(AE35)&lt;&gt;"",TRIM(T35)&lt;&gt;""),"N/A – JUSTIFIED","INVALID – N/A needs justification, PIC and verifier")),IF(OR(TRIM(U35)="Pass",TRIM(U35)="Pass after CA"),IF(NOT(ISNUMBER(AD35)),"INVALID – completion time missing",IF(TRIM(T35)="","INVALID – PIC missing",IF(TRIM(Z35)="","INVALID – evidence missing",IF(TRIM(AE35)="","INVALID – verifier missing",IF(AND(AQ35=1,TRIM(W35)=""),"INVALID – batch ID missing",IF(AND(AR35=1,OR(NOT(ISNUMBER(X35)),NOT(ISNUMBER(Y35)))),"INVALID – expected/actual qty missing",IF(IF(AND(TRIM(U35)="Pass",ISNUMBER(AF35)),IF(AF35&lt;&gt;0,"INVALID – qty variance: use Fail or Pass after CA",""),"")&amp;IF(AND(TRIM(U35)="Pass",AB35="Open"),"INVALID – corrective action still open: use Fail, then Pass after CA","")&amp;IF(AND(TRIM(U35)="Pass after CA",OR(TRIM(AA35)="",AB35&lt;&gt;"Closed")),"INVALID – corrective action not recorded/closed","")&lt;&gt;"",IF(AND(TRIM(U35)="Pass",ISNUMBER(AF35)),IF(AF35&lt;&gt;0,"INVALID – qty variance: use Fail or Pass after CA",""),"")&amp;IF(AND(TRIM(U35)="Pass",AB35="Open"),"INVALID – corrective action still open: use Fail, then Pass after CA","")&amp;IF(AND(TRIM(U35)="Pass after CA",OR(TRIM(AA35)="",AB35&lt;&gt;"Closed")),"INVALID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window"),IF(AG35&gt;Flights!$AA$6,"INVALID – completed after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f>
        <v/>
      </c>
      <c r="AI35" s="67">
        <f>IF(OR(AH35="N/A – RULE",AH35="N/A – JUSTIFIED"),0,1)</f>
        <v/>
      </c>
      <c r="AJ35" s="67">
        <f>IF(LEFT(AH35,8)="COMPLETE",1,0)</f>
        <v/>
      </c>
      <c r="AK35" s="67">
        <f>IF(AND(AI35=1,AJ35=0,AsOfUTC&gt;Q35),1,0)</f>
        <v/>
      </c>
      <c r="AL35" s="67">
        <f>IF(AND(AI35=1,OR(TRIM(U35)="Fail",AB35="Open",AND(ISNUMBER(AF35),AF35&lt;&gt;0,TRIM(U35)&lt;&gt;"Pass after CA"))),1,0)</f>
        <v/>
      </c>
      <c r="AM35" s="67">
        <f>IF(LEFT(AH35,7)="INVALID",1,0)</f>
        <v/>
      </c>
      <c r="AN35" s="67">
        <f>IF(AND(N35="Clarification required",AI35=1,AJ35=0),1,0)</f>
        <v/>
      </c>
      <c r="AO35" s="67">
        <f>IF(AK35=1,SUM(AK$5:AK35),"")</f>
        <v/>
      </c>
      <c r="AP35" s="67">
        <f>IF(AL35=1,SUM(AL$5:AL35),"")</f>
        <v/>
      </c>
      <c r="AQ35" s="67" t="n">
        <v>0</v>
      </c>
      <c r="AR35" s="67" t="n">
        <v>0</v>
      </c>
      <c r="AS35" s="67" t="n">
        <v>0</v>
      </c>
      <c r="AT35" s="67" t="n">
        <v>0</v>
      </c>
    </row>
    <row r="36" ht="40" customHeight="1">
      <c r="A36" s="63" t="inlineStr">
        <is>
          <t>F02-T7-07</t>
        </is>
      </c>
      <c r="B36" s="63" t="inlineStr">
        <is>
          <t>F02</t>
        </is>
      </c>
      <c r="C36" s="63">
        <f>Flights!$F$6</f>
        <v/>
      </c>
      <c r="D36" s="64">
        <f>Flights!$D$6</f>
        <v/>
      </c>
      <c r="E36" s="63">
        <f>Flights!$G$6&amp;"-"&amp;Flights!$H$6</f>
        <v/>
      </c>
      <c r="F36" s="63">
        <f>Flights!$K$6</f>
        <v/>
      </c>
      <c r="G36" s="63" t="inlineStr">
        <is>
          <t>T-7D</t>
        </is>
      </c>
      <c r="H36" s="63" t="inlineStr">
        <is>
          <t>Preparation</t>
        </is>
      </c>
      <c r="I36" s="63" t="inlineStr">
        <is>
          <t>Documents</t>
        </is>
      </c>
      <c r="J36" s="63" t="inlineStr">
        <is>
          <t>Galley loading diagram (GLD) received, revision recorded &amp; attached</t>
        </is>
      </c>
      <c r="K36" s="73" t="inlineStr">
        <is>
          <t>Documents sheet row complete</t>
        </is>
      </c>
      <c r="L36" s="73" t="inlineStr">
        <is>
          <t>User brief (T-7 days)</t>
        </is>
      </c>
      <c r="M36" s="73" t="inlineStr"/>
      <c r="N36" s="73" t="inlineStr">
        <is>
          <t>Required</t>
        </is>
      </c>
      <c r="O36" s="73" t="inlineStr"/>
      <c r="P36" s="63" t="inlineStr">
        <is>
          <t>KUL</t>
        </is>
      </c>
      <c r="Q36" s="65">
        <f>Flights!$AC$6</f>
        <v/>
      </c>
      <c r="R36" s="65">
        <f>Q36+(IF(AND(INDEX(TZ_DSTS,MATCH(P36,TZ_STN,0))&lt;&gt;"",Q36&gt;=INDEX(TZ_DSTS,MATCH(P36,TZ_STN,0)),Q36&lt;INDEX(TZ_DSTE,MATCH(P36,TZ_STN,0))),INDEX(TZ_DST,MATCH(P36,TZ_STN,0)),INDEX(TZ_STD,MATCH(P36,TZ_STN,0))))/24</f>
        <v/>
      </c>
      <c r="S36" s="65" t="inlineStr"/>
      <c r="T36" s="66" t="n"/>
      <c r="U36" s="66" t="n"/>
      <c r="V36" s="66" t="n"/>
      <c r="W36" s="67" t="n"/>
      <c r="X36" s="66" t="n"/>
      <c r="Y36" s="66" t="n"/>
      <c r="Z36" s="66" t="n"/>
      <c r="AA36" s="66" t="n"/>
      <c r="AB36" s="66" t="n"/>
      <c r="AC36" s="66" t="n"/>
      <c r="AD36" s="72" t="n"/>
      <c r="AE36" s="66" t="n"/>
      <c r="AF36" s="67">
        <f>IF(AND(ISNUMBER(X36),ISNUMBER(Y36)),Y36-X36,"")</f>
        <v/>
      </c>
      <c r="AG36" s="68">
        <f>IF(ISNUMBER(AD36),AD36-(IF(AND(INDEX(TZ_DSTS,MATCH(P36,TZ_STN,0))&lt;&gt;"",(AD36-INDEX(TZ_STD,MATCH(P36,TZ_STN,0))/24)&gt;=INDEX(TZ_DSTS,MATCH(P36,TZ_STN,0)),(AD36-INDEX(TZ_STD,MATCH(P36,TZ_STN,0))/24)&lt;INDEX(TZ_DSTE,MATCH(P36,TZ_STN,0))),INDEX(TZ_DST,MATCH(P36,TZ_STN,0)),INDEX(TZ_STD,MATCH(P36,TZ_STN,0))))/24,"")</f>
        <v/>
      </c>
      <c r="AH36" s="71">
        <f>IF(N36="N/A – rule","N/A – RULE",IF(TRIM(U36)="N/A",IF(AT36=0,"INVALID – N/A not permitted for this mandatory check",IF(AND(TRIM(AC36)&lt;&gt;"",TRIM(AE36)&lt;&gt;"",TRIM(T36)&lt;&gt;""),"N/A – JUSTIFIED","INVALID – N/A needs justification, PIC and verifier")),IF(OR(TRIM(U36)="Pass",TRIM(U36)="Pass after CA"),IF(NOT(ISNUMBER(AD36)),"INVALID – completion time missing",IF(TRIM(T36)="","INVALID – PIC missing",IF(TRIM(Z36)="","INVALID – evidence missing",IF(TRIM(AE36)="","INVALID – verifier missing",IF(AND(AQ36=1,TRIM(W36)=""),"INVALID – batch ID missing",IF(AND(AR36=1,OR(NOT(ISNUMBER(X36)),NOT(ISNUMBER(Y36)))),"INVALID – expected/actual qty missing",IF(IF(AND(TRIM(U36)="Pass",ISNUMBER(AF36)),IF(AF36&lt;&gt;0,"INVALID – qty variance: use Fail or Pass after CA",""),"")&amp;IF(AND(TRIM(U36)="Pass",AB36="Open"),"INVALID – corrective action still open: use Fail, then Pass after CA","")&amp;IF(AND(TRIM(U36)="Pass after CA",OR(TRIM(AA36)="",AB36&lt;&gt;"Closed")),"INVALID – corrective action not recorded/closed","")&lt;&gt;"",IF(AND(TRIM(U36)="Pass",ISNUMBER(AF36)),IF(AF36&lt;&gt;0,"INVALID – qty variance: use Fail or Pass after CA",""),"")&amp;IF(AND(TRIM(U36)="Pass",AB36="Open"),"INVALID – corrective action still open: use Fail, then Pass after CA","")&amp;IF(AND(TRIM(U36)="Pass after CA",OR(TRIM(AA36)="",AB36&lt;&gt;"Closed")),"INVALID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window"),IF(AG36&gt;Flights!$AA$6,"INVALID – completed after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f>
        <v/>
      </c>
      <c r="AI36" s="67">
        <f>IF(OR(AH36="N/A – RULE",AH36="N/A – JUSTIFIED"),0,1)</f>
        <v/>
      </c>
      <c r="AJ36" s="67">
        <f>IF(LEFT(AH36,8)="COMPLETE",1,0)</f>
        <v/>
      </c>
      <c r="AK36" s="67">
        <f>IF(AND(AI36=1,AJ36=0,AsOfUTC&gt;Q36),1,0)</f>
        <v/>
      </c>
      <c r="AL36" s="67">
        <f>IF(AND(AI36=1,OR(TRIM(U36)="Fail",AB36="Open",AND(ISNUMBER(AF36),AF36&lt;&gt;0,TRIM(U36)&lt;&gt;"Pass after CA"))),1,0)</f>
        <v/>
      </c>
      <c r="AM36" s="67">
        <f>IF(LEFT(AH36,7)="INVALID",1,0)</f>
        <v/>
      </c>
      <c r="AN36" s="67">
        <f>IF(AND(N36="Clarification required",AI36=1,AJ36=0),1,0)</f>
        <v/>
      </c>
      <c r="AO36" s="67">
        <f>IF(AK36=1,SUM(AK$5:AK36),"")</f>
        <v/>
      </c>
      <c r="AP36" s="67">
        <f>IF(AL36=1,SUM(AL$5:AL36),"")</f>
        <v/>
      </c>
      <c r="AQ36" s="67" t="n">
        <v>0</v>
      </c>
      <c r="AR36" s="67" t="n">
        <v>0</v>
      </c>
      <c r="AS36" s="67" t="n">
        <v>1</v>
      </c>
      <c r="AT36" s="67" t="n">
        <v>0</v>
      </c>
    </row>
    <row r="37" ht="40" customHeight="1">
      <c r="A37" s="63" t="inlineStr">
        <is>
          <t>F02-T7-08</t>
        </is>
      </c>
      <c r="B37" s="63" t="inlineStr">
        <is>
          <t>F02</t>
        </is>
      </c>
      <c r="C37" s="63">
        <f>Flights!$F$6</f>
        <v/>
      </c>
      <c r="D37" s="64">
        <f>Flights!$D$6</f>
        <v/>
      </c>
      <c r="E37" s="63">
        <f>Flights!$G$6&amp;"-"&amp;Flights!$H$6</f>
        <v/>
      </c>
      <c r="F37" s="63">
        <f>Flights!$K$6</f>
        <v/>
      </c>
      <c r="G37" s="63" t="inlineStr">
        <is>
          <t>T-7D</t>
        </is>
      </c>
      <c r="H37" s="63" t="inlineStr">
        <is>
          <t>Preparation</t>
        </is>
      </c>
      <c r="I37" s="63" t="inlineStr">
        <is>
          <t>Documents</t>
        </is>
      </c>
      <c r="J37" s="63" t="inlineStr">
        <is>
          <t>Menu checklist received, revision recorded &amp; attached</t>
        </is>
      </c>
      <c r="K37" s="73" t="inlineStr">
        <is>
          <t>Documents sheet row complete</t>
        </is>
      </c>
      <c r="L37" s="73" t="inlineStr">
        <is>
          <t>User brief (T-7 days)</t>
        </is>
      </c>
      <c r="M37" s="73" t="inlineStr"/>
      <c r="N37" s="73" t="inlineStr">
        <is>
          <t>Required</t>
        </is>
      </c>
      <c r="O37" s="73" t="inlineStr"/>
      <c r="P37" s="63" t="inlineStr">
        <is>
          <t>KUL</t>
        </is>
      </c>
      <c r="Q37" s="65">
        <f>Flights!$AC$6</f>
        <v/>
      </c>
      <c r="R37" s="65">
        <f>Q37+(IF(AND(INDEX(TZ_DSTS,MATCH(P37,TZ_STN,0))&lt;&gt;"",Q37&gt;=INDEX(TZ_DSTS,MATCH(P37,TZ_STN,0)),Q37&lt;INDEX(TZ_DSTE,MATCH(P37,TZ_STN,0))),INDEX(TZ_DST,MATCH(P37,TZ_STN,0)),INDEX(TZ_STD,MATCH(P37,TZ_STN,0))))/24</f>
        <v/>
      </c>
      <c r="S37" s="65" t="inlineStr"/>
      <c r="T37" s="66" t="n"/>
      <c r="U37" s="66" t="n"/>
      <c r="V37" s="66" t="n"/>
      <c r="W37" s="67" t="n"/>
      <c r="X37" s="66" t="n"/>
      <c r="Y37" s="66" t="n"/>
      <c r="Z37" s="66" t="n"/>
      <c r="AA37" s="66" t="n"/>
      <c r="AB37" s="66" t="n"/>
      <c r="AC37" s="66" t="n"/>
      <c r="AD37" s="72" t="n"/>
      <c r="AE37" s="66" t="n"/>
      <c r="AF37" s="67">
        <f>IF(AND(ISNUMBER(X37),ISNUMBER(Y37)),Y37-X37,"")</f>
        <v/>
      </c>
      <c r="AG37" s="68">
        <f>IF(ISNUMBER(AD37),AD37-(IF(AND(INDEX(TZ_DSTS,MATCH(P37,TZ_STN,0))&lt;&gt;"",(AD37-INDEX(TZ_STD,MATCH(P37,TZ_STN,0))/24)&gt;=INDEX(TZ_DSTS,MATCH(P37,TZ_STN,0)),(AD37-INDEX(TZ_STD,MATCH(P37,TZ_STN,0))/24)&lt;INDEX(TZ_DSTE,MATCH(P37,TZ_STN,0))),INDEX(TZ_DST,MATCH(P37,TZ_STN,0)),INDEX(TZ_STD,MATCH(P37,TZ_STN,0))))/24,"")</f>
        <v/>
      </c>
      <c r="AH37" s="71">
        <f>IF(N37="N/A – rule","N/A – RULE",IF(TRIM(U37)="N/A",IF(AT37=0,"INVALID – N/A not permitted for this mandatory check",IF(AND(TRIM(AC37)&lt;&gt;"",TRIM(AE37)&lt;&gt;"",TRIM(T37)&lt;&gt;""),"N/A – JUSTIFIED","INVALID – N/A needs justification, PIC and verifier")),IF(OR(TRIM(U37)="Pass",TRIM(U37)="Pass after CA"),IF(NOT(ISNUMBER(AD37)),"INVALID – completion time missing",IF(TRIM(T37)="","INVALID – PIC missing",IF(TRIM(Z37)="","INVALID – evidence missing",IF(TRIM(AE37)="","INVALID – verifier missing",IF(AND(AQ37=1,TRIM(W37)=""),"INVALID – batch ID missing",IF(AND(AR37=1,OR(NOT(ISNUMBER(X37)),NOT(ISNUMBER(Y37)))),"INVALID – expected/actual qty missing",IF(IF(AND(TRIM(U37)="Pass",ISNUMBER(AF37)),IF(AF37&lt;&gt;0,"INVALID – qty variance: use Fail or Pass after CA",""),"")&amp;IF(AND(TRIM(U37)="Pass",AB37="Open"),"INVALID – corrective action still open: use Fail, then Pass after CA","")&amp;IF(AND(TRIM(U37)="Pass after CA",OR(TRIM(AA37)="",AB37&lt;&gt;"Closed")),"INVALID – corrective action not recorded/closed","")&lt;&gt;"",IF(AND(TRIM(U37)="Pass",ISNUMBER(AF37)),IF(AF37&lt;&gt;0,"INVALID – qty variance: use Fail or Pass after CA",""),"")&amp;IF(AND(TRIM(U37)="Pass",AB37="Open"),"INVALID – corrective action still open: use Fail, then Pass after CA","")&amp;IF(AND(TRIM(U37)="Pass after CA",OR(TRIM(AA37)="",AB37&lt;&gt;"Closed")),"INVALID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window"),IF(AG37&gt;Flights!$AA$6,"INVALID – completed after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f>
        <v/>
      </c>
      <c r="AI37" s="67">
        <f>IF(OR(AH37="N/A – RULE",AH37="N/A – JUSTIFIED"),0,1)</f>
        <v/>
      </c>
      <c r="AJ37" s="67">
        <f>IF(LEFT(AH37,8)="COMPLETE",1,0)</f>
        <v/>
      </c>
      <c r="AK37" s="67">
        <f>IF(AND(AI37=1,AJ37=0,AsOfUTC&gt;Q37),1,0)</f>
        <v/>
      </c>
      <c r="AL37" s="67">
        <f>IF(AND(AI37=1,OR(TRIM(U37)="Fail",AB37="Open",AND(ISNUMBER(AF37),AF37&lt;&gt;0,TRIM(U37)&lt;&gt;"Pass after CA"))),1,0)</f>
        <v/>
      </c>
      <c r="AM37" s="67">
        <f>IF(LEFT(AH37,7)="INVALID",1,0)</f>
        <v/>
      </c>
      <c r="AN37" s="67">
        <f>IF(AND(N37="Clarification required",AI37=1,AJ37=0),1,0)</f>
        <v/>
      </c>
      <c r="AO37" s="67">
        <f>IF(AK37=1,SUM(AK$5:AK37),"")</f>
        <v/>
      </c>
      <c r="AP37" s="67">
        <f>IF(AL37=1,SUM(AL$5:AL37),"")</f>
        <v/>
      </c>
      <c r="AQ37" s="67" t="n">
        <v>0</v>
      </c>
      <c r="AR37" s="67" t="n">
        <v>0</v>
      </c>
      <c r="AS37" s="67" t="n">
        <v>2</v>
      </c>
      <c r="AT37" s="67" t="n">
        <v>0</v>
      </c>
    </row>
    <row r="38" ht="40" customHeight="1">
      <c r="A38" s="63" t="inlineStr">
        <is>
          <t>F02-T7-09</t>
        </is>
      </c>
      <c r="B38" s="63" t="inlineStr">
        <is>
          <t>F02</t>
        </is>
      </c>
      <c r="C38" s="63">
        <f>Flights!$F$6</f>
        <v/>
      </c>
      <c r="D38" s="64">
        <f>Flights!$D$6</f>
        <v/>
      </c>
      <c r="E38" s="63">
        <f>Flights!$G$6&amp;"-"&amp;Flights!$H$6</f>
        <v/>
      </c>
      <c r="F38" s="63">
        <f>Flights!$K$6</f>
        <v/>
      </c>
      <c r="G38" s="63" t="inlineStr">
        <is>
          <t>T-7D</t>
        </is>
      </c>
      <c r="H38" s="63" t="inlineStr">
        <is>
          <t>Preparation</t>
        </is>
      </c>
      <c r="I38" s="63" t="inlineStr">
        <is>
          <t>Uplift plan</t>
        </is>
      </c>
      <c r="J38" s="63" t="inlineStr">
        <is>
          <t>Uplift plan confirmed with caterer vs STD Uplift Information</t>
        </is>
      </c>
      <c r="K38" s="73" t="inlineStr">
        <is>
          <t>Service: 1 Meal (Meal); meal uplift stn KUL (ref lists KUL/CGK)</t>
        </is>
      </c>
      <c r="L38" s="73" t="inlineStr">
        <is>
          <t>STD UPLIFT INFORMATION.xlsx &gt; CATERING UPLIFT STN!C47:G47</t>
        </is>
      </c>
      <c r="M38" s="73" t="inlineStr"/>
      <c r="N38" s="73" t="inlineStr">
        <is>
          <t>Required</t>
        </is>
      </c>
      <c r="O38" s="73" t="inlineStr"/>
      <c r="P38" s="63" t="inlineStr">
        <is>
          <t>KUL</t>
        </is>
      </c>
      <c r="Q38" s="65">
        <f>Flights!$AC$6</f>
        <v/>
      </c>
      <c r="R38" s="65">
        <f>Q38+(IF(AND(INDEX(TZ_DSTS,MATCH(P38,TZ_STN,0))&lt;&gt;"",Q38&gt;=INDEX(TZ_DSTS,MATCH(P38,TZ_STN,0)),Q38&lt;INDEX(TZ_DSTE,MATCH(P38,TZ_STN,0))),INDEX(TZ_DST,MATCH(P38,TZ_STN,0)),INDEX(TZ_STD,MATCH(P38,TZ_STN,0))))/24</f>
        <v/>
      </c>
      <c r="S38" s="65" t="inlineStr"/>
      <c r="T38" s="66" t="n"/>
      <c r="U38" s="66" t="n"/>
      <c r="V38" s="66" t="n"/>
      <c r="W38" s="67" t="n"/>
      <c r="X38" s="66" t="n"/>
      <c r="Y38" s="66" t="n"/>
      <c r="Z38" s="66" t="n"/>
      <c r="AA38" s="66" t="n"/>
      <c r="AB38" s="66" t="n"/>
      <c r="AC38" s="66" t="n"/>
      <c r="AD38" s="72" t="n"/>
      <c r="AE38" s="66" t="n"/>
      <c r="AF38" s="67">
        <f>IF(AND(ISNUMBER(X38),ISNUMBER(Y38)),Y38-X38,"")</f>
        <v/>
      </c>
      <c r="AG38" s="68">
        <f>IF(ISNUMBER(AD38),AD38-(IF(AND(INDEX(TZ_DSTS,MATCH(P38,TZ_STN,0))&lt;&gt;"",(AD38-INDEX(TZ_STD,MATCH(P38,TZ_STN,0))/24)&gt;=INDEX(TZ_DSTS,MATCH(P38,TZ_STN,0)),(AD38-INDEX(TZ_STD,MATCH(P38,TZ_STN,0))/24)&lt;INDEX(TZ_DSTE,MATCH(P38,TZ_STN,0))),INDEX(TZ_DST,MATCH(P38,TZ_STN,0)),INDEX(TZ_STD,MATCH(P38,TZ_STN,0))))/24,"")</f>
        <v/>
      </c>
      <c r="AH38" s="71">
        <f>IF(N38="N/A – rule","N/A – RULE",IF(TRIM(U38)="N/A",IF(AT38=0,"INVALID – N/A not permitted for this mandatory check",IF(AND(TRIM(AC38)&lt;&gt;"",TRIM(AE38)&lt;&gt;"",TRIM(T38)&lt;&gt;""),"N/A – JUSTIFIED","INVALID – N/A needs justification, PIC and verifier")),IF(OR(TRIM(U38)="Pass",TRIM(U38)="Pass after CA"),IF(NOT(ISNUMBER(AD38)),"INVALID – completion time missing",IF(TRIM(T38)="","INVALID – PIC missing",IF(TRIM(Z38)="","INVALID – evidence missing",IF(TRIM(AE38)="","INVALID – verifier missing",IF(AND(AQ38=1,TRIM(W38)=""),"INVALID – batch ID missing",IF(AND(AR38=1,OR(NOT(ISNUMBER(X38)),NOT(ISNUMBER(Y38)))),"INVALID – expected/actual qty missing",IF(IF(AND(TRIM(U38)="Pass",ISNUMBER(AF38)),IF(AF38&lt;&gt;0,"INVALID – qty variance: use Fail or Pass after CA",""),"")&amp;IF(AND(TRIM(U38)="Pass",AB38="Open"),"INVALID – corrective action still open: use Fail, then Pass after CA","")&amp;IF(AND(TRIM(U38)="Pass after CA",OR(TRIM(AA38)="",AB38&lt;&gt;"Closed")),"INVALID – corrective action not recorded/closed","")&lt;&gt;"",IF(AND(TRIM(U38)="Pass",ISNUMBER(AF38)),IF(AF38&lt;&gt;0,"INVALID – qty variance: use Fail or Pass after CA",""),"")&amp;IF(AND(TRIM(U38)="Pass",AB38="Open"),"INVALID – corrective action still open: use Fail, then Pass after CA","")&amp;IF(AND(TRIM(U38)="Pass after CA",OR(TRIM(AA38)="",AB38&lt;&gt;"Closed")),"INVALID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window"),IF(AG38&gt;Flights!$AA$6,"INVALID – completed after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f>
        <v/>
      </c>
      <c r="AI38" s="67">
        <f>IF(OR(AH38="N/A – RULE",AH38="N/A – JUSTIFIED"),0,1)</f>
        <v/>
      </c>
      <c r="AJ38" s="67">
        <f>IF(LEFT(AH38,8)="COMPLETE",1,0)</f>
        <v/>
      </c>
      <c r="AK38" s="67">
        <f>IF(AND(AI38=1,AJ38=0,AsOfUTC&gt;Q38),1,0)</f>
        <v/>
      </c>
      <c r="AL38" s="67">
        <f>IF(AND(AI38=1,OR(TRIM(U38)="Fail",AB38="Open",AND(ISNUMBER(AF38),AF38&lt;&gt;0,TRIM(U38)&lt;&gt;"Pass after CA"))),1,0)</f>
        <v/>
      </c>
      <c r="AM38" s="67">
        <f>IF(LEFT(AH38,7)="INVALID",1,0)</f>
        <v/>
      </c>
      <c r="AN38" s="67">
        <f>IF(AND(N38="Clarification required",AI38=1,AJ38=0),1,0)</f>
        <v/>
      </c>
      <c r="AO38" s="67">
        <f>IF(AK38=1,SUM(AK$5:AK38),"")</f>
        <v/>
      </c>
      <c r="AP38" s="67">
        <f>IF(AL38=1,SUM(AL$5:AL38),"")</f>
        <v/>
      </c>
      <c r="AQ38" s="67" t="n">
        <v>0</v>
      </c>
      <c r="AR38" s="67" t="n">
        <v>0</v>
      </c>
      <c r="AS38" s="67" t="n">
        <v>0</v>
      </c>
      <c r="AT38" s="67" t="n">
        <v>0</v>
      </c>
    </row>
    <row r="39" ht="40" customHeight="1">
      <c r="A39" s="63" t="inlineStr">
        <is>
          <t>F02-T24-01</t>
        </is>
      </c>
      <c r="B39" s="63" t="inlineStr">
        <is>
          <t>F02</t>
        </is>
      </c>
      <c r="C39" s="63">
        <f>Flights!$F$6</f>
        <v/>
      </c>
      <c r="D39" s="64">
        <f>Flights!$D$6</f>
        <v/>
      </c>
      <c r="E39" s="63">
        <f>Flights!$G$6&amp;"-"&amp;Flights!$H$6</f>
        <v/>
      </c>
      <c r="F39" s="63">
        <f>Flights!$K$6</f>
        <v/>
      </c>
      <c r="G39" s="63" t="inlineStr">
        <is>
          <t>T-24H</t>
        </is>
      </c>
      <c r="H39" s="63" t="inlineStr">
        <is>
          <t>Preparation</t>
        </is>
      </c>
      <c r="I39" s="63" t="inlineStr">
        <is>
          <t>Meal</t>
        </is>
      </c>
      <c r="J39" s="63" t="inlineStr">
        <is>
          <t>Sensory test repeated on ACTUAL production batch for this flight</t>
        </is>
      </c>
      <c r="K39" s="73" t="inlineStr">
        <is>
          <t>Batch ID, result, CA and acceptance mandatory</t>
        </is>
      </c>
      <c r="L39" s="73" t="inlineStr">
        <is>
          <t>User brief (T-24 hours)</t>
        </is>
      </c>
      <c r="M39" s="73" t="inlineStr"/>
      <c r="N39" s="73" t="inlineStr">
        <is>
          <t>Required</t>
        </is>
      </c>
      <c r="O39" s="73" t="inlineStr"/>
      <c r="P39" s="63" t="inlineStr">
        <is>
          <t>KUL</t>
        </is>
      </c>
      <c r="Q39" s="65">
        <f>Flights!$AD$6</f>
        <v/>
      </c>
      <c r="R39" s="65">
        <f>Q39+(IF(AND(INDEX(TZ_DSTS,MATCH(P39,TZ_STN,0))&lt;&gt;"",Q39&gt;=INDEX(TZ_DSTS,MATCH(P39,TZ_STN,0)),Q39&lt;INDEX(TZ_DSTE,MATCH(P39,TZ_STN,0))),INDEX(TZ_DST,MATCH(P39,TZ_STN,0)),INDEX(TZ_STD,MATCH(P39,TZ_STN,0))))/24</f>
        <v/>
      </c>
      <c r="S39" s="65">
        <f>Q39-T24EarlyH/24</f>
        <v/>
      </c>
      <c r="T39" s="66" t="n"/>
      <c r="U39" s="66" t="n"/>
      <c r="V39" s="66" t="n"/>
      <c r="W39" s="66" t="n"/>
      <c r="X39" s="66" t="n"/>
      <c r="Y39" s="66" t="n"/>
      <c r="Z39" s="66" t="n"/>
      <c r="AA39" s="66" t="n"/>
      <c r="AB39" s="66" t="n"/>
      <c r="AC39" s="66" t="n"/>
      <c r="AD39" s="72" t="n"/>
      <c r="AE39" s="66" t="n"/>
      <c r="AF39" s="67">
        <f>IF(AND(ISNUMBER(X39),ISNUMBER(Y39)),Y39-X39,"")</f>
        <v/>
      </c>
      <c r="AG39" s="68">
        <f>IF(ISNUMBER(AD39),AD39-(IF(AND(INDEX(TZ_DSTS,MATCH(P39,TZ_STN,0))&lt;&gt;"",(AD39-INDEX(TZ_STD,MATCH(P39,TZ_STN,0))/24)&gt;=INDEX(TZ_DSTS,MATCH(P39,TZ_STN,0)),(AD39-INDEX(TZ_STD,MATCH(P39,TZ_STN,0))/24)&lt;INDEX(TZ_DSTE,MATCH(P39,TZ_STN,0))),INDEX(TZ_DST,MATCH(P39,TZ_STN,0)),INDEX(TZ_STD,MATCH(P39,TZ_STN,0))))/24,"")</f>
        <v/>
      </c>
      <c r="AH39" s="71">
        <f>IF(N39="N/A – rule","N/A – RULE",IF(TRIM(U39)="N/A",IF(AT39=0,"INVALID – N/A not permitted for this mandatory check",IF(AND(TRIM(AC39)&lt;&gt;"",TRIM(AE39)&lt;&gt;"",TRIM(T39)&lt;&gt;""),"N/A – JUSTIFIED","INVALID – N/A needs justification, PIC and verifier")),IF(OR(TRIM(U39)="Pass",TRIM(U39)="Pass after CA"),IF(NOT(ISNUMBER(AD39)),"INVALID – completion time missing",IF(TRIM(T39)="","INVALID – PIC missing",IF(TRIM(Z39)="","INVALID – evidence missing",IF(TRIM(AE39)="","INVALID – verifier missing",IF(AND(AQ39=1,TRIM(W39)=""),"INVALID – batch ID missing",IF(AND(AR39=1,OR(NOT(ISNUMBER(X39)),NOT(ISNUMBER(Y39)))),"INVALID – expected/actual qty missing",IF(IF(AND(TRIM(U39)="Pass",ISNUMBER(AF39)),IF(AF39&lt;&gt;0,"INVALID – qty variance: use Fail or Pass after CA",""),"")&amp;IF(AND(TRIM(U39)="Pass",AB39="Open"),"INVALID – corrective action still open: use Fail, then Pass after CA","")&amp;IF(AND(TRIM(U39)="Pass after CA",OR(TRIM(AA39)="",AB39&lt;&gt;"Closed")),"INVALID – corrective action not recorded/closed","")&lt;&gt;"",IF(AND(TRIM(U39)="Pass",ISNUMBER(AF39)),IF(AF39&lt;&gt;0,"INVALID – qty variance: use Fail or Pass after CA",""),"")&amp;IF(AND(TRIM(U39)="Pass",AB39="Open"),"INVALID – corrective action still open: use Fail, then Pass after CA","")&amp;IF(AND(TRIM(U39)="Pass after CA",OR(TRIM(AA39)="",AB39&lt;&gt;"Closed")),"INVALID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window"),IF(AG39&gt;Flights!$AA$6,"INVALID – completed after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f>
        <v/>
      </c>
      <c r="AI39" s="67">
        <f>IF(OR(AH39="N/A – RULE",AH39="N/A – JUSTIFIED"),0,1)</f>
        <v/>
      </c>
      <c r="AJ39" s="67">
        <f>IF(LEFT(AH39,8)="COMPLETE",1,0)</f>
        <v/>
      </c>
      <c r="AK39" s="67">
        <f>IF(AND(AI39=1,AJ39=0,AsOfUTC&gt;Q39),1,0)</f>
        <v/>
      </c>
      <c r="AL39" s="67">
        <f>IF(AND(AI39=1,OR(TRIM(U39)="Fail",AB39="Open",AND(ISNUMBER(AF39),AF39&lt;&gt;0,TRIM(U39)&lt;&gt;"Pass after CA"))),1,0)</f>
        <v/>
      </c>
      <c r="AM39" s="67">
        <f>IF(LEFT(AH39,7)="INVALID",1,0)</f>
        <v/>
      </c>
      <c r="AN39" s="67">
        <f>IF(AND(N39="Clarification required",AI39=1,AJ39=0),1,0)</f>
        <v/>
      </c>
      <c r="AO39" s="67">
        <f>IF(AK39=1,SUM(AK$5:AK39),"")</f>
        <v/>
      </c>
      <c r="AP39" s="67">
        <f>IF(AL39=1,SUM(AL$5:AL39),"")</f>
        <v/>
      </c>
      <c r="AQ39" s="67" t="n">
        <v>1</v>
      </c>
      <c r="AR39" s="67" t="n">
        <v>0</v>
      </c>
      <c r="AS39" s="67" t="n">
        <v>0</v>
      </c>
      <c r="AT39" s="67" t="n">
        <v>0</v>
      </c>
    </row>
    <row r="40" ht="40" customHeight="1">
      <c r="A40" s="63" t="inlineStr">
        <is>
          <t>F02-T12-01</t>
        </is>
      </c>
      <c r="B40" s="63" t="inlineStr">
        <is>
          <t>F02</t>
        </is>
      </c>
      <c r="C40" s="63">
        <f>Flights!$F$6</f>
        <v/>
      </c>
      <c r="D40" s="64">
        <f>Flights!$D$6</f>
        <v/>
      </c>
      <c r="E40" s="63">
        <f>Flights!$G$6&amp;"-"&amp;Flights!$H$6</f>
        <v/>
      </c>
      <c r="F40" s="63">
        <f>Flights!$K$6</f>
        <v/>
      </c>
      <c r="G40" s="63" t="inlineStr">
        <is>
          <t>T-12H PREP</t>
        </is>
      </c>
      <c r="H40" s="63" t="inlineStr">
        <is>
          <t>Preparation</t>
        </is>
      </c>
      <c r="I40" s="63" t="inlineStr">
        <is>
          <t>Meal</t>
        </is>
      </c>
      <c r="J40" s="63" t="inlineStr">
        <is>
          <t>Meal quality vs menu checklist</t>
        </is>
      </c>
      <c r="K40" s="73" t="inlineStr"/>
      <c r="L40" s="73" t="inlineStr">
        <is>
          <t>User brief (T-12 hours)</t>
        </is>
      </c>
      <c r="M40" s="73" t="inlineStr"/>
      <c r="N40" s="73" t="inlineStr">
        <is>
          <t>Required</t>
        </is>
      </c>
      <c r="O40" s="73" t="inlineStr">
        <is>
          <t>Preparation check at caterer - does NOT confirm loading.</t>
        </is>
      </c>
      <c r="P40" s="63" t="inlineStr">
        <is>
          <t>KUL</t>
        </is>
      </c>
      <c r="Q40" s="65">
        <f>Flights!$AE$6</f>
        <v/>
      </c>
      <c r="R40" s="65">
        <f>Q40+(IF(AND(INDEX(TZ_DSTS,MATCH(P40,TZ_STN,0))&lt;&gt;"",Q40&gt;=INDEX(TZ_DSTS,MATCH(P40,TZ_STN,0)),Q40&lt;INDEX(TZ_DSTE,MATCH(P40,TZ_STN,0))),INDEX(TZ_DST,MATCH(P40,TZ_STN,0)),INDEX(TZ_STD,MATCH(P40,TZ_STN,0))))/24</f>
        <v/>
      </c>
      <c r="S40" s="65">
        <f>Q40-T12EarlyH/24</f>
        <v/>
      </c>
      <c r="T40" s="66" t="n"/>
      <c r="U40" s="66" t="n"/>
      <c r="V40" s="66" t="n"/>
      <c r="W40" s="67" t="n"/>
      <c r="X40" s="66" t="n"/>
      <c r="Y40" s="66" t="n"/>
      <c r="Z40" s="66" t="n"/>
      <c r="AA40" s="66" t="n"/>
      <c r="AB40" s="66" t="n"/>
      <c r="AC40" s="66" t="n"/>
      <c r="AD40" s="72" t="n"/>
      <c r="AE40" s="66" t="n"/>
      <c r="AF40" s="67">
        <f>IF(AND(ISNUMBER(X40),ISNUMBER(Y40)),Y40-X40,"")</f>
        <v/>
      </c>
      <c r="AG40" s="68">
        <f>IF(ISNUMBER(AD40),AD40-(IF(AND(INDEX(TZ_DSTS,MATCH(P40,TZ_STN,0))&lt;&gt;"",(AD40-INDEX(TZ_STD,MATCH(P40,TZ_STN,0))/24)&gt;=INDEX(TZ_DSTS,MATCH(P40,TZ_STN,0)),(AD40-INDEX(TZ_STD,MATCH(P40,TZ_STN,0))/24)&lt;INDEX(TZ_DSTE,MATCH(P40,TZ_STN,0))),INDEX(TZ_DST,MATCH(P40,TZ_STN,0)),INDEX(TZ_STD,MATCH(P40,TZ_STN,0))))/24,"")</f>
        <v/>
      </c>
      <c r="AH40" s="71">
        <f>IF(N40="N/A – rule","N/A – RULE",IF(TRIM(U40)="N/A",IF(AT40=0,"INVALID – N/A not permitted for this mandatory check",IF(AND(TRIM(AC40)&lt;&gt;"",TRIM(AE40)&lt;&gt;"",TRIM(T40)&lt;&gt;""),"N/A – JUSTIFIED","INVALID – N/A needs justification, PIC and verifier")),IF(OR(TRIM(U40)="Pass",TRIM(U40)="Pass after CA"),IF(NOT(ISNUMBER(AD40)),"INVALID – completion time missing",IF(TRIM(T40)="","INVALID – PIC missing",IF(TRIM(Z40)="","INVALID – evidence missing",IF(TRIM(AE40)="","INVALID – verifier missing",IF(AND(AQ40=1,TRIM(W40)=""),"INVALID – batch ID missing",IF(AND(AR40=1,OR(NOT(ISNUMBER(X40)),NOT(ISNUMBER(Y40)))),"INVALID – expected/actual qty missing",IF(IF(AND(TRIM(U40)="Pass",ISNUMBER(AF40)),IF(AF40&lt;&gt;0,"INVALID – qty variance: use Fail or Pass after CA",""),"")&amp;IF(AND(TRIM(U40)="Pass",AB40="Open"),"INVALID – corrective action still open: use Fail, then Pass after CA","")&amp;IF(AND(TRIM(U40)="Pass after CA",OR(TRIM(AA40)="",AB40&lt;&gt;"Closed")),"INVALID – corrective action not recorded/closed","")&lt;&gt;"",IF(AND(TRIM(U40)="Pass",ISNUMBER(AF40)),IF(AF40&lt;&gt;0,"INVALID – qty variance: use Fail or Pass after CA",""),"")&amp;IF(AND(TRIM(U40)="Pass",AB40="Open"),"INVALID – corrective action still open: use Fail, then Pass after CA","")&amp;IF(AND(TRIM(U40)="Pass after CA",OR(TRIM(AA40)="",AB40&lt;&gt;"Closed")),"INVALID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window"),IF(AG40&gt;Flights!$AA$6,"INVALID – completed after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f>
        <v/>
      </c>
      <c r="AI40" s="67">
        <f>IF(OR(AH40="N/A – RULE",AH40="N/A – JUSTIFIED"),0,1)</f>
        <v/>
      </c>
      <c r="AJ40" s="67">
        <f>IF(LEFT(AH40,8)="COMPLETE",1,0)</f>
        <v/>
      </c>
      <c r="AK40" s="67">
        <f>IF(AND(AI40=1,AJ40=0,AsOfUTC&gt;Q40),1,0)</f>
        <v/>
      </c>
      <c r="AL40" s="67">
        <f>IF(AND(AI40=1,OR(TRIM(U40)="Fail",AB40="Open",AND(ISNUMBER(AF40),AF40&lt;&gt;0,TRIM(U40)&lt;&gt;"Pass after CA"))),1,0)</f>
        <v/>
      </c>
      <c r="AM40" s="67">
        <f>IF(LEFT(AH40,7)="INVALID",1,0)</f>
        <v/>
      </c>
      <c r="AN40" s="67">
        <f>IF(AND(N40="Clarification required",AI40=1,AJ40=0),1,0)</f>
        <v/>
      </c>
      <c r="AO40" s="67">
        <f>IF(AK40=1,SUM(AK$5:AK40),"")</f>
        <v/>
      </c>
      <c r="AP40" s="67">
        <f>IF(AL40=1,SUM(AL$5:AL40),"")</f>
        <v/>
      </c>
      <c r="AQ40" s="67" t="n">
        <v>0</v>
      </c>
      <c r="AR40" s="67" t="n">
        <v>0</v>
      </c>
      <c r="AS40" s="67" t="n">
        <v>0</v>
      </c>
      <c r="AT40" s="67" t="n">
        <v>0</v>
      </c>
    </row>
    <row r="41" ht="40" customHeight="1">
      <c r="A41" s="63" t="inlineStr">
        <is>
          <t>F02-T12-02</t>
        </is>
      </c>
      <c r="B41" s="63" t="inlineStr">
        <is>
          <t>F02</t>
        </is>
      </c>
      <c r="C41" s="63">
        <f>Flights!$F$6</f>
        <v/>
      </c>
      <c r="D41" s="64">
        <f>Flights!$D$6</f>
        <v/>
      </c>
      <c r="E41" s="63">
        <f>Flights!$G$6&amp;"-"&amp;Flights!$H$6</f>
        <v/>
      </c>
      <c r="F41" s="63">
        <f>Flights!$K$6</f>
        <v/>
      </c>
      <c r="G41" s="63" t="inlineStr">
        <is>
          <t>T-12H PREP</t>
        </is>
      </c>
      <c r="H41" s="63" t="inlineStr">
        <is>
          <t>Preparation</t>
        </is>
      </c>
      <c r="I41" s="63" t="inlineStr">
        <is>
          <t>Meal</t>
        </is>
      </c>
      <c r="J41" s="63" t="inlineStr">
        <is>
          <t>Meal quantities vs menu checklist</t>
        </is>
      </c>
      <c r="K41" s="73" t="inlineStr">
        <is>
          <t>Enter expected &amp; actual</t>
        </is>
      </c>
      <c r="L41" s="73" t="inlineStr">
        <is>
          <t>User brief (T-12 hours)</t>
        </is>
      </c>
      <c r="M41" s="73" t="inlineStr"/>
      <c r="N41" s="73" t="inlineStr">
        <is>
          <t>Required</t>
        </is>
      </c>
      <c r="O41" s="73" t="inlineStr">
        <is>
          <t>Preparation check at caterer - does NOT confirm loading.</t>
        </is>
      </c>
      <c r="P41" s="63" t="inlineStr">
        <is>
          <t>KUL</t>
        </is>
      </c>
      <c r="Q41" s="65">
        <f>Flights!$AE$6</f>
        <v/>
      </c>
      <c r="R41" s="65">
        <f>Q41+(IF(AND(INDEX(TZ_DSTS,MATCH(P41,TZ_STN,0))&lt;&gt;"",Q41&gt;=INDEX(TZ_DSTS,MATCH(P41,TZ_STN,0)),Q41&lt;INDEX(TZ_DSTE,MATCH(P41,TZ_STN,0))),INDEX(TZ_DST,MATCH(P41,TZ_STN,0)),INDEX(TZ_STD,MATCH(P41,TZ_STN,0))))/24</f>
        <v/>
      </c>
      <c r="S41" s="65">
        <f>Q41-T12EarlyH/24</f>
        <v/>
      </c>
      <c r="T41" s="66" t="n"/>
      <c r="U41" s="66" t="n"/>
      <c r="V41" s="66" t="n"/>
      <c r="W41" s="67" t="n"/>
      <c r="X41" s="66" t="n"/>
      <c r="Y41" s="66" t="n"/>
      <c r="Z41" s="66" t="n"/>
      <c r="AA41" s="66" t="n"/>
      <c r="AB41" s="66" t="n"/>
      <c r="AC41" s="66" t="n"/>
      <c r="AD41" s="72" t="n"/>
      <c r="AE41" s="66" t="n"/>
      <c r="AF41" s="67">
        <f>IF(AND(ISNUMBER(X41),ISNUMBER(Y41)),Y41-X41,"")</f>
        <v/>
      </c>
      <c r="AG41" s="68">
        <f>IF(ISNUMBER(AD41),AD41-(IF(AND(INDEX(TZ_DSTS,MATCH(P41,TZ_STN,0))&lt;&gt;"",(AD41-INDEX(TZ_STD,MATCH(P41,TZ_STN,0))/24)&gt;=INDEX(TZ_DSTS,MATCH(P41,TZ_STN,0)),(AD41-INDEX(TZ_STD,MATCH(P41,TZ_STN,0))/24)&lt;INDEX(TZ_DSTE,MATCH(P41,TZ_STN,0))),INDEX(TZ_DST,MATCH(P41,TZ_STN,0)),INDEX(TZ_STD,MATCH(P41,TZ_STN,0))))/24,"")</f>
        <v/>
      </c>
      <c r="AH41" s="71">
        <f>IF(N41="N/A – rule","N/A – RULE",IF(TRIM(U41)="N/A",IF(AT41=0,"INVALID – N/A not permitted for this mandatory check",IF(AND(TRIM(AC41)&lt;&gt;"",TRIM(AE41)&lt;&gt;"",TRIM(T41)&lt;&gt;""),"N/A – JUSTIFIED","INVALID – N/A needs justification, PIC and verifier")),IF(OR(TRIM(U41)="Pass",TRIM(U41)="Pass after CA"),IF(NOT(ISNUMBER(AD41)),"INVALID – completion time missing",IF(TRIM(T41)="","INVALID – PIC missing",IF(TRIM(Z41)="","INVALID – evidence missing",IF(TRIM(AE41)="","INVALID – verifier missing",IF(AND(AQ41=1,TRIM(W41)=""),"INVALID – batch ID missing",IF(AND(AR41=1,OR(NOT(ISNUMBER(X41)),NOT(ISNUMBER(Y41)))),"INVALID – expected/actual qty missing",IF(IF(AND(TRIM(U41)="Pass",ISNUMBER(AF41)),IF(AF41&lt;&gt;0,"INVALID – qty variance: use Fail or Pass after CA",""),"")&amp;IF(AND(TRIM(U41)="Pass",AB41="Open"),"INVALID – corrective action still open: use Fail, then Pass after CA","")&amp;IF(AND(TRIM(U41)="Pass after CA",OR(TRIM(AA41)="",AB41&lt;&gt;"Closed")),"INVALID – corrective action not recorded/closed","")&lt;&gt;"",IF(AND(TRIM(U41)="Pass",ISNUMBER(AF41)),IF(AF41&lt;&gt;0,"INVALID – qty variance: use Fail or Pass after CA",""),"")&amp;IF(AND(TRIM(U41)="Pass",AB41="Open"),"INVALID – corrective action still open: use Fail, then Pass after CA","")&amp;IF(AND(TRIM(U41)="Pass after CA",OR(TRIM(AA41)="",AB41&lt;&gt;"Closed")),"INVALID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window"),IF(AG41&gt;Flights!$AA$6,"INVALID – completed after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f>
        <v/>
      </c>
      <c r="AI41" s="67">
        <f>IF(OR(AH41="N/A – RULE",AH41="N/A – JUSTIFIED"),0,1)</f>
        <v/>
      </c>
      <c r="AJ41" s="67">
        <f>IF(LEFT(AH41,8)="COMPLETE",1,0)</f>
        <v/>
      </c>
      <c r="AK41" s="67">
        <f>IF(AND(AI41=1,AJ41=0,AsOfUTC&gt;Q41),1,0)</f>
        <v/>
      </c>
      <c r="AL41" s="67">
        <f>IF(AND(AI41=1,OR(TRIM(U41)="Fail",AB41="Open",AND(ISNUMBER(AF41),AF41&lt;&gt;0,TRIM(U41)&lt;&gt;"Pass after CA"))),1,0)</f>
        <v/>
      </c>
      <c r="AM41" s="67">
        <f>IF(LEFT(AH41,7)="INVALID",1,0)</f>
        <v/>
      </c>
      <c r="AN41" s="67">
        <f>IF(AND(N41="Clarification required",AI41=1,AJ41=0),1,0)</f>
        <v/>
      </c>
      <c r="AO41" s="67">
        <f>IF(AK41=1,SUM(AK$5:AK41),"")</f>
        <v/>
      </c>
      <c r="AP41" s="67">
        <f>IF(AL41=1,SUM(AL$5:AL41),"")</f>
        <v/>
      </c>
      <c r="AQ41" s="67" t="n">
        <v>0</v>
      </c>
      <c r="AR41" s="67" t="n">
        <v>1</v>
      </c>
      <c r="AS41" s="67" t="n">
        <v>0</v>
      </c>
      <c r="AT41" s="67" t="n">
        <v>0</v>
      </c>
    </row>
    <row r="42" ht="40" customHeight="1">
      <c r="A42" s="63" t="inlineStr">
        <is>
          <t>F02-T12-03</t>
        </is>
      </c>
      <c r="B42" s="63" t="inlineStr">
        <is>
          <t>F02</t>
        </is>
      </c>
      <c r="C42" s="63">
        <f>Flights!$F$6</f>
        <v/>
      </c>
      <c r="D42" s="64">
        <f>Flights!$D$6</f>
        <v/>
      </c>
      <c r="E42" s="63">
        <f>Flights!$G$6&amp;"-"&amp;Flights!$H$6</f>
        <v/>
      </c>
      <c r="F42" s="63">
        <f>Flights!$K$6</f>
        <v/>
      </c>
      <c r="G42" s="63" t="inlineStr">
        <is>
          <t>T-12H PREP</t>
        </is>
      </c>
      <c r="H42" s="63" t="inlineStr">
        <is>
          <t>Preparation</t>
        </is>
      </c>
      <c r="I42" s="63" t="inlineStr">
        <is>
          <t>Equipment</t>
        </is>
      </c>
      <c r="J42" s="63" t="inlineStr">
        <is>
          <t>Equipment cleanliness vs GLD</t>
        </is>
      </c>
      <c r="K42" s="73" t="inlineStr"/>
      <c r="L42" s="73" t="inlineStr">
        <is>
          <t>User brief (T-12 hours)</t>
        </is>
      </c>
      <c r="M42" s="73" t="inlineStr"/>
      <c r="N42" s="73" t="inlineStr">
        <is>
          <t>Required</t>
        </is>
      </c>
      <c r="O42" s="73" t="inlineStr">
        <is>
          <t>Preparation check at caterer - does NOT confirm loading.</t>
        </is>
      </c>
      <c r="P42" s="63" t="inlineStr">
        <is>
          <t>KUL</t>
        </is>
      </c>
      <c r="Q42" s="65">
        <f>Flights!$AE$6</f>
        <v/>
      </c>
      <c r="R42" s="65">
        <f>Q42+(IF(AND(INDEX(TZ_DSTS,MATCH(P42,TZ_STN,0))&lt;&gt;"",Q42&gt;=INDEX(TZ_DSTS,MATCH(P42,TZ_STN,0)),Q42&lt;INDEX(TZ_DSTE,MATCH(P42,TZ_STN,0))),INDEX(TZ_DST,MATCH(P42,TZ_STN,0)),INDEX(TZ_STD,MATCH(P42,TZ_STN,0))))/24</f>
        <v/>
      </c>
      <c r="S42" s="65">
        <f>Q42-T12EarlyH/24</f>
        <v/>
      </c>
      <c r="T42" s="66" t="n"/>
      <c r="U42" s="66" t="n"/>
      <c r="V42" s="66" t="n"/>
      <c r="W42" s="67" t="n"/>
      <c r="X42" s="66" t="n"/>
      <c r="Y42" s="66" t="n"/>
      <c r="Z42" s="66" t="n"/>
      <c r="AA42" s="66" t="n"/>
      <c r="AB42" s="66" t="n"/>
      <c r="AC42" s="66" t="n"/>
      <c r="AD42" s="72" t="n"/>
      <c r="AE42" s="66" t="n"/>
      <c r="AF42" s="67">
        <f>IF(AND(ISNUMBER(X42),ISNUMBER(Y42)),Y42-X42,"")</f>
        <v/>
      </c>
      <c r="AG42" s="68">
        <f>IF(ISNUMBER(AD42),AD42-(IF(AND(INDEX(TZ_DSTS,MATCH(P42,TZ_STN,0))&lt;&gt;"",(AD42-INDEX(TZ_STD,MATCH(P42,TZ_STN,0))/24)&gt;=INDEX(TZ_DSTS,MATCH(P42,TZ_STN,0)),(AD42-INDEX(TZ_STD,MATCH(P42,TZ_STN,0))/24)&lt;INDEX(TZ_DSTE,MATCH(P42,TZ_STN,0))),INDEX(TZ_DST,MATCH(P42,TZ_STN,0)),INDEX(TZ_STD,MATCH(P42,TZ_STN,0))))/24,"")</f>
        <v/>
      </c>
      <c r="AH42" s="71">
        <f>IF(N42="N/A – rule","N/A – RULE",IF(TRIM(U42)="N/A",IF(AT42=0,"INVALID – N/A not permitted for this mandatory check",IF(AND(TRIM(AC42)&lt;&gt;"",TRIM(AE42)&lt;&gt;"",TRIM(T42)&lt;&gt;""),"N/A – JUSTIFIED","INVALID – N/A needs justification, PIC and verifier")),IF(OR(TRIM(U42)="Pass",TRIM(U42)="Pass after CA"),IF(NOT(ISNUMBER(AD42)),"INVALID – completion time missing",IF(TRIM(T42)="","INVALID – PIC missing",IF(TRIM(Z42)="","INVALID – evidence missing",IF(TRIM(AE42)="","INVALID – verifier missing",IF(AND(AQ42=1,TRIM(W42)=""),"INVALID – batch ID missing",IF(AND(AR42=1,OR(NOT(ISNUMBER(X42)),NOT(ISNUMBER(Y42)))),"INVALID – expected/actual qty missing",IF(IF(AND(TRIM(U42)="Pass",ISNUMBER(AF42)),IF(AF42&lt;&gt;0,"INVALID – qty variance: use Fail or Pass after CA",""),"")&amp;IF(AND(TRIM(U42)="Pass",AB42="Open"),"INVALID – corrective action still open: use Fail, then Pass after CA","")&amp;IF(AND(TRIM(U42)="Pass after CA",OR(TRIM(AA42)="",AB42&lt;&gt;"Closed")),"INVALID – corrective action not recorded/closed","")&lt;&gt;"",IF(AND(TRIM(U42)="Pass",ISNUMBER(AF42)),IF(AF42&lt;&gt;0,"INVALID – qty variance: use Fail or Pass after CA",""),"")&amp;IF(AND(TRIM(U42)="Pass",AB42="Open"),"INVALID – corrective action still open: use Fail, then Pass after CA","")&amp;IF(AND(TRIM(U42)="Pass after CA",OR(TRIM(AA42)="",AB42&lt;&gt;"Closed")),"INVALID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window"),IF(AG42&gt;Flights!$AA$6,"INVALID – completed after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f>
        <v/>
      </c>
      <c r="AI42" s="67">
        <f>IF(OR(AH42="N/A – RULE",AH42="N/A – JUSTIFIED"),0,1)</f>
        <v/>
      </c>
      <c r="AJ42" s="67">
        <f>IF(LEFT(AH42,8)="COMPLETE",1,0)</f>
        <v/>
      </c>
      <c r="AK42" s="67">
        <f>IF(AND(AI42=1,AJ42=0,AsOfUTC&gt;Q42),1,0)</f>
        <v/>
      </c>
      <c r="AL42" s="67">
        <f>IF(AND(AI42=1,OR(TRIM(U42)="Fail",AB42="Open",AND(ISNUMBER(AF42),AF42&lt;&gt;0,TRIM(U42)&lt;&gt;"Pass after CA"))),1,0)</f>
        <v/>
      </c>
      <c r="AM42" s="67">
        <f>IF(LEFT(AH42,7)="INVALID",1,0)</f>
        <v/>
      </c>
      <c r="AN42" s="67">
        <f>IF(AND(N42="Clarification required",AI42=1,AJ42=0),1,0)</f>
        <v/>
      </c>
      <c r="AO42" s="67">
        <f>IF(AK42=1,SUM(AK$5:AK42),"")</f>
        <v/>
      </c>
      <c r="AP42" s="67">
        <f>IF(AL42=1,SUM(AL$5:AL42),"")</f>
        <v/>
      </c>
      <c r="AQ42" s="67" t="n">
        <v>0</v>
      </c>
      <c r="AR42" s="67" t="n">
        <v>0</v>
      </c>
      <c r="AS42" s="67" t="n">
        <v>0</v>
      </c>
      <c r="AT42" s="67" t="n">
        <v>0</v>
      </c>
    </row>
    <row r="43" ht="40" customHeight="1">
      <c r="A43" s="63" t="inlineStr">
        <is>
          <t>F02-T12-04</t>
        </is>
      </c>
      <c r="B43" s="63" t="inlineStr">
        <is>
          <t>F02</t>
        </is>
      </c>
      <c r="C43" s="63">
        <f>Flights!$F$6</f>
        <v/>
      </c>
      <c r="D43" s="64">
        <f>Flights!$D$6</f>
        <v/>
      </c>
      <c r="E43" s="63">
        <f>Flights!$G$6&amp;"-"&amp;Flights!$H$6</f>
        <v/>
      </c>
      <c r="F43" s="63">
        <f>Flights!$K$6</f>
        <v/>
      </c>
      <c r="G43" s="63" t="inlineStr">
        <is>
          <t>T-12H PREP</t>
        </is>
      </c>
      <c r="H43" s="63" t="inlineStr">
        <is>
          <t>Preparation</t>
        </is>
      </c>
      <c r="I43" s="63" t="inlineStr">
        <is>
          <t>Equipment</t>
        </is>
      </c>
      <c r="J43" s="63" t="inlineStr">
        <is>
          <t>Equipment presentation vs GLD</t>
        </is>
      </c>
      <c r="K43" s="73" t="inlineStr"/>
      <c r="L43" s="73" t="inlineStr">
        <is>
          <t>User brief (T-12 hours)</t>
        </is>
      </c>
      <c r="M43" s="73" t="inlineStr"/>
      <c r="N43" s="73" t="inlineStr">
        <is>
          <t>Required</t>
        </is>
      </c>
      <c r="O43" s="73" t="inlineStr">
        <is>
          <t>Preparation check at caterer - does NOT confirm loading.</t>
        </is>
      </c>
      <c r="P43" s="63" t="inlineStr">
        <is>
          <t>KUL</t>
        </is>
      </c>
      <c r="Q43" s="65">
        <f>Flights!$AE$6</f>
        <v/>
      </c>
      <c r="R43" s="65">
        <f>Q43+(IF(AND(INDEX(TZ_DSTS,MATCH(P43,TZ_STN,0))&lt;&gt;"",Q43&gt;=INDEX(TZ_DSTS,MATCH(P43,TZ_STN,0)),Q43&lt;INDEX(TZ_DSTE,MATCH(P43,TZ_STN,0))),INDEX(TZ_DST,MATCH(P43,TZ_STN,0)),INDEX(TZ_STD,MATCH(P43,TZ_STN,0))))/24</f>
        <v/>
      </c>
      <c r="S43" s="65">
        <f>Q43-T12EarlyH/24</f>
        <v/>
      </c>
      <c r="T43" s="66" t="n"/>
      <c r="U43" s="66" t="n"/>
      <c r="V43" s="66" t="n"/>
      <c r="W43" s="67" t="n"/>
      <c r="X43" s="66" t="n"/>
      <c r="Y43" s="66" t="n"/>
      <c r="Z43" s="66" t="n"/>
      <c r="AA43" s="66" t="n"/>
      <c r="AB43" s="66" t="n"/>
      <c r="AC43" s="66" t="n"/>
      <c r="AD43" s="72" t="n"/>
      <c r="AE43" s="66" t="n"/>
      <c r="AF43" s="67">
        <f>IF(AND(ISNUMBER(X43),ISNUMBER(Y43)),Y43-X43,"")</f>
        <v/>
      </c>
      <c r="AG43" s="68">
        <f>IF(ISNUMBER(AD43),AD43-(IF(AND(INDEX(TZ_DSTS,MATCH(P43,TZ_STN,0))&lt;&gt;"",(AD43-INDEX(TZ_STD,MATCH(P43,TZ_STN,0))/24)&gt;=INDEX(TZ_DSTS,MATCH(P43,TZ_STN,0)),(AD43-INDEX(TZ_STD,MATCH(P43,TZ_STN,0))/24)&lt;INDEX(TZ_DSTE,MATCH(P43,TZ_STN,0))),INDEX(TZ_DST,MATCH(P43,TZ_STN,0)),INDEX(TZ_STD,MATCH(P43,TZ_STN,0))))/24,"")</f>
        <v/>
      </c>
      <c r="AH43" s="71">
        <f>IF(N43="N/A – rule","N/A – RULE",IF(TRIM(U43)="N/A",IF(AT43=0,"INVALID – N/A not permitted for this mandatory check",IF(AND(TRIM(AC43)&lt;&gt;"",TRIM(AE43)&lt;&gt;"",TRIM(T43)&lt;&gt;""),"N/A – JUSTIFIED","INVALID – N/A needs justification, PIC and verifier")),IF(OR(TRIM(U43)="Pass",TRIM(U43)="Pass after CA"),IF(NOT(ISNUMBER(AD43)),"INVALID – completion time missing",IF(TRIM(T43)="","INVALID – PIC missing",IF(TRIM(Z43)="","INVALID – evidence missing",IF(TRIM(AE43)="","INVALID – verifier missing",IF(AND(AQ43=1,TRIM(W43)=""),"INVALID – batch ID missing",IF(AND(AR43=1,OR(NOT(ISNUMBER(X43)),NOT(ISNUMBER(Y43)))),"INVALID – expected/actual qty missing",IF(IF(AND(TRIM(U43)="Pass",ISNUMBER(AF43)),IF(AF43&lt;&gt;0,"INVALID – qty variance: use Fail or Pass after CA",""),"")&amp;IF(AND(TRIM(U43)="Pass",AB43="Open"),"INVALID – corrective action still open: use Fail, then Pass after CA","")&amp;IF(AND(TRIM(U43)="Pass after CA",OR(TRIM(AA43)="",AB43&lt;&gt;"Closed")),"INVALID – corrective action not recorded/closed","")&lt;&gt;"",IF(AND(TRIM(U43)="Pass",ISNUMBER(AF43)),IF(AF43&lt;&gt;0,"INVALID – qty variance: use Fail or Pass after CA",""),"")&amp;IF(AND(TRIM(U43)="Pass",AB43="Open"),"INVALID – corrective action still open: use Fail, then Pass after CA","")&amp;IF(AND(TRIM(U43)="Pass after CA",OR(TRIM(AA43)="",AB43&lt;&gt;"Closed")),"INVALID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window"),IF(AG43&gt;Flights!$AA$6,"INVALID – completed after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f>
        <v/>
      </c>
      <c r="AI43" s="67">
        <f>IF(OR(AH43="N/A – RULE",AH43="N/A – JUSTIFIED"),0,1)</f>
        <v/>
      </c>
      <c r="AJ43" s="67">
        <f>IF(LEFT(AH43,8)="COMPLETE",1,0)</f>
        <v/>
      </c>
      <c r="AK43" s="67">
        <f>IF(AND(AI43=1,AJ43=0,AsOfUTC&gt;Q43),1,0)</f>
        <v/>
      </c>
      <c r="AL43" s="67">
        <f>IF(AND(AI43=1,OR(TRIM(U43)="Fail",AB43="Open",AND(ISNUMBER(AF43),AF43&lt;&gt;0,TRIM(U43)&lt;&gt;"Pass after CA"))),1,0)</f>
        <v/>
      </c>
      <c r="AM43" s="67">
        <f>IF(LEFT(AH43,7)="INVALID",1,0)</f>
        <v/>
      </c>
      <c r="AN43" s="67">
        <f>IF(AND(N43="Clarification required",AI43=1,AJ43=0),1,0)</f>
        <v/>
      </c>
      <c r="AO43" s="67">
        <f>IF(AK43=1,SUM(AK$5:AK43),"")</f>
        <v/>
      </c>
      <c r="AP43" s="67">
        <f>IF(AL43=1,SUM(AL$5:AL43),"")</f>
        <v/>
      </c>
      <c r="AQ43" s="67" t="n">
        <v>0</v>
      </c>
      <c r="AR43" s="67" t="n">
        <v>0</v>
      </c>
      <c r="AS43" s="67" t="n">
        <v>0</v>
      </c>
      <c r="AT43" s="67" t="n">
        <v>0</v>
      </c>
    </row>
    <row r="44" ht="40" customHeight="1">
      <c r="A44" s="63" t="inlineStr">
        <is>
          <t>F02-T12-05</t>
        </is>
      </c>
      <c r="B44" s="63" t="inlineStr">
        <is>
          <t>F02</t>
        </is>
      </c>
      <c r="C44" s="63">
        <f>Flights!$F$6</f>
        <v/>
      </c>
      <c r="D44" s="64">
        <f>Flights!$D$6</f>
        <v/>
      </c>
      <c r="E44" s="63">
        <f>Flights!$G$6&amp;"-"&amp;Flights!$H$6</f>
        <v/>
      </c>
      <c r="F44" s="63">
        <f>Flights!$K$6</f>
        <v/>
      </c>
      <c r="G44" s="63" t="inlineStr">
        <is>
          <t>T-12H PREP</t>
        </is>
      </c>
      <c r="H44" s="63" t="inlineStr">
        <is>
          <t>Preparation</t>
        </is>
      </c>
      <c r="I44" s="63" t="inlineStr">
        <is>
          <t>Equipment</t>
        </is>
      </c>
      <c r="J44" s="63" t="inlineStr">
        <is>
          <t>Equipment serviceability vs GLD</t>
        </is>
      </c>
      <c r="K44" s="73" t="inlineStr"/>
      <c r="L44" s="73" t="inlineStr">
        <is>
          <t>User brief (T-12 hours)</t>
        </is>
      </c>
      <c r="M44" s="73" t="inlineStr"/>
      <c r="N44" s="73" t="inlineStr">
        <is>
          <t>Required</t>
        </is>
      </c>
      <c r="O44" s="73" t="inlineStr">
        <is>
          <t>Preparation check at caterer - does NOT confirm loading.</t>
        </is>
      </c>
      <c r="P44" s="63" t="inlineStr">
        <is>
          <t>KUL</t>
        </is>
      </c>
      <c r="Q44" s="65">
        <f>Flights!$AE$6</f>
        <v/>
      </c>
      <c r="R44" s="65">
        <f>Q44+(IF(AND(INDEX(TZ_DSTS,MATCH(P44,TZ_STN,0))&lt;&gt;"",Q44&gt;=INDEX(TZ_DSTS,MATCH(P44,TZ_STN,0)),Q44&lt;INDEX(TZ_DSTE,MATCH(P44,TZ_STN,0))),INDEX(TZ_DST,MATCH(P44,TZ_STN,0)),INDEX(TZ_STD,MATCH(P44,TZ_STN,0))))/24</f>
        <v/>
      </c>
      <c r="S44" s="65">
        <f>Q44-T12EarlyH/24</f>
        <v/>
      </c>
      <c r="T44" s="66" t="n"/>
      <c r="U44" s="66" t="n"/>
      <c r="V44" s="66" t="n"/>
      <c r="W44" s="67" t="n"/>
      <c r="X44" s="66" t="n"/>
      <c r="Y44" s="66" t="n"/>
      <c r="Z44" s="66" t="n"/>
      <c r="AA44" s="66" t="n"/>
      <c r="AB44" s="66" t="n"/>
      <c r="AC44" s="66" t="n"/>
      <c r="AD44" s="72" t="n"/>
      <c r="AE44" s="66" t="n"/>
      <c r="AF44" s="67">
        <f>IF(AND(ISNUMBER(X44),ISNUMBER(Y44)),Y44-X44,"")</f>
        <v/>
      </c>
      <c r="AG44" s="68">
        <f>IF(ISNUMBER(AD44),AD44-(IF(AND(INDEX(TZ_DSTS,MATCH(P44,TZ_STN,0))&lt;&gt;"",(AD44-INDEX(TZ_STD,MATCH(P44,TZ_STN,0))/24)&gt;=INDEX(TZ_DSTS,MATCH(P44,TZ_STN,0)),(AD44-INDEX(TZ_STD,MATCH(P44,TZ_STN,0))/24)&lt;INDEX(TZ_DSTE,MATCH(P44,TZ_STN,0))),INDEX(TZ_DST,MATCH(P44,TZ_STN,0)),INDEX(TZ_STD,MATCH(P44,TZ_STN,0))))/24,"")</f>
        <v/>
      </c>
      <c r="AH44" s="71">
        <f>IF(N44="N/A – rule","N/A – RULE",IF(TRIM(U44)="N/A",IF(AT44=0,"INVALID – N/A not permitted for this mandatory check",IF(AND(TRIM(AC44)&lt;&gt;"",TRIM(AE44)&lt;&gt;"",TRIM(T44)&lt;&gt;""),"N/A – JUSTIFIED","INVALID – N/A needs justification, PIC and verifier")),IF(OR(TRIM(U44)="Pass",TRIM(U44)="Pass after CA"),IF(NOT(ISNUMBER(AD44)),"INVALID – completion time missing",IF(TRIM(T44)="","INVALID – PIC missing",IF(TRIM(Z44)="","INVALID – evidence missing",IF(TRIM(AE44)="","INVALID – verifier missing",IF(AND(AQ44=1,TRIM(W44)=""),"INVALID – batch ID missing",IF(AND(AR44=1,OR(NOT(ISNUMBER(X44)),NOT(ISNUMBER(Y44)))),"INVALID – expected/actual qty missing",IF(IF(AND(TRIM(U44)="Pass",ISNUMBER(AF44)),IF(AF44&lt;&gt;0,"INVALID – qty variance: use Fail or Pass after CA",""),"")&amp;IF(AND(TRIM(U44)="Pass",AB44="Open"),"INVALID – corrective action still open: use Fail, then Pass after CA","")&amp;IF(AND(TRIM(U44)="Pass after CA",OR(TRIM(AA44)="",AB44&lt;&gt;"Closed")),"INVALID – corrective action not recorded/closed","")&lt;&gt;"",IF(AND(TRIM(U44)="Pass",ISNUMBER(AF44)),IF(AF44&lt;&gt;0,"INVALID – qty variance: use Fail or Pass after CA",""),"")&amp;IF(AND(TRIM(U44)="Pass",AB44="Open"),"INVALID – corrective action still open: use Fail, then Pass after CA","")&amp;IF(AND(TRIM(U44)="Pass after CA",OR(TRIM(AA44)="",AB44&lt;&gt;"Closed")),"INVALID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window"),IF(AG44&gt;Flights!$AA$6,"INVALID – completed after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f>
        <v/>
      </c>
      <c r="AI44" s="67">
        <f>IF(OR(AH44="N/A – RULE",AH44="N/A – JUSTIFIED"),0,1)</f>
        <v/>
      </c>
      <c r="AJ44" s="67">
        <f>IF(LEFT(AH44,8)="COMPLETE",1,0)</f>
        <v/>
      </c>
      <c r="AK44" s="67">
        <f>IF(AND(AI44=1,AJ44=0,AsOfUTC&gt;Q44),1,0)</f>
        <v/>
      </c>
      <c r="AL44" s="67">
        <f>IF(AND(AI44=1,OR(TRIM(U44)="Fail",AB44="Open",AND(ISNUMBER(AF44),AF44&lt;&gt;0,TRIM(U44)&lt;&gt;"Pass after CA"))),1,0)</f>
        <v/>
      </c>
      <c r="AM44" s="67">
        <f>IF(LEFT(AH44,7)="INVALID",1,0)</f>
        <v/>
      </c>
      <c r="AN44" s="67">
        <f>IF(AND(N44="Clarification required",AI44=1,AJ44=0),1,0)</f>
        <v/>
      </c>
      <c r="AO44" s="67">
        <f>IF(AK44=1,SUM(AK$5:AK44),"")</f>
        <v/>
      </c>
      <c r="AP44" s="67">
        <f>IF(AL44=1,SUM(AL$5:AL44),"")</f>
        <v/>
      </c>
      <c r="AQ44" s="67" t="n">
        <v>0</v>
      </c>
      <c r="AR44" s="67" t="n">
        <v>0</v>
      </c>
      <c r="AS44" s="67" t="n">
        <v>0</v>
      </c>
      <c r="AT44" s="67" t="n">
        <v>0</v>
      </c>
    </row>
    <row r="45" ht="79" customHeight="1">
      <c r="A45" s="63" t="inlineStr">
        <is>
          <t>F02-T12-06</t>
        </is>
      </c>
      <c r="B45" s="63" t="inlineStr">
        <is>
          <t>F02</t>
        </is>
      </c>
      <c r="C45" s="63">
        <f>Flights!$F$6</f>
        <v/>
      </c>
      <c r="D45" s="64">
        <f>Flights!$D$6</f>
        <v/>
      </c>
      <c r="E45" s="63">
        <f>Flights!$G$6&amp;"-"&amp;Flights!$H$6</f>
        <v/>
      </c>
      <c r="F45" s="63">
        <f>Flights!$K$6</f>
        <v/>
      </c>
      <c r="G45" s="63" t="inlineStr">
        <is>
          <t>T-12H PREP</t>
        </is>
      </c>
      <c r="H45" s="63" t="inlineStr">
        <is>
          <t>Preparation</t>
        </is>
      </c>
      <c r="I45" s="63" t="inlineStr">
        <is>
          <t>Equipment</t>
        </is>
      </c>
      <c r="J45" s="63" t="inlineStr">
        <is>
          <t>Equipment quantities vs GLD</t>
        </is>
      </c>
      <c r="K45" s="73" t="inlineStr">
        <is>
          <t>Enter expected &amp; actual. Aircraft galley data: B737-8 (B7M8): carts 10.5, SU 25, ovens 6, warming ovens -, fridges -, water heaters 3, beverage makers -, espresso -, folding trolleys -, headsets - (AIRCRAFT TYPE!C16:R16)</t>
        </is>
      </c>
      <c r="L45" s="73" t="inlineStr">
        <is>
          <t>User brief (T-12 hours)</t>
        </is>
      </c>
      <c r="M45" s="73" t="inlineStr"/>
      <c r="N45" s="73" t="inlineStr">
        <is>
          <t>Required</t>
        </is>
      </c>
      <c r="O45" s="73" t="inlineStr">
        <is>
          <t>Preparation check at caterer - does NOT confirm loading.</t>
        </is>
      </c>
      <c r="P45" s="63" t="inlineStr">
        <is>
          <t>KUL</t>
        </is>
      </c>
      <c r="Q45" s="65">
        <f>Flights!$AE$6</f>
        <v/>
      </c>
      <c r="R45" s="65">
        <f>Q45+(IF(AND(INDEX(TZ_DSTS,MATCH(P45,TZ_STN,0))&lt;&gt;"",Q45&gt;=INDEX(TZ_DSTS,MATCH(P45,TZ_STN,0)),Q45&lt;INDEX(TZ_DSTE,MATCH(P45,TZ_STN,0))),INDEX(TZ_DST,MATCH(P45,TZ_STN,0)),INDEX(TZ_STD,MATCH(P45,TZ_STN,0))))/24</f>
        <v/>
      </c>
      <c r="S45" s="65">
        <f>Q45-T12EarlyH/24</f>
        <v/>
      </c>
      <c r="T45" s="66" t="n"/>
      <c r="U45" s="66" t="n"/>
      <c r="V45" s="66" t="n"/>
      <c r="W45" s="67" t="n"/>
      <c r="X45" s="66" t="n"/>
      <c r="Y45" s="66" t="n"/>
      <c r="Z45" s="66" t="n"/>
      <c r="AA45" s="66" t="n"/>
      <c r="AB45" s="66" t="n"/>
      <c r="AC45" s="66" t="n"/>
      <c r="AD45" s="72" t="n"/>
      <c r="AE45" s="66" t="n"/>
      <c r="AF45" s="67">
        <f>IF(AND(ISNUMBER(X45),ISNUMBER(Y45)),Y45-X45,"")</f>
        <v/>
      </c>
      <c r="AG45" s="68">
        <f>IF(ISNUMBER(AD45),AD45-(IF(AND(INDEX(TZ_DSTS,MATCH(P45,TZ_STN,0))&lt;&gt;"",(AD45-INDEX(TZ_STD,MATCH(P45,TZ_STN,0))/24)&gt;=INDEX(TZ_DSTS,MATCH(P45,TZ_STN,0)),(AD45-INDEX(TZ_STD,MATCH(P45,TZ_STN,0))/24)&lt;INDEX(TZ_DSTE,MATCH(P45,TZ_STN,0))),INDEX(TZ_DST,MATCH(P45,TZ_STN,0)),INDEX(TZ_STD,MATCH(P45,TZ_STN,0))))/24,"")</f>
        <v/>
      </c>
      <c r="AH45" s="71">
        <f>IF(N45="N/A – rule","N/A – RULE",IF(TRIM(U45)="N/A",IF(AT45=0,"INVALID – N/A not permitted for this mandatory check",IF(AND(TRIM(AC45)&lt;&gt;"",TRIM(AE45)&lt;&gt;"",TRIM(T45)&lt;&gt;""),"N/A – JUSTIFIED","INVALID – N/A needs justification, PIC and verifier")),IF(OR(TRIM(U45)="Pass",TRIM(U45)="Pass after CA"),IF(NOT(ISNUMBER(AD45)),"INVALID – completion time missing",IF(TRIM(T45)="","INVALID – PIC missing",IF(TRIM(Z45)="","INVALID – evidence missing",IF(TRIM(AE45)="","INVALID – verifier missing",IF(AND(AQ45=1,TRIM(W45)=""),"INVALID – batch ID missing",IF(AND(AR45=1,OR(NOT(ISNUMBER(X45)),NOT(ISNUMBER(Y45)))),"INVALID – expected/actual qty missing",IF(IF(AND(TRIM(U45)="Pass",ISNUMBER(AF45)),IF(AF45&lt;&gt;0,"INVALID – qty variance: use Fail or Pass after CA",""),"")&amp;IF(AND(TRIM(U45)="Pass",AB45="Open"),"INVALID – corrective action still open: use Fail, then Pass after CA","")&amp;IF(AND(TRIM(U45)="Pass after CA",OR(TRIM(AA45)="",AB45&lt;&gt;"Closed")),"INVALID – corrective action not recorded/closed","")&lt;&gt;"",IF(AND(TRIM(U45)="Pass",ISNUMBER(AF45)),IF(AF45&lt;&gt;0,"INVALID – qty variance: use Fail or Pass after CA",""),"")&amp;IF(AND(TRIM(U45)="Pass",AB45="Open"),"INVALID – corrective action still open: use Fail, then Pass after CA","")&amp;IF(AND(TRIM(U45)="Pass after CA",OR(TRIM(AA45)="",AB45&lt;&gt;"Closed")),"INVALID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window"),IF(AG45&gt;Flights!$AA$6,"INVALID – completed after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f>
        <v/>
      </c>
      <c r="AI45" s="67">
        <f>IF(OR(AH45="N/A – RULE",AH45="N/A – JUSTIFIED"),0,1)</f>
        <v/>
      </c>
      <c r="AJ45" s="67">
        <f>IF(LEFT(AH45,8)="COMPLETE",1,0)</f>
        <v/>
      </c>
      <c r="AK45" s="67">
        <f>IF(AND(AI45=1,AJ45=0,AsOfUTC&gt;Q45),1,0)</f>
        <v/>
      </c>
      <c r="AL45" s="67">
        <f>IF(AND(AI45=1,OR(TRIM(U45)="Fail",AB45="Open",AND(ISNUMBER(AF45),AF45&lt;&gt;0,TRIM(U45)&lt;&gt;"Pass after CA"))),1,0)</f>
        <v/>
      </c>
      <c r="AM45" s="67">
        <f>IF(LEFT(AH45,7)="INVALID",1,0)</f>
        <v/>
      </c>
      <c r="AN45" s="67">
        <f>IF(AND(N45="Clarification required",AI45=1,AJ45=0),1,0)</f>
        <v/>
      </c>
      <c r="AO45" s="67">
        <f>IF(AK45=1,SUM(AK$5:AK45),"")</f>
        <v/>
      </c>
      <c r="AP45" s="67">
        <f>IF(AL45=1,SUM(AL$5:AL45),"")</f>
        <v/>
      </c>
      <c r="AQ45" s="67" t="n">
        <v>0</v>
      </c>
      <c r="AR45" s="67" t="n">
        <v>1</v>
      </c>
      <c r="AS45" s="67" t="n">
        <v>0</v>
      </c>
      <c r="AT45" s="67" t="n">
        <v>0</v>
      </c>
    </row>
    <row r="46" ht="40" customHeight="1">
      <c r="A46" s="63" t="inlineStr">
        <is>
          <t>F02-T12-07</t>
        </is>
      </c>
      <c r="B46" s="63" t="inlineStr">
        <is>
          <t>F02</t>
        </is>
      </c>
      <c r="C46" s="63">
        <f>Flights!$F$6</f>
        <v/>
      </c>
      <c r="D46" s="64">
        <f>Flights!$D$6</f>
        <v/>
      </c>
      <c r="E46" s="63">
        <f>Flights!$G$6&amp;"-"&amp;Flights!$H$6</f>
        <v/>
      </c>
      <c r="F46" s="63">
        <f>Flights!$K$6</f>
        <v/>
      </c>
      <c r="G46" s="63" t="inlineStr">
        <is>
          <t>T-12H PREP</t>
        </is>
      </c>
      <c r="H46" s="63" t="inlineStr">
        <is>
          <t>Preparation</t>
        </is>
      </c>
      <c r="I46" s="63" t="inlineStr">
        <is>
          <t>Equipment</t>
        </is>
      </c>
      <c r="J46" s="63" t="inlineStr">
        <is>
          <t>Loading positions planned vs GLD</t>
        </is>
      </c>
      <c r="K46" s="73" t="inlineStr"/>
      <c r="L46" s="73" t="inlineStr">
        <is>
          <t>User brief (T-12 hours)</t>
        </is>
      </c>
      <c r="M46" s="73" t="inlineStr"/>
      <c r="N46" s="73" t="inlineStr">
        <is>
          <t>Required</t>
        </is>
      </c>
      <c r="O46" s="73" t="inlineStr">
        <is>
          <t>Preparation check at caterer - does NOT confirm loading.</t>
        </is>
      </c>
      <c r="P46" s="63" t="inlineStr">
        <is>
          <t>KUL</t>
        </is>
      </c>
      <c r="Q46" s="65">
        <f>Flights!$AE$6</f>
        <v/>
      </c>
      <c r="R46" s="65">
        <f>Q46+(IF(AND(INDEX(TZ_DSTS,MATCH(P46,TZ_STN,0))&lt;&gt;"",Q46&gt;=INDEX(TZ_DSTS,MATCH(P46,TZ_STN,0)),Q46&lt;INDEX(TZ_DSTE,MATCH(P46,TZ_STN,0))),INDEX(TZ_DST,MATCH(P46,TZ_STN,0)),INDEX(TZ_STD,MATCH(P46,TZ_STN,0))))/24</f>
        <v/>
      </c>
      <c r="S46" s="65">
        <f>Q46-T12EarlyH/24</f>
        <v/>
      </c>
      <c r="T46" s="66" t="n"/>
      <c r="U46" s="66" t="n"/>
      <c r="V46" s="66" t="n"/>
      <c r="W46" s="67" t="n"/>
      <c r="X46" s="66" t="n"/>
      <c r="Y46" s="66" t="n"/>
      <c r="Z46" s="66" t="n"/>
      <c r="AA46" s="66" t="n"/>
      <c r="AB46" s="66" t="n"/>
      <c r="AC46" s="66" t="n"/>
      <c r="AD46" s="72" t="n"/>
      <c r="AE46" s="66" t="n"/>
      <c r="AF46" s="67">
        <f>IF(AND(ISNUMBER(X46),ISNUMBER(Y46)),Y46-X46,"")</f>
        <v/>
      </c>
      <c r="AG46" s="68">
        <f>IF(ISNUMBER(AD46),AD46-(IF(AND(INDEX(TZ_DSTS,MATCH(P46,TZ_STN,0))&lt;&gt;"",(AD46-INDEX(TZ_STD,MATCH(P46,TZ_STN,0))/24)&gt;=INDEX(TZ_DSTS,MATCH(P46,TZ_STN,0)),(AD46-INDEX(TZ_STD,MATCH(P46,TZ_STN,0))/24)&lt;INDEX(TZ_DSTE,MATCH(P46,TZ_STN,0))),INDEX(TZ_DST,MATCH(P46,TZ_STN,0)),INDEX(TZ_STD,MATCH(P46,TZ_STN,0))))/24,"")</f>
        <v/>
      </c>
      <c r="AH46" s="71">
        <f>IF(N46="N/A – rule","N/A – RULE",IF(TRIM(U46)="N/A",IF(AT46=0,"INVALID – N/A not permitted for this mandatory check",IF(AND(TRIM(AC46)&lt;&gt;"",TRIM(AE46)&lt;&gt;"",TRIM(T46)&lt;&gt;""),"N/A – JUSTIFIED","INVALID – N/A needs justification, PIC and verifier")),IF(OR(TRIM(U46)="Pass",TRIM(U46)="Pass after CA"),IF(NOT(ISNUMBER(AD46)),"INVALID – completion time missing",IF(TRIM(T46)="","INVALID – PIC missing",IF(TRIM(Z46)="","INVALID – evidence missing",IF(TRIM(AE46)="","INVALID – verifier missing",IF(AND(AQ46=1,TRIM(W46)=""),"INVALID – batch ID missing",IF(AND(AR46=1,OR(NOT(ISNUMBER(X46)),NOT(ISNUMBER(Y46)))),"INVALID – expected/actual qty missing",IF(IF(AND(TRIM(U46)="Pass",ISNUMBER(AF46)),IF(AF46&lt;&gt;0,"INVALID – qty variance: use Fail or Pass after CA",""),"")&amp;IF(AND(TRIM(U46)="Pass",AB46="Open"),"INVALID – corrective action still open: use Fail, then Pass after CA","")&amp;IF(AND(TRIM(U46)="Pass after CA",OR(TRIM(AA46)="",AB46&lt;&gt;"Closed")),"INVALID – corrective action not recorded/closed","")&lt;&gt;"",IF(AND(TRIM(U46)="Pass",ISNUMBER(AF46)),IF(AF46&lt;&gt;0,"INVALID – qty variance: use Fail or Pass after CA",""),"")&amp;IF(AND(TRIM(U46)="Pass",AB46="Open"),"INVALID – corrective action still open: use Fail, then Pass after CA","")&amp;IF(AND(TRIM(U46)="Pass after CA",OR(TRIM(AA46)="",AB46&lt;&gt;"Closed")),"INVALID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window"),IF(AG46&gt;Flights!$AA$6,"INVALID – completed after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f>
        <v/>
      </c>
      <c r="AI46" s="67">
        <f>IF(OR(AH46="N/A – RULE",AH46="N/A – JUSTIFIED"),0,1)</f>
        <v/>
      </c>
      <c r="AJ46" s="67">
        <f>IF(LEFT(AH46,8)="COMPLETE",1,0)</f>
        <v/>
      </c>
      <c r="AK46" s="67">
        <f>IF(AND(AI46=1,AJ46=0,AsOfUTC&gt;Q46),1,0)</f>
        <v/>
      </c>
      <c r="AL46" s="67">
        <f>IF(AND(AI46=1,OR(TRIM(U46)="Fail",AB46="Open",AND(ISNUMBER(AF46),AF46&lt;&gt;0,TRIM(U46)&lt;&gt;"Pass after CA"))),1,0)</f>
        <v/>
      </c>
      <c r="AM46" s="67">
        <f>IF(LEFT(AH46,7)="INVALID",1,0)</f>
        <v/>
      </c>
      <c r="AN46" s="67">
        <f>IF(AND(N46="Clarification required",AI46=1,AJ46=0),1,0)</f>
        <v/>
      </c>
      <c r="AO46" s="67">
        <f>IF(AK46=1,SUM(AK$5:AK46),"")</f>
        <v/>
      </c>
      <c r="AP46" s="67">
        <f>IF(AL46=1,SUM(AL$5:AL46),"")</f>
        <v/>
      </c>
      <c r="AQ46" s="67" t="n">
        <v>0</v>
      </c>
      <c r="AR46" s="67" t="n">
        <v>0</v>
      </c>
      <c r="AS46" s="67" t="n">
        <v>0</v>
      </c>
      <c r="AT46" s="67" t="n">
        <v>0</v>
      </c>
    </row>
    <row r="47" ht="66.5" customHeight="1">
      <c r="A47" s="63" t="inlineStr">
        <is>
          <t>F02-T12-08</t>
        </is>
      </c>
      <c r="B47" s="63" t="inlineStr">
        <is>
          <t>F02</t>
        </is>
      </c>
      <c r="C47" s="63">
        <f>Flights!$F$6</f>
        <v/>
      </c>
      <c r="D47" s="64">
        <f>Flights!$D$6</f>
        <v/>
      </c>
      <c r="E47" s="63">
        <f>Flights!$G$6&amp;"-"&amp;Flights!$H$6</f>
        <v/>
      </c>
      <c r="F47" s="63">
        <f>Flights!$K$6</f>
        <v/>
      </c>
      <c r="G47" s="63" t="inlineStr">
        <is>
          <t>T-12H PREP</t>
        </is>
      </c>
      <c r="H47" s="63" t="inlineStr">
        <is>
          <t>Preparation</t>
        </is>
      </c>
      <c r="I47" s="63" t="inlineStr">
        <is>
          <t>Amenities</t>
        </is>
      </c>
      <c r="J47" s="63" t="inlineStr">
        <is>
          <t>Disposable slippers in DAM cart (BC, on request) - prepared</t>
        </is>
      </c>
      <c r="K47" s="73" t="inlineStr">
        <is>
          <t>Available in DAM cart on request basis</t>
        </is>
      </c>
      <c r="L47" s="73" t="inlineStr">
        <is>
          <t>STD UPLIFT INFORMATION.xlsx &gt; AMENITIES!G52 / C83</t>
        </is>
      </c>
      <c r="M47" s="73" t="inlineStr">
        <is>
          <t>Not stated in reference</t>
        </is>
      </c>
      <c r="N47" s="73" t="inlineStr">
        <is>
          <t>Required</t>
        </is>
      </c>
      <c r="O47" s="73" t="inlineStr">
        <is>
          <t>Sector has no BC slippers; note C83: disposable slipper available in DAM cart (on request basis). Reference gives no uplift stn for this item: preparation checked at the meal uplift stn (KUL) - confirm with caterer.</t>
        </is>
      </c>
      <c r="P47" s="63" t="inlineStr">
        <is>
          <t>KUL</t>
        </is>
      </c>
      <c r="Q47" s="65">
        <f>Flights!$AE$6</f>
        <v/>
      </c>
      <c r="R47" s="65">
        <f>Q47+(IF(AND(INDEX(TZ_DSTS,MATCH(P47,TZ_STN,0))&lt;&gt;"",Q47&gt;=INDEX(TZ_DSTS,MATCH(P47,TZ_STN,0)),Q47&lt;INDEX(TZ_DSTE,MATCH(P47,TZ_STN,0))),INDEX(TZ_DST,MATCH(P47,TZ_STN,0)),INDEX(TZ_STD,MATCH(P47,TZ_STN,0))))/24</f>
        <v/>
      </c>
      <c r="S47" s="65">
        <f>Q47-T12EarlyH/24</f>
        <v/>
      </c>
      <c r="T47" s="66" t="n"/>
      <c r="U47" s="66" t="n"/>
      <c r="V47" s="66" t="n"/>
      <c r="W47" s="67" t="n"/>
      <c r="X47" s="66" t="n"/>
      <c r="Y47" s="66" t="n"/>
      <c r="Z47" s="66" t="n"/>
      <c r="AA47" s="66" t="n"/>
      <c r="AB47" s="66" t="n"/>
      <c r="AC47" s="66" t="n"/>
      <c r="AD47" s="72" t="n"/>
      <c r="AE47" s="66" t="n"/>
      <c r="AF47" s="67">
        <f>IF(AND(ISNUMBER(X47),ISNUMBER(Y47)),Y47-X47,"")</f>
        <v/>
      </c>
      <c r="AG47" s="68">
        <f>IF(ISNUMBER(AD47),AD47-(IF(AND(INDEX(TZ_DSTS,MATCH(P47,TZ_STN,0))&lt;&gt;"",(AD47-INDEX(TZ_STD,MATCH(P47,TZ_STN,0))/24)&gt;=INDEX(TZ_DSTS,MATCH(P47,TZ_STN,0)),(AD47-INDEX(TZ_STD,MATCH(P47,TZ_STN,0))/24)&lt;INDEX(TZ_DSTE,MATCH(P47,TZ_STN,0))),INDEX(TZ_DST,MATCH(P47,TZ_STN,0)),INDEX(TZ_STD,MATCH(P47,TZ_STN,0))))/24,"")</f>
        <v/>
      </c>
      <c r="AH47" s="71">
        <f>IF(N47="N/A – rule","N/A – RULE",IF(TRIM(U47)="N/A",IF(AT47=0,"INVALID – N/A not permitted for this mandatory check",IF(AND(TRIM(AC47)&lt;&gt;"",TRIM(AE47)&lt;&gt;"",TRIM(T47)&lt;&gt;""),"N/A – JUSTIFIED","INVALID – N/A needs justification, PIC and verifier")),IF(OR(TRIM(U47)="Pass",TRIM(U47)="Pass after CA"),IF(NOT(ISNUMBER(AD47)),"INVALID – completion time missing",IF(TRIM(T47)="","INVALID – PIC missing",IF(TRIM(Z47)="","INVALID – evidence missing",IF(TRIM(AE47)="","INVALID – verifier missing",IF(AND(AQ47=1,TRIM(W47)=""),"INVALID – batch ID missing",IF(AND(AR47=1,OR(NOT(ISNUMBER(X47)),NOT(ISNUMBER(Y47)))),"INVALID – expected/actual qty missing",IF(IF(AND(TRIM(U47)="Pass",ISNUMBER(AF47)),IF(AF47&lt;&gt;0,"INVALID – qty variance: use Fail or Pass after CA",""),"")&amp;IF(AND(TRIM(U47)="Pass",AB47="Open"),"INVALID – corrective action still open: use Fail, then Pass after CA","")&amp;IF(AND(TRIM(U47)="Pass after CA",OR(TRIM(AA47)="",AB47&lt;&gt;"Closed")),"INVALID – corrective action not recorded/closed","")&lt;&gt;"",IF(AND(TRIM(U47)="Pass",ISNUMBER(AF47)),IF(AF47&lt;&gt;0,"INVALID – qty variance: use Fail or Pass after CA",""),"")&amp;IF(AND(TRIM(U47)="Pass",AB47="Open"),"INVALID – corrective action still open: use Fail, then Pass after CA","")&amp;IF(AND(TRIM(U47)="Pass after CA",OR(TRIM(AA47)="",AB47&lt;&gt;"Closed")),"INVALID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window"),IF(AG47&gt;Flights!$AA$6,"INVALID – completed after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f>
        <v/>
      </c>
      <c r="AI47" s="67">
        <f>IF(OR(AH47="N/A – RULE",AH47="N/A – JUSTIFIED"),0,1)</f>
        <v/>
      </c>
      <c r="AJ47" s="67">
        <f>IF(LEFT(AH47,8)="COMPLETE",1,0)</f>
        <v/>
      </c>
      <c r="AK47" s="67">
        <f>IF(AND(AI47=1,AJ47=0,AsOfUTC&gt;Q47),1,0)</f>
        <v/>
      </c>
      <c r="AL47" s="67">
        <f>IF(AND(AI47=1,OR(TRIM(U47)="Fail",AB47="Open",AND(ISNUMBER(AF47),AF47&lt;&gt;0,TRIM(U47)&lt;&gt;"Pass after CA"))),1,0)</f>
        <v/>
      </c>
      <c r="AM47" s="67">
        <f>IF(LEFT(AH47,7)="INVALID",1,0)</f>
        <v/>
      </c>
      <c r="AN47" s="67">
        <f>IF(AND(N47="Clarification required",AI47=1,AJ47=0),1,0)</f>
        <v/>
      </c>
      <c r="AO47" s="67">
        <f>IF(AK47=1,SUM(AK$5:AK47),"")</f>
        <v/>
      </c>
      <c r="AP47" s="67">
        <f>IF(AL47=1,SUM(AL$5:AL47),"")</f>
        <v/>
      </c>
      <c r="AQ47" s="67" t="n">
        <v>0</v>
      </c>
      <c r="AR47" s="67" t="n">
        <v>0</v>
      </c>
      <c r="AS47" s="67" t="n">
        <v>0</v>
      </c>
      <c r="AT47" s="67" t="n">
        <v>1</v>
      </c>
    </row>
    <row r="48" ht="41.5" customHeight="1">
      <c r="A48" s="63" t="inlineStr">
        <is>
          <t>F02-T12-09</t>
        </is>
      </c>
      <c r="B48" s="63" t="inlineStr">
        <is>
          <t>F02</t>
        </is>
      </c>
      <c r="C48" s="63">
        <f>Flights!$F$6</f>
        <v/>
      </c>
      <c r="D48" s="64">
        <f>Flights!$D$6</f>
        <v/>
      </c>
      <c r="E48" s="63">
        <f>Flights!$G$6&amp;"-"&amp;Flights!$H$6</f>
        <v/>
      </c>
      <c r="F48" s="63">
        <f>Flights!$K$6</f>
        <v/>
      </c>
      <c r="G48" s="63" t="inlineStr">
        <is>
          <t>T-12H PREP</t>
        </is>
      </c>
      <c r="H48" s="63" t="inlineStr">
        <is>
          <t>Preparation</t>
        </is>
      </c>
      <c r="I48" s="63" t="inlineStr">
        <is>
          <t>F&amp;B Linen</t>
        </is>
      </c>
      <c r="J48" s="63" t="inlineStr">
        <is>
          <t>Towel - prepared</t>
        </is>
      </c>
      <c r="K48" s="73" t="inlineStr">
        <is>
          <t>Available (ticked in reference)</t>
        </is>
      </c>
      <c r="L48" s="73" t="inlineStr">
        <is>
          <t>STD UPLIFT INFORMATION.xlsx &gt; F&amp;B LINEN!D44</t>
        </is>
      </c>
      <c r="M48" s="73" t="inlineStr">
        <is>
          <t>Not stated in reference</t>
        </is>
      </c>
      <c r="N48" s="73" t="inlineStr">
        <is>
          <t>Required</t>
        </is>
      </c>
      <c r="O48" s="73" t="inlineStr">
        <is>
          <t>Reference gives no uplift stn for this item: preparation checked at the meal uplift stn (KUL) - confirm with caterer.</t>
        </is>
      </c>
      <c r="P48" s="63" t="inlineStr">
        <is>
          <t>KUL</t>
        </is>
      </c>
      <c r="Q48" s="65">
        <f>Flights!$AE$6</f>
        <v/>
      </c>
      <c r="R48" s="65">
        <f>Q48+(IF(AND(INDEX(TZ_DSTS,MATCH(P48,TZ_STN,0))&lt;&gt;"",Q48&gt;=INDEX(TZ_DSTS,MATCH(P48,TZ_STN,0)),Q48&lt;INDEX(TZ_DSTE,MATCH(P48,TZ_STN,0))),INDEX(TZ_DST,MATCH(P48,TZ_STN,0)),INDEX(TZ_STD,MATCH(P48,TZ_STN,0))))/24</f>
        <v/>
      </c>
      <c r="S48" s="65">
        <f>Q48-T12EarlyH/24</f>
        <v/>
      </c>
      <c r="T48" s="66" t="n"/>
      <c r="U48" s="66" t="n"/>
      <c r="V48" s="66" t="n"/>
      <c r="W48" s="67" t="n"/>
      <c r="X48" s="66" t="n"/>
      <c r="Y48" s="66" t="n"/>
      <c r="Z48" s="66" t="n"/>
      <c r="AA48" s="66" t="n"/>
      <c r="AB48" s="66" t="n"/>
      <c r="AC48" s="66" t="n"/>
      <c r="AD48" s="72" t="n"/>
      <c r="AE48" s="66" t="n"/>
      <c r="AF48" s="67">
        <f>IF(AND(ISNUMBER(X48),ISNUMBER(Y48)),Y48-X48,"")</f>
        <v/>
      </c>
      <c r="AG48" s="68">
        <f>IF(ISNUMBER(AD48),AD48-(IF(AND(INDEX(TZ_DSTS,MATCH(P48,TZ_STN,0))&lt;&gt;"",(AD48-INDEX(TZ_STD,MATCH(P48,TZ_STN,0))/24)&gt;=INDEX(TZ_DSTS,MATCH(P48,TZ_STN,0)),(AD48-INDEX(TZ_STD,MATCH(P48,TZ_STN,0))/24)&lt;INDEX(TZ_DSTE,MATCH(P48,TZ_STN,0))),INDEX(TZ_DST,MATCH(P48,TZ_STN,0)),INDEX(TZ_STD,MATCH(P48,TZ_STN,0))))/24,"")</f>
        <v/>
      </c>
      <c r="AH48" s="71">
        <f>IF(N48="N/A – rule","N/A – RULE",IF(TRIM(U48)="N/A",IF(AT48=0,"INVALID – N/A not permitted for this mandatory check",IF(AND(TRIM(AC48)&lt;&gt;"",TRIM(AE48)&lt;&gt;"",TRIM(T48)&lt;&gt;""),"N/A – JUSTIFIED","INVALID – N/A needs justification, PIC and verifier")),IF(OR(TRIM(U48)="Pass",TRIM(U48)="Pass after CA"),IF(NOT(ISNUMBER(AD48)),"INVALID – completion time missing",IF(TRIM(T48)="","INVALID – PIC missing",IF(TRIM(Z48)="","INVALID – evidence missing",IF(TRIM(AE48)="","INVALID – verifier missing",IF(AND(AQ48=1,TRIM(W48)=""),"INVALID – batch ID missing",IF(AND(AR48=1,OR(NOT(ISNUMBER(X48)),NOT(ISNUMBER(Y48)))),"INVALID – expected/actual qty missing",IF(IF(AND(TRIM(U48)="Pass",ISNUMBER(AF48)),IF(AF48&lt;&gt;0,"INVALID – qty variance: use Fail or Pass after CA",""),"")&amp;IF(AND(TRIM(U48)="Pass",AB48="Open"),"INVALID – corrective action still open: use Fail, then Pass after CA","")&amp;IF(AND(TRIM(U48)="Pass after CA",OR(TRIM(AA48)="",AB48&lt;&gt;"Closed")),"INVALID – corrective action not recorded/closed","")&lt;&gt;"",IF(AND(TRIM(U48)="Pass",ISNUMBER(AF48)),IF(AF48&lt;&gt;0,"INVALID – qty variance: use Fail or Pass after CA",""),"")&amp;IF(AND(TRIM(U48)="Pass",AB48="Open"),"INVALID – corrective action still open: use Fail, then Pass after CA","")&amp;IF(AND(TRIM(U48)="Pass after CA",OR(TRIM(AA48)="",AB48&lt;&gt;"Closed")),"INVALID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window"),IF(AG48&gt;Flights!$AA$6,"INVALID – completed after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f>
        <v/>
      </c>
      <c r="AI48" s="67">
        <f>IF(OR(AH48="N/A – RULE",AH48="N/A – JUSTIFIED"),0,1)</f>
        <v/>
      </c>
      <c r="AJ48" s="67">
        <f>IF(LEFT(AH48,8)="COMPLETE",1,0)</f>
        <v/>
      </c>
      <c r="AK48" s="67">
        <f>IF(AND(AI48=1,AJ48=0,AsOfUTC&gt;Q48),1,0)</f>
        <v/>
      </c>
      <c r="AL48" s="67">
        <f>IF(AND(AI48=1,OR(TRIM(U48)="Fail",AB48="Open",AND(ISNUMBER(AF48),AF48&lt;&gt;0,TRIM(U48)&lt;&gt;"Pass after CA"))),1,0)</f>
        <v/>
      </c>
      <c r="AM48" s="67">
        <f>IF(LEFT(AH48,7)="INVALID",1,0)</f>
        <v/>
      </c>
      <c r="AN48" s="67">
        <f>IF(AND(N48="Clarification required",AI48=1,AJ48=0),1,0)</f>
        <v/>
      </c>
      <c r="AO48" s="67">
        <f>IF(AK48=1,SUM(AK$5:AK48),"")</f>
        <v/>
      </c>
      <c r="AP48" s="67">
        <f>IF(AL48=1,SUM(AL$5:AL48),"")</f>
        <v/>
      </c>
      <c r="AQ48" s="67" t="n">
        <v>0</v>
      </c>
      <c r="AR48" s="67" t="n">
        <v>0</v>
      </c>
      <c r="AS48" s="67" t="n">
        <v>0</v>
      </c>
      <c r="AT48" s="67" t="n">
        <v>1</v>
      </c>
    </row>
    <row r="49" ht="41.5" customHeight="1">
      <c r="A49" s="63" t="inlineStr">
        <is>
          <t>F02-T12-10</t>
        </is>
      </c>
      <c r="B49" s="63" t="inlineStr">
        <is>
          <t>F02</t>
        </is>
      </c>
      <c r="C49" s="63">
        <f>Flights!$F$6</f>
        <v/>
      </c>
      <c r="D49" s="64">
        <f>Flights!$D$6</f>
        <v/>
      </c>
      <c r="E49" s="63">
        <f>Flights!$G$6&amp;"-"&amp;Flights!$H$6</f>
        <v/>
      </c>
      <c r="F49" s="63">
        <f>Flights!$K$6</f>
        <v/>
      </c>
      <c r="G49" s="63" t="inlineStr">
        <is>
          <t>T-12H PREP</t>
        </is>
      </c>
      <c r="H49" s="63" t="inlineStr">
        <is>
          <t>Preparation</t>
        </is>
      </c>
      <c r="I49" s="63" t="inlineStr">
        <is>
          <t>F&amp;B Linen</t>
        </is>
      </c>
      <c r="J49" s="63" t="inlineStr">
        <is>
          <t>Tray cloth - prepared</t>
        </is>
      </c>
      <c r="K49" s="73" t="inlineStr">
        <is>
          <t>Available (ticked in reference)</t>
        </is>
      </c>
      <c r="L49" s="73" t="inlineStr">
        <is>
          <t>STD UPLIFT INFORMATION.xlsx &gt; F&amp;B LINEN!E44</t>
        </is>
      </c>
      <c r="M49" s="73" t="inlineStr">
        <is>
          <t>Not stated in reference</t>
        </is>
      </c>
      <c r="N49" s="73" t="inlineStr">
        <is>
          <t>Required</t>
        </is>
      </c>
      <c r="O49" s="73" t="inlineStr">
        <is>
          <t>Reference gives no uplift stn for this item: preparation checked at the meal uplift stn (KUL) - confirm with caterer.</t>
        </is>
      </c>
      <c r="P49" s="63" t="inlineStr">
        <is>
          <t>KUL</t>
        </is>
      </c>
      <c r="Q49" s="65">
        <f>Flights!$AE$6</f>
        <v/>
      </c>
      <c r="R49" s="65">
        <f>Q49+(IF(AND(INDEX(TZ_DSTS,MATCH(P49,TZ_STN,0))&lt;&gt;"",Q49&gt;=INDEX(TZ_DSTS,MATCH(P49,TZ_STN,0)),Q49&lt;INDEX(TZ_DSTE,MATCH(P49,TZ_STN,0))),INDEX(TZ_DST,MATCH(P49,TZ_STN,0)),INDEX(TZ_STD,MATCH(P49,TZ_STN,0))))/24</f>
        <v/>
      </c>
      <c r="S49" s="65">
        <f>Q49-T12EarlyH/24</f>
        <v/>
      </c>
      <c r="T49" s="66" t="n"/>
      <c r="U49" s="66" t="n"/>
      <c r="V49" s="66" t="n"/>
      <c r="W49" s="67" t="n"/>
      <c r="X49" s="66" t="n"/>
      <c r="Y49" s="66" t="n"/>
      <c r="Z49" s="66" t="n"/>
      <c r="AA49" s="66" t="n"/>
      <c r="AB49" s="66" t="n"/>
      <c r="AC49" s="66" t="n"/>
      <c r="AD49" s="72" t="n"/>
      <c r="AE49" s="66" t="n"/>
      <c r="AF49" s="67">
        <f>IF(AND(ISNUMBER(X49),ISNUMBER(Y49)),Y49-X49,"")</f>
        <v/>
      </c>
      <c r="AG49" s="68">
        <f>IF(ISNUMBER(AD49),AD49-(IF(AND(INDEX(TZ_DSTS,MATCH(P49,TZ_STN,0))&lt;&gt;"",(AD49-INDEX(TZ_STD,MATCH(P49,TZ_STN,0))/24)&gt;=INDEX(TZ_DSTS,MATCH(P49,TZ_STN,0)),(AD49-INDEX(TZ_STD,MATCH(P49,TZ_STN,0))/24)&lt;INDEX(TZ_DSTE,MATCH(P49,TZ_STN,0))),INDEX(TZ_DST,MATCH(P49,TZ_STN,0)),INDEX(TZ_STD,MATCH(P49,TZ_STN,0))))/24,"")</f>
        <v/>
      </c>
      <c r="AH49" s="71">
        <f>IF(N49="N/A – rule","N/A – RULE",IF(TRIM(U49)="N/A",IF(AT49=0,"INVALID – N/A not permitted for this mandatory check",IF(AND(TRIM(AC49)&lt;&gt;"",TRIM(AE49)&lt;&gt;"",TRIM(T49)&lt;&gt;""),"N/A – JUSTIFIED","INVALID – N/A needs justification, PIC and verifier")),IF(OR(TRIM(U49)="Pass",TRIM(U49)="Pass after CA"),IF(NOT(ISNUMBER(AD49)),"INVALID – completion time missing",IF(TRIM(T49)="","INVALID – PIC missing",IF(TRIM(Z49)="","INVALID – evidence missing",IF(TRIM(AE49)="","INVALID – verifier missing",IF(AND(AQ49=1,TRIM(W49)=""),"INVALID – batch ID missing",IF(AND(AR49=1,OR(NOT(ISNUMBER(X49)),NOT(ISNUMBER(Y49)))),"INVALID – expected/actual qty missing",IF(IF(AND(TRIM(U49)="Pass",ISNUMBER(AF49)),IF(AF49&lt;&gt;0,"INVALID – qty variance: use Fail or Pass after CA",""),"")&amp;IF(AND(TRIM(U49)="Pass",AB49="Open"),"INVALID – corrective action still open: use Fail, then Pass after CA","")&amp;IF(AND(TRIM(U49)="Pass after CA",OR(TRIM(AA49)="",AB49&lt;&gt;"Closed")),"INVALID – corrective action not recorded/closed","")&lt;&gt;"",IF(AND(TRIM(U49)="Pass",ISNUMBER(AF49)),IF(AF49&lt;&gt;0,"INVALID – qty variance: use Fail or Pass after CA",""),"")&amp;IF(AND(TRIM(U49)="Pass",AB49="Open"),"INVALID – corrective action still open: use Fail, then Pass after CA","")&amp;IF(AND(TRIM(U49)="Pass after CA",OR(TRIM(AA49)="",AB49&lt;&gt;"Closed")),"INVALID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window"),IF(AG49&gt;Flights!$AA$6,"INVALID – completed after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f>
        <v/>
      </c>
      <c r="AI49" s="67">
        <f>IF(OR(AH49="N/A – RULE",AH49="N/A – JUSTIFIED"),0,1)</f>
        <v/>
      </c>
      <c r="AJ49" s="67">
        <f>IF(LEFT(AH49,8)="COMPLETE",1,0)</f>
        <v/>
      </c>
      <c r="AK49" s="67">
        <f>IF(AND(AI49=1,AJ49=0,AsOfUTC&gt;Q49),1,0)</f>
        <v/>
      </c>
      <c r="AL49" s="67">
        <f>IF(AND(AI49=1,OR(TRIM(U49)="Fail",AB49="Open",AND(ISNUMBER(AF49),AF49&lt;&gt;0,TRIM(U49)&lt;&gt;"Pass after CA"))),1,0)</f>
        <v/>
      </c>
      <c r="AM49" s="67">
        <f>IF(LEFT(AH49,7)="INVALID",1,0)</f>
        <v/>
      </c>
      <c r="AN49" s="67">
        <f>IF(AND(N49="Clarification required",AI49=1,AJ49=0),1,0)</f>
        <v/>
      </c>
      <c r="AO49" s="67">
        <f>IF(AK49=1,SUM(AK$5:AK49),"")</f>
        <v/>
      </c>
      <c r="AP49" s="67">
        <f>IF(AL49=1,SUM(AL$5:AL49),"")</f>
        <v/>
      </c>
      <c r="AQ49" s="67" t="n">
        <v>0</v>
      </c>
      <c r="AR49" s="67" t="n">
        <v>0</v>
      </c>
      <c r="AS49" s="67" t="n">
        <v>0</v>
      </c>
      <c r="AT49" s="67" t="n">
        <v>1</v>
      </c>
    </row>
    <row r="50" ht="41.5" customHeight="1">
      <c r="A50" s="63" t="inlineStr">
        <is>
          <t>F02-T12-11</t>
        </is>
      </c>
      <c r="B50" s="63" t="inlineStr">
        <is>
          <t>F02</t>
        </is>
      </c>
      <c r="C50" s="63">
        <f>Flights!$F$6</f>
        <v/>
      </c>
      <c r="D50" s="64">
        <f>Flights!$D$6</f>
        <v/>
      </c>
      <c r="E50" s="63">
        <f>Flights!$G$6&amp;"-"&amp;Flights!$H$6</f>
        <v/>
      </c>
      <c r="F50" s="63">
        <f>Flights!$K$6</f>
        <v/>
      </c>
      <c r="G50" s="63" t="inlineStr">
        <is>
          <t>T-12H PREP</t>
        </is>
      </c>
      <c r="H50" s="63" t="inlineStr">
        <is>
          <t>Preparation</t>
        </is>
      </c>
      <c r="I50" s="63" t="inlineStr">
        <is>
          <t>F&amp;B Linen</t>
        </is>
      </c>
      <c r="J50" s="63" t="inlineStr">
        <is>
          <t>Napkin - prepared</t>
        </is>
      </c>
      <c r="K50" s="73" t="inlineStr">
        <is>
          <t>Available (ticked in reference)</t>
        </is>
      </c>
      <c r="L50" s="73" t="inlineStr">
        <is>
          <t>STD UPLIFT INFORMATION.xlsx &gt; F&amp;B LINEN!F44</t>
        </is>
      </c>
      <c r="M50" s="73" t="inlineStr">
        <is>
          <t>Not stated in reference</t>
        </is>
      </c>
      <c r="N50" s="73" t="inlineStr">
        <is>
          <t>Required</t>
        </is>
      </c>
      <c r="O50" s="73" t="inlineStr">
        <is>
          <t>Reference gives no uplift stn for this item: preparation checked at the meal uplift stn (KUL) - confirm with caterer.</t>
        </is>
      </c>
      <c r="P50" s="63" t="inlineStr">
        <is>
          <t>KUL</t>
        </is>
      </c>
      <c r="Q50" s="65">
        <f>Flights!$AE$6</f>
        <v/>
      </c>
      <c r="R50" s="65">
        <f>Q50+(IF(AND(INDEX(TZ_DSTS,MATCH(P50,TZ_STN,0))&lt;&gt;"",Q50&gt;=INDEX(TZ_DSTS,MATCH(P50,TZ_STN,0)),Q50&lt;INDEX(TZ_DSTE,MATCH(P50,TZ_STN,0))),INDEX(TZ_DST,MATCH(P50,TZ_STN,0)),INDEX(TZ_STD,MATCH(P50,TZ_STN,0))))/24</f>
        <v/>
      </c>
      <c r="S50" s="65">
        <f>Q50-T12EarlyH/24</f>
        <v/>
      </c>
      <c r="T50" s="66" t="n"/>
      <c r="U50" s="66" t="n"/>
      <c r="V50" s="66" t="n"/>
      <c r="W50" s="67" t="n"/>
      <c r="X50" s="66" t="n"/>
      <c r="Y50" s="66" t="n"/>
      <c r="Z50" s="66" t="n"/>
      <c r="AA50" s="66" t="n"/>
      <c r="AB50" s="66" t="n"/>
      <c r="AC50" s="66" t="n"/>
      <c r="AD50" s="72" t="n"/>
      <c r="AE50" s="66" t="n"/>
      <c r="AF50" s="67">
        <f>IF(AND(ISNUMBER(X50),ISNUMBER(Y50)),Y50-X50,"")</f>
        <v/>
      </c>
      <c r="AG50" s="68">
        <f>IF(ISNUMBER(AD50),AD50-(IF(AND(INDEX(TZ_DSTS,MATCH(P50,TZ_STN,0))&lt;&gt;"",(AD50-INDEX(TZ_STD,MATCH(P50,TZ_STN,0))/24)&gt;=INDEX(TZ_DSTS,MATCH(P50,TZ_STN,0)),(AD50-INDEX(TZ_STD,MATCH(P50,TZ_STN,0))/24)&lt;INDEX(TZ_DSTE,MATCH(P50,TZ_STN,0))),INDEX(TZ_DST,MATCH(P50,TZ_STN,0)),INDEX(TZ_STD,MATCH(P50,TZ_STN,0))))/24,"")</f>
        <v/>
      </c>
      <c r="AH50" s="71">
        <f>IF(N50="N/A – rule","N/A – RULE",IF(TRIM(U50)="N/A",IF(AT50=0,"INVALID – N/A not permitted for this mandatory check",IF(AND(TRIM(AC50)&lt;&gt;"",TRIM(AE50)&lt;&gt;"",TRIM(T50)&lt;&gt;""),"N/A – JUSTIFIED","INVALID – N/A needs justification, PIC and verifier")),IF(OR(TRIM(U50)="Pass",TRIM(U50)="Pass after CA"),IF(NOT(ISNUMBER(AD50)),"INVALID – completion time missing",IF(TRIM(T50)="","INVALID – PIC missing",IF(TRIM(Z50)="","INVALID – evidence missing",IF(TRIM(AE50)="","INVALID – verifier missing",IF(AND(AQ50=1,TRIM(W50)=""),"INVALID – batch ID missing",IF(AND(AR50=1,OR(NOT(ISNUMBER(X50)),NOT(ISNUMBER(Y50)))),"INVALID – expected/actual qty missing",IF(IF(AND(TRIM(U50)="Pass",ISNUMBER(AF50)),IF(AF50&lt;&gt;0,"INVALID – qty variance: use Fail or Pass after CA",""),"")&amp;IF(AND(TRIM(U50)="Pass",AB50="Open"),"INVALID – corrective action still open: use Fail, then Pass after CA","")&amp;IF(AND(TRIM(U50)="Pass after CA",OR(TRIM(AA50)="",AB50&lt;&gt;"Closed")),"INVALID – corrective action not recorded/closed","")&lt;&gt;"",IF(AND(TRIM(U50)="Pass",ISNUMBER(AF50)),IF(AF50&lt;&gt;0,"INVALID – qty variance: use Fail or Pass after CA",""),"")&amp;IF(AND(TRIM(U50)="Pass",AB50="Open"),"INVALID – corrective action still open: use Fail, then Pass after CA","")&amp;IF(AND(TRIM(U50)="Pass after CA",OR(TRIM(AA50)="",AB50&lt;&gt;"Closed")),"INVALID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window"),IF(AG50&gt;Flights!$AA$6,"INVALID – completed after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f>
        <v/>
      </c>
      <c r="AI50" s="67">
        <f>IF(OR(AH50="N/A – RULE",AH50="N/A – JUSTIFIED"),0,1)</f>
        <v/>
      </c>
      <c r="AJ50" s="67">
        <f>IF(LEFT(AH50,8)="COMPLETE",1,0)</f>
        <v/>
      </c>
      <c r="AK50" s="67">
        <f>IF(AND(AI50=1,AJ50=0,AsOfUTC&gt;Q50),1,0)</f>
        <v/>
      </c>
      <c r="AL50" s="67">
        <f>IF(AND(AI50=1,OR(TRIM(U50)="Fail",AB50="Open",AND(ISNUMBER(AF50),AF50&lt;&gt;0,TRIM(U50)&lt;&gt;"Pass after CA"))),1,0)</f>
        <v/>
      </c>
      <c r="AM50" s="67">
        <f>IF(LEFT(AH50,7)="INVALID",1,0)</f>
        <v/>
      </c>
      <c r="AN50" s="67">
        <f>IF(AND(N50="Clarification required",AI50=1,AJ50=0),1,0)</f>
        <v/>
      </c>
      <c r="AO50" s="67">
        <f>IF(AK50=1,SUM(AK$5:AK50),"")</f>
        <v/>
      </c>
      <c r="AP50" s="67">
        <f>IF(AL50=1,SUM(AL$5:AL50),"")</f>
        <v/>
      </c>
      <c r="AQ50" s="67" t="n">
        <v>0</v>
      </c>
      <c r="AR50" s="67" t="n">
        <v>0</v>
      </c>
      <c r="AS50" s="67" t="n">
        <v>0</v>
      </c>
      <c r="AT50" s="67" t="n">
        <v>1</v>
      </c>
    </row>
    <row r="51" ht="116.5" customHeight="1">
      <c r="A51" s="63" t="inlineStr">
        <is>
          <t>F02-T12-12</t>
        </is>
      </c>
      <c r="B51" s="63" t="inlineStr">
        <is>
          <t>F02</t>
        </is>
      </c>
      <c r="C51" s="63">
        <f>Flights!$F$6</f>
        <v/>
      </c>
      <c r="D51" s="64">
        <f>Flights!$D$6</f>
        <v/>
      </c>
      <c r="E51" s="63">
        <f>Flights!$G$6&amp;"-"&amp;Flights!$H$6</f>
        <v/>
      </c>
      <c r="F51" s="63">
        <f>Flights!$K$6</f>
        <v/>
      </c>
      <c r="G51" s="63" t="inlineStr">
        <is>
          <t>T-12H PREP</t>
        </is>
      </c>
      <c r="H51" s="63" t="inlineStr">
        <is>
          <t>Preparation</t>
        </is>
      </c>
      <c r="I51" s="63" t="inlineStr">
        <is>
          <t>F&amp;B Linen</t>
        </is>
      </c>
      <c r="J51" s="63" t="inlineStr">
        <is>
          <t>Table cloth - prepared</t>
        </is>
      </c>
      <c r="K51" s="73" t="inlineStr">
        <is>
          <t>Available (ticked in reference)</t>
        </is>
      </c>
      <c r="L51" s="73" t="inlineStr">
        <is>
          <t>STD UPLIFT INFORMATION.xlsx &gt; F&amp;B LINEN!G44</t>
        </is>
      </c>
      <c r="M51" s="73" t="inlineStr">
        <is>
          <t>Not stated in reference</t>
        </is>
      </c>
      <c r="N51" s="73" t="inlineStr">
        <is>
          <t>Clarification required</t>
        </is>
      </c>
      <c r="O51" s="73" t="inlineStr">
        <is>
          <t>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is>
      </c>
      <c r="P51" s="63" t="inlineStr">
        <is>
          <t>KUL</t>
        </is>
      </c>
      <c r="Q51" s="65">
        <f>Flights!$AE$6</f>
        <v/>
      </c>
      <c r="R51" s="65">
        <f>Q51+(IF(AND(INDEX(TZ_DSTS,MATCH(P51,TZ_STN,0))&lt;&gt;"",Q51&gt;=INDEX(TZ_DSTS,MATCH(P51,TZ_STN,0)),Q51&lt;INDEX(TZ_DSTE,MATCH(P51,TZ_STN,0))),INDEX(TZ_DST,MATCH(P51,TZ_STN,0)),INDEX(TZ_STD,MATCH(P51,TZ_STN,0))))/24</f>
        <v/>
      </c>
      <c r="S51" s="65">
        <f>Q51-T12EarlyH/24</f>
        <v/>
      </c>
      <c r="T51" s="66" t="n"/>
      <c r="U51" s="66" t="n"/>
      <c r="V51" s="66" t="n"/>
      <c r="W51" s="67" t="n"/>
      <c r="X51" s="66" t="n"/>
      <c r="Y51" s="66" t="n"/>
      <c r="Z51" s="66" t="n"/>
      <c r="AA51" s="66" t="n"/>
      <c r="AB51" s="66" t="n"/>
      <c r="AC51" s="66" t="n"/>
      <c r="AD51" s="72" t="n"/>
      <c r="AE51" s="66" t="n"/>
      <c r="AF51" s="67">
        <f>IF(AND(ISNUMBER(X51),ISNUMBER(Y51)),Y51-X51,"")</f>
        <v/>
      </c>
      <c r="AG51" s="68">
        <f>IF(ISNUMBER(AD51),AD51-(IF(AND(INDEX(TZ_DSTS,MATCH(P51,TZ_STN,0))&lt;&gt;"",(AD51-INDEX(TZ_STD,MATCH(P51,TZ_STN,0))/24)&gt;=INDEX(TZ_DSTS,MATCH(P51,TZ_STN,0)),(AD51-INDEX(TZ_STD,MATCH(P51,TZ_STN,0))/24)&lt;INDEX(TZ_DSTE,MATCH(P51,TZ_STN,0))),INDEX(TZ_DST,MATCH(P51,TZ_STN,0)),INDEX(TZ_STD,MATCH(P51,TZ_STN,0))))/24,"")</f>
        <v/>
      </c>
      <c r="AH51" s="71">
        <f>IF(N51="N/A – rule","N/A – RULE",IF(TRIM(U51)="N/A",IF(AT51=0,"INVALID – N/A not permitted for this mandatory check",IF(AND(TRIM(AC51)&lt;&gt;"",TRIM(AE51)&lt;&gt;"",TRIM(T51)&lt;&gt;""),"N/A – JUSTIFIED","INVALID – N/A needs justification, PIC and verifier")),IF(OR(TRIM(U51)="Pass",TRIM(U51)="Pass after CA"),IF(NOT(ISNUMBER(AD51)),"INVALID – completion time missing",IF(TRIM(T51)="","INVALID – PIC missing",IF(TRIM(Z51)="","INVALID – evidence missing",IF(TRIM(AE51)="","INVALID – verifier missing",IF(AND(AQ51=1,TRIM(W51)=""),"INVALID – batch ID missing",IF(AND(AR51=1,OR(NOT(ISNUMBER(X51)),NOT(ISNUMBER(Y51)))),"INVALID – expected/actual qty missing",IF(IF(AND(TRIM(U51)="Pass",ISNUMBER(AF51)),IF(AF51&lt;&gt;0,"INVALID – qty variance: use Fail or Pass after CA",""),"")&amp;IF(AND(TRIM(U51)="Pass",AB51="Open"),"INVALID – corrective action still open: use Fail, then Pass after CA","")&amp;IF(AND(TRIM(U51)="Pass after CA",OR(TRIM(AA51)="",AB51&lt;&gt;"Closed")),"INVALID – corrective action not recorded/closed","")&lt;&gt;"",IF(AND(TRIM(U51)="Pass",ISNUMBER(AF51)),IF(AF51&lt;&gt;0,"INVALID – qty variance: use Fail or Pass after CA",""),"")&amp;IF(AND(TRIM(U51)="Pass",AB51="Open"),"INVALID – corrective action still open: use Fail, then Pass after CA","")&amp;IF(AND(TRIM(U51)="Pass after CA",OR(TRIM(AA51)="",AB51&lt;&gt;"Closed")),"INVALID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window"),IF(AG51&gt;Flights!$AA$6,"INVALID – completed after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f>
        <v/>
      </c>
      <c r="AI51" s="67">
        <f>IF(OR(AH51="N/A – RULE",AH51="N/A – JUSTIFIED"),0,1)</f>
        <v/>
      </c>
      <c r="AJ51" s="67">
        <f>IF(LEFT(AH51,8)="COMPLETE",1,0)</f>
        <v/>
      </c>
      <c r="AK51" s="67">
        <f>IF(AND(AI51=1,AJ51=0,AsOfUTC&gt;Q51),1,0)</f>
        <v/>
      </c>
      <c r="AL51" s="67">
        <f>IF(AND(AI51=1,OR(TRIM(U51)="Fail",AB51="Open",AND(ISNUMBER(AF51),AF51&lt;&gt;0,TRIM(U51)&lt;&gt;"Pass after CA"))),1,0)</f>
        <v/>
      </c>
      <c r="AM51" s="67">
        <f>IF(LEFT(AH51,7)="INVALID",1,0)</f>
        <v/>
      </c>
      <c r="AN51" s="67">
        <f>IF(AND(N51="Clarification required",AI51=1,AJ51=0),1,0)</f>
        <v/>
      </c>
      <c r="AO51" s="67">
        <f>IF(AK51=1,SUM(AK$5:AK51),"")</f>
        <v/>
      </c>
      <c r="AP51" s="67">
        <f>IF(AL51=1,SUM(AL$5:AL51),"")</f>
        <v/>
      </c>
      <c r="AQ51" s="67" t="n">
        <v>0</v>
      </c>
      <c r="AR51" s="67" t="n">
        <v>0</v>
      </c>
      <c r="AS51" s="67" t="n">
        <v>0</v>
      </c>
      <c r="AT51" s="67" t="n">
        <v>1</v>
      </c>
    </row>
    <row r="52" ht="116.5" customHeight="1">
      <c r="A52" s="63" t="inlineStr">
        <is>
          <t>F02-T12-13</t>
        </is>
      </c>
      <c r="B52" s="63" t="inlineStr">
        <is>
          <t>F02</t>
        </is>
      </c>
      <c r="C52" s="63">
        <f>Flights!$F$6</f>
        <v/>
      </c>
      <c r="D52" s="64">
        <f>Flights!$D$6</f>
        <v/>
      </c>
      <c r="E52" s="63">
        <f>Flights!$G$6&amp;"-"&amp;Flights!$H$6</f>
        <v/>
      </c>
      <c r="F52" s="63">
        <f>Flights!$K$6</f>
        <v/>
      </c>
      <c r="G52" s="63" t="inlineStr">
        <is>
          <t>T-12H PREP</t>
        </is>
      </c>
      <c r="H52" s="63" t="inlineStr">
        <is>
          <t>Preparation</t>
        </is>
      </c>
      <c r="I52" s="63" t="inlineStr">
        <is>
          <t>F&amp;B Linen</t>
        </is>
      </c>
      <c r="J52" s="63" t="inlineStr">
        <is>
          <t>Bread linen (using table cloth) - prepared</t>
        </is>
      </c>
      <c r="K52" s="73" t="inlineStr">
        <is>
          <t>Available (ticked in reference)</t>
        </is>
      </c>
      <c r="L52" s="73" t="inlineStr">
        <is>
          <t>STD UPLIFT INFORMATION.xlsx &gt; F&amp;B LINEN!H44</t>
        </is>
      </c>
      <c r="M52" s="73" t="inlineStr">
        <is>
          <t>Not stated in reference</t>
        </is>
      </c>
      <c r="N52" s="73" t="inlineStr">
        <is>
          <t>Clarification required</t>
        </is>
      </c>
      <c r="O52" s="73" t="inlineStr">
        <is>
          <t>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is>
      </c>
      <c r="P52" s="63" t="inlineStr">
        <is>
          <t>KUL</t>
        </is>
      </c>
      <c r="Q52" s="65">
        <f>Flights!$AE$6</f>
        <v/>
      </c>
      <c r="R52" s="65">
        <f>Q52+(IF(AND(INDEX(TZ_DSTS,MATCH(P52,TZ_STN,0))&lt;&gt;"",Q52&gt;=INDEX(TZ_DSTS,MATCH(P52,TZ_STN,0)),Q52&lt;INDEX(TZ_DSTE,MATCH(P52,TZ_STN,0))),INDEX(TZ_DST,MATCH(P52,TZ_STN,0)),INDEX(TZ_STD,MATCH(P52,TZ_STN,0))))/24</f>
        <v/>
      </c>
      <c r="S52" s="65">
        <f>Q52-T12EarlyH/24</f>
        <v/>
      </c>
      <c r="T52" s="66" t="n"/>
      <c r="U52" s="66" t="n"/>
      <c r="V52" s="66" t="n"/>
      <c r="W52" s="67" t="n"/>
      <c r="X52" s="66" t="n"/>
      <c r="Y52" s="66" t="n"/>
      <c r="Z52" s="66" t="n"/>
      <c r="AA52" s="66" t="n"/>
      <c r="AB52" s="66" t="n"/>
      <c r="AC52" s="66" t="n"/>
      <c r="AD52" s="72" t="n"/>
      <c r="AE52" s="66" t="n"/>
      <c r="AF52" s="67">
        <f>IF(AND(ISNUMBER(X52),ISNUMBER(Y52)),Y52-X52,"")</f>
        <v/>
      </c>
      <c r="AG52" s="68">
        <f>IF(ISNUMBER(AD52),AD52-(IF(AND(INDEX(TZ_DSTS,MATCH(P52,TZ_STN,0))&lt;&gt;"",(AD52-INDEX(TZ_STD,MATCH(P52,TZ_STN,0))/24)&gt;=INDEX(TZ_DSTS,MATCH(P52,TZ_STN,0)),(AD52-INDEX(TZ_STD,MATCH(P52,TZ_STN,0))/24)&lt;INDEX(TZ_DSTE,MATCH(P52,TZ_STN,0))),INDEX(TZ_DST,MATCH(P52,TZ_STN,0)),INDEX(TZ_STD,MATCH(P52,TZ_STN,0))))/24,"")</f>
        <v/>
      </c>
      <c r="AH52" s="71">
        <f>IF(N52="N/A – rule","N/A – RULE",IF(TRIM(U52)="N/A",IF(AT52=0,"INVALID – N/A not permitted for this mandatory check",IF(AND(TRIM(AC52)&lt;&gt;"",TRIM(AE52)&lt;&gt;"",TRIM(T52)&lt;&gt;""),"N/A – JUSTIFIED","INVALID – N/A needs justification, PIC and verifier")),IF(OR(TRIM(U52)="Pass",TRIM(U52)="Pass after CA"),IF(NOT(ISNUMBER(AD52)),"INVALID – completion time missing",IF(TRIM(T52)="","INVALID – PIC missing",IF(TRIM(Z52)="","INVALID – evidence missing",IF(TRIM(AE52)="","INVALID – verifier missing",IF(AND(AQ52=1,TRIM(W52)=""),"INVALID – batch ID missing",IF(AND(AR52=1,OR(NOT(ISNUMBER(X52)),NOT(ISNUMBER(Y52)))),"INVALID – expected/actual qty missing",IF(IF(AND(TRIM(U52)="Pass",ISNUMBER(AF52)),IF(AF52&lt;&gt;0,"INVALID – qty variance: use Fail or Pass after CA",""),"")&amp;IF(AND(TRIM(U52)="Pass",AB52="Open"),"INVALID – corrective action still open: use Fail, then Pass after CA","")&amp;IF(AND(TRIM(U52)="Pass after CA",OR(TRIM(AA52)="",AB52&lt;&gt;"Closed")),"INVALID – corrective action not recorded/closed","")&lt;&gt;"",IF(AND(TRIM(U52)="Pass",ISNUMBER(AF52)),IF(AF52&lt;&gt;0,"INVALID – qty variance: use Fail or Pass after CA",""),"")&amp;IF(AND(TRIM(U52)="Pass",AB52="Open"),"INVALID – corrective action still open: use Fail, then Pass after CA","")&amp;IF(AND(TRIM(U52)="Pass after CA",OR(TRIM(AA52)="",AB52&lt;&gt;"Closed")),"INVALID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window"),IF(AG52&gt;Flights!$AA$6,"INVALID – completed after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f>
        <v/>
      </c>
      <c r="AI52" s="67">
        <f>IF(OR(AH52="N/A – RULE",AH52="N/A – JUSTIFIED"),0,1)</f>
        <v/>
      </c>
      <c r="AJ52" s="67">
        <f>IF(LEFT(AH52,8)="COMPLETE",1,0)</f>
        <v/>
      </c>
      <c r="AK52" s="67">
        <f>IF(AND(AI52=1,AJ52=0,AsOfUTC&gt;Q52),1,0)</f>
        <v/>
      </c>
      <c r="AL52" s="67">
        <f>IF(AND(AI52=1,OR(TRIM(U52)="Fail",AB52="Open",AND(ISNUMBER(AF52),AF52&lt;&gt;0,TRIM(U52)&lt;&gt;"Pass after CA"))),1,0)</f>
        <v/>
      </c>
      <c r="AM52" s="67">
        <f>IF(LEFT(AH52,7)="INVALID",1,0)</f>
        <v/>
      </c>
      <c r="AN52" s="67">
        <f>IF(AND(N52="Clarification required",AI52=1,AJ52=0),1,0)</f>
        <v/>
      </c>
      <c r="AO52" s="67">
        <f>IF(AK52=1,SUM(AK$5:AK52),"")</f>
        <v/>
      </c>
      <c r="AP52" s="67">
        <f>IF(AL52=1,SUM(AL$5:AL52),"")</f>
        <v/>
      </c>
      <c r="AQ52" s="67" t="n">
        <v>0</v>
      </c>
      <c r="AR52" s="67" t="n">
        <v>0</v>
      </c>
      <c r="AS52" s="67" t="n">
        <v>0</v>
      </c>
      <c r="AT52" s="67" t="n">
        <v>1</v>
      </c>
    </row>
    <row r="53" ht="54" customHeight="1">
      <c r="A53" s="63" t="inlineStr">
        <is>
          <t>F02-T12-14</t>
        </is>
      </c>
      <c r="B53" s="63" t="inlineStr">
        <is>
          <t>F02</t>
        </is>
      </c>
      <c r="C53" s="63">
        <f>Flights!$F$6</f>
        <v/>
      </c>
      <c r="D53" s="64">
        <f>Flights!$D$6</f>
        <v/>
      </c>
      <c r="E53" s="63">
        <f>Flights!$G$6&amp;"-"&amp;Flights!$H$6</f>
        <v/>
      </c>
      <c r="F53" s="63">
        <f>Flights!$K$6</f>
        <v/>
      </c>
      <c r="G53" s="63" t="inlineStr">
        <is>
          <t>T-12H PREP</t>
        </is>
      </c>
      <c r="H53" s="63" t="inlineStr">
        <is>
          <t>Preparation</t>
        </is>
      </c>
      <c r="I53" s="63" t="inlineStr">
        <is>
          <t>F&amp;B Linen</t>
        </is>
      </c>
      <c r="J53" s="63" t="inlineStr">
        <is>
          <t>Trolley cloth - prepared</t>
        </is>
      </c>
      <c r="K53" s="73" t="inlineStr">
        <is>
          <t>Narrow body: Top only</t>
        </is>
      </c>
      <c r="L53" s="73" t="inlineStr">
        <is>
          <t>STD UPLIFT INFORMATION.xlsx &gt; F&amp;B LINEN!I44</t>
        </is>
      </c>
      <c r="M53" s="73" t="inlineStr">
        <is>
          <t>Not stated in reference</t>
        </is>
      </c>
      <c r="N53" s="73" t="inlineStr">
        <is>
          <t>Required</t>
        </is>
      </c>
      <c r="O53" s="73" t="inlineStr">
        <is>
          <t>Per note F&amp;B LINEN!B79:C80. Reference gives no uplift stn for this item: preparation checked at the meal uplift stn (KUL) - confirm with caterer.</t>
        </is>
      </c>
      <c r="P53" s="63" t="inlineStr">
        <is>
          <t>KUL</t>
        </is>
      </c>
      <c r="Q53" s="65">
        <f>Flights!$AE$6</f>
        <v/>
      </c>
      <c r="R53" s="65">
        <f>Q53+(IF(AND(INDEX(TZ_DSTS,MATCH(P53,TZ_STN,0))&lt;&gt;"",Q53&gt;=INDEX(TZ_DSTS,MATCH(P53,TZ_STN,0)),Q53&lt;INDEX(TZ_DSTE,MATCH(P53,TZ_STN,0))),INDEX(TZ_DST,MATCH(P53,TZ_STN,0)),INDEX(TZ_STD,MATCH(P53,TZ_STN,0))))/24</f>
        <v/>
      </c>
      <c r="S53" s="65">
        <f>Q53-T12EarlyH/24</f>
        <v/>
      </c>
      <c r="T53" s="66" t="n"/>
      <c r="U53" s="66" t="n"/>
      <c r="V53" s="66" t="n"/>
      <c r="W53" s="67" t="n"/>
      <c r="X53" s="66" t="n"/>
      <c r="Y53" s="66" t="n"/>
      <c r="Z53" s="66" t="n"/>
      <c r="AA53" s="66" t="n"/>
      <c r="AB53" s="66" t="n"/>
      <c r="AC53" s="66" t="n"/>
      <c r="AD53" s="72" t="n"/>
      <c r="AE53" s="66" t="n"/>
      <c r="AF53" s="67">
        <f>IF(AND(ISNUMBER(X53),ISNUMBER(Y53)),Y53-X53,"")</f>
        <v/>
      </c>
      <c r="AG53" s="68">
        <f>IF(ISNUMBER(AD53),AD53-(IF(AND(INDEX(TZ_DSTS,MATCH(P53,TZ_STN,0))&lt;&gt;"",(AD53-INDEX(TZ_STD,MATCH(P53,TZ_STN,0))/24)&gt;=INDEX(TZ_DSTS,MATCH(P53,TZ_STN,0)),(AD53-INDEX(TZ_STD,MATCH(P53,TZ_STN,0))/24)&lt;INDEX(TZ_DSTE,MATCH(P53,TZ_STN,0))),INDEX(TZ_DST,MATCH(P53,TZ_STN,0)),INDEX(TZ_STD,MATCH(P53,TZ_STN,0))))/24,"")</f>
        <v/>
      </c>
      <c r="AH53" s="71">
        <f>IF(N53="N/A – rule","N/A – RULE",IF(TRIM(U53)="N/A",IF(AT53=0,"INVALID – N/A not permitted for this mandatory check",IF(AND(TRIM(AC53)&lt;&gt;"",TRIM(AE53)&lt;&gt;"",TRIM(T53)&lt;&gt;""),"N/A – JUSTIFIED","INVALID – N/A needs justification, PIC and verifier")),IF(OR(TRIM(U53)="Pass",TRIM(U53)="Pass after CA"),IF(NOT(ISNUMBER(AD53)),"INVALID – completion time missing",IF(TRIM(T53)="","INVALID – PIC missing",IF(TRIM(Z53)="","INVALID – evidence missing",IF(TRIM(AE53)="","INVALID – verifier missing",IF(AND(AQ53=1,TRIM(W53)=""),"INVALID – batch ID missing",IF(AND(AR53=1,OR(NOT(ISNUMBER(X53)),NOT(ISNUMBER(Y53)))),"INVALID – expected/actual qty missing",IF(IF(AND(TRIM(U53)="Pass",ISNUMBER(AF53)),IF(AF53&lt;&gt;0,"INVALID – qty variance: use Fail or Pass after CA",""),"")&amp;IF(AND(TRIM(U53)="Pass",AB53="Open"),"INVALID – corrective action still open: use Fail, then Pass after CA","")&amp;IF(AND(TRIM(U53)="Pass after CA",OR(TRIM(AA53)="",AB53&lt;&gt;"Closed")),"INVALID – corrective action not recorded/closed","")&lt;&gt;"",IF(AND(TRIM(U53)="Pass",ISNUMBER(AF53)),IF(AF53&lt;&gt;0,"INVALID – qty variance: use Fail or Pass after CA",""),"")&amp;IF(AND(TRIM(U53)="Pass",AB53="Open"),"INVALID – corrective action still open: use Fail, then Pass after CA","")&amp;IF(AND(TRIM(U53)="Pass after CA",OR(TRIM(AA53)="",AB53&lt;&gt;"Closed")),"INVALID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window"),IF(AG53&gt;Flights!$AA$6,"INVALID – completed after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f>
        <v/>
      </c>
      <c r="AI53" s="67">
        <f>IF(OR(AH53="N/A – RULE",AH53="N/A – JUSTIFIED"),0,1)</f>
        <v/>
      </c>
      <c r="AJ53" s="67">
        <f>IF(LEFT(AH53,8)="COMPLETE",1,0)</f>
        <v/>
      </c>
      <c r="AK53" s="67">
        <f>IF(AND(AI53=1,AJ53=0,AsOfUTC&gt;Q53),1,0)</f>
        <v/>
      </c>
      <c r="AL53" s="67">
        <f>IF(AND(AI53=1,OR(TRIM(U53)="Fail",AB53="Open",AND(ISNUMBER(AF53),AF53&lt;&gt;0,TRIM(U53)&lt;&gt;"Pass after CA"))),1,0)</f>
        <v/>
      </c>
      <c r="AM53" s="67">
        <f>IF(LEFT(AH53,7)="INVALID",1,0)</f>
        <v/>
      </c>
      <c r="AN53" s="67">
        <f>IF(AND(N53="Clarification required",AI53=1,AJ53=0),1,0)</f>
        <v/>
      </c>
      <c r="AO53" s="67">
        <f>IF(AK53=1,SUM(AK$5:AK53),"")</f>
        <v/>
      </c>
      <c r="AP53" s="67">
        <f>IF(AL53=1,SUM(AL$5:AL53),"")</f>
        <v/>
      </c>
      <c r="AQ53" s="67" t="n">
        <v>0</v>
      </c>
      <c r="AR53" s="67" t="n">
        <v>0</v>
      </c>
      <c r="AS53" s="67" t="n">
        <v>0</v>
      </c>
      <c r="AT53" s="67" t="n">
        <v>1</v>
      </c>
    </row>
    <row r="54" ht="41.5" customHeight="1">
      <c r="A54" s="63" t="inlineStr">
        <is>
          <t>F02-T12-15</t>
        </is>
      </c>
      <c r="B54" s="63" t="inlineStr">
        <is>
          <t>F02</t>
        </is>
      </c>
      <c r="C54" s="63">
        <f>Flights!$F$6</f>
        <v/>
      </c>
      <c r="D54" s="64">
        <f>Flights!$D$6</f>
        <v/>
      </c>
      <c r="E54" s="63">
        <f>Flights!$G$6&amp;"-"&amp;Flights!$H$6</f>
        <v/>
      </c>
      <c r="F54" s="63">
        <f>Flights!$K$6</f>
        <v/>
      </c>
      <c r="G54" s="63" t="inlineStr">
        <is>
          <t>T-12H PREP</t>
        </is>
      </c>
      <c r="H54" s="63" t="inlineStr">
        <is>
          <t>Preparation</t>
        </is>
      </c>
      <c r="I54" s="63" t="inlineStr">
        <is>
          <t>F&amp;B Linen</t>
        </is>
      </c>
      <c r="J54" s="63" t="inlineStr">
        <is>
          <t>Linen bag - prepared</t>
        </is>
      </c>
      <c r="K54" s="73" t="inlineStr">
        <is>
          <t>Available (ticked in reference)</t>
        </is>
      </c>
      <c r="L54" s="73" t="inlineStr">
        <is>
          <t>STD UPLIFT INFORMATION.xlsx &gt; F&amp;B LINEN!J44</t>
        </is>
      </c>
      <c r="M54" s="73" t="inlineStr">
        <is>
          <t>Not stated in reference</t>
        </is>
      </c>
      <c r="N54" s="73" t="inlineStr">
        <is>
          <t>Required</t>
        </is>
      </c>
      <c r="O54" s="73" t="inlineStr">
        <is>
          <t>Reference gives no uplift stn for this item: preparation checked at the meal uplift stn (KUL) - confirm with caterer.</t>
        </is>
      </c>
      <c r="P54" s="63" t="inlineStr">
        <is>
          <t>KUL</t>
        </is>
      </c>
      <c r="Q54" s="65">
        <f>Flights!$AE$6</f>
        <v/>
      </c>
      <c r="R54" s="65">
        <f>Q54+(IF(AND(INDEX(TZ_DSTS,MATCH(P54,TZ_STN,0))&lt;&gt;"",Q54&gt;=INDEX(TZ_DSTS,MATCH(P54,TZ_STN,0)),Q54&lt;INDEX(TZ_DSTE,MATCH(P54,TZ_STN,0))),INDEX(TZ_DST,MATCH(P54,TZ_STN,0)),INDEX(TZ_STD,MATCH(P54,TZ_STN,0))))/24</f>
        <v/>
      </c>
      <c r="S54" s="65">
        <f>Q54-T12EarlyH/24</f>
        <v/>
      </c>
      <c r="T54" s="66" t="n"/>
      <c r="U54" s="66" t="n"/>
      <c r="V54" s="66" t="n"/>
      <c r="W54" s="67" t="n"/>
      <c r="X54" s="66" t="n"/>
      <c r="Y54" s="66" t="n"/>
      <c r="Z54" s="66" t="n"/>
      <c r="AA54" s="66" t="n"/>
      <c r="AB54" s="66" t="n"/>
      <c r="AC54" s="66" t="n"/>
      <c r="AD54" s="72" t="n"/>
      <c r="AE54" s="66" t="n"/>
      <c r="AF54" s="67">
        <f>IF(AND(ISNUMBER(X54),ISNUMBER(Y54)),Y54-X54,"")</f>
        <v/>
      </c>
      <c r="AG54" s="68">
        <f>IF(ISNUMBER(AD54),AD54-(IF(AND(INDEX(TZ_DSTS,MATCH(P54,TZ_STN,0))&lt;&gt;"",(AD54-INDEX(TZ_STD,MATCH(P54,TZ_STN,0))/24)&gt;=INDEX(TZ_DSTS,MATCH(P54,TZ_STN,0)),(AD54-INDEX(TZ_STD,MATCH(P54,TZ_STN,0))/24)&lt;INDEX(TZ_DSTE,MATCH(P54,TZ_STN,0))),INDEX(TZ_DST,MATCH(P54,TZ_STN,0)),INDEX(TZ_STD,MATCH(P54,TZ_STN,0))))/24,"")</f>
        <v/>
      </c>
      <c r="AH54" s="71">
        <f>IF(N54="N/A – rule","N/A – RULE",IF(TRIM(U54)="N/A",IF(AT54=0,"INVALID – N/A not permitted for this mandatory check",IF(AND(TRIM(AC54)&lt;&gt;"",TRIM(AE54)&lt;&gt;"",TRIM(T54)&lt;&gt;""),"N/A – JUSTIFIED","INVALID – N/A needs justification, PIC and verifier")),IF(OR(TRIM(U54)="Pass",TRIM(U54)="Pass after CA"),IF(NOT(ISNUMBER(AD54)),"INVALID – completion time missing",IF(TRIM(T54)="","INVALID – PIC missing",IF(TRIM(Z54)="","INVALID – evidence missing",IF(TRIM(AE54)="","INVALID – verifier missing",IF(AND(AQ54=1,TRIM(W54)=""),"INVALID – batch ID missing",IF(AND(AR54=1,OR(NOT(ISNUMBER(X54)),NOT(ISNUMBER(Y54)))),"INVALID – expected/actual qty missing",IF(IF(AND(TRIM(U54)="Pass",ISNUMBER(AF54)),IF(AF54&lt;&gt;0,"INVALID – qty variance: use Fail or Pass after CA",""),"")&amp;IF(AND(TRIM(U54)="Pass",AB54="Open"),"INVALID – corrective action still open: use Fail, then Pass after CA","")&amp;IF(AND(TRIM(U54)="Pass after CA",OR(TRIM(AA54)="",AB54&lt;&gt;"Closed")),"INVALID – corrective action not recorded/closed","")&lt;&gt;"",IF(AND(TRIM(U54)="Pass",ISNUMBER(AF54)),IF(AF54&lt;&gt;0,"INVALID – qty variance: use Fail or Pass after CA",""),"")&amp;IF(AND(TRIM(U54)="Pass",AB54="Open"),"INVALID – corrective action still open: use Fail, then Pass after CA","")&amp;IF(AND(TRIM(U54)="Pass after CA",OR(TRIM(AA54)="",AB54&lt;&gt;"Closed")),"INVALID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window"),IF(AG54&gt;Flights!$AA$6,"INVALID – completed after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f>
        <v/>
      </c>
      <c r="AI54" s="67">
        <f>IF(OR(AH54="N/A – RULE",AH54="N/A – JUSTIFIED"),0,1)</f>
        <v/>
      </c>
      <c r="AJ54" s="67">
        <f>IF(LEFT(AH54,8)="COMPLETE",1,0)</f>
        <v/>
      </c>
      <c r="AK54" s="67">
        <f>IF(AND(AI54=1,AJ54=0,AsOfUTC&gt;Q54),1,0)</f>
        <v/>
      </c>
      <c r="AL54" s="67">
        <f>IF(AND(AI54=1,OR(TRIM(U54)="Fail",AB54="Open",AND(ISNUMBER(AF54),AF54&lt;&gt;0,TRIM(U54)&lt;&gt;"Pass after CA"))),1,0)</f>
        <v/>
      </c>
      <c r="AM54" s="67">
        <f>IF(LEFT(AH54,7)="INVALID",1,0)</f>
        <v/>
      </c>
      <c r="AN54" s="67">
        <f>IF(AND(N54="Clarification required",AI54=1,AJ54=0),1,0)</f>
        <v/>
      </c>
      <c r="AO54" s="67">
        <f>IF(AK54=1,SUM(AK$5:AK54),"")</f>
        <v/>
      </c>
      <c r="AP54" s="67">
        <f>IF(AL54=1,SUM(AL$5:AL54),"")</f>
        <v/>
      </c>
      <c r="AQ54" s="67" t="n">
        <v>0</v>
      </c>
      <c r="AR54" s="67" t="n">
        <v>0</v>
      </c>
      <c r="AS54" s="67" t="n">
        <v>0</v>
      </c>
      <c r="AT54" s="67" t="n">
        <v>1</v>
      </c>
    </row>
    <row r="55" ht="41.5" customHeight="1">
      <c r="A55" s="63" t="inlineStr">
        <is>
          <t>F02-T12-16</t>
        </is>
      </c>
      <c r="B55" s="63" t="inlineStr">
        <is>
          <t>F02</t>
        </is>
      </c>
      <c r="C55" s="63">
        <f>Flights!$F$6</f>
        <v/>
      </c>
      <c r="D55" s="64">
        <f>Flights!$D$6</f>
        <v/>
      </c>
      <c r="E55" s="63">
        <f>Flights!$G$6&amp;"-"&amp;Flights!$H$6</f>
        <v/>
      </c>
      <c r="F55" s="63">
        <f>Flights!$K$6</f>
        <v/>
      </c>
      <c r="G55" s="63" t="inlineStr">
        <is>
          <t>T-12H PREP</t>
        </is>
      </c>
      <c r="H55" s="63" t="inlineStr">
        <is>
          <t>Preparation</t>
        </is>
      </c>
      <c r="I55" s="63" t="inlineStr">
        <is>
          <t>Seat Linen</t>
        </is>
      </c>
      <c r="J55" s="63" t="inlineStr">
        <is>
          <t>Seat pillow (BS &amp; BC) - prepared</t>
        </is>
      </c>
      <c r="K55" s="73" t="inlineStr">
        <is>
          <t>Available 100% (ticked in reference)</t>
        </is>
      </c>
      <c r="L55" s="73" t="inlineStr">
        <is>
          <t>STD UPLIFT INFORMATION.xlsx &gt; SEAT LINEN!E42</t>
        </is>
      </c>
      <c r="M55" s="73" t="inlineStr">
        <is>
          <t>Not stated in reference</t>
        </is>
      </c>
      <c r="N55" s="73" t="inlineStr">
        <is>
          <t>Required</t>
        </is>
      </c>
      <c r="O55" s="73" t="inlineStr">
        <is>
          <t>Reference gives no uplift stn for this item: preparation checked at the meal uplift stn (KUL) - confirm with caterer.</t>
        </is>
      </c>
      <c r="P55" s="63" t="inlineStr">
        <is>
          <t>KUL</t>
        </is>
      </c>
      <c r="Q55" s="65">
        <f>Flights!$AE$6</f>
        <v/>
      </c>
      <c r="R55" s="65">
        <f>Q55+(IF(AND(INDEX(TZ_DSTS,MATCH(P55,TZ_STN,0))&lt;&gt;"",Q55&gt;=INDEX(TZ_DSTS,MATCH(P55,TZ_STN,0)),Q55&lt;INDEX(TZ_DSTE,MATCH(P55,TZ_STN,0))),INDEX(TZ_DST,MATCH(P55,TZ_STN,0)),INDEX(TZ_STD,MATCH(P55,TZ_STN,0))))/24</f>
        <v/>
      </c>
      <c r="S55" s="65">
        <f>Q55-T12EarlyH/24</f>
        <v/>
      </c>
      <c r="T55" s="66" t="n"/>
      <c r="U55" s="66" t="n"/>
      <c r="V55" s="66" t="n"/>
      <c r="W55" s="67" t="n"/>
      <c r="X55" s="66" t="n"/>
      <c r="Y55" s="66" t="n"/>
      <c r="Z55" s="66" t="n"/>
      <c r="AA55" s="66" t="n"/>
      <c r="AB55" s="66" t="n"/>
      <c r="AC55" s="66" t="n"/>
      <c r="AD55" s="72" t="n"/>
      <c r="AE55" s="66" t="n"/>
      <c r="AF55" s="67">
        <f>IF(AND(ISNUMBER(X55),ISNUMBER(Y55)),Y55-X55,"")</f>
        <v/>
      </c>
      <c r="AG55" s="68">
        <f>IF(ISNUMBER(AD55),AD55-(IF(AND(INDEX(TZ_DSTS,MATCH(P55,TZ_STN,0))&lt;&gt;"",(AD55-INDEX(TZ_STD,MATCH(P55,TZ_STN,0))/24)&gt;=INDEX(TZ_DSTS,MATCH(P55,TZ_STN,0)),(AD55-INDEX(TZ_STD,MATCH(P55,TZ_STN,0))/24)&lt;INDEX(TZ_DSTE,MATCH(P55,TZ_STN,0))),INDEX(TZ_DST,MATCH(P55,TZ_STN,0)),INDEX(TZ_STD,MATCH(P55,TZ_STN,0))))/24,"")</f>
        <v/>
      </c>
      <c r="AH55" s="71">
        <f>IF(N55="N/A – rule","N/A – RULE",IF(TRIM(U55)="N/A",IF(AT55=0,"INVALID – N/A not permitted for this mandatory check",IF(AND(TRIM(AC55)&lt;&gt;"",TRIM(AE55)&lt;&gt;"",TRIM(T55)&lt;&gt;""),"N/A – JUSTIFIED","INVALID – N/A needs justification, PIC and verifier")),IF(OR(TRIM(U55)="Pass",TRIM(U55)="Pass after CA"),IF(NOT(ISNUMBER(AD55)),"INVALID – completion time missing",IF(TRIM(T55)="","INVALID – PIC missing",IF(TRIM(Z55)="","INVALID – evidence missing",IF(TRIM(AE55)="","INVALID – verifier missing",IF(AND(AQ55=1,TRIM(W55)=""),"INVALID – batch ID missing",IF(AND(AR55=1,OR(NOT(ISNUMBER(X55)),NOT(ISNUMBER(Y55)))),"INVALID – expected/actual qty missing",IF(IF(AND(TRIM(U55)="Pass",ISNUMBER(AF55)),IF(AF55&lt;&gt;0,"INVALID – qty variance: use Fail or Pass after CA",""),"")&amp;IF(AND(TRIM(U55)="Pass",AB55="Open"),"INVALID – corrective action still open: use Fail, then Pass after CA","")&amp;IF(AND(TRIM(U55)="Pass after CA",OR(TRIM(AA55)="",AB55&lt;&gt;"Closed")),"INVALID – corrective action not recorded/closed","")&lt;&gt;"",IF(AND(TRIM(U55)="Pass",ISNUMBER(AF55)),IF(AF55&lt;&gt;0,"INVALID – qty variance: use Fail or Pass after CA",""),"")&amp;IF(AND(TRIM(U55)="Pass",AB55="Open"),"INVALID – corrective action still open: use Fail, then Pass after CA","")&amp;IF(AND(TRIM(U55)="Pass after CA",OR(TRIM(AA55)="",AB55&lt;&gt;"Closed")),"INVALID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window"),IF(AG55&gt;Flights!$AA$6,"INVALID – completed after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f>
        <v/>
      </c>
      <c r="AI55" s="67">
        <f>IF(OR(AH55="N/A – RULE",AH55="N/A – JUSTIFIED"),0,1)</f>
        <v/>
      </c>
      <c r="AJ55" s="67">
        <f>IF(LEFT(AH55,8)="COMPLETE",1,0)</f>
        <v/>
      </c>
      <c r="AK55" s="67">
        <f>IF(AND(AI55=1,AJ55=0,AsOfUTC&gt;Q55),1,0)</f>
        <v/>
      </c>
      <c r="AL55" s="67">
        <f>IF(AND(AI55=1,OR(TRIM(U55)="Fail",AB55="Open",AND(ISNUMBER(AF55),AF55&lt;&gt;0,TRIM(U55)&lt;&gt;"Pass after CA"))),1,0)</f>
        <v/>
      </c>
      <c r="AM55" s="67">
        <f>IF(LEFT(AH55,7)="INVALID",1,0)</f>
        <v/>
      </c>
      <c r="AN55" s="67">
        <f>IF(AND(N55="Clarification required",AI55=1,AJ55=0),1,0)</f>
        <v/>
      </c>
      <c r="AO55" s="67">
        <f>IF(AK55=1,SUM(AK$5:AK55),"")</f>
        <v/>
      </c>
      <c r="AP55" s="67">
        <f>IF(AL55=1,SUM(AL$5:AL55),"")</f>
        <v/>
      </c>
      <c r="AQ55" s="67" t="n">
        <v>0</v>
      </c>
      <c r="AR55" s="67" t="n">
        <v>0</v>
      </c>
      <c r="AS55" s="67" t="n">
        <v>0</v>
      </c>
      <c r="AT55" s="67" t="n">
        <v>1</v>
      </c>
    </row>
    <row r="56" ht="41.5" customHeight="1">
      <c r="A56" s="63" t="inlineStr">
        <is>
          <t>F02-T12-17</t>
        </is>
      </c>
      <c r="B56" s="63" t="inlineStr">
        <is>
          <t>F02</t>
        </is>
      </c>
      <c r="C56" s="63">
        <f>Flights!$F$6</f>
        <v/>
      </c>
      <c r="D56" s="64">
        <f>Flights!$D$6</f>
        <v/>
      </c>
      <c r="E56" s="63">
        <f>Flights!$G$6&amp;"-"&amp;Flights!$H$6</f>
        <v/>
      </c>
      <c r="F56" s="63">
        <f>Flights!$K$6</f>
        <v/>
      </c>
      <c r="G56" s="63" t="inlineStr">
        <is>
          <t>T-12H PREP</t>
        </is>
      </c>
      <c r="H56" s="63" t="inlineStr">
        <is>
          <t>Preparation</t>
        </is>
      </c>
      <c r="I56" s="63" t="inlineStr">
        <is>
          <t>Seat Linen</t>
        </is>
      </c>
      <c r="J56" s="63" t="inlineStr">
        <is>
          <t>Blanket (BS &amp; BC) - prepared</t>
        </is>
      </c>
      <c r="K56" s="73" t="inlineStr">
        <is>
          <t>Available 100% (ticked in reference)</t>
        </is>
      </c>
      <c r="L56" s="73" t="inlineStr">
        <is>
          <t>STD UPLIFT INFORMATION.xlsx &gt; SEAT LINEN!H42</t>
        </is>
      </c>
      <c r="M56" s="73" t="inlineStr">
        <is>
          <t>Not stated in reference</t>
        </is>
      </c>
      <c r="N56" s="73" t="inlineStr">
        <is>
          <t>Required</t>
        </is>
      </c>
      <c r="O56" s="73" t="inlineStr">
        <is>
          <t>Reference gives no uplift stn for this item: preparation checked at the meal uplift stn (KUL) - confirm with caterer.</t>
        </is>
      </c>
      <c r="P56" s="63" t="inlineStr">
        <is>
          <t>KUL</t>
        </is>
      </c>
      <c r="Q56" s="65">
        <f>Flights!$AE$6</f>
        <v/>
      </c>
      <c r="R56" s="65">
        <f>Q56+(IF(AND(INDEX(TZ_DSTS,MATCH(P56,TZ_STN,0))&lt;&gt;"",Q56&gt;=INDEX(TZ_DSTS,MATCH(P56,TZ_STN,0)),Q56&lt;INDEX(TZ_DSTE,MATCH(P56,TZ_STN,0))),INDEX(TZ_DST,MATCH(P56,TZ_STN,0)),INDEX(TZ_STD,MATCH(P56,TZ_STN,0))))/24</f>
        <v/>
      </c>
      <c r="S56" s="65">
        <f>Q56-T12EarlyH/24</f>
        <v/>
      </c>
      <c r="T56" s="66" t="n"/>
      <c r="U56" s="66" t="n"/>
      <c r="V56" s="66" t="n"/>
      <c r="W56" s="67" t="n"/>
      <c r="X56" s="66" t="n"/>
      <c r="Y56" s="66" t="n"/>
      <c r="Z56" s="66" t="n"/>
      <c r="AA56" s="66" t="n"/>
      <c r="AB56" s="66" t="n"/>
      <c r="AC56" s="66" t="n"/>
      <c r="AD56" s="72" t="n"/>
      <c r="AE56" s="66" t="n"/>
      <c r="AF56" s="67">
        <f>IF(AND(ISNUMBER(X56),ISNUMBER(Y56)),Y56-X56,"")</f>
        <v/>
      </c>
      <c r="AG56" s="68">
        <f>IF(ISNUMBER(AD56),AD56-(IF(AND(INDEX(TZ_DSTS,MATCH(P56,TZ_STN,0))&lt;&gt;"",(AD56-INDEX(TZ_STD,MATCH(P56,TZ_STN,0))/24)&gt;=INDEX(TZ_DSTS,MATCH(P56,TZ_STN,0)),(AD56-INDEX(TZ_STD,MATCH(P56,TZ_STN,0))/24)&lt;INDEX(TZ_DSTE,MATCH(P56,TZ_STN,0))),INDEX(TZ_DST,MATCH(P56,TZ_STN,0)),INDEX(TZ_STD,MATCH(P56,TZ_STN,0))))/24,"")</f>
        <v/>
      </c>
      <c r="AH56" s="71">
        <f>IF(N56="N/A – rule","N/A – RULE",IF(TRIM(U56)="N/A",IF(AT56=0,"INVALID – N/A not permitted for this mandatory check",IF(AND(TRIM(AC56)&lt;&gt;"",TRIM(AE56)&lt;&gt;"",TRIM(T56)&lt;&gt;""),"N/A – JUSTIFIED","INVALID – N/A needs justification, PIC and verifier")),IF(OR(TRIM(U56)="Pass",TRIM(U56)="Pass after CA"),IF(NOT(ISNUMBER(AD56)),"INVALID – completion time missing",IF(TRIM(T56)="","INVALID – PIC missing",IF(TRIM(Z56)="","INVALID – evidence missing",IF(TRIM(AE56)="","INVALID – verifier missing",IF(AND(AQ56=1,TRIM(W56)=""),"INVALID – batch ID missing",IF(AND(AR56=1,OR(NOT(ISNUMBER(X56)),NOT(ISNUMBER(Y56)))),"INVALID – expected/actual qty missing",IF(IF(AND(TRIM(U56)="Pass",ISNUMBER(AF56)),IF(AF56&lt;&gt;0,"INVALID – qty variance: use Fail or Pass after CA",""),"")&amp;IF(AND(TRIM(U56)="Pass",AB56="Open"),"INVALID – corrective action still open: use Fail, then Pass after CA","")&amp;IF(AND(TRIM(U56)="Pass after CA",OR(TRIM(AA56)="",AB56&lt;&gt;"Closed")),"INVALID – corrective action not recorded/closed","")&lt;&gt;"",IF(AND(TRIM(U56)="Pass",ISNUMBER(AF56)),IF(AF56&lt;&gt;0,"INVALID – qty variance: use Fail or Pass after CA",""),"")&amp;IF(AND(TRIM(U56)="Pass",AB56="Open"),"INVALID – corrective action still open: use Fail, then Pass after CA","")&amp;IF(AND(TRIM(U56)="Pass after CA",OR(TRIM(AA56)="",AB56&lt;&gt;"Closed")),"INVALID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window"),IF(AG56&gt;Flights!$AA$6,"INVALID – completed after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f>
        <v/>
      </c>
      <c r="AI56" s="67">
        <f>IF(OR(AH56="N/A – RULE",AH56="N/A – JUSTIFIED"),0,1)</f>
        <v/>
      </c>
      <c r="AJ56" s="67">
        <f>IF(LEFT(AH56,8)="COMPLETE",1,0)</f>
        <v/>
      </c>
      <c r="AK56" s="67">
        <f>IF(AND(AI56=1,AJ56=0,AsOfUTC&gt;Q56),1,0)</f>
        <v/>
      </c>
      <c r="AL56" s="67">
        <f>IF(AND(AI56=1,OR(TRIM(U56)="Fail",AB56="Open",AND(ISNUMBER(AF56),AF56&lt;&gt;0,TRIM(U56)&lt;&gt;"Pass after CA"))),1,0)</f>
        <v/>
      </c>
      <c r="AM56" s="67">
        <f>IF(LEFT(AH56,7)="INVALID",1,0)</f>
        <v/>
      </c>
      <c r="AN56" s="67">
        <f>IF(AND(N56="Clarification required",AI56=1,AJ56=0),1,0)</f>
        <v/>
      </c>
      <c r="AO56" s="67">
        <f>IF(AK56=1,SUM(AK$5:AK56),"")</f>
        <v/>
      </c>
      <c r="AP56" s="67">
        <f>IF(AL56=1,SUM(AL$5:AL56),"")</f>
        <v/>
      </c>
      <c r="AQ56" s="67" t="n">
        <v>0</v>
      </c>
      <c r="AR56" s="67" t="n">
        <v>0</v>
      </c>
      <c r="AS56" s="67" t="n">
        <v>0</v>
      </c>
      <c r="AT56" s="67" t="n">
        <v>1</v>
      </c>
    </row>
    <row r="57" ht="40" customHeight="1">
      <c r="A57" s="63" t="inlineStr">
        <is>
          <t>F02-UPL-01</t>
        </is>
      </c>
      <c r="B57" s="63" t="inlineStr">
        <is>
          <t>F02</t>
        </is>
      </c>
      <c r="C57" s="63">
        <f>Flights!$F$6</f>
        <v/>
      </c>
      <c r="D57" s="64">
        <f>Flights!$D$6</f>
        <v/>
      </c>
      <c r="E57" s="63">
        <f>Flights!$G$6&amp;"-"&amp;Flights!$H$6</f>
        <v/>
      </c>
      <c r="F57" s="63">
        <f>Flights!$K$6</f>
        <v/>
      </c>
      <c r="G57" s="63" t="inlineStr">
        <is>
          <t>UPLIFT</t>
        </is>
      </c>
      <c r="H57" s="63" t="inlineStr">
        <is>
          <t>Physical uplift</t>
        </is>
      </c>
      <c r="I57" s="63" t="inlineStr">
        <is>
          <t>Meal</t>
        </is>
      </c>
      <c r="J57" s="63" t="inlineStr">
        <is>
          <t>Meals physically uplifted on board - quantity vs menu checklist</t>
        </is>
      </c>
      <c r="K57" s="73" t="inlineStr">
        <is>
          <t>Enter expected &amp; actual</t>
        </is>
      </c>
      <c r="L57" s="73" t="inlineStr">
        <is>
          <t>User brief (T-12 hours - physical uplift)</t>
        </is>
      </c>
      <c r="M57" s="73" t="inlineStr"/>
      <c r="N57" s="73" t="inlineStr">
        <is>
          <t>Required</t>
        </is>
      </c>
      <c r="O57" s="73" t="inlineStr">
        <is>
          <t>Confirm on board before departure; completion time must fall inside the uplift window.</t>
        </is>
      </c>
      <c r="P57" s="63" t="inlineStr">
        <is>
          <t>KUL</t>
        </is>
      </c>
      <c r="Q57" s="65">
        <f>Flights!$AF$6</f>
        <v/>
      </c>
      <c r="R57" s="65">
        <f>Q57+(IF(AND(INDEX(TZ_DSTS,MATCH(P57,TZ_STN,0))&lt;&gt;"",Q57&gt;=INDEX(TZ_DSTS,MATCH(P57,TZ_STN,0)),Q57&lt;INDEX(TZ_DSTE,MATCH(P57,TZ_STN,0))),INDEX(TZ_DST,MATCH(P57,TZ_STN,0)),INDEX(TZ_STD,MATCH(P57,TZ_STN,0))))/24</f>
        <v/>
      </c>
      <c r="S57" s="65">
        <f>Q57-UpliftWindowH/24</f>
        <v/>
      </c>
      <c r="T57" s="66" t="n"/>
      <c r="U57" s="66" t="n"/>
      <c r="V57" s="66" t="n"/>
      <c r="W57" s="67" t="n"/>
      <c r="X57" s="66" t="n"/>
      <c r="Y57" s="66" t="n"/>
      <c r="Z57" s="66" t="n"/>
      <c r="AA57" s="66" t="n"/>
      <c r="AB57" s="66" t="n"/>
      <c r="AC57" s="66" t="n"/>
      <c r="AD57" s="72" t="n"/>
      <c r="AE57" s="66" t="n"/>
      <c r="AF57" s="67">
        <f>IF(AND(ISNUMBER(X57),ISNUMBER(Y57)),Y57-X57,"")</f>
        <v/>
      </c>
      <c r="AG57" s="68">
        <f>IF(ISNUMBER(AD57),AD57-(IF(AND(INDEX(TZ_DSTS,MATCH(P57,TZ_STN,0))&lt;&gt;"",(AD57-INDEX(TZ_STD,MATCH(P57,TZ_STN,0))/24)&gt;=INDEX(TZ_DSTS,MATCH(P57,TZ_STN,0)),(AD57-INDEX(TZ_STD,MATCH(P57,TZ_STN,0))/24)&lt;INDEX(TZ_DSTE,MATCH(P57,TZ_STN,0))),INDEX(TZ_DST,MATCH(P57,TZ_STN,0)),INDEX(TZ_STD,MATCH(P57,TZ_STN,0))))/24,"")</f>
        <v/>
      </c>
      <c r="AH57" s="71">
        <f>IF(N57="N/A – rule","N/A – RULE",IF(TRIM(U57)="N/A",IF(AT57=0,"INVALID – N/A not permitted for this mandatory check",IF(AND(TRIM(AC57)&lt;&gt;"",TRIM(AE57)&lt;&gt;"",TRIM(T57)&lt;&gt;""),"N/A – JUSTIFIED","INVALID – N/A needs justification, PIC and verifier")),IF(OR(TRIM(U57)="Pass",TRIM(U57)="Pass after CA"),IF(NOT(ISNUMBER(AD57)),"INVALID – completion time missing",IF(TRIM(T57)="","INVALID – PIC missing",IF(TRIM(Z57)="","INVALID – evidence missing",IF(TRIM(AE57)="","INVALID – verifier missing",IF(AND(AQ57=1,TRIM(W57)=""),"INVALID – batch ID missing",IF(AND(AR57=1,OR(NOT(ISNUMBER(X57)),NOT(ISNUMBER(Y57)))),"INVALID – expected/actual qty missing",IF(IF(AND(TRIM(U57)="Pass",ISNUMBER(AF57)),IF(AF57&lt;&gt;0,"INVALID – qty variance: use Fail or Pass after CA",""),"")&amp;IF(AND(TRIM(U57)="Pass",AB57="Open"),"INVALID – corrective action still open: use Fail, then Pass after CA","")&amp;IF(AND(TRIM(U57)="Pass after CA",OR(TRIM(AA57)="",AB57&lt;&gt;"Closed")),"INVALID – corrective action not recorded/closed","")&lt;&gt;"",IF(AND(TRIM(U57)="Pass",ISNUMBER(AF57)),IF(AF57&lt;&gt;0,"INVALID – qty variance: use Fail or Pass after CA",""),"")&amp;IF(AND(TRIM(U57)="Pass",AB57="Open"),"INVALID – corrective action still open: use Fail, then Pass after CA","")&amp;IF(AND(TRIM(U57)="Pass after CA",OR(TRIM(AA57)="",AB57&lt;&gt;"Closed")),"INVALID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window"),IF(AG57&gt;Flights!$AA$6,"INVALID – completed after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f>
        <v/>
      </c>
      <c r="AI57" s="67">
        <f>IF(OR(AH57="N/A – RULE",AH57="N/A – JUSTIFIED"),0,1)</f>
        <v/>
      </c>
      <c r="AJ57" s="67">
        <f>IF(LEFT(AH57,8)="COMPLETE",1,0)</f>
        <v/>
      </c>
      <c r="AK57" s="67">
        <f>IF(AND(AI57=1,AJ57=0,AsOfUTC&gt;Q57),1,0)</f>
        <v/>
      </c>
      <c r="AL57" s="67">
        <f>IF(AND(AI57=1,OR(TRIM(U57)="Fail",AB57="Open",AND(ISNUMBER(AF57),AF57&lt;&gt;0,TRIM(U57)&lt;&gt;"Pass after CA"))),1,0)</f>
        <v/>
      </c>
      <c r="AM57" s="67">
        <f>IF(LEFT(AH57,7)="INVALID",1,0)</f>
        <v/>
      </c>
      <c r="AN57" s="67">
        <f>IF(AND(N57="Clarification required",AI57=1,AJ57=0),1,0)</f>
        <v/>
      </c>
      <c r="AO57" s="67">
        <f>IF(AK57=1,SUM(AK$5:AK57),"")</f>
        <v/>
      </c>
      <c r="AP57" s="67">
        <f>IF(AL57=1,SUM(AL$5:AL57),"")</f>
        <v/>
      </c>
      <c r="AQ57" s="67" t="n">
        <v>0</v>
      </c>
      <c r="AR57" s="67" t="n">
        <v>1</v>
      </c>
      <c r="AS57" s="67" t="n">
        <v>0</v>
      </c>
      <c r="AT57" s="67" t="n">
        <v>0</v>
      </c>
    </row>
    <row r="58" ht="40" customHeight="1">
      <c r="A58" s="63" t="inlineStr">
        <is>
          <t>F02-UPL-02</t>
        </is>
      </c>
      <c r="B58" s="63" t="inlineStr">
        <is>
          <t>F02</t>
        </is>
      </c>
      <c r="C58" s="63">
        <f>Flights!$F$6</f>
        <v/>
      </c>
      <c r="D58" s="64">
        <f>Flights!$D$6</f>
        <v/>
      </c>
      <c r="E58" s="63">
        <f>Flights!$G$6&amp;"-"&amp;Flights!$H$6</f>
        <v/>
      </c>
      <c r="F58" s="63">
        <f>Flights!$K$6</f>
        <v/>
      </c>
      <c r="G58" s="63" t="inlineStr">
        <is>
          <t>UPLIFT</t>
        </is>
      </c>
      <c r="H58" s="63" t="inlineStr">
        <is>
          <t>Physical uplift</t>
        </is>
      </c>
      <c r="I58" s="63" t="inlineStr">
        <is>
          <t>Equipment</t>
        </is>
      </c>
      <c r="J58" s="63" t="inlineStr">
        <is>
          <t>Equipment physically loaded at GLD positions - quantity &amp; positions</t>
        </is>
      </c>
      <c r="K58" s="73" t="inlineStr">
        <is>
          <t>Enter expected &amp; actual</t>
        </is>
      </c>
      <c r="L58" s="73" t="inlineStr">
        <is>
          <t>User brief (T-12 hours - physical uplift)</t>
        </is>
      </c>
      <c r="M58" s="73" t="inlineStr"/>
      <c r="N58" s="73" t="inlineStr">
        <is>
          <t>Required</t>
        </is>
      </c>
      <c r="O58" s="73" t="inlineStr">
        <is>
          <t>Confirm on board before departure; completion time must fall inside the uplift window.</t>
        </is>
      </c>
      <c r="P58" s="63" t="inlineStr">
        <is>
          <t>KUL</t>
        </is>
      </c>
      <c r="Q58" s="65">
        <f>Flights!$AF$6</f>
        <v/>
      </c>
      <c r="R58" s="65">
        <f>Q58+(IF(AND(INDEX(TZ_DSTS,MATCH(P58,TZ_STN,0))&lt;&gt;"",Q58&gt;=INDEX(TZ_DSTS,MATCH(P58,TZ_STN,0)),Q58&lt;INDEX(TZ_DSTE,MATCH(P58,TZ_STN,0))),INDEX(TZ_DST,MATCH(P58,TZ_STN,0)),INDEX(TZ_STD,MATCH(P58,TZ_STN,0))))/24</f>
        <v/>
      </c>
      <c r="S58" s="65">
        <f>Q58-UpliftWindowH/24</f>
        <v/>
      </c>
      <c r="T58" s="66" t="n"/>
      <c r="U58" s="66" t="n"/>
      <c r="V58" s="66" t="n"/>
      <c r="W58" s="67" t="n"/>
      <c r="X58" s="66" t="n"/>
      <c r="Y58" s="66" t="n"/>
      <c r="Z58" s="66" t="n"/>
      <c r="AA58" s="66" t="n"/>
      <c r="AB58" s="66" t="n"/>
      <c r="AC58" s="66" t="n"/>
      <c r="AD58" s="72" t="n"/>
      <c r="AE58" s="66" t="n"/>
      <c r="AF58" s="67">
        <f>IF(AND(ISNUMBER(X58),ISNUMBER(Y58)),Y58-X58,"")</f>
        <v/>
      </c>
      <c r="AG58" s="68">
        <f>IF(ISNUMBER(AD58),AD58-(IF(AND(INDEX(TZ_DSTS,MATCH(P58,TZ_STN,0))&lt;&gt;"",(AD58-INDEX(TZ_STD,MATCH(P58,TZ_STN,0))/24)&gt;=INDEX(TZ_DSTS,MATCH(P58,TZ_STN,0)),(AD58-INDEX(TZ_STD,MATCH(P58,TZ_STN,0))/24)&lt;INDEX(TZ_DSTE,MATCH(P58,TZ_STN,0))),INDEX(TZ_DST,MATCH(P58,TZ_STN,0)),INDEX(TZ_STD,MATCH(P58,TZ_STN,0))))/24,"")</f>
        <v/>
      </c>
      <c r="AH58" s="71">
        <f>IF(N58="N/A – rule","N/A – RULE",IF(TRIM(U58)="N/A",IF(AT58=0,"INVALID – N/A not permitted for this mandatory check",IF(AND(TRIM(AC58)&lt;&gt;"",TRIM(AE58)&lt;&gt;"",TRIM(T58)&lt;&gt;""),"N/A – JUSTIFIED","INVALID – N/A needs justification, PIC and verifier")),IF(OR(TRIM(U58)="Pass",TRIM(U58)="Pass after CA"),IF(NOT(ISNUMBER(AD58)),"INVALID – completion time missing",IF(TRIM(T58)="","INVALID – PIC missing",IF(TRIM(Z58)="","INVALID – evidence missing",IF(TRIM(AE58)="","INVALID – verifier missing",IF(AND(AQ58=1,TRIM(W58)=""),"INVALID – batch ID missing",IF(AND(AR58=1,OR(NOT(ISNUMBER(X58)),NOT(ISNUMBER(Y58)))),"INVALID – expected/actual qty missing",IF(IF(AND(TRIM(U58)="Pass",ISNUMBER(AF58)),IF(AF58&lt;&gt;0,"INVALID – qty variance: use Fail or Pass after CA",""),"")&amp;IF(AND(TRIM(U58)="Pass",AB58="Open"),"INVALID – corrective action still open: use Fail, then Pass after CA","")&amp;IF(AND(TRIM(U58)="Pass after CA",OR(TRIM(AA58)="",AB58&lt;&gt;"Closed")),"INVALID – corrective action not recorded/closed","")&lt;&gt;"",IF(AND(TRIM(U58)="Pass",ISNUMBER(AF58)),IF(AF58&lt;&gt;0,"INVALID – qty variance: use Fail or Pass after CA",""),"")&amp;IF(AND(TRIM(U58)="Pass",AB58="Open"),"INVALID – corrective action still open: use Fail, then Pass after CA","")&amp;IF(AND(TRIM(U58)="Pass after CA",OR(TRIM(AA58)="",AB58&lt;&gt;"Closed")),"INVALID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window"),IF(AG58&gt;Flights!$AA$6,"INVALID – completed after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f>
        <v/>
      </c>
      <c r="AI58" s="67">
        <f>IF(OR(AH58="N/A – RULE",AH58="N/A – JUSTIFIED"),0,1)</f>
        <v/>
      </c>
      <c r="AJ58" s="67">
        <f>IF(LEFT(AH58,8)="COMPLETE",1,0)</f>
        <v/>
      </c>
      <c r="AK58" s="67">
        <f>IF(AND(AI58=1,AJ58=0,AsOfUTC&gt;Q58),1,0)</f>
        <v/>
      </c>
      <c r="AL58" s="67">
        <f>IF(AND(AI58=1,OR(TRIM(U58)="Fail",AB58="Open",AND(ISNUMBER(AF58),AF58&lt;&gt;0,TRIM(U58)&lt;&gt;"Pass after CA"))),1,0)</f>
        <v/>
      </c>
      <c r="AM58" s="67">
        <f>IF(LEFT(AH58,7)="INVALID",1,0)</f>
        <v/>
      </c>
      <c r="AN58" s="67">
        <f>IF(AND(N58="Clarification required",AI58=1,AJ58=0),1,0)</f>
        <v/>
      </c>
      <c r="AO58" s="67">
        <f>IF(AK58=1,SUM(AK$5:AK58),"")</f>
        <v/>
      </c>
      <c r="AP58" s="67">
        <f>IF(AL58=1,SUM(AL$5:AL58),"")</f>
        <v/>
      </c>
      <c r="AQ58" s="67" t="n">
        <v>0</v>
      </c>
      <c r="AR58" s="67" t="n">
        <v>1</v>
      </c>
      <c r="AS58" s="67" t="n">
        <v>0</v>
      </c>
      <c r="AT58" s="67" t="n">
        <v>0</v>
      </c>
    </row>
    <row r="59" ht="41.5" customHeight="1">
      <c r="A59" s="63" t="inlineStr">
        <is>
          <t>F02-UPL-03</t>
        </is>
      </c>
      <c r="B59" s="63" t="inlineStr">
        <is>
          <t>F02</t>
        </is>
      </c>
      <c r="C59" s="63">
        <f>Flights!$F$6</f>
        <v/>
      </c>
      <c r="D59" s="64">
        <f>Flights!$D$6</f>
        <v/>
      </c>
      <c r="E59" s="63">
        <f>Flights!$G$6&amp;"-"&amp;Flights!$H$6</f>
        <v/>
      </c>
      <c r="F59" s="63">
        <f>Flights!$K$6</f>
        <v/>
      </c>
      <c r="G59" s="63" t="inlineStr">
        <is>
          <t>UPLIFT</t>
        </is>
      </c>
      <c r="H59" s="63" t="inlineStr">
        <is>
          <t>Physical uplift</t>
        </is>
      </c>
      <c r="I59" s="63" t="inlineStr">
        <is>
          <t>Amenities</t>
        </is>
      </c>
      <c r="J59" s="63" t="inlineStr">
        <is>
          <t>Disposable slippers in DAM cart (BC, on request) - on board</t>
        </is>
      </c>
      <c r="K59" s="73" t="inlineStr">
        <is>
          <t>Available in DAM cart on request basis</t>
        </is>
      </c>
      <c r="L59" s="73" t="inlineStr">
        <is>
          <t>STD UPLIFT INFORMATION.xlsx &gt; AMENITIES!G52 / C83</t>
        </is>
      </c>
      <c r="M59" s="73" t="inlineStr">
        <is>
          <t>Not stated in reference</t>
        </is>
      </c>
      <c r="N59" s="73" t="inlineStr">
        <is>
          <t>Required</t>
        </is>
      </c>
      <c r="O59" s="73" t="inlineStr">
        <is>
          <t>Sector has no BC slippers; note C83: disposable slipper available in DAM cart (on request basis).</t>
        </is>
      </c>
      <c r="P59" s="63" t="inlineStr">
        <is>
          <t>KUL</t>
        </is>
      </c>
      <c r="Q59" s="65">
        <f>Flights!$AF$6</f>
        <v/>
      </c>
      <c r="R59" s="65">
        <f>Q59+(IF(AND(INDEX(TZ_DSTS,MATCH(P59,TZ_STN,0))&lt;&gt;"",Q59&gt;=INDEX(TZ_DSTS,MATCH(P59,TZ_STN,0)),Q59&lt;INDEX(TZ_DSTE,MATCH(P59,TZ_STN,0))),INDEX(TZ_DST,MATCH(P59,TZ_STN,0)),INDEX(TZ_STD,MATCH(P59,TZ_STN,0))))/24</f>
        <v/>
      </c>
      <c r="S59" s="65">
        <f>Q59-UpliftWindowH/24</f>
        <v/>
      </c>
      <c r="T59" s="66" t="n"/>
      <c r="U59" s="66" t="n"/>
      <c r="V59" s="66" t="n"/>
      <c r="W59" s="67" t="n"/>
      <c r="X59" s="66" t="n"/>
      <c r="Y59" s="66" t="n"/>
      <c r="Z59" s="66" t="n"/>
      <c r="AA59" s="66" t="n"/>
      <c r="AB59" s="66" t="n"/>
      <c r="AC59" s="66" t="n"/>
      <c r="AD59" s="72" t="n"/>
      <c r="AE59" s="66" t="n"/>
      <c r="AF59" s="67">
        <f>IF(AND(ISNUMBER(X59),ISNUMBER(Y59)),Y59-X59,"")</f>
        <v/>
      </c>
      <c r="AG59" s="68">
        <f>IF(ISNUMBER(AD59),AD59-(IF(AND(INDEX(TZ_DSTS,MATCH(P59,TZ_STN,0))&lt;&gt;"",(AD59-INDEX(TZ_STD,MATCH(P59,TZ_STN,0))/24)&gt;=INDEX(TZ_DSTS,MATCH(P59,TZ_STN,0)),(AD59-INDEX(TZ_STD,MATCH(P59,TZ_STN,0))/24)&lt;INDEX(TZ_DSTE,MATCH(P59,TZ_STN,0))),INDEX(TZ_DST,MATCH(P59,TZ_STN,0)),INDEX(TZ_STD,MATCH(P59,TZ_STN,0))))/24,"")</f>
        <v/>
      </c>
      <c r="AH59" s="71">
        <f>IF(N59="N/A – rule","N/A – RULE",IF(TRIM(U59)="N/A",IF(AT59=0,"INVALID – N/A not permitted for this mandatory check",IF(AND(TRIM(AC59)&lt;&gt;"",TRIM(AE59)&lt;&gt;"",TRIM(T59)&lt;&gt;""),"N/A – JUSTIFIED","INVALID – N/A needs justification, PIC and verifier")),IF(OR(TRIM(U59)="Pass",TRIM(U59)="Pass after CA"),IF(NOT(ISNUMBER(AD59)),"INVALID – completion time missing",IF(TRIM(T59)="","INVALID – PIC missing",IF(TRIM(Z59)="","INVALID – evidence missing",IF(TRIM(AE59)="","INVALID – verifier missing",IF(AND(AQ59=1,TRIM(W59)=""),"INVALID – batch ID missing",IF(AND(AR59=1,OR(NOT(ISNUMBER(X59)),NOT(ISNUMBER(Y59)))),"INVALID – expected/actual qty missing",IF(IF(AND(TRIM(U59)="Pass",ISNUMBER(AF59)),IF(AF59&lt;&gt;0,"INVALID – qty variance: use Fail or Pass after CA",""),"")&amp;IF(AND(TRIM(U59)="Pass",AB59="Open"),"INVALID – corrective action still open: use Fail, then Pass after CA","")&amp;IF(AND(TRIM(U59)="Pass after CA",OR(TRIM(AA59)="",AB59&lt;&gt;"Closed")),"INVALID – corrective action not recorded/closed","")&lt;&gt;"",IF(AND(TRIM(U59)="Pass",ISNUMBER(AF59)),IF(AF59&lt;&gt;0,"INVALID – qty variance: use Fail or Pass after CA",""),"")&amp;IF(AND(TRIM(U59)="Pass",AB59="Open"),"INVALID – corrective action still open: use Fail, then Pass after CA","")&amp;IF(AND(TRIM(U59)="Pass after CA",OR(TRIM(AA59)="",AB59&lt;&gt;"Closed")),"INVALID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window"),IF(AG59&gt;Flights!$AA$6,"INVALID – completed after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f>
        <v/>
      </c>
      <c r="AI59" s="67">
        <f>IF(OR(AH59="N/A – RULE",AH59="N/A – JUSTIFIED"),0,1)</f>
        <v/>
      </c>
      <c r="AJ59" s="67">
        <f>IF(LEFT(AH59,8)="COMPLETE",1,0)</f>
        <v/>
      </c>
      <c r="AK59" s="67">
        <f>IF(AND(AI59=1,AJ59=0,AsOfUTC&gt;Q59),1,0)</f>
        <v/>
      </c>
      <c r="AL59" s="67">
        <f>IF(AND(AI59=1,OR(TRIM(U59)="Fail",AB59="Open",AND(ISNUMBER(AF59),AF59&lt;&gt;0,TRIM(U59)&lt;&gt;"Pass after CA"))),1,0)</f>
        <v/>
      </c>
      <c r="AM59" s="67">
        <f>IF(LEFT(AH59,7)="INVALID",1,0)</f>
        <v/>
      </c>
      <c r="AN59" s="67">
        <f>IF(AND(N59="Clarification required",AI59=1,AJ59=0),1,0)</f>
        <v/>
      </c>
      <c r="AO59" s="67">
        <f>IF(AK59=1,SUM(AK$5:AK59),"")</f>
        <v/>
      </c>
      <c r="AP59" s="67">
        <f>IF(AL59=1,SUM(AL$5:AL59),"")</f>
        <v/>
      </c>
      <c r="AQ59" s="67" t="n">
        <v>0</v>
      </c>
      <c r="AR59" s="67" t="n">
        <v>0</v>
      </c>
      <c r="AS59" s="67" t="n">
        <v>0</v>
      </c>
      <c r="AT59" s="67" t="n">
        <v>1</v>
      </c>
    </row>
    <row r="60" ht="40" customHeight="1">
      <c r="A60" s="63" t="inlineStr">
        <is>
          <t>F02-UPL-04</t>
        </is>
      </c>
      <c r="B60" s="63" t="inlineStr">
        <is>
          <t>F02</t>
        </is>
      </c>
      <c r="C60" s="63">
        <f>Flights!$F$6</f>
        <v/>
      </c>
      <c r="D60" s="64">
        <f>Flights!$D$6</f>
        <v/>
      </c>
      <c r="E60" s="63">
        <f>Flights!$G$6&amp;"-"&amp;Flights!$H$6</f>
        <v/>
      </c>
      <c r="F60" s="63">
        <f>Flights!$K$6</f>
        <v/>
      </c>
      <c r="G60" s="63" t="inlineStr">
        <is>
          <t>UPLIFT</t>
        </is>
      </c>
      <c r="H60" s="63" t="inlineStr">
        <is>
          <t>Physical uplift</t>
        </is>
      </c>
      <c r="I60" s="63" t="inlineStr">
        <is>
          <t>F&amp;B Linen</t>
        </is>
      </c>
      <c r="J60" s="63" t="inlineStr">
        <is>
          <t>Towel - on board</t>
        </is>
      </c>
      <c r="K60" s="73" t="inlineStr">
        <is>
          <t>Available (ticked in reference)</t>
        </is>
      </c>
      <c r="L60" s="73" t="inlineStr">
        <is>
          <t>STD UPLIFT INFORMATION.xlsx &gt; F&amp;B LINEN!D44</t>
        </is>
      </c>
      <c r="M60" s="73" t="inlineStr">
        <is>
          <t>Not stated in reference</t>
        </is>
      </c>
      <c r="N60" s="73" t="inlineStr">
        <is>
          <t>Required</t>
        </is>
      </c>
      <c r="O60" s="73" t="inlineStr"/>
      <c r="P60" s="63" t="inlineStr">
        <is>
          <t>KUL</t>
        </is>
      </c>
      <c r="Q60" s="65">
        <f>Flights!$AF$6</f>
        <v/>
      </c>
      <c r="R60" s="65">
        <f>Q60+(IF(AND(INDEX(TZ_DSTS,MATCH(P60,TZ_STN,0))&lt;&gt;"",Q60&gt;=INDEX(TZ_DSTS,MATCH(P60,TZ_STN,0)),Q60&lt;INDEX(TZ_DSTE,MATCH(P60,TZ_STN,0))),INDEX(TZ_DST,MATCH(P60,TZ_STN,0)),INDEX(TZ_STD,MATCH(P60,TZ_STN,0))))/24</f>
        <v/>
      </c>
      <c r="S60" s="65">
        <f>Q60-UpliftWindowH/24</f>
        <v/>
      </c>
      <c r="T60" s="66" t="n"/>
      <c r="U60" s="66" t="n"/>
      <c r="V60" s="66" t="n"/>
      <c r="W60" s="67" t="n"/>
      <c r="X60" s="66" t="n"/>
      <c r="Y60" s="66" t="n"/>
      <c r="Z60" s="66" t="n"/>
      <c r="AA60" s="66" t="n"/>
      <c r="AB60" s="66" t="n"/>
      <c r="AC60" s="66" t="n"/>
      <c r="AD60" s="72" t="n"/>
      <c r="AE60" s="66" t="n"/>
      <c r="AF60" s="67">
        <f>IF(AND(ISNUMBER(X60),ISNUMBER(Y60)),Y60-X60,"")</f>
        <v/>
      </c>
      <c r="AG60" s="68">
        <f>IF(ISNUMBER(AD60),AD60-(IF(AND(INDEX(TZ_DSTS,MATCH(P60,TZ_STN,0))&lt;&gt;"",(AD60-INDEX(TZ_STD,MATCH(P60,TZ_STN,0))/24)&gt;=INDEX(TZ_DSTS,MATCH(P60,TZ_STN,0)),(AD60-INDEX(TZ_STD,MATCH(P60,TZ_STN,0))/24)&lt;INDEX(TZ_DSTE,MATCH(P60,TZ_STN,0))),INDEX(TZ_DST,MATCH(P60,TZ_STN,0)),INDEX(TZ_STD,MATCH(P60,TZ_STN,0))))/24,"")</f>
        <v/>
      </c>
      <c r="AH60" s="71">
        <f>IF(N60="N/A – rule","N/A – RULE",IF(TRIM(U60)="N/A",IF(AT60=0,"INVALID – N/A not permitted for this mandatory check",IF(AND(TRIM(AC60)&lt;&gt;"",TRIM(AE60)&lt;&gt;"",TRIM(T60)&lt;&gt;""),"N/A – JUSTIFIED","INVALID – N/A needs justification, PIC and verifier")),IF(OR(TRIM(U60)="Pass",TRIM(U60)="Pass after CA"),IF(NOT(ISNUMBER(AD60)),"INVALID – completion time missing",IF(TRIM(T60)="","INVALID – PIC missing",IF(TRIM(Z60)="","INVALID – evidence missing",IF(TRIM(AE60)="","INVALID – verifier missing",IF(AND(AQ60=1,TRIM(W60)=""),"INVALID – batch ID missing",IF(AND(AR60=1,OR(NOT(ISNUMBER(X60)),NOT(ISNUMBER(Y60)))),"INVALID – expected/actual qty missing",IF(IF(AND(TRIM(U60)="Pass",ISNUMBER(AF60)),IF(AF60&lt;&gt;0,"INVALID – qty variance: use Fail or Pass after CA",""),"")&amp;IF(AND(TRIM(U60)="Pass",AB60="Open"),"INVALID – corrective action still open: use Fail, then Pass after CA","")&amp;IF(AND(TRIM(U60)="Pass after CA",OR(TRIM(AA60)="",AB60&lt;&gt;"Closed")),"INVALID – corrective action not recorded/closed","")&lt;&gt;"",IF(AND(TRIM(U60)="Pass",ISNUMBER(AF60)),IF(AF60&lt;&gt;0,"INVALID – qty variance: use Fail or Pass after CA",""),"")&amp;IF(AND(TRIM(U60)="Pass",AB60="Open"),"INVALID – corrective action still open: use Fail, then Pass after CA","")&amp;IF(AND(TRIM(U60)="Pass after CA",OR(TRIM(AA60)="",AB60&lt;&gt;"Closed")),"INVALID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window"),IF(AG60&gt;Flights!$AA$6,"INVALID – completed after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f>
        <v/>
      </c>
      <c r="AI60" s="67">
        <f>IF(OR(AH60="N/A – RULE",AH60="N/A – JUSTIFIED"),0,1)</f>
        <v/>
      </c>
      <c r="AJ60" s="67">
        <f>IF(LEFT(AH60,8)="COMPLETE",1,0)</f>
        <v/>
      </c>
      <c r="AK60" s="67">
        <f>IF(AND(AI60=1,AJ60=0,AsOfUTC&gt;Q60),1,0)</f>
        <v/>
      </c>
      <c r="AL60" s="67">
        <f>IF(AND(AI60=1,OR(TRIM(U60)="Fail",AB60="Open",AND(ISNUMBER(AF60),AF60&lt;&gt;0,TRIM(U60)&lt;&gt;"Pass after CA"))),1,0)</f>
        <v/>
      </c>
      <c r="AM60" s="67">
        <f>IF(LEFT(AH60,7)="INVALID",1,0)</f>
        <v/>
      </c>
      <c r="AN60" s="67">
        <f>IF(AND(N60="Clarification required",AI60=1,AJ60=0),1,0)</f>
        <v/>
      </c>
      <c r="AO60" s="67">
        <f>IF(AK60=1,SUM(AK$5:AK60),"")</f>
        <v/>
      </c>
      <c r="AP60" s="67">
        <f>IF(AL60=1,SUM(AL$5:AL60),"")</f>
        <v/>
      </c>
      <c r="AQ60" s="67" t="n">
        <v>0</v>
      </c>
      <c r="AR60" s="67" t="n">
        <v>0</v>
      </c>
      <c r="AS60" s="67" t="n">
        <v>0</v>
      </c>
      <c r="AT60" s="67" t="n">
        <v>1</v>
      </c>
    </row>
    <row r="61" ht="40" customHeight="1">
      <c r="A61" s="63" t="inlineStr">
        <is>
          <t>F02-UPL-05</t>
        </is>
      </c>
      <c r="B61" s="63" t="inlineStr">
        <is>
          <t>F02</t>
        </is>
      </c>
      <c r="C61" s="63">
        <f>Flights!$F$6</f>
        <v/>
      </c>
      <c r="D61" s="64">
        <f>Flights!$D$6</f>
        <v/>
      </c>
      <c r="E61" s="63">
        <f>Flights!$G$6&amp;"-"&amp;Flights!$H$6</f>
        <v/>
      </c>
      <c r="F61" s="63">
        <f>Flights!$K$6</f>
        <v/>
      </c>
      <c r="G61" s="63" t="inlineStr">
        <is>
          <t>UPLIFT</t>
        </is>
      </c>
      <c r="H61" s="63" t="inlineStr">
        <is>
          <t>Physical uplift</t>
        </is>
      </c>
      <c r="I61" s="63" t="inlineStr">
        <is>
          <t>F&amp;B Linen</t>
        </is>
      </c>
      <c r="J61" s="63" t="inlineStr">
        <is>
          <t>Tray cloth - on board</t>
        </is>
      </c>
      <c r="K61" s="73" t="inlineStr">
        <is>
          <t>Available (ticked in reference)</t>
        </is>
      </c>
      <c r="L61" s="73" t="inlineStr">
        <is>
          <t>STD UPLIFT INFORMATION.xlsx &gt; F&amp;B LINEN!E44</t>
        </is>
      </c>
      <c r="M61" s="73" t="inlineStr">
        <is>
          <t>Not stated in reference</t>
        </is>
      </c>
      <c r="N61" s="73" t="inlineStr">
        <is>
          <t>Required</t>
        </is>
      </c>
      <c r="O61" s="73" t="inlineStr"/>
      <c r="P61" s="63" t="inlineStr">
        <is>
          <t>KUL</t>
        </is>
      </c>
      <c r="Q61" s="65">
        <f>Flights!$AF$6</f>
        <v/>
      </c>
      <c r="R61" s="65">
        <f>Q61+(IF(AND(INDEX(TZ_DSTS,MATCH(P61,TZ_STN,0))&lt;&gt;"",Q61&gt;=INDEX(TZ_DSTS,MATCH(P61,TZ_STN,0)),Q61&lt;INDEX(TZ_DSTE,MATCH(P61,TZ_STN,0))),INDEX(TZ_DST,MATCH(P61,TZ_STN,0)),INDEX(TZ_STD,MATCH(P61,TZ_STN,0))))/24</f>
        <v/>
      </c>
      <c r="S61" s="65">
        <f>Q61-UpliftWindowH/24</f>
        <v/>
      </c>
      <c r="T61" s="66" t="n"/>
      <c r="U61" s="66" t="n"/>
      <c r="V61" s="66" t="n"/>
      <c r="W61" s="67" t="n"/>
      <c r="X61" s="66" t="n"/>
      <c r="Y61" s="66" t="n"/>
      <c r="Z61" s="66" t="n"/>
      <c r="AA61" s="66" t="n"/>
      <c r="AB61" s="66" t="n"/>
      <c r="AC61" s="66" t="n"/>
      <c r="AD61" s="72" t="n"/>
      <c r="AE61" s="66" t="n"/>
      <c r="AF61" s="67">
        <f>IF(AND(ISNUMBER(X61),ISNUMBER(Y61)),Y61-X61,"")</f>
        <v/>
      </c>
      <c r="AG61" s="68">
        <f>IF(ISNUMBER(AD61),AD61-(IF(AND(INDEX(TZ_DSTS,MATCH(P61,TZ_STN,0))&lt;&gt;"",(AD61-INDEX(TZ_STD,MATCH(P61,TZ_STN,0))/24)&gt;=INDEX(TZ_DSTS,MATCH(P61,TZ_STN,0)),(AD61-INDEX(TZ_STD,MATCH(P61,TZ_STN,0))/24)&lt;INDEX(TZ_DSTE,MATCH(P61,TZ_STN,0))),INDEX(TZ_DST,MATCH(P61,TZ_STN,0)),INDEX(TZ_STD,MATCH(P61,TZ_STN,0))))/24,"")</f>
        <v/>
      </c>
      <c r="AH61" s="71">
        <f>IF(N61="N/A – rule","N/A – RULE",IF(TRIM(U61)="N/A",IF(AT61=0,"INVALID – N/A not permitted for this mandatory check",IF(AND(TRIM(AC61)&lt;&gt;"",TRIM(AE61)&lt;&gt;"",TRIM(T61)&lt;&gt;""),"N/A – JUSTIFIED","INVALID – N/A needs justification, PIC and verifier")),IF(OR(TRIM(U61)="Pass",TRIM(U61)="Pass after CA"),IF(NOT(ISNUMBER(AD61)),"INVALID – completion time missing",IF(TRIM(T61)="","INVALID – PIC missing",IF(TRIM(Z61)="","INVALID – evidence missing",IF(TRIM(AE61)="","INVALID – verifier missing",IF(AND(AQ61=1,TRIM(W61)=""),"INVALID – batch ID missing",IF(AND(AR61=1,OR(NOT(ISNUMBER(X61)),NOT(ISNUMBER(Y61)))),"INVALID – expected/actual qty missing",IF(IF(AND(TRIM(U61)="Pass",ISNUMBER(AF61)),IF(AF61&lt;&gt;0,"INVALID – qty variance: use Fail or Pass after CA",""),"")&amp;IF(AND(TRIM(U61)="Pass",AB61="Open"),"INVALID – corrective action still open: use Fail, then Pass after CA","")&amp;IF(AND(TRIM(U61)="Pass after CA",OR(TRIM(AA61)="",AB61&lt;&gt;"Closed")),"INVALID – corrective action not recorded/closed","")&lt;&gt;"",IF(AND(TRIM(U61)="Pass",ISNUMBER(AF61)),IF(AF61&lt;&gt;0,"INVALID – qty variance: use Fail or Pass after CA",""),"")&amp;IF(AND(TRIM(U61)="Pass",AB61="Open"),"INVALID – corrective action still open: use Fail, then Pass after CA","")&amp;IF(AND(TRIM(U61)="Pass after CA",OR(TRIM(AA61)="",AB61&lt;&gt;"Closed")),"INVALID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window"),IF(AG61&gt;Flights!$AA$6,"INVALID – completed after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f>
        <v/>
      </c>
      <c r="AI61" s="67">
        <f>IF(OR(AH61="N/A – RULE",AH61="N/A – JUSTIFIED"),0,1)</f>
        <v/>
      </c>
      <c r="AJ61" s="67">
        <f>IF(LEFT(AH61,8)="COMPLETE",1,0)</f>
        <v/>
      </c>
      <c r="AK61" s="67">
        <f>IF(AND(AI61=1,AJ61=0,AsOfUTC&gt;Q61),1,0)</f>
        <v/>
      </c>
      <c r="AL61" s="67">
        <f>IF(AND(AI61=1,OR(TRIM(U61)="Fail",AB61="Open",AND(ISNUMBER(AF61),AF61&lt;&gt;0,TRIM(U61)&lt;&gt;"Pass after CA"))),1,0)</f>
        <v/>
      </c>
      <c r="AM61" s="67">
        <f>IF(LEFT(AH61,7)="INVALID",1,0)</f>
        <v/>
      </c>
      <c r="AN61" s="67">
        <f>IF(AND(N61="Clarification required",AI61=1,AJ61=0),1,0)</f>
        <v/>
      </c>
      <c r="AO61" s="67">
        <f>IF(AK61=1,SUM(AK$5:AK61),"")</f>
        <v/>
      </c>
      <c r="AP61" s="67">
        <f>IF(AL61=1,SUM(AL$5:AL61),"")</f>
        <v/>
      </c>
      <c r="AQ61" s="67" t="n">
        <v>0</v>
      </c>
      <c r="AR61" s="67" t="n">
        <v>0</v>
      </c>
      <c r="AS61" s="67" t="n">
        <v>0</v>
      </c>
      <c r="AT61" s="67" t="n">
        <v>1</v>
      </c>
    </row>
    <row r="62" ht="40" customHeight="1">
      <c r="A62" s="63" t="inlineStr">
        <is>
          <t>F02-UPL-06</t>
        </is>
      </c>
      <c r="B62" s="63" t="inlineStr">
        <is>
          <t>F02</t>
        </is>
      </c>
      <c r="C62" s="63">
        <f>Flights!$F$6</f>
        <v/>
      </c>
      <c r="D62" s="64">
        <f>Flights!$D$6</f>
        <v/>
      </c>
      <c r="E62" s="63">
        <f>Flights!$G$6&amp;"-"&amp;Flights!$H$6</f>
        <v/>
      </c>
      <c r="F62" s="63">
        <f>Flights!$K$6</f>
        <v/>
      </c>
      <c r="G62" s="63" t="inlineStr">
        <is>
          <t>UPLIFT</t>
        </is>
      </c>
      <c r="H62" s="63" t="inlineStr">
        <is>
          <t>Physical uplift</t>
        </is>
      </c>
      <c r="I62" s="63" t="inlineStr">
        <is>
          <t>F&amp;B Linen</t>
        </is>
      </c>
      <c r="J62" s="63" t="inlineStr">
        <is>
          <t>Napkin - on board</t>
        </is>
      </c>
      <c r="K62" s="73" t="inlineStr">
        <is>
          <t>Available (ticked in reference)</t>
        </is>
      </c>
      <c r="L62" s="73" t="inlineStr">
        <is>
          <t>STD UPLIFT INFORMATION.xlsx &gt; F&amp;B LINEN!F44</t>
        </is>
      </c>
      <c r="M62" s="73" t="inlineStr">
        <is>
          <t>Not stated in reference</t>
        </is>
      </c>
      <c r="N62" s="73" t="inlineStr">
        <is>
          <t>Required</t>
        </is>
      </c>
      <c r="O62" s="73" t="inlineStr"/>
      <c r="P62" s="63" t="inlineStr">
        <is>
          <t>KUL</t>
        </is>
      </c>
      <c r="Q62" s="65">
        <f>Flights!$AF$6</f>
        <v/>
      </c>
      <c r="R62" s="65">
        <f>Q62+(IF(AND(INDEX(TZ_DSTS,MATCH(P62,TZ_STN,0))&lt;&gt;"",Q62&gt;=INDEX(TZ_DSTS,MATCH(P62,TZ_STN,0)),Q62&lt;INDEX(TZ_DSTE,MATCH(P62,TZ_STN,0))),INDEX(TZ_DST,MATCH(P62,TZ_STN,0)),INDEX(TZ_STD,MATCH(P62,TZ_STN,0))))/24</f>
        <v/>
      </c>
      <c r="S62" s="65">
        <f>Q62-UpliftWindowH/24</f>
        <v/>
      </c>
      <c r="T62" s="66" t="n"/>
      <c r="U62" s="66" t="n"/>
      <c r="V62" s="66" t="n"/>
      <c r="W62" s="67" t="n"/>
      <c r="X62" s="66" t="n"/>
      <c r="Y62" s="66" t="n"/>
      <c r="Z62" s="66" t="n"/>
      <c r="AA62" s="66" t="n"/>
      <c r="AB62" s="66" t="n"/>
      <c r="AC62" s="66" t="n"/>
      <c r="AD62" s="72" t="n"/>
      <c r="AE62" s="66" t="n"/>
      <c r="AF62" s="67">
        <f>IF(AND(ISNUMBER(X62),ISNUMBER(Y62)),Y62-X62,"")</f>
        <v/>
      </c>
      <c r="AG62" s="68">
        <f>IF(ISNUMBER(AD62),AD62-(IF(AND(INDEX(TZ_DSTS,MATCH(P62,TZ_STN,0))&lt;&gt;"",(AD62-INDEX(TZ_STD,MATCH(P62,TZ_STN,0))/24)&gt;=INDEX(TZ_DSTS,MATCH(P62,TZ_STN,0)),(AD62-INDEX(TZ_STD,MATCH(P62,TZ_STN,0))/24)&lt;INDEX(TZ_DSTE,MATCH(P62,TZ_STN,0))),INDEX(TZ_DST,MATCH(P62,TZ_STN,0)),INDEX(TZ_STD,MATCH(P62,TZ_STN,0))))/24,"")</f>
        <v/>
      </c>
      <c r="AH62" s="71">
        <f>IF(N62="N/A – rule","N/A – RULE",IF(TRIM(U62)="N/A",IF(AT62=0,"INVALID – N/A not permitted for this mandatory check",IF(AND(TRIM(AC62)&lt;&gt;"",TRIM(AE62)&lt;&gt;"",TRIM(T62)&lt;&gt;""),"N/A – JUSTIFIED","INVALID – N/A needs justification, PIC and verifier")),IF(OR(TRIM(U62)="Pass",TRIM(U62)="Pass after CA"),IF(NOT(ISNUMBER(AD62)),"INVALID – completion time missing",IF(TRIM(T62)="","INVALID – PIC missing",IF(TRIM(Z62)="","INVALID – evidence missing",IF(TRIM(AE62)="","INVALID – verifier missing",IF(AND(AQ62=1,TRIM(W62)=""),"INVALID – batch ID missing",IF(AND(AR62=1,OR(NOT(ISNUMBER(X62)),NOT(ISNUMBER(Y62)))),"INVALID – expected/actual qty missing",IF(IF(AND(TRIM(U62)="Pass",ISNUMBER(AF62)),IF(AF62&lt;&gt;0,"INVALID – qty variance: use Fail or Pass after CA",""),"")&amp;IF(AND(TRIM(U62)="Pass",AB62="Open"),"INVALID – corrective action still open: use Fail, then Pass after CA","")&amp;IF(AND(TRIM(U62)="Pass after CA",OR(TRIM(AA62)="",AB62&lt;&gt;"Closed")),"INVALID – corrective action not recorded/closed","")&lt;&gt;"",IF(AND(TRIM(U62)="Pass",ISNUMBER(AF62)),IF(AF62&lt;&gt;0,"INVALID – qty variance: use Fail or Pass after CA",""),"")&amp;IF(AND(TRIM(U62)="Pass",AB62="Open"),"INVALID – corrective action still open: use Fail, then Pass after CA","")&amp;IF(AND(TRIM(U62)="Pass after CA",OR(TRIM(AA62)="",AB62&lt;&gt;"Closed")),"INVALID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window"),IF(AG62&gt;Flights!$AA$6,"INVALID – completed after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f>
        <v/>
      </c>
      <c r="AI62" s="67">
        <f>IF(OR(AH62="N/A – RULE",AH62="N/A – JUSTIFIED"),0,1)</f>
        <v/>
      </c>
      <c r="AJ62" s="67">
        <f>IF(LEFT(AH62,8)="COMPLETE",1,0)</f>
        <v/>
      </c>
      <c r="AK62" s="67">
        <f>IF(AND(AI62=1,AJ62=0,AsOfUTC&gt;Q62),1,0)</f>
        <v/>
      </c>
      <c r="AL62" s="67">
        <f>IF(AND(AI62=1,OR(TRIM(U62)="Fail",AB62="Open",AND(ISNUMBER(AF62),AF62&lt;&gt;0,TRIM(U62)&lt;&gt;"Pass after CA"))),1,0)</f>
        <v/>
      </c>
      <c r="AM62" s="67">
        <f>IF(LEFT(AH62,7)="INVALID",1,0)</f>
        <v/>
      </c>
      <c r="AN62" s="67">
        <f>IF(AND(N62="Clarification required",AI62=1,AJ62=0),1,0)</f>
        <v/>
      </c>
      <c r="AO62" s="67">
        <f>IF(AK62=1,SUM(AK$5:AK62),"")</f>
        <v/>
      </c>
      <c r="AP62" s="67">
        <f>IF(AL62=1,SUM(AL$5:AL62),"")</f>
        <v/>
      </c>
      <c r="AQ62" s="67" t="n">
        <v>0</v>
      </c>
      <c r="AR62" s="67" t="n">
        <v>0</v>
      </c>
      <c r="AS62" s="67" t="n">
        <v>0</v>
      </c>
      <c r="AT62" s="67" t="n">
        <v>1</v>
      </c>
    </row>
    <row r="63" ht="79" customHeight="1">
      <c r="A63" s="63" t="inlineStr">
        <is>
          <t>F02-UPL-07</t>
        </is>
      </c>
      <c r="B63" s="63" t="inlineStr">
        <is>
          <t>F02</t>
        </is>
      </c>
      <c r="C63" s="63">
        <f>Flights!$F$6</f>
        <v/>
      </c>
      <c r="D63" s="64">
        <f>Flights!$D$6</f>
        <v/>
      </c>
      <c r="E63" s="63">
        <f>Flights!$G$6&amp;"-"&amp;Flights!$H$6</f>
        <v/>
      </c>
      <c r="F63" s="63">
        <f>Flights!$K$6</f>
        <v/>
      </c>
      <c r="G63" s="63" t="inlineStr">
        <is>
          <t>UPLIFT</t>
        </is>
      </c>
      <c r="H63" s="63" t="inlineStr">
        <is>
          <t>Physical uplift</t>
        </is>
      </c>
      <c r="I63" s="63" t="inlineStr">
        <is>
          <t>F&amp;B Linen</t>
        </is>
      </c>
      <c r="J63" s="63" t="inlineStr">
        <is>
          <t>Table cloth - on board</t>
        </is>
      </c>
      <c r="K63" s="73" t="inlineStr">
        <is>
          <t>Available (ticked in reference)</t>
        </is>
      </c>
      <c r="L63" s="73" t="inlineStr">
        <is>
          <t>STD UPLIFT INFORMATION.xlsx &gt; F&amp;B LINEN!G44</t>
        </is>
      </c>
      <c r="M63" s="73" t="inlineStr">
        <is>
          <t>Not stated in reference</t>
        </is>
      </c>
      <c r="N63" s="73" t="inlineStr">
        <is>
          <t>Clarification required</t>
        </is>
      </c>
      <c r="O63" s="73" t="inlineStr">
        <is>
          <t>Reference contradicts itself: matrix shows _/ for this sector but note F&amp;B LINEN!B78:C78 says table cloth is 'Not Applicable for Domestic/Asean &amp; Regional' (ASEAN). Confirm before loading; if not carried, mark N/A with the confirmation as justification.</t>
        </is>
      </c>
      <c r="P63" s="63" t="inlineStr">
        <is>
          <t>KUL</t>
        </is>
      </c>
      <c r="Q63" s="65">
        <f>Flights!$AF$6</f>
        <v/>
      </c>
      <c r="R63" s="65">
        <f>Q63+(IF(AND(INDEX(TZ_DSTS,MATCH(P63,TZ_STN,0))&lt;&gt;"",Q63&gt;=INDEX(TZ_DSTS,MATCH(P63,TZ_STN,0)),Q63&lt;INDEX(TZ_DSTE,MATCH(P63,TZ_STN,0))),INDEX(TZ_DST,MATCH(P63,TZ_STN,0)),INDEX(TZ_STD,MATCH(P63,TZ_STN,0))))/24</f>
        <v/>
      </c>
      <c r="S63" s="65">
        <f>Q63-UpliftWindowH/24</f>
        <v/>
      </c>
      <c r="T63" s="66" t="n"/>
      <c r="U63" s="66" t="n"/>
      <c r="V63" s="66" t="n"/>
      <c r="W63" s="67" t="n"/>
      <c r="X63" s="66" t="n"/>
      <c r="Y63" s="66" t="n"/>
      <c r="Z63" s="66" t="n"/>
      <c r="AA63" s="66" t="n"/>
      <c r="AB63" s="66" t="n"/>
      <c r="AC63" s="66" t="n"/>
      <c r="AD63" s="72" t="n"/>
      <c r="AE63" s="66" t="n"/>
      <c r="AF63" s="67">
        <f>IF(AND(ISNUMBER(X63),ISNUMBER(Y63)),Y63-X63,"")</f>
        <v/>
      </c>
      <c r="AG63" s="68">
        <f>IF(ISNUMBER(AD63),AD63-(IF(AND(INDEX(TZ_DSTS,MATCH(P63,TZ_STN,0))&lt;&gt;"",(AD63-INDEX(TZ_STD,MATCH(P63,TZ_STN,0))/24)&gt;=INDEX(TZ_DSTS,MATCH(P63,TZ_STN,0)),(AD63-INDEX(TZ_STD,MATCH(P63,TZ_STN,0))/24)&lt;INDEX(TZ_DSTE,MATCH(P63,TZ_STN,0))),INDEX(TZ_DST,MATCH(P63,TZ_STN,0)),INDEX(TZ_STD,MATCH(P63,TZ_STN,0))))/24,"")</f>
        <v/>
      </c>
      <c r="AH63" s="71">
        <f>IF(N63="N/A – rule","N/A – RULE",IF(TRIM(U63)="N/A",IF(AT63=0,"INVALID – N/A not permitted for this mandatory check",IF(AND(TRIM(AC63)&lt;&gt;"",TRIM(AE63)&lt;&gt;"",TRIM(T63)&lt;&gt;""),"N/A – JUSTIFIED","INVALID – N/A needs justification, PIC and verifier")),IF(OR(TRIM(U63)="Pass",TRIM(U63)="Pass after CA"),IF(NOT(ISNUMBER(AD63)),"INVALID – completion time missing",IF(TRIM(T63)="","INVALID – PIC missing",IF(TRIM(Z63)="","INVALID – evidence missing",IF(TRIM(AE63)="","INVALID – verifier missing",IF(AND(AQ63=1,TRIM(W63)=""),"INVALID – batch ID missing",IF(AND(AR63=1,OR(NOT(ISNUMBER(X63)),NOT(ISNUMBER(Y63)))),"INVALID – expected/actual qty missing",IF(IF(AND(TRIM(U63)="Pass",ISNUMBER(AF63)),IF(AF63&lt;&gt;0,"INVALID – qty variance: use Fail or Pass after CA",""),"")&amp;IF(AND(TRIM(U63)="Pass",AB63="Open"),"INVALID – corrective action still open: use Fail, then Pass after CA","")&amp;IF(AND(TRIM(U63)="Pass after CA",OR(TRIM(AA63)="",AB63&lt;&gt;"Closed")),"INVALID – corrective action not recorded/closed","")&lt;&gt;"",IF(AND(TRIM(U63)="Pass",ISNUMBER(AF63)),IF(AF63&lt;&gt;0,"INVALID – qty variance: use Fail or Pass after CA",""),"")&amp;IF(AND(TRIM(U63)="Pass",AB63="Open"),"INVALID – corrective action still open: use Fail, then Pass after CA","")&amp;IF(AND(TRIM(U63)="Pass after CA",OR(TRIM(AA63)="",AB63&lt;&gt;"Closed")),"INVALID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window"),IF(AG63&gt;Flights!$AA$6,"INVALID – completed after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f>
        <v/>
      </c>
      <c r="AI63" s="67">
        <f>IF(OR(AH63="N/A – RULE",AH63="N/A – JUSTIFIED"),0,1)</f>
        <v/>
      </c>
      <c r="AJ63" s="67">
        <f>IF(LEFT(AH63,8)="COMPLETE",1,0)</f>
        <v/>
      </c>
      <c r="AK63" s="67">
        <f>IF(AND(AI63=1,AJ63=0,AsOfUTC&gt;Q63),1,0)</f>
        <v/>
      </c>
      <c r="AL63" s="67">
        <f>IF(AND(AI63=1,OR(TRIM(U63)="Fail",AB63="Open",AND(ISNUMBER(AF63),AF63&lt;&gt;0,TRIM(U63)&lt;&gt;"Pass after CA"))),1,0)</f>
        <v/>
      </c>
      <c r="AM63" s="67">
        <f>IF(LEFT(AH63,7)="INVALID",1,0)</f>
        <v/>
      </c>
      <c r="AN63" s="67">
        <f>IF(AND(N63="Clarification required",AI63=1,AJ63=0),1,0)</f>
        <v/>
      </c>
      <c r="AO63" s="67">
        <f>IF(AK63=1,SUM(AK$5:AK63),"")</f>
        <v/>
      </c>
      <c r="AP63" s="67">
        <f>IF(AL63=1,SUM(AL$5:AL63),"")</f>
        <v/>
      </c>
      <c r="AQ63" s="67" t="n">
        <v>0</v>
      </c>
      <c r="AR63" s="67" t="n">
        <v>0</v>
      </c>
      <c r="AS63" s="67" t="n">
        <v>0</v>
      </c>
      <c r="AT63" s="67" t="n">
        <v>1</v>
      </c>
    </row>
    <row r="64" ht="79" customHeight="1">
      <c r="A64" s="63" t="inlineStr">
        <is>
          <t>F02-UPL-08</t>
        </is>
      </c>
      <c r="B64" s="63" t="inlineStr">
        <is>
          <t>F02</t>
        </is>
      </c>
      <c r="C64" s="63">
        <f>Flights!$F$6</f>
        <v/>
      </c>
      <c r="D64" s="64">
        <f>Flights!$D$6</f>
        <v/>
      </c>
      <c r="E64" s="63">
        <f>Flights!$G$6&amp;"-"&amp;Flights!$H$6</f>
        <v/>
      </c>
      <c r="F64" s="63">
        <f>Flights!$K$6</f>
        <v/>
      </c>
      <c r="G64" s="63" t="inlineStr">
        <is>
          <t>UPLIFT</t>
        </is>
      </c>
      <c r="H64" s="63" t="inlineStr">
        <is>
          <t>Physical uplift</t>
        </is>
      </c>
      <c r="I64" s="63" t="inlineStr">
        <is>
          <t>F&amp;B Linen</t>
        </is>
      </c>
      <c r="J64" s="63" t="inlineStr">
        <is>
          <t>Bread linen (using table cloth) - on board</t>
        </is>
      </c>
      <c r="K64" s="73" t="inlineStr">
        <is>
          <t>Available (ticked in reference)</t>
        </is>
      </c>
      <c r="L64" s="73" t="inlineStr">
        <is>
          <t>STD UPLIFT INFORMATION.xlsx &gt; F&amp;B LINEN!H44</t>
        </is>
      </c>
      <c r="M64" s="73" t="inlineStr">
        <is>
          <t>Not stated in reference</t>
        </is>
      </c>
      <c r="N64" s="73" t="inlineStr">
        <is>
          <t>Clarification required</t>
        </is>
      </c>
      <c r="O64" s="73" t="inlineStr">
        <is>
          <t>Reference contradicts itself: matrix shows _/ for this sector but note F&amp;B LINEN!B78:C78 says table cloth is 'Not Applicable for Domestic/Asean &amp; Regional' (ASEAN). Confirm before loading; if not carried, mark N/A with the confirmation as justification.</t>
        </is>
      </c>
      <c r="P64" s="63" t="inlineStr">
        <is>
          <t>KUL</t>
        </is>
      </c>
      <c r="Q64" s="65">
        <f>Flights!$AF$6</f>
        <v/>
      </c>
      <c r="R64" s="65">
        <f>Q64+(IF(AND(INDEX(TZ_DSTS,MATCH(P64,TZ_STN,0))&lt;&gt;"",Q64&gt;=INDEX(TZ_DSTS,MATCH(P64,TZ_STN,0)),Q64&lt;INDEX(TZ_DSTE,MATCH(P64,TZ_STN,0))),INDEX(TZ_DST,MATCH(P64,TZ_STN,0)),INDEX(TZ_STD,MATCH(P64,TZ_STN,0))))/24</f>
        <v/>
      </c>
      <c r="S64" s="65">
        <f>Q64-UpliftWindowH/24</f>
        <v/>
      </c>
      <c r="T64" s="66" t="n"/>
      <c r="U64" s="66" t="n"/>
      <c r="V64" s="66" t="n"/>
      <c r="W64" s="67" t="n"/>
      <c r="X64" s="66" t="n"/>
      <c r="Y64" s="66" t="n"/>
      <c r="Z64" s="66" t="n"/>
      <c r="AA64" s="66" t="n"/>
      <c r="AB64" s="66" t="n"/>
      <c r="AC64" s="66" t="n"/>
      <c r="AD64" s="72" t="n"/>
      <c r="AE64" s="66" t="n"/>
      <c r="AF64" s="67">
        <f>IF(AND(ISNUMBER(X64),ISNUMBER(Y64)),Y64-X64,"")</f>
        <v/>
      </c>
      <c r="AG64" s="68">
        <f>IF(ISNUMBER(AD64),AD64-(IF(AND(INDEX(TZ_DSTS,MATCH(P64,TZ_STN,0))&lt;&gt;"",(AD64-INDEX(TZ_STD,MATCH(P64,TZ_STN,0))/24)&gt;=INDEX(TZ_DSTS,MATCH(P64,TZ_STN,0)),(AD64-INDEX(TZ_STD,MATCH(P64,TZ_STN,0))/24)&lt;INDEX(TZ_DSTE,MATCH(P64,TZ_STN,0))),INDEX(TZ_DST,MATCH(P64,TZ_STN,0)),INDEX(TZ_STD,MATCH(P64,TZ_STN,0))))/24,"")</f>
        <v/>
      </c>
      <c r="AH64" s="71">
        <f>IF(N64="N/A – rule","N/A – RULE",IF(TRIM(U64)="N/A",IF(AT64=0,"INVALID – N/A not permitted for this mandatory check",IF(AND(TRIM(AC64)&lt;&gt;"",TRIM(AE64)&lt;&gt;"",TRIM(T64)&lt;&gt;""),"N/A – JUSTIFIED","INVALID – N/A needs justification, PIC and verifier")),IF(OR(TRIM(U64)="Pass",TRIM(U64)="Pass after CA"),IF(NOT(ISNUMBER(AD64)),"INVALID – completion time missing",IF(TRIM(T64)="","INVALID – PIC missing",IF(TRIM(Z64)="","INVALID – evidence missing",IF(TRIM(AE64)="","INVALID – verifier missing",IF(AND(AQ64=1,TRIM(W64)=""),"INVALID – batch ID missing",IF(AND(AR64=1,OR(NOT(ISNUMBER(X64)),NOT(ISNUMBER(Y64)))),"INVALID – expected/actual qty missing",IF(IF(AND(TRIM(U64)="Pass",ISNUMBER(AF64)),IF(AF64&lt;&gt;0,"INVALID – qty variance: use Fail or Pass after CA",""),"")&amp;IF(AND(TRIM(U64)="Pass",AB64="Open"),"INVALID – corrective action still open: use Fail, then Pass after CA","")&amp;IF(AND(TRIM(U64)="Pass after CA",OR(TRIM(AA64)="",AB64&lt;&gt;"Closed")),"INVALID – corrective action not recorded/closed","")&lt;&gt;"",IF(AND(TRIM(U64)="Pass",ISNUMBER(AF64)),IF(AF64&lt;&gt;0,"INVALID – qty variance: use Fail or Pass after CA",""),"")&amp;IF(AND(TRIM(U64)="Pass",AB64="Open"),"INVALID – corrective action still open: use Fail, then Pass after CA","")&amp;IF(AND(TRIM(U64)="Pass after CA",OR(TRIM(AA64)="",AB64&lt;&gt;"Closed")),"INVALID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window"),IF(AG64&gt;Flights!$AA$6,"INVALID – completed after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f>
        <v/>
      </c>
      <c r="AI64" s="67">
        <f>IF(OR(AH64="N/A – RULE",AH64="N/A – JUSTIFIED"),0,1)</f>
        <v/>
      </c>
      <c r="AJ64" s="67">
        <f>IF(LEFT(AH64,8)="COMPLETE",1,0)</f>
        <v/>
      </c>
      <c r="AK64" s="67">
        <f>IF(AND(AI64=1,AJ64=0,AsOfUTC&gt;Q64),1,0)</f>
        <v/>
      </c>
      <c r="AL64" s="67">
        <f>IF(AND(AI64=1,OR(TRIM(U64)="Fail",AB64="Open",AND(ISNUMBER(AF64),AF64&lt;&gt;0,TRIM(U64)&lt;&gt;"Pass after CA"))),1,0)</f>
        <v/>
      </c>
      <c r="AM64" s="67">
        <f>IF(LEFT(AH64,7)="INVALID",1,0)</f>
        <v/>
      </c>
      <c r="AN64" s="67">
        <f>IF(AND(N64="Clarification required",AI64=1,AJ64=0),1,0)</f>
        <v/>
      </c>
      <c r="AO64" s="67">
        <f>IF(AK64=1,SUM(AK$5:AK64),"")</f>
        <v/>
      </c>
      <c r="AP64" s="67">
        <f>IF(AL64=1,SUM(AL$5:AL64),"")</f>
        <v/>
      </c>
      <c r="AQ64" s="67" t="n">
        <v>0</v>
      </c>
      <c r="AR64" s="67" t="n">
        <v>0</v>
      </c>
      <c r="AS64" s="67" t="n">
        <v>0</v>
      </c>
      <c r="AT64" s="67" t="n">
        <v>1</v>
      </c>
    </row>
    <row r="65" ht="40" customHeight="1">
      <c r="A65" s="63" t="inlineStr">
        <is>
          <t>F02-UPL-09</t>
        </is>
      </c>
      <c r="B65" s="63" t="inlineStr">
        <is>
          <t>F02</t>
        </is>
      </c>
      <c r="C65" s="63">
        <f>Flights!$F$6</f>
        <v/>
      </c>
      <c r="D65" s="64">
        <f>Flights!$D$6</f>
        <v/>
      </c>
      <c r="E65" s="63">
        <f>Flights!$G$6&amp;"-"&amp;Flights!$H$6</f>
        <v/>
      </c>
      <c r="F65" s="63">
        <f>Flights!$K$6</f>
        <v/>
      </c>
      <c r="G65" s="63" t="inlineStr">
        <is>
          <t>UPLIFT</t>
        </is>
      </c>
      <c r="H65" s="63" t="inlineStr">
        <is>
          <t>Physical uplift</t>
        </is>
      </c>
      <c r="I65" s="63" t="inlineStr">
        <is>
          <t>F&amp;B Linen</t>
        </is>
      </c>
      <c r="J65" s="63" t="inlineStr">
        <is>
          <t>Trolley cloth - on board</t>
        </is>
      </c>
      <c r="K65" s="73" t="inlineStr">
        <is>
          <t>Narrow body: Top only</t>
        </is>
      </c>
      <c r="L65" s="73" t="inlineStr">
        <is>
          <t>STD UPLIFT INFORMATION.xlsx &gt; F&amp;B LINEN!I44</t>
        </is>
      </c>
      <c r="M65" s="73" t="inlineStr">
        <is>
          <t>Not stated in reference</t>
        </is>
      </c>
      <c r="N65" s="73" t="inlineStr">
        <is>
          <t>Required</t>
        </is>
      </c>
      <c r="O65" s="73" t="inlineStr">
        <is>
          <t>Per note F&amp;B LINEN!B79:C80.</t>
        </is>
      </c>
      <c r="P65" s="63" t="inlineStr">
        <is>
          <t>KUL</t>
        </is>
      </c>
      <c r="Q65" s="65">
        <f>Flights!$AF$6</f>
        <v/>
      </c>
      <c r="R65" s="65">
        <f>Q65+(IF(AND(INDEX(TZ_DSTS,MATCH(P65,TZ_STN,0))&lt;&gt;"",Q65&gt;=INDEX(TZ_DSTS,MATCH(P65,TZ_STN,0)),Q65&lt;INDEX(TZ_DSTE,MATCH(P65,TZ_STN,0))),INDEX(TZ_DST,MATCH(P65,TZ_STN,0)),INDEX(TZ_STD,MATCH(P65,TZ_STN,0))))/24</f>
        <v/>
      </c>
      <c r="S65" s="65">
        <f>Q65-UpliftWindowH/24</f>
        <v/>
      </c>
      <c r="T65" s="66" t="n"/>
      <c r="U65" s="66" t="n"/>
      <c r="V65" s="66" t="n"/>
      <c r="W65" s="67" t="n"/>
      <c r="X65" s="66" t="n"/>
      <c r="Y65" s="66" t="n"/>
      <c r="Z65" s="66" t="n"/>
      <c r="AA65" s="66" t="n"/>
      <c r="AB65" s="66" t="n"/>
      <c r="AC65" s="66" t="n"/>
      <c r="AD65" s="72" t="n"/>
      <c r="AE65" s="66" t="n"/>
      <c r="AF65" s="67">
        <f>IF(AND(ISNUMBER(X65),ISNUMBER(Y65)),Y65-X65,"")</f>
        <v/>
      </c>
      <c r="AG65" s="68">
        <f>IF(ISNUMBER(AD65),AD65-(IF(AND(INDEX(TZ_DSTS,MATCH(P65,TZ_STN,0))&lt;&gt;"",(AD65-INDEX(TZ_STD,MATCH(P65,TZ_STN,0))/24)&gt;=INDEX(TZ_DSTS,MATCH(P65,TZ_STN,0)),(AD65-INDEX(TZ_STD,MATCH(P65,TZ_STN,0))/24)&lt;INDEX(TZ_DSTE,MATCH(P65,TZ_STN,0))),INDEX(TZ_DST,MATCH(P65,TZ_STN,0)),INDEX(TZ_STD,MATCH(P65,TZ_STN,0))))/24,"")</f>
        <v/>
      </c>
      <c r="AH65" s="71">
        <f>IF(N65="N/A – rule","N/A – RULE",IF(TRIM(U65)="N/A",IF(AT65=0,"INVALID – N/A not permitted for this mandatory check",IF(AND(TRIM(AC65)&lt;&gt;"",TRIM(AE65)&lt;&gt;"",TRIM(T65)&lt;&gt;""),"N/A – JUSTIFIED","INVALID – N/A needs justification, PIC and verifier")),IF(OR(TRIM(U65)="Pass",TRIM(U65)="Pass after CA"),IF(NOT(ISNUMBER(AD65)),"INVALID – completion time missing",IF(TRIM(T65)="","INVALID – PIC missing",IF(TRIM(Z65)="","INVALID – evidence missing",IF(TRIM(AE65)="","INVALID – verifier missing",IF(AND(AQ65=1,TRIM(W65)=""),"INVALID – batch ID missing",IF(AND(AR65=1,OR(NOT(ISNUMBER(X65)),NOT(ISNUMBER(Y65)))),"INVALID – expected/actual qty missing",IF(IF(AND(TRIM(U65)="Pass",ISNUMBER(AF65)),IF(AF65&lt;&gt;0,"INVALID – qty variance: use Fail or Pass after CA",""),"")&amp;IF(AND(TRIM(U65)="Pass",AB65="Open"),"INVALID – corrective action still open: use Fail, then Pass after CA","")&amp;IF(AND(TRIM(U65)="Pass after CA",OR(TRIM(AA65)="",AB65&lt;&gt;"Closed")),"INVALID – corrective action not recorded/closed","")&lt;&gt;"",IF(AND(TRIM(U65)="Pass",ISNUMBER(AF65)),IF(AF65&lt;&gt;0,"INVALID – qty variance: use Fail or Pass after CA",""),"")&amp;IF(AND(TRIM(U65)="Pass",AB65="Open"),"INVALID – corrective action still open: use Fail, then Pass after CA","")&amp;IF(AND(TRIM(U65)="Pass after CA",OR(TRIM(AA65)="",AB65&lt;&gt;"Closed")),"INVALID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window"),IF(AG65&gt;Flights!$AA$6,"INVALID – completed after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f>
        <v/>
      </c>
      <c r="AI65" s="67">
        <f>IF(OR(AH65="N/A – RULE",AH65="N/A – JUSTIFIED"),0,1)</f>
        <v/>
      </c>
      <c r="AJ65" s="67">
        <f>IF(LEFT(AH65,8)="COMPLETE",1,0)</f>
        <v/>
      </c>
      <c r="AK65" s="67">
        <f>IF(AND(AI65=1,AJ65=0,AsOfUTC&gt;Q65),1,0)</f>
        <v/>
      </c>
      <c r="AL65" s="67">
        <f>IF(AND(AI65=1,OR(TRIM(U65)="Fail",AB65="Open",AND(ISNUMBER(AF65),AF65&lt;&gt;0,TRIM(U65)&lt;&gt;"Pass after CA"))),1,0)</f>
        <v/>
      </c>
      <c r="AM65" s="67">
        <f>IF(LEFT(AH65,7)="INVALID",1,0)</f>
        <v/>
      </c>
      <c r="AN65" s="67">
        <f>IF(AND(N65="Clarification required",AI65=1,AJ65=0),1,0)</f>
        <v/>
      </c>
      <c r="AO65" s="67">
        <f>IF(AK65=1,SUM(AK$5:AK65),"")</f>
        <v/>
      </c>
      <c r="AP65" s="67">
        <f>IF(AL65=1,SUM(AL$5:AL65),"")</f>
        <v/>
      </c>
      <c r="AQ65" s="67" t="n">
        <v>0</v>
      </c>
      <c r="AR65" s="67" t="n">
        <v>0</v>
      </c>
      <c r="AS65" s="67" t="n">
        <v>0</v>
      </c>
      <c r="AT65" s="67" t="n">
        <v>1</v>
      </c>
    </row>
    <row r="66" ht="40" customHeight="1">
      <c r="A66" s="63" t="inlineStr">
        <is>
          <t>F02-UPL-10</t>
        </is>
      </c>
      <c r="B66" s="63" t="inlineStr">
        <is>
          <t>F02</t>
        </is>
      </c>
      <c r="C66" s="63">
        <f>Flights!$F$6</f>
        <v/>
      </c>
      <c r="D66" s="64">
        <f>Flights!$D$6</f>
        <v/>
      </c>
      <c r="E66" s="63">
        <f>Flights!$G$6&amp;"-"&amp;Flights!$H$6</f>
        <v/>
      </c>
      <c r="F66" s="63">
        <f>Flights!$K$6</f>
        <v/>
      </c>
      <c r="G66" s="63" t="inlineStr">
        <is>
          <t>UPLIFT</t>
        </is>
      </c>
      <c r="H66" s="63" t="inlineStr">
        <is>
          <t>Physical uplift</t>
        </is>
      </c>
      <c r="I66" s="63" t="inlineStr">
        <is>
          <t>F&amp;B Linen</t>
        </is>
      </c>
      <c r="J66" s="63" t="inlineStr">
        <is>
          <t>Linen bag - on board</t>
        </is>
      </c>
      <c r="K66" s="73" t="inlineStr">
        <is>
          <t>Available (ticked in reference)</t>
        </is>
      </c>
      <c r="L66" s="73" t="inlineStr">
        <is>
          <t>STD UPLIFT INFORMATION.xlsx &gt; F&amp;B LINEN!J44</t>
        </is>
      </c>
      <c r="M66" s="73" t="inlineStr">
        <is>
          <t>Not stated in reference</t>
        </is>
      </c>
      <c r="N66" s="73" t="inlineStr">
        <is>
          <t>Required</t>
        </is>
      </c>
      <c r="O66" s="73" t="inlineStr"/>
      <c r="P66" s="63" t="inlineStr">
        <is>
          <t>KUL</t>
        </is>
      </c>
      <c r="Q66" s="65">
        <f>Flights!$AF$6</f>
        <v/>
      </c>
      <c r="R66" s="65">
        <f>Q66+(IF(AND(INDEX(TZ_DSTS,MATCH(P66,TZ_STN,0))&lt;&gt;"",Q66&gt;=INDEX(TZ_DSTS,MATCH(P66,TZ_STN,0)),Q66&lt;INDEX(TZ_DSTE,MATCH(P66,TZ_STN,0))),INDEX(TZ_DST,MATCH(P66,TZ_STN,0)),INDEX(TZ_STD,MATCH(P66,TZ_STN,0))))/24</f>
        <v/>
      </c>
      <c r="S66" s="65">
        <f>Q66-UpliftWindowH/24</f>
        <v/>
      </c>
      <c r="T66" s="66" t="n"/>
      <c r="U66" s="66" t="n"/>
      <c r="V66" s="66" t="n"/>
      <c r="W66" s="67" t="n"/>
      <c r="X66" s="66" t="n"/>
      <c r="Y66" s="66" t="n"/>
      <c r="Z66" s="66" t="n"/>
      <c r="AA66" s="66" t="n"/>
      <c r="AB66" s="66" t="n"/>
      <c r="AC66" s="66" t="n"/>
      <c r="AD66" s="72" t="n"/>
      <c r="AE66" s="66" t="n"/>
      <c r="AF66" s="67">
        <f>IF(AND(ISNUMBER(X66),ISNUMBER(Y66)),Y66-X66,"")</f>
        <v/>
      </c>
      <c r="AG66" s="68">
        <f>IF(ISNUMBER(AD66),AD66-(IF(AND(INDEX(TZ_DSTS,MATCH(P66,TZ_STN,0))&lt;&gt;"",(AD66-INDEX(TZ_STD,MATCH(P66,TZ_STN,0))/24)&gt;=INDEX(TZ_DSTS,MATCH(P66,TZ_STN,0)),(AD66-INDEX(TZ_STD,MATCH(P66,TZ_STN,0))/24)&lt;INDEX(TZ_DSTE,MATCH(P66,TZ_STN,0))),INDEX(TZ_DST,MATCH(P66,TZ_STN,0)),INDEX(TZ_STD,MATCH(P66,TZ_STN,0))))/24,"")</f>
        <v/>
      </c>
      <c r="AH66" s="71">
        <f>IF(N66="N/A – rule","N/A – RULE",IF(TRIM(U66)="N/A",IF(AT66=0,"INVALID – N/A not permitted for this mandatory check",IF(AND(TRIM(AC66)&lt;&gt;"",TRIM(AE66)&lt;&gt;"",TRIM(T66)&lt;&gt;""),"N/A – JUSTIFIED","INVALID – N/A needs justification, PIC and verifier")),IF(OR(TRIM(U66)="Pass",TRIM(U66)="Pass after CA"),IF(NOT(ISNUMBER(AD66)),"INVALID – completion time missing",IF(TRIM(T66)="","INVALID – PIC missing",IF(TRIM(Z66)="","INVALID – evidence missing",IF(TRIM(AE66)="","INVALID – verifier missing",IF(AND(AQ66=1,TRIM(W66)=""),"INVALID – batch ID missing",IF(AND(AR66=1,OR(NOT(ISNUMBER(X66)),NOT(ISNUMBER(Y66)))),"INVALID – expected/actual qty missing",IF(IF(AND(TRIM(U66)="Pass",ISNUMBER(AF66)),IF(AF66&lt;&gt;0,"INVALID – qty variance: use Fail or Pass after CA",""),"")&amp;IF(AND(TRIM(U66)="Pass",AB66="Open"),"INVALID – corrective action still open: use Fail, then Pass after CA","")&amp;IF(AND(TRIM(U66)="Pass after CA",OR(TRIM(AA66)="",AB66&lt;&gt;"Closed")),"INVALID – corrective action not recorded/closed","")&lt;&gt;"",IF(AND(TRIM(U66)="Pass",ISNUMBER(AF66)),IF(AF66&lt;&gt;0,"INVALID – qty variance: use Fail or Pass after CA",""),"")&amp;IF(AND(TRIM(U66)="Pass",AB66="Open"),"INVALID – corrective action still open: use Fail, then Pass after CA","")&amp;IF(AND(TRIM(U66)="Pass after CA",OR(TRIM(AA66)="",AB66&lt;&gt;"Closed")),"INVALID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window"),IF(AG66&gt;Flights!$AA$6,"INVALID – completed after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f>
        <v/>
      </c>
      <c r="AI66" s="67">
        <f>IF(OR(AH66="N/A – RULE",AH66="N/A – JUSTIFIED"),0,1)</f>
        <v/>
      </c>
      <c r="AJ66" s="67">
        <f>IF(LEFT(AH66,8)="COMPLETE",1,0)</f>
        <v/>
      </c>
      <c r="AK66" s="67">
        <f>IF(AND(AI66=1,AJ66=0,AsOfUTC&gt;Q66),1,0)</f>
        <v/>
      </c>
      <c r="AL66" s="67">
        <f>IF(AND(AI66=1,OR(TRIM(U66)="Fail",AB66="Open",AND(ISNUMBER(AF66),AF66&lt;&gt;0,TRIM(U66)&lt;&gt;"Pass after CA"))),1,0)</f>
        <v/>
      </c>
      <c r="AM66" s="67">
        <f>IF(LEFT(AH66,7)="INVALID",1,0)</f>
        <v/>
      </c>
      <c r="AN66" s="67">
        <f>IF(AND(N66="Clarification required",AI66=1,AJ66=0),1,0)</f>
        <v/>
      </c>
      <c r="AO66" s="67">
        <f>IF(AK66=1,SUM(AK$5:AK66),"")</f>
        <v/>
      </c>
      <c r="AP66" s="67">
        <f>IF(AL66=1,SUM(AL$5:AL66),"")</f>
        <v/>
      </c>
      <c r="AQ66" s="67" t="n">
        <v>0</v>
      </c>
      <c r="AR66" s="67" t="n">
        <v>0</v>
      </c>
      <c r="AS66" s="67" t="n">
        <v>0</v>
      </c>
      <c r="AT66" s="67" t="n">
        <v>1</v>
      </c>
    </row>
    <row r="67" ht="40" customHeight="1">
      <c r="A67" s="63" t="inlineStr">
        <is>
          <t>F02-UPL-11</t>
        </is>
      </c>
      <c r="B67" s="63" t="inlineStr">
        <is>
          <t>F02</t>
        </is>
      </c>
      <c r="C67" s="63">
        <f>Flights!$F$6</f>
        <v/>
      </c>
      <c r="D67" s="64">
        <f>Flights!$D$6</f>
        <v/>
      </c>
      <c r="E67" s="63">
        <f>Flights!$G$6&amp;"-"&amp;Flights!$H$6</f>
        <v/>
      </c>
      <c r="F67" s="63">
        <f>Flights!$K$6</f>
        <v/>
      </c>
      <c r="G67" s="63" t="inlineStr">
        <is>
          <t>UPLIFT</t>
        </is>
      </c>
      <c r="H67" s="63" t="inlineStr">
        <is>
          <t>Physical uplift</t>
        </is>
      </c>
      <c r="I67" s="63" t="inlineStr">
        <is>
          <t>Seat Linen</t>
        </is>
      </c>
      <c r="J67" s="63" t="inlineStr">
        <is>
          <t>Seat pillow (BS &amp; BC) - on board</t>
        </is>
      </c>
      <c r="K67" s="73" t="inlineStr">
        <is>
          <t>Available 100% (ticked in reference)</t>
        </is>
      </c>
      <c r="L67" s="73" t="inlineStr">
        <is>
          <t>STD UPLIFT INFORMATION.xlsx &gt; SEAT LINEN!E42</t>
        </is>
      </c>
      <c r="M67" s="73" t="inlineStr">
        <is>
          <t>Not stated in reference</t>
        </is>
      </c>
      <c r="N67" s="73" t="inlineStr">
        <is>
          <t>Required</t>
        </is>
      </c>
      <c r="O67" s="73" t="inlineStr"/>
      <c r="P67" s="63" t="inlineStr">
        <is>
          <t>KUL</t>
        </is>
      </c>
      <c r="Q67" s="65">
        <f>Flights!$AF$6</f>
        <v/>
      </c>
      <c r="R67" s="65">
        <f>Q67+(IF(AND(INDEX(TZ_DSTS,MATCH(P67,TZ_STN,0))&lt;&gt;"",Q67&gt;=INDEX(TZ_DSTS,MATCH(P67,TZ_STN,0)),Q67&lt;INDEX(TZ_DSTE,MATCH(P67,TZ_STN,0))),INDEX(TZ_DST,MATCH(P67,TZ_STN,0)),INDEX(TZ_STD,MATCH(P67,TZ_STN,0))))/24</f>
        <v/>
      </c>
      <c r="S67" s="65">
        <f>Q67-UpliftWindowH/24</f>
        <v/>
      </c>
      <c r="T67" s="66" t="n"/>
      <c r="U67" s="66" t="n"/>
      <c r="V67" s="66" t="n"/>
      <c r="W67" s="67" t="n"/>
      <c r="X67" s="66" t="n"/>
      <c r="Y67" s="66" t="n"/>
      <c r="Z67" s="66" t="n"/>
      <c r="AA67" s="66" t="n"/>
      <c r="AB67" s="66" t="n"/>
      <c r="AC67" s="66" t="n"/>
      <c r="AD67" s="72" t="n"/>
      <c r="AE67" s="66" t="n"/>
      <c r="AF67" s="67">
        <f>IF(AND(ISNUMBER(X67),ISNUMBER(Y67)),Y67-X67,"")</f>
        <v/>
      </c>
      <c r="AG67" s="68">
        <f>IF(ISNUMBER(AD67),AD67-(IF(AND(INDEX(TZ_DSTS,MATCH(P67,TZ_STN,0))&lt;&gt;"",(AD67-INDEX(TZ_STD,MATCH(P67,TZ_STN,0))/24)&gt;=INDEX(TZ_DSTS,MATCH(P67,TZ_STN,0)),(AD67-INDEX(TZ_STD,MATCH(P67,TZ_STN,0))/24)&lt;INDEX(TZ_DSTE,MATCH(P67,TZ_STN,0))),INDEX(TZ_DST,MATCH(P67,TZ_STN,0)),INDEX(TZ_STD,MATCH(P67,TZ_STN,0))))/24,"")</f>
        <v/>
      </c>
      <c r="AH67" s="71">
        <f>IF(N67="N/A – rule","N/A – RULE",IF(TRIM(U67)="N/A",IF(AT67=0,"INVALID – N/A not permitted for this mandatory check",IF(AND(TRIM(AC67)&lt;&gt;"",TRIM(AE67)&lt;&gt;"",TRIM(T67)&lt;&gt;""),"N/A – JUSTIFIED","INVALID – N/A needs justification, PIC and verifier")),IF(OR(TRIM(U67)="Pass",TRIM(U67)="Pass after CA"),IF(NOT(ISNUMBER(AD67)),"INVALID – completion time missing",IF(TRIM(T67)="","INVALID – PIC missing",IF(TRIM(Z67)="","INVALID – evidence missing",IF(TRIM(AE67)="","INVALID – verifier missing",IF(AND(AQ67=1,TRIM(W67)=""),"INVALID – batch ID missing",IF(AND(AR67=1,OR(NOT(ISNUMBER(X67)),NOT(ISNUMBER(Y67)))),"INVALID – expected/actual qty missing",IF(IF(AND(TRIM(U67)="Pass",ISNUMBER(AF67)),IF(AF67&lt;&gt;0,"INVALID – qty variance: use Fail or Pass after CA",""),"")&amp;IF(AND(TRIM(U67)="Pass",AB67="Open"),"INVALID – corrective action still open: use Fail, then Pass after CA","")&amp;IF(AND(TRIM(U67)="Pass after CA",OR(TRIM(AA67)="",AB67&lt;&gt;"Closed")),"INVALID – corrective action not recorded/closed","")&lt;&gt;"",IF(AND(TRIM(U67)="Pass",ISNUMBER(AF67)),IF(AF67&lt;&gt;0,"INVALID – qty variance: use Fail or Pass after CA",""),"")&amp;IF(AND(TRIM(U67)="Pass",AB67="Open"),"INVALID – corrective action still open: use Fail, then Pass after CA","")&amp;IF(AND(TRIM(U67)="Pass after CA",OR(TRIM(AA67)="",AB67&lt;&gt;"Closed")),"INVALID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window"),IF(AG67&gt;Flights!$AA$6,"INVALID – completed after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f>
        <v/>
      </c>
      <c r="AI67" s="67">
        <f>IF(OR(AH67="N/A – RULE",AH67="N/A – JUSTIFIED"),0,1)</f>
        <v/>
      </c>
      <c r="AJ67" s="67">
        <f>IF(LEFT(AH67,8)="COMPLETE",1,0)</f>
        <v/>
      </c>
      <c r="AK67" s="67">
        <f>IF(AND(AI67=1,AJ67=0,AsOfUTC&gt;Q67),1,0)</f>
        <v/>
      </c>
      <c r="AL67" s="67">
        <f>IF(AND(AI67=1,OR(TRIM(U67)="Fail",AB67="Open",AND(ISNUMBER(AF67),AF67&lt;&gt;0,TRIM(U67)&lt;&gt;"Pass after CA"))),1,0)</f>
        <v/>
      </c>
      <c r="AM67" s="67">
        <f>IF(LEFT(AH67,7)="INVALID",1,0)</f>
        <v/>
      </c>
      <c r="AN67" s="67">
        <f>IF(AND(N67="Clarification required",AI67=1,AJ67=0),1,0)</f>
        <v/>
      </c>
      <c r="AO67" s="67">
        <f>IF(AK67=1,SUM(AK$5:AK67),"")</f>
        <v/>
      </c>
      <c r="AP67" s="67">
        <f>IF(AL67=1,SUM(AL$5:AL67),"")</f>
        <v/>
      </c>
      <c r="AQ67" s="67" t="n">
        <v>0</v>
      </c>
      <c r="AR67" s="67" t="n">
        <v>0</v>
      </c>
      <c r="AS67" s="67" t="n">
        <v>0</v>
      </c>
      <c r="AT67" s="67" t="n">
        <v>1</v>
      </c>
    </row>
    <row r="68" ht="40" customHeight="1">
      <c r="A68" s="63" t="inlineStr">
        <is>
          <t>F02-UPL-12</t>
        </is>
      </c>
      <c r="B68" s="63" t="inlineStr">
        <is>
          <t>F02</t>
        </is>
      </c>
      <c r="C68" s="63">
        <f>Flights!$F$6</f>
        <v/>
      </c>
      <c r="D68" s="64">
        <f>Flights!$D$6</f>
        <v/>
      </c>
      <c r="E68" s="63">
        <f>Flights!$G$6&amp;"-"&amp;Flights!$H$6</f>
        <v/>
      </c>
      <c r="F68" s="63">
        <f>Flights!$K$6</f>
        <v/>
      </c>
      <c r="G68" s="63" t="inlineStr">
        <is>
          <t>UPLIFT</t>
        </is>
      </c>
      <c r="H68" s="63" t="inlineStr">
        <is>
          <t>Physical uplift</t>
        </is>
      </c>
      <c r="I68" s="63" t="inlineStr">
        <is>
          <t>Seat Linen</t>
        </is>
      </c>
      <c r="J68" s="63" t="inlineStr">
        <is>
          <t>Blanket (BS &amp; BC) - on board</t>
        </is>
      </c>
      <c r="K68" s="73" t="inlineStr">
        <is>
          <t>Available 100% (ticked in reference)</t>
        </is>
      </c>
      <c r="L68" s="73" t="inlineStr">
        <is>
          <t>STD UPLIFT INFORMATION.xlsx &gt; SEAT LINEN!H42</t>
        </is>
      </c>
      <c r="M68" s="73" t="inlineStr">
        <is>
          <t>Not stated in reference</t>
        </is>
      </c>
      <c r="N68" s="73" t="inlineStr">
        <is>
          <t>Required</t>
        </is>
      </c>
      <c r="O68" s="73" t="inlineStr"/>
      <c r="P68" s="63" t="inlineStr">
        <is>
          <t>KUL</t>
        </is>
      </c>
      <c r="Q68" s="65">
        <f>Flights!$AF$6</f>
        <v/>
      </c>
      <c r="R68" s="65">
        <f>Q68+(IF(AND(INDEX(TZ_DSTS,MATCH(P68,TZ_STN,0))&lt;&gt;"",Q68&gt;=INDEX(TZ_DSTS,MATCH(P68,TZ_STN,0)),Q68&lt;INDEX(TZ_DSTE,MATCH(P68,TZ_STN,0))),INDEX(TZ_DST,MATCH(P68,TZ_STN,0)),INDEX(TZ_STD,MATCH(P68,TZ_STN,0))))/24</f>
        <v/>
      </c>
      <c r="S68" s="65">
        <f>Q68-UpliftWindowH/24</f>
        <v/>
      </c>
      <c r="T68" s="66" t="n"/>
      <c r="U68" s="66" t="n"/>
      <c r="V68" s="66" t="n"/>
      <c r="W68" s="67" t="n"/>
      <c r="X68" s="66" t="n"/>
      <c r="Y68" s="66" t="n"/>
      <c r="Z68" s="66" t="n"/>
      <c r="AA68" s="66" t="n"/>
      <c r="AB68" s="66" t="n"/>
      <c r="AC68" s="66" t="n"/>
      <c r="AD68" s="72" t="n"/>
      <c r="AE68" s="66" t="n"/>
      <c r="AF68" s="67">
        <f>IF(AND(ISNUMBER(X68),ISNUMBER(Y68)),Y68-X68,"")</f>
        <v/>
      </c>
      <c r="AG68" s="68">
        <f>IF(ISNUMBER(AD68),AD68-(IF(AND(INDEX(TZ_DSTS,MATCH(P68,TZ_STN,0))&lt;&gt;"",(AD68-INDEX(TZ_STD,MATCH(P68,TZ_STN,0))/24)&gt;=INDEX(TZ_DSTS,MATCH(P68,TZ_STN,0)),(AD68-INDEX(TZ_STD,MATCH(P68,TZ_STN,0))/24)&lt;INDEX(TZ_DSTE,MATCH(P68,TZ_STN,0))),INDEX(TZ_DST,MATCH(P68,TZ_STN,0)),INDEX(TZ_STD,MATCH(P68,TZ_STN,0))))/24,"")</f>
        <v/>
      </c>
      <c r="AH68" s="71">
        <f>IF(N68="N/A – rule","N/A – RULE",IF(TRIM(U68)="N/A",IF(AT68=0,"INVALID – N/A not permitted for this mandatory check",IF(AND(TRIM(AC68)&lt;&gt;"",TRIM(AE68)&lt;&gt;"",TRIM(T68)&lt;&gt;""),"N/A – JUSTIFIED","INVALID – N/A needs justification, PIC and verifier")),IF(OR(TRIM(U68)="Pass",TRIM(U68)="Pass after CA"),IF(NOT(ISNUMBER(AD68)),"INVALID – completion time missing",IF(TRIM(T68)="","INVALID – PIC missing",IF(TRIM(Z68)="","INVALID – evidence missing",IF(TRIM(AE68)="","INVALID – verifier missing",IF(AND(AQ68=1,TRIM(W68)=""),"INVALID – batch ID missing",IF(AND(AR68=1,OR(NOT(ISNUMBER(X68)),NOT(ISNUMBER(Y68)))),"INVALID – expected/actual qty missing",IF(IF(AND(TRIM(U68)="Pass",ISNUMBER(AF68)),IF(AF68&lt;&gt;0,"INVALID – qty variance: use Fail or Pass after CA",""),"")&amp;IF(AND(TRIM(U68)="Pass",AB68="Open"),"INVALID – corrective action still open: use Fail, then Pass after CA","")&amp;IF(AND(TRIM(U68)="Pass after CA",OR(TRIM(AA68)="",AB68&lt;&gt;"Closed")),"INVALID – corrective action not recorded/closed","")&lt;&gt;"",IF(AND(TRIM(U68)="Pass",ISNUMBER(AF68)),IF(AF68&lt;&gt;0,"INVALID – qty variance: use Fail or Pass after CA",""),"")&amp;IF(AND(TRIM(U68)="Pass",AB68="Open"),"INVALID – corrective action still open: use Fail, then Pass after CA","")&amp;IF(AND(TRIM(U68)="Pass after CA",OR(TRIM(AA68)="",AB68&lt;&gt;"Closed")),"INVALID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window"),IF(AG68&gt;Flights!$AA$6,"INVALID – completed after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f>
        <v/>
      </c>
      <c r="AI68" s="67">
        <f>IF(OR(AH68="N/A – RULE",AH68="N/A – JUSTIFIED"),0,1)</f>
        <v/>
      </c>
      <c r="AJ68" s="67">
        <f>IF(LEFT(AH68,8)="COMPLETE",1,0)</f>
        <v/>
      </c>
      <c r="AK68" s="67">
        <f>IF(AND(AI68=1,AJ68=0,AsOfUTC&gt;Q68),1,0)</f>
        <v/>
      </c>
      <c r="AL68" s="67">
        <f>IF(AND(AI68=1,OR(TRIM(U68)="Fail",AB68="Open",AND(ISNUMBER(AF68),AF68&lt;&gt;0,TRIM(U68)&lt;&gt;"Pass after CA"))),1,0)</f>
        <v/>
      </c>
      <c r="AM68" s="67">
        <f>IF(LEFT(AH68,7)="INVALID",1,0)</f>
        <v/>
      </c>
      <c r="AN68" s="67">
        <f>IF(AND(N68="Clarification required",AI68=1,AJ68=0),1,0)</f>
        <v/>
      </c>
      <c r="AO68" s="67">
        <f>IF(AK68=1,SUM(AK$5:AK68),"")</f>
        <v/>
      </c>
      <c r="AP68" s="67">
        <f>IF(AL68=1,SUM(AL$5:AL68),"")</f>
        <v/>
      </c>
      <c r="AQ68" s="67" t="n">
        <v>0</v>
      </c>
      <c r="AR68" s="67" t="n">
        <v>0</v>
      </c>
      <c r="AS68" s="67" t="n">
        <v>0</v>
      </c>
      <c r="AT68" s="67" t="n">
        <v>1</v>
      </c>
    </row>
    <row r="69" ht="40" customHeight="1">
      <c r="A69" s="63" t="inlineStr">
        <is>
          <t>F03-T7-01</t>
        </is>
      </c>
      <c r="B69" s="63" t="inlineStr">
        <is>
          <t>F03</t>
        </is>
      </c>
      <c r="C69" s="63">
        <f>Flights!$F$7</f>
        <v/>
      </c>
      <c r="D69" s="64">
        <f>Flights!$D$7</f>
        <v/>
      </c>
      <c r="E69" s="63">
        <f>Flights!$G$7&amp;"-"&amp;Flights!$H$7</f>
        <v/>
      </c>
      <c r="F69" s="63">
        <f>Flights!$K$7</f>
        <v/>
      </c>
      <c r="G69" s="63" t="inlineStr">
        <is>
          <t>T-7D</t>
        </is>
      </c>
      <c r="H69" s="63" t="inlineStr">
        <is>
          <t>Preparation</t>
        </is>
      </c>
      <c r="I69" s="63" t="inlineStr">
        <is>
          <t>Meal</t>
        </is>
      </c>
      <c r="J69" s="63" t="inlineStr">
        <is>
          <t>Meal sensory testing completed for this flight's menu cycle (assessed class)</t>
        </is>
      </c>
      <c r="K69" s="73" t="inlineStr">
        <is>
          <t>Record panel result / score in Result</t>
        </is>
      </c>
      <c r="L69" s="73" t="inlineStr">
        <is>
          <t>User brief (T-7 days)</t>
        </is>
      </c>
      <c r="M69" s="73" t="inlineStr"/>
      <c r="N69" s="73" t="inlineStr">
        <is>
          <t>Required</t>
        </is>
      </c>
      <c r="O69" s="73" t="inlineStr"/>
      <c r="P69" s="63" t="inlineStr">
        <is>
          <t>CGK</t>
        </is>
      </c>
      <c r="Q69" s="65">
        <f>Flights!$AC$7</f>
        <v/>
      </c>
      <c r="R69" s="65">
        <f>Q69+(IF(AND(INDEX(TZ_DSTS,MATCH(P69,TZ_STN,0))&lt;&gt;"",Q69&gt;=INDEX(TZ_DSTS,MATCH(P69,TZ_STN,0)),Q69&lt;INDEX(TZ_DSTE,MATCH(P69,TZ_STN,0))),INDEX(TZ_DST,MATCH(P69,TZ_STN,0)),INDEX(TZ_STD,MATCH(P69,TZ_STN,0))))/24</f>
        <v/>
      </c>
      <c r="S69" s="65" t="inlineStr"/>
      <c r="T69" s="66" t="n"/>
      <c r="U69" s="66" t="n"/>
      <c r="V69" s="66" t="n"/>
      <c r="W69" s="67" t="n"/>
      <c r="X69" s="66" t="n"/>
      <c r="Y69" s="66" t="n"/>
      <c r="Z69" s="66" t="n"/>
      <c r="AA69" s="66" t="n"/>
      <c r="AB69" s="66" t="n"/>
      <c r="AC69" s="66" t="n"/>
      <c r="AD69" s="72" t="n"/>
      <c r="AE69" s="66" t="n"/>
      <c r="AF69" s="67">
        <f>IF(AND(ISNUMBER(X69),ISNUMBER(Y69)),Y69-X69,"")</f>
        <v/>
      </c>
      <c r="AG69" s="68">
        <f>IF(ISNUMBER(AD69),AD69-(IF(AND(INDEX(TZ_DSTS,MATCH(P69,TZ_STN,0))&lt;&gt;"",(AD69-INDEX(TZ_STD,MATCH(P69,TZ_STN,0))/24)&gt;=INDEX(TZ_DSTS,MATCH(P69,TZ_STN,0)),(AD69-INDEX(TZ_STD,MATCH(P69,TZ_STN,0))/24)&lt;INDEX(TZ_DSTE,MATCH(P69,TZ_STN,0))),INDEX(TZ_DST,MATCH(P69,TZ_STN,0)),INDEX(TZ_STD,MATCH(P69,TZ_STN,0))))/24,"")</f>
        <v/>
      </c>
      <c r="AH69" s="71">
        <f>IF(N69="N/A – rule","N/A – RULE",IF(TRIM(U69)="N/A",IF(AT69=0,"INVALID – N/A not permitted for this mandatory check",IF(AND(TRIM(AC69)&lt;&gt;"",TRIM(AE69)&lt;&gt;"",TRIM(T69)&lt;&gt;""),"N/A – JUSTIFIED","INVALID – N/A needs justification, PIC and verifier")),IF(OR(TRIM(U69)="Pass",TRIM(U69)="Pass after CA"),IF(NOT(ISNUMBER(AD69)),"INVALID – completion time missing",IF(TRIM(T69)="","INVALID – PIC missing",IF(TRIM(Z69)="","INVALID – evidence missing",IF(TRIM(AE69)="","INVALID – verifier missing",IF(AND(AQ69=1,TRIM(W69)=""),"INVALID – batch ID missing",IF(AND(AR69=1,OR(NOT(ISNUMBER(X69)),NOT(ISNUMBER(Y69)))),"INVALID – expected/actual qty missing",IF(IF(AND(TRIM(U69)="Pass",ISNUMBER(AF69)),IF(AF69&lt;&gt;0,"INVALID – qty variance: use Fail or Pass after CA",""),"")&amp;IF(AND(TRIM(U69)="Pass",AB69="Open"),"INVALID – corrective action still open: use Fail, then Pass after CA","")&amp;IF(AND(TRIM(U69)="Pass after CA",OR(TRIM(AA69)="",AB69&lt;&gt;"Closed")),"INVALID – corrective action not recorded/closed","")&lt;&gt;"",IF(AND(TRIM(U69)="Pass",ISNUMBER(AF69)),IF(AF69&lt;&gt;0,"INVALID – qty variance: use Fail or Pass after CA",""),"")&amp;IF(AND(TRIM(U69)="Pass",AB69="Open"),"INVALID – corrective action still open: use Fail, then Pass after CA","")&amp;IF(AND(TRIM(U69)="Pass after CA",OR(TRIM(AA69)="",AB69&lt;&gt;"Closed")),"INVALID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window"),IF(AG69&gt;Flights!$AA$7,"INVALID – completed after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f>
        <v/>
      </c>
      <c r="AI69" s="67">
        <f>IF(OR(AH69="N/A – RULE",AH69="N/A – JUSTIFIED"),0,1)</f>
        <v/>
      </c>
      <c r="AJ69" s="67">
        <f>IF(LEFT(AH69,8)="COMPLETE",1,0)</f>
        <v/>
      </c>
      <c r="AK69" s="67">
        <f>IF(AND(AI69=1,AJ69=0,AsOfUTC&gt;Q69),1,0)</f>
        <v/>
      </c>
      <c r="AL69" s="67">
        <f>IF(AND(AI69=1,OR(TRIM(U69)="Fail",AB69="Open",AND(ISNUMBER(AF69),AF69&lt;&gt;0,TRIM(U69)&lt;&gt;"Pass after CA"))),1,0)</f>
        <v/>
      </c>
      <c r="AM69" s="67">
        <f>IF(LEFT(AH69,7)="INVALID",1,0)</f>
        <v/>
      </c>
      <c r="AN69" s="67">
        <f>IF(AND(N69="Clarification required",AI69=1,AJ69=0),1,0)</f>
        <v/>
      </c>
      <c r="AO69" s="67">
        <f>IF(AK69=1,SUM(AK$5:AK69),"")</f>
        <v/>
      </c>
      <c r="AP69" s="67">
        <f>IF(AL69=1,SUM(AL$5:AL69),"")</f>
        <v/>
      </c>
      <c r="AQ69" s="67" t="n">
        <v>0</v>
      </c>
      <c r="AR69" s="67" t="n">
        <v>0</v>
      </c>
      <c r="AS69" s="67" t="n">
        <v>0</v>
      </c>
      <c r="AT69" s="67" t="n">
        <v>0</v>
      </c>
    </row>
    <row r="70" ht="40" customHeight="1">
      <c r="A70" s="63" t="inlineStr">
        <is>
          <t>F03-T7-02</t>
        </is>
      </c>
      <c r="B70" s="63" t="inlineStr">
        <is>
          <t>F03</t>
        </is>
      </c>
      <c r="C70" s="63">
        <f>Flights!$F$7</f>
        <v/>
      </c>
      <c r="D70" s="64">
        <f>Flights!$D$7</f>
        <v/>
      </c>
      <c r="E70" s="63">
        <f>Flights!$G$7&amp;"-"&amp;Flights!$H$7</f>
        <v/>
      </c>
      <c r="F70" s="63">
        <f>Flights!$K$7</f>
        <v/>
      </c>
      <c r="G70" s="63" t="inlineStr">
        <is>
          <t>T-7D</t>
        </is>
      </c>
      <c r="H70" s="63" t="inlineStr">
        <is>
          <t>Preparation</t>
        </is>
      </c>
      <c r="I70" s="63" t="inlineStr">
        <is>
          <t>Menu</t>
        </is>
      </c>
      <c r="J70" s="63" t="inlineStr">
        <is>
          <t>Printed menu cards confirmed (content, cycle, language, quantity)</t>
        </is>
      </c>
      <c r="K70" s="73" t="inlineStr">
        <is>
          <t>Menu card matches approved menu for this flight</t>
        </is>
      </c>
      <c r="L70" s="73" t="inlineStr">
        <is>
          <t>User brief (T-7 days)</t>
        </is>
      </c>
      <c r="M70" s="73" t="inlineStr"/>
      <c r="N70" s="73" t="inlineStr">
        <is>
          <t>Required</t>
        </is>
      </c>
      <c r="O70" s="73" t="inlineStr"/>
      <c r="P70" s="63" t="inlineStr">
        <is>
          <t>CGK</t>
        </is>
      </c>
      <c r="Q70" s="65">
        <f>Flights!$AC$7</f>
        <v/>
      </c>
      <c r="R70" s="65">
        <f>Q70+(IF(AND(INDEX(TZ_DSTS,MATCH(P70,TZ_STN,0))&lt;&gt;"",Q70&gt;=INDEX(TZ_DSTS,MATCH(P70,TZ_STN,0)),Q70&lt;INDEX(TZ_DSTE,MATCH(P70,TZ_STN,0))),INDEX(TZ_DST,MATCH(P70,TZ_STN,0)),INDEX(TZ_STD,MATCH(P70,TZ_STN,0))))/24</f>
        <v/>
      </c>
      <c r="S70" s="65" t="inlineStr"/>
      <c r="T70" s="66" t="n"/>
      <c r="U70" s="66" t="n"/>
      <c r="V70" s="66" t="n"/>
      <c r="W70" s="67" t="n"/>
      <c r="X70" s="66" t="n"/>
      <c r="Y70" s="66" t="n"/>
      <c r="Z70" s="66" t="n"/>
      <c r="AA70" s="66" t="n"/>
      <c r="AB70" s="66" t="n"/>
      <c r="AC70" s="66" t="n"/>
      <c r="AD70" s="72" t="n"/>
      <c r="AE70" s="66" t="n"/>
      <c r="AF70" s="67">
        <f>IF(AND(ISNUMBER(X70),ISNUMBER(Y70)),Y70-X70,"")</f>
        <v/>
      </c>
      <c r="AG70" s="68">
        <f>IF(ISNUMBER(AD70),AD70-(IF(AND(INDEX(TZ_DSTS,MATCH(P70,TZ_STN,0))&lt;&gt;"",(AD70-INDEX(TZ_STD,MATCH(P70,TZ_STN,0))/24)&gt;=INDEX(TZ_DSTS,MATCH(P70,TZ_STN,0)),(AD70-INDEX(TZ_STD,MATCH(P70,TZ_STN,0))/24)&lt;INDEX(TZ_DSTE,MATCH(P70,TZ_STN,0))),INDEX(TZ_DST,MATCH(P70,TZ_STN,0)),INDEX(TZ_STD,MATCH(P70,TZ_STN,0))))/24,"")</f>
        <v/>
      </c>
      <c r="AH70" s="71">
        <f>IF(N70="N/A – rule","N/A – RULE",IF(TRIM(U70)="N/A",IF(AT70=0,"INVALID – N/A not permitted for this mandatory check",IF(AND(TRIM(AC70)&lt;&gt;"",TRIM(AE70)&lt;&gt;"",TRIM(T70)&lt;&gt;""),"N/A – JUSTIFIED","INVALID – N/A needs justification, PIC and verifier")),IF(OR(TRIM(U70)="Pass",TRIM(U70)="Pass after CA"),IF(NOT(ISNUMBER(AD70)),"INVALID – completion time missing",IF(TRIM(T70)="","INVALID – PIC missing",IF(TRIM(Z70)="","INVALID – evidence missing",IF(TRIM(AE70)="","INVALID – verifier missing",IF(AND(AQ70=1,TRIM(W70)=""),"INVALID – batch ID missing",IF(AND(AR70=1,OR(NOT(ISNUMBER(X70)),NOT(ISNUMBER(Y70)))),"INVALID – expected/actual qty missing",IF(IF(AND(TRIM(U70)="Pass",ISNUMBER(AF70)),IF(AF70&lt;&gt;0,"INVALID – qty variance: use Fail or Pass after CA",""),"")&amp;IF(AND(TRIM(U70)="Pass",AB70="Open"),"INVALID – corrective action still open: use Fail, then Pass after CA","")&amp;IF(AND(TRIM(U70)="Pass after CA",OR(TRIM(AA70)="",AB70&lt;&gt;"Closed")),"INVALID – corrective action not recorded/closed","")&lt;&gt;"",IF(AND(TRIM(U70)="Pass",ISNUMBER(AF70)),IF(AF70&lt;&gt;0,"INVALID – qty variance: use Fail or Pass after CA",""),"")&amp;IF(AND(TRIM(U70)="Pass",AB70="Open"),"INVALID – corrective action still open: use Fail, then Pass after CA","")&amp;IF(AND(TRIM(U70)="Pass after CA",OR(TRIM(AA70)="",AB70&lt;&gt;"Closed")),"INVALID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window"),IF(AG70&gt;Flights!$AA$7,"INVALID – completed after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f>
        <v/>
      </c>
      <c r="AI70" s="67">
        <f>IF(OR(AH70="N/A – RULE",AH70="N/A – JUSTIFIED"),0,1)</f>
        <v/>
      </c>
      <c r="AJ70" s="67">
        <f>IF(LEFT(AH70,8)="COMPLETE",1,0)</f>
        <v/>
      </c>
      <c r="AK70" s="67">
        <f>IF(AND(AI70=1,AJ70=0,AsOfUTC&gt;Q70),1,0)</f>
        <v/>
      </c>
      <c r="AL70" s="67">
        <f>IF(AND(AI70=1,OR(TRIM(U70)="Fail",AB70="Open",AND(ISNUMBER(AF70),AF70&lt;&gt;0,TRIM(U70)&lt;&gt;"Pass after CA"))),1,0)</f>
        <v/>
      </c>
      <c r="AM70" s="67">
        <f>IF(LEFT(AH70,7)="INVALID",1,0)</f>
        <v/>
      </c>
      <c r="AN70" s="67">
        <f>IF(AND(N70="Clarification required",AI70=1,AJ70=0),1,0)</f>
        <v/>
      </c>
      <c r="AO70" s="67">
        <f>IF(AK70=1,SUM(AK$5:AK70),"")</f>
        <v/>
      </c>
      <c r="AP70" s="67">
        <f>IF(AL70=1,SUM(AL$5:AL70),"")</f>
        <v/>
      </c>
      <c r="AQ70" s="67" t="n">
        <v>0</v>
      </c>
      <c r="AR70" s="67" t="n">
        <v>0</v>
      </c>
      <c r="AS70" s="67" t="n">
        <v>0</v>
      </c>
      <c r="AT70" s="67" t="n">
        <v>1</v>
      </c>
    </row>
    <row r="71" ht="41.5" customHeight="1">
      <c r="A71" s="63" t="inlineStr">
        <is>
          <t>F03-T7-03</t>
        </is>
      </c>
      <c r="B71" s="63" t="inlineStr">
        <is>
          <t>F03</t>
        </is>
      </c>
      <c r="C71" s="63">
        <f>Flights!$F$7</f>
        <v/>
      </c>
      <c r="D71" s="64">
        <f>Flights!$D$7</f>
        <v/>
      </c>
      <c r="E71" s="63">
        <f>Flights!$G$7&amp;"-"&amp;Flights!$H$7</f>
        <v/>
      </c>
      <c r="F71" s="63">
        <f>Flights!$K$7</f>
        <v/>
      </c>
      <c r="G71" s="63" t="inlineStr">
        <is>
          <t>T-7D</t>
        </is>
      </c>
      <c r="H71" s="63" t="inlineStr">
        <is>
          <t>Preparation</t>
        </is>
      </c>
      <c r="I71" s="63" t="inlineStr">
        <is>
          <t>IFE</t>
        </is>
      </c>
      <c r="J71" s="63" t="inlineStr">
        <is>
          <t>Digital menu in IFE confirmed (A339 only)</t>
        </is>
      </c>
      <c r="K71" s="73" t="inlineStr">
        <is>
          <t>Applies when fleet = A339</t>
        </is>
      </c>
      <c r="L71" s="73" t="inlineStr">
        <is>
          <t>User brief (T-7 days)</t>
        </is>
      </c>
      <c r="M71" s="73" t="inlineStr"/>
      <c r="N71" s="73">
        <f>IF(TRIM(Flights!$L$7)="A339","Required","N/A – rule")</f>
        <v/>
      </c>
      <c r="O71" s="73" t="inlineStr">
        <is>
          <t>Digital IFE menu applies to A339 only (user brief). Applicability follows the Fleet cell on Flights.</t>
        </is>
      </c>
      <c r="P71" s="63" t="inlineStr">
        <is>
          <t>CGK</t>
        </is>
      </c>
      <c r="Q71" s="65">
        <f>Flights!$AC$7</f>
        <v/>
      </c>
      <c r="R71" s="65">
        <f>Q71+(IF(AND(INDEX(TZ_DSTS,MATCH(P71,TZ_STN,0))&lt;&gt;"",Q71&gt;=INDEX(TZ_DSTS,MATCH(P71,TZ_STN,0)),Q71&lt;INDEX(TZ_DSTE,MATCH(P71,TZ_STN,0))),INDEX(TZ_DST,MATCH(P71,TZ_STN,0)),INDEX(TZ_STD,MATCH(P71,TZ_STN,0))))/24</f>
        <v/>
      </c>
      <c r="S71" s="65" t="inlineStr"/>
      <c r="T71" s="66" t="n"/>
      <c r="U71" s="66" t="n"/>
      <c r="V71" s="66" t="n"/>
      <c r="W71" s="67" t="n"/>
      <c r="X71" s="66" t="n"/>
      <c r="Y71" s="66" t="n"/>
      <c r="Z71" s="66" t="n"/>
      <c r="AA71" s="66" t="n"/>
      <c r="AB71" s="66" t="n"/>
      <c r="AC71" s="66" t="n"/>
      <c r="AD71" s="72" t="n"/>
      <c r="AE71" s="66" t="n"/>
      <c r="AF71" s="67">
        <f>IF(AND(ISNUMBER(X71),ISNUMBER(Y71)),Y71-X71,"")</f>
        <v/>
      </c>
      <c r="AG71" s="68">
        <f>IF(ISNUMBER(AD71),AD71-(IF(AND(INDEX(TZ_DSTS,MATCH(P71,TZ_STN,0))&lt;&gt;"",(AD71-INDEX(TZ_STD,MATCH(P71,TZ_STN,0))/24)&gt;=INDEX(TZ_DSTS,MATCH(P71,TZ_STN,0)),(AD71-INDEX(TZ_STD,MATCH(P71,TZ_STN,0))/24)&lt;INDEX(TZ_DSTE,MATCH(P71,TZ_STN,0))),INDEX(TZ_DST,MATCH(P71,TZ_STN,0)),INDEX(TZ_STD,MATCH(P71,TZ_STN,0))))/24,"")</f>
        <v/>
      </c>
      <c r="AH71" s="71">
        <f>IF(N71="N/A – rule","N/A – RULE",IF(TRIM(U71)="N/A",IF(AT71=0,"INVALID – N/A not permitted for this mandatory check",IF(AND(TRIM(AC71)&lt;&gt;"",TRIM(AE71)&lt;&gt;"",TRIM(T71)&lt;&gt;""),"N/A – JUSTIFIED","INVALID – N/A needs justification, PIC and verifier")),IF(OR(TRIM(U71)="Pass",TRIM(U71)="Pass after CA"),IF(NOT(ISNUMBER(AD71)),"INVALID – completion time missing",IF(TRIM(T71)="","INVALID – PIC missing",IF(TRIM(Z71)="","INVALID – evidence missing",IF(TRIM(AE71)="","INVALID – verifier missing",IF(AND(AQ71=1,TRIM(W71)=""),"INVALID – batch ID missing",IF(AND(AR71=1,OR(NOT(ISNUMBER(X71)),NOT(ISNUMBER(Y71)))),"INVALID – expected/actual qty missing",IF(IF(AND(TRIM(U71)="Pass",ISNUMBER(AF71)),IF(AF71&lt;&gt;0,"INVALID – qty variance: use Fail or Pass after CA",""),"")&amp;IF(AND(TRIM(U71)="Pass",AB71="Open"),"INVALID – corrective action still open: use Fail, then Pass after CA","")&amp;IF(AND(TRIM(U71)="Pass after CA",OR(TRIM(AA71)="",AB71&lt;&gt;"Closed")),"INVALID – corrective action not recorded/closed","")&lt;&gt;"",IF(AND(TRIM(U71)="Pass",ISNUMBER(AF71)),IF(AF71&lt;&gt;0,"INVALID – qty variance: use Fail or Pass after CA",""),"")&amp;IF(AND(TRIM(U71)="Pass",AB71="Open"),"INVALID – corrective action still open: use Fail, then Pass after CA","")&amp;IF(AND(TRIM(U71)="Pass after CA",OR(TRIM(AA71)="",AB71&lt;&gt;"Closed")),"INVALID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window"),IF(AG71&gt;Flights!$AA$7,"INVALID – completed after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f>
        <v/>
      </c>
      <c r="AI71" s="67">
        <f>IF(OR(AH71="N/A – RULE",AH71="N/A – JUSTIFIED"),0,1)</f>
        <v/>
      </c>
      <c r="AJ71" s="67">
        <f>IF(LEFT(AH71,8)="COMPLETE",1,0)</f>
        <v/>
      </c>
      <c r="AK71" s="67">
        <f>IF(AND(AI71=1,AJ71=0,AsOfUTC&gt;Q71),1,0)</f>
        <v/>
      </c>
      <c r="AL71" s="67">
        <f>IF(AND(AI71=1,OR(TRIM(U71)="Fail",AB71="Open",AND(ISNUMBER(AF71),AF71&lt;&gt;0,TRIM(U71)&lt;&gt;"Pass after CA"))),1,0)</f>
        <v/>
      </c>
      <c r="AM71" s="67">
        <f>IF(LEFT(AH71,7)="INVALID",1,0)</f>
        <v/>
      </c>
      <c r="AN71" s="67">
        <f>IF(AND(N71="Clarification required",AI71=1,AJ71=0),1,0)</f>
        <v/>
      </c>
      <c r="AO71" s="67">
        <f>IF(AK71=1,SUM(AK$5:AK71),"")</f>
        <v/>
      </c>
      <c r="AP71" s="67">
        <f>IF(AL71=1,SUM(AL$5:AL71),"")</f>
        <v/>
      </c>
      <c r="AQ71" s="67" t="n">
        <v>0</v>
      </c>
      <c r="AR71" s="67" t="n">
        <v>0</v>
      </c>
      <c r="AS71" s="67" t="n">
        <v>0</v>
      </c>
      <c r="AT71" s="67" t="n">
        <v>0</v>
      </c>
    </row>
    <row r="72" ht="40" customHeight="1">
      <c r="A72" s="63" t="inlineStr">
        <is>
          <t>F03-T7-04</t>
        </is>
      </c>
      <c r="B72" s="63" t="inlineStr">
        <is>
          <t>F03</t>
        </is>
      </c>
      <c r="C72" s="63">
        <f>Flights!$F$7</f>
        <v/>
      </c>
      <c r="D72" s="64">
        <f>Flights!$D$7</f>
        <v/>
      </c>
      <c r="E72" s="63">
        <f>Flights!$G$7&amp;"-"&amp;Flights!$H$7</f>
        <v/>
      </c>
      <c r="F72" s="63">
        <f>Flights!$K$7</f>
        <v/>
      </c>
      <c r="G72" s="63" t="inlineStr">
        <is>
          <t>T-7D</t>
        </is>
      </c>
      <c r="H72" s="63" t="inlineStr">
        <is>
          <t>Preparation</t>
        </is>
      </c>
      <c r="I72" s="63" t="inlineStr">
        <is>
          <t>Staffing</t>
        </is>
      </c>
      <c r="J72" s="63" t="inlineStr">
        <is>
          <t>Experienced catering officer assigned to this flight</t>
        </is>
      </c>
      <c r="K72" s="73" t="inlineStr">
        <is>
          <t>Record officer name in Result</t>
        </is>
      </c>
      <c r="L72" s="73" t="inlineStr">
        <is>
          <t>User brief (T-7 days)</t>
        </is>
      </c>
      <c r="M72" s="73" t="inlineStr"/>
      <c r="N72" s="73" t="inlineStr">
        <is>
          <t>Required</t>
        </is>
      </c>
      <c r="O72" s="73" t="inlineStr"/>
      <c r="P72" s="63" t="inlineStr">
        <is>
          <t>CGK</t>
        </is>
      </c>
      <c r="Q72" s="65">
        <f>Flights!$AC$7</f>
        <v/>
      </c>
      <c r="R72" s="65">
        <f>Q72+(IF(AND(INDEX(TZ_DSTS,MATCH(P72,TZ_STN,0))&lt;&gt;"",Q72&gt;=INDEX(TZ_DSTS,MATCH(P72,TZ_STN,0)),Q72&lt;INDEX(TZ_DSTE,MATCH(P72,TZ_STN,0))),INDEX(TZ_DST,MATCH(P72,TZ_STN,0)),INDEX(TZ_STD,MATCH(P72,TZ_STN,0))))/24</f>
        <v/>
      </c>
      <c r="S72" s="65" t="inlineStr"/>
      <c r="T72" s="66" t="n"/>
      <c r="U72" s="66" t="n"/>
      <c r="V72" s="66" t="n"/>
      <c r="W72" s="67" t="n"/>
      <c r="X72" s="66" t="n"/>
      <c r="Y72" s="66" t="n"/>
      <c r="Z72" s="66" t="n"/>
      <c r="AA72" s="66" t="n"/>
      <c r="AB72" s="66" t="n"/>
      <c r="AC72" s="66" t="n"/>
      <c r="AD72" s="72" t="n"/>
      <c r="AE72" s="66" t="n"/>
      <c r="AF72" s="67">
        <f>IF(AND(ISNUMBER(X72),ISNUMBER(Y72)),Y72-X72,"")</f>
        <v/>
      </c>
      <c r="AG72" s="68">
        <f>IF(ISNUMBER(AD72),AD72-(IF(AND(INDEX(TZ_DSTS,MATCH(P72,TZ_STN,0))&lt;&gt;"",(AD72-INDEX(TZ_STD,MATCH(P72,TZ_STN,0))/24)&gt;=INDEX(TZ_DSTS,MATCH(P72,TZ_STN,0)),(AD72-INDEX(TZ_STD,MATCH(P72,TZ_STN,0))/24)&lt;INDEX(TZ_DSTE,MATCH(P72,TZ_STN,0))),INDEX(TZ_DST,MATCH(P72,TZ_STN,0)),INDEX(TZ_STD,MATCH(P72,TZ_STN,0))))/24,"")</f>
        <v/>
      </c>
      <c r="AH72" s="71">
        <f>IF(N72="N/A – rule","N/A – RULE",IF(TRIM(U72)="N/A",IF(AT72=0,"INVALID – N/A not permitted for this mandatory check",IF(AND(TRIM(AC72)&lt;&gt;"",TRIM(AE72)&lt;&gt;"",TRIM(T72)&lt;&gt;""),"N/A – JUSTIFIED","INVALID – N/A needs justification, PIC and verifier")),IF(OR(TRIM(U72)="Pass",TRIM(U72)="Pass after CA"),IF(NOT(ISNUMBER(AD72)),"INVALID – completion time missing",IF(TRIM(T72)="","INVALID – PIC missing",IF(TRIM(Z72)="","INVALID – evidence missing",IF(TRIM(AE72)="","INVALID – verifier missing",IF(AND(AQ72=1,TRIM(W72)=""),"INVALID – batch ID missing",IF(AND(AR72=1,OR(NOT(ISNUMBER(X72)),NOT(ISNUMBER(Y72)))),"INVALID – expected/actual qty missing",IF(IF(AND(TRIM(U72)="Pass",ISNUMBER(AF72)),IF(AF72&lt;&gt;0,"INVALID – qty variance: use Fail or Pass after CA",""),"")&amp;IF(AND(TRIM(U72)="Pass",AB72="Open"),"INVALID – corrective action still open: use Fail, then Pass after CA","")&amp;IF(AND(TRIM(U72)="Pass after CA",OR(TRIM(AA72)="",AB72&lt;&gt;"Closed")),"INVALID – corrective action not recorded/closed","")&lt;&gt;"",IF(AND(TRIM(U72)="Pass",ISNUMBER(AF72)),IF(AF72&lt;&gt;0,"INVALID – qty variance: use Fail or Pass after CA",""),"")&amp;IF(AND(TRIM(U72)="Pass",AB72="Open"),"INVALID – corrective action still open: use Fail, then Pass after CA","")&amp;IF(AND(TRIM(U72)="Pass after CA",OR(TRIM(AA72)="",AB72&lt;&gt;"Closed")),"INVALID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window"),IF(AG72&gt;Flights!$AA$7,"INVALID – completed after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f>
        <v/>
      </c>
      <c r="AI72" s="67">
        <f>IF(OR(AH72="N/A – RULE",AH72="N/A – JUSTIFIED"),0,1)</f>
        <v/>
      </c>
      <c r="AJ72" s="67">
        <f>IF(LEFT(AH72,8)="COMPLETE",1,0)</f>
        <v/>
      </c>
      <c r="AK72" s="67">
        <f>IF(AND(AI72=1,AJ72=0,AsOfUTC&gt;Q72),1,0)</f>
        <v/>
      </c>
      <c r="AL72" s="67">
        <f>IF(AND(AI72=1,OR(TRIM(U72)="Fail",AB72="Open",AND(ISNUMBER(AF72),AF72&lt;&gt;0,TRIM(U72)&lt;&gt;"Pass after CA"))),1,0)</f>
        <v/>
      </c>
      <c r="AM72" s="67">
        <f>IF(LEFT(AH72,7)="INVALID",1,0)</f>
        <v/>
      </c>
      <c r="AN72" s="67">
        <f>IF(AND(N72="Clarification required",AI72=1,AJ72=0),1,0)</f>
        <v/>
      </c>
      <c r="AO72" s="67">
        <f>IF(AK72=1,SUM(AK$5:AK72),"")</f>
        <v/>
      </c>
      <c r="AP72" s="67">
        <f>IF(AL72=1,SUM(AL$5:AL72),"")</f>
        <v/>
      </c>
      <c r="AQ72" s="67" t="n">
        <v>0</v>
      </c>
      <c r="AR72" s="67" t="n">
        <v>0</v>
      </c>
      <c r="AS72" s="67" t="n">
        <v>0</v>
      </c>
      <c r="AT72" s="67" t="n">
        <v>0</v>
      </c>
    </row>
    <row r="73" ht="40" customHeight="1">
      <c r="A73" s="63" t="inlineStr">
        <is>
          <t>F03-T7-05</t>
        </is>
      </c>
      <c r="B73" s="63" t="inlineStr">
        <is>
          <t>F03</t>
        </is>
      </c>
      <c r="C73" s="63">
        <f>Flights!$F$7</f>
        <v/>
      </c>
      <c r="D73" s="64">
        <f>Flights!$D$7</f>
        <v/>
      </c>
      <c r="E73" s="63">
        <f>Flights!$G$7&amp;"-"&amp;Flights!$H$7</f>
        <v/>
      </c>
      <c r="F73" s="63">
        <f>Flights!$K$7</f>
        <v/>
      </c>
      <c r="G73" s="63" t="inlineStr">
        <is>
          <t>T-7D</t>
        </is>
      </c>
      <c r="H73" s="63" t="inlineStr">
        <is>
          <t>Preparation</t>
        </is>
      </c>
      <c r="I73" s="63" t="inlineStr">
        <is>
          <t>ISOP</t>
        </is>
      </c>
      <c r="J73" s="63" t="inlineStr">
        <is>
          <t>All latest applicable ISOP revisions communicated to caterer</t>
        </is>
      </c>
      <c r="K73" s="73" t="inlineStr">
        <is>
          <t>List revision numbers in Result (see ISOP register)</t>
        </is>
      </c>
      <c r="L73" s="73" t="inlineStr">
        <is>
          <t>User brief (T-7 days)</t>
        </is>
      </c>
      <c r="M73" s="73" t="inlineStr"/>
      <c r="N73" s="73" t="inlineStr">
        <is>
          <t>Required</t>
        </is>
      </c>
      <c r="O73" s="73" t="inlineStr"/>
      <c r="P73" s="63" t="inlineStr">
        <is>
          <t>CGK</t>
        </is>
      </c>
      <c r="Q73" s="65">
        <f>Flights!$AC$7</f>
        <v/>
      </c>
      <c r="R73" s="65">
        <f>Q73+(IF(AND(INDEX(TZ_DSTS,MATCH(P73,TZ_STN,0))&lt;&gt;"",Q73&gt;=INDEX(TZ_DSTS,MATCH(P73,TZ_STN,0)),Q73&lt;INDEX(TZ_DSTE,MATCH(P73,TZ_STN,0))),INDEX(TZ_DST,MATCH(P73,TZ_STN,0)),INDEX(TZ_STD,MATCH(P73,TZ_STN,0))))/24</f>
        <v/>
      </c>
      <c r="S73" s="65" t="inlineStr"/>
      <c r="T73" s="66" t="n"/>
      <c r="U73" s="66" t="n"/>
      <c r="V73" s="66" t="n"/>
      <c r="W73" s="67" t="n"/>
      <c r="X73" s="66" t="n"/>
      <c r="Y73" s="66" t="n"/>
      <c r="Z73" s="66" t="n"/>
      <c r="AA73" s="66" t="n"/>
      <c r="AB73" s="66" t="n"/>
      <c r="AC73" s="66" t="n"/>
      <c r="AD73" s="72" t="n"/>
      <c r="AE73" s="66" t="n"/>
      <c r="AF73" s="67">
        <f>IF(AND(ISNUMBER(X73),ISNUMBER(Y73)),Y73-X73,"")</f>
        <v/>
      </c>
      <c r="AG73" s="68">
        <f>IF(ISNUMBER(AD73),AD73-(IF(AND(INDEX(TZ_DSTS,MATCH(P73,TZ_STN,0))&lt;&gt;"",(AD73-INDEX(TZ_STD,MATCH(P73,TZ_STN,0))/24)&gt;=INDEX(TZ_DSTS,MATCH(P73,TZ_STN,0)),(AD73-INDEX(TZ_STD,MATCH(P73,TZ_STN,0))/24)&lt;INDEX(TZ_DSTE,MATCH(P73,TZ_STN,0))),INDEX(TZ_DST,MATCH(P73,TZ_STN,0)),INDEX(TZ_STD,MATCH(P73,TZ_STN,0))))/24,"")</f>
        <v/>
      </c>
      <c r="AH73" s="71">
        <f>IF(N73="N/A – rule","N/A – RULE",IF(TRIM(U73)="N/A",IF(AT73=0,"INVALID – N/A not permitted for this mandatory check",IF(AND(TRIM(AC73)&lt;&gt;"",TRIM(AE73)&lt;&gt;"",TRIM(T73)&lt;&gt;""),"N/A – JUSTIFIED","INVALID – N/A needs justification, PIC and verifier")),IF(OR(TRIM(U73)="Pass",TRIM(U73)="Pass after CA"),IF(NOT(ISNUMBER(AD73)),"INVALID – completion time missing",IF(TRIM(T73)="","INVALID – PIC missing",IF(TRIM(Z73)="","INVALID – evidence missing",IF(TRIM(AE73)="","INVALID – verifier missing",IF(AND(AQ73=1,TRIM(W73)=""),"INVALID – batch ID missing",IF(AND(AR73=1,OR(NOT(ISNUMBER(X73)),NOT(ISNUMBER(Y73)))),"INVALID – expected/actual qty missing",IF(IF(AND(TRIM(U73)="Pass",ISNUMBER(AF73)),IF(AF73&lt;&gt;0,"INVALID – qty variance: use Fail or Pass after CA",""),"")&amp;IF(AND(TRIM(U73)="Pass",AB73="Open"),"INVALID – corrective action still open: use Fail, then Pass after CA","")&amp;IF(AND(TRIM(U73)="Pass after CA",OR(TRIM(AA73)="",AB73&lt;&gt;"Closed")),"INVALID – corrective action not recorded/closed","")&lt;&gt;"",IF(AND(TRIM(U73)="Pass",ISNUMBER(AF73)),IF(AF73&lt;&gt;0,"INVALID – qty variance: use Fail or Pass after CA",""),"")&amp;IF(AND(TRIM(U73)="Pass",AB73="Open"),"INVALID – corrective action still open: use Fail, then Pass after CA","")&amp;IF(AND(TRIM(U73)="Pass after CA",OR(TRIM(AA73)="",AB73&lt;&gt;"Closed")),"INVALID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window"),IF(AG73&gt;Flights!$AA$7,"INVALID – completed after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f>
        <v/>
      </c>
      <c r="AI73" s="67">
        <f>IF(OR(AH73="N/A – RULE",AH73="N/A – JUSTIFIED"),0,1)</f>
        <v/>
      </c>
      <c r="AJ73" s="67">
        <f>IF(LEFT(AH73,8)="COMPLETE",1,0)</f>
        <v/>
      </c>
      <c r="AK73" s="67">
        <f>IF(AND(AI73=1,AJ73=0,AsOfUTC&gt;Q73),1,0)</f>
        <v/>
      </c>
      <c r="AL73" s="67">
        <f>IF(AND(AI73=1,OR(TRIM(U73)="Fail",AB73="Open",AND(ISNUMBER(AF73),AF73&lt;&gt;0,TRIM(U73)&lt;&gt;"Pass after CA"))),1,0)</f>
        <v/>
      </c>
      <c r="AM73" s="67">
        <f>IF(LEFT(AH73,7)="INVALID",1,0)</f>
        <v/>
      </c>
      <c r="AN73" s="67">
        <f>IF(AND(N73="Clarification required",AI73=1,AJ73=0),1,0)</f>
        <v/>
      </c>
      <c r="AO73" s="67">
        <f>IF(AK73=1,SUM(AK$5:AK73),"")</f>
        <v/>
      </c>
      <c r="AP73" s="67">
        <f>IF(AL73=1,SUM(AL$5:AL73),"")</f>
        <v/>
      </c>
      <c r="AQ73" s="67" t="n">
        <v>0</v>
      </c>
      <c r="AR73" s="67" t="n">
        <v>0</v>
      </c>
      <c r="AS73" s="67" t="n">
        <v>0</v>
      </c>
      <c r="AT73" s="67" t="n">
        <v>0</v>
      </c>
    </row>
    <row r="74" ht="40" customHeight="1">
      <c r="A74" s="63" t="inlineStr">
        <is>
          <t>F03-T7-06</t>
        </is>
      </c>
      <c r="B74" s="63" t="inlineStr">
        <is>
          <t>F03</t>
        </is>
      </c>
      <c r="C74" s="63">
        <f>Flights!$F$7</f>
        <v/>
      </c>
      <c r="D74" s="64">
        <f>Flights!$D$7</f>
        <v/>
      </c>
      <c r="E74" s="63">
        <f>Flights!$G$7&amp;"-"&amp;Flights!$H$7</f>
        <v/>
      </c>
      <c r="F74" s="63">
        <f>Flights!$K$7</f>
        <v/>
      </c>
      <c r="G74" s="63" t="inlineStr">
        <is>
          <t>T-7D</t>
        </is>
      </c>
      <c r="H74" s="63" t="inlineStr">
        <is>
          <t>Preparation</t>
        </is>
      </c>
      <c r="I74" s="63" t="inlineStr">
        <is>
          <t>ISOP</t>
        </is>
      </c>
      <c r="J74" s="63" t="inlineStr">
        <is>
          <t>Caterer acknowledgement of ISOP revisions recorded</t>
        </is>
      </c>
      <c r="K74" s="73" t="inlineStr">
        <is>
          <t>Record acknowledgement ref in Evidence</t>
        </is>
      </c>
      <c r="L74" s="73" t="inlineStr">
        <is>
          <t>User brief (T-7 days)</t>
        </is>
      </c>
      <c r="M74" s="73" t="inlineStr"/>
      <c r="N74" s="73" t="inlineStr">
        <is>
          <t>Required</t>
        </is>
      </c>
      <c r="O74" s="73" t="inlineStr"/>
      <c r="P74" s="63" t="inlineStr">
        <is>
          <t>CGK</t>
        </is>
      </c>
      <c r="Q74" s="65">
        <f>Flights!$AC$7</f>
        <v/>
      </c>
      <c r="R74" s="65">
        <f>Q74+(IF(AND(INDEX(TZ_DSTS,MATCH(P74,TZ_STN,0))&lt;&gt;"",Q74&gt;=INDEX(TZ_DSTS,MATCH(P74,TZ_STN,0)),Q74&lt;INDEX(TZ_DSTE,MATCH(P74,TZ_STN,0))),INDEX(TZ_DST,MATCH(P74,TZ_STN,0)),INDEX(TZ_STD,MATCH(P74,TZ_STN,0))))/24</f>
        <v/>
      </c>
      <c r="S74" s="65" t="inlineStr"/>
      <c r="T74" s="66" t="n"/>
      <c r="U74" s="66" t="n"/>
      <c r="V74" s="66" t="n"/>
      <c r="W74" s="67" t="n"/>
      <c r="X74" s="66" t="n"/>
      <c r="Y74" s="66" t="n"/>
      <c r="Z74" s="66" t="n"/>
      <c r="AA74" s="66" t="n"/>
      <c r="AB74" s="66" t="n"/>
      <c r="AC74" s="66" t="n"/>
      <c r="AD74" s="72" t="n"/>
      <c r="AE74" s="66" t="n"/>
      <c r="AF74" s="67">
        <f>IF(AND(ISNUMBER(X74),ISNUMBER(Y74)),Y74-X74,"")</f>
        <v/>
      </c>
      <c r="AG74" s="68">
        <f>IF(ISNUMBER(AD74),AD74-(IF(AND(INDEX(TZ_DSTS,MATCH(P74,TZ_STN,0))&lt;&gt;"",(AD74-INDEX(TZ_STD,MATCH(P74,TZ_STN,0))/24)&gt;=INDEX(TZ_DSTS,MATCH(P74,TZ_STN,0)),(AD74-INDEX(TZ_STD,MATCH(P74,TZ_STN,0))/24)&lt;INDEX(TZ_DSTE,MATCH(P74,TZ_STN,0))),INDEX(TZ_DST,MATCH(P74,TZ_STN,0)),INDEX(TZ_STD,MATCH(P74,TZ_STN,0))))/24,"")</f>
        <v/>
      </c>
      <c r="AH74" s="71">
        <f>IF(N74="N/A – rule","N/A – RULE",IF(TRIM(U74)="N/A",IF(AT74=0,"INVALID – N/A not permitted for this mandatory check",IF(AND(TRIM(AC74)&lt;&gt;"",TRIM(AE74)&lt;&gt;"",TRIM(T74)&lt;&gt;""),"N/A – JUSTIFIED","INVALID – N/A needs justification, PIC and verifier")),IF(OR(TRIM(U74)="Pass",TRIM(U74)="Pass after CA"),IF(NOT(ISNUMBER(AD74)),"INVALID – completion time missing",IF(TRIM(T74)="","INVALID – PIC missing",IF(TRIM(Z74)="","INVALID – evidence missing",IF(TRIM(AE74)="","INVALID – verifier missing",IF(AND(AQ74=1,TRIM(W74)=""),"INVALID – batch ID missing",IF(AND(AR74=1,OR(NOT(ISNUMBER(X74)),NOT(ISNUMBER(Y74)))),"INVALID – expected/actual qty missing",IF(IF(AND(TRIM(U74)="Pass",ISNUMBER(AF74)),IF(AF74&lt;&gt;0,"INVALID – qty variance: use Fail or Pass after CA",""),"")&amp;IF(AND(TRIM(U74)="Pass",AB74="Open"),"INVALID – corrective action still open: use Fail, then Pass after CA","")&amp;IF(AND(TRIM(U74)="Pass after CA",OR(TRIM(AA74)="",AB74&lt;&gt;"Closed")),"INVALID – corrective action not recorded/closed","")&lt;&gt;"",IF(AND(TRIM(U74)="Pass",ISNUMBER(AF74)),IF(AF74&lt;&gt;0,"INVALID – qty variance: use Fail or Pass after CA",""),"")&amp;IF(AND(TRIM(U74)="Pass",AB74="Open"),"INVALID – corrective action still open: use Fail, then Pass after CA","")&amp;IF(AND(TRIM(U74)="Pass after CA",OR(TRIM(AA74)="",AB74&lt;&gt;"Closed")),"INVALID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window"),IF(AG74&gt;Flights!$AA$7,"INVALID – completed after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f>
        <v/>
      </c>
      <c r="AI74" s="67">
        <f>IF(OR(AH74="N/A – RULE",AH74="N/A – JUSTIFIED"),0,1)</f>
        <v/>
      </c>
      <c r="AJ74" s="67">
        <f>IF(LEFT(AH74,8)="COMPLETE",1,0)</f>
        <v/>
      </c>
      <c r="AK74" s="67">
        <f>IF(AND(AI74=1,AJ74=0,AsOfUTC&gt;Q74),1,0)</f>
        <v/>
      </c>
      <c r="AL74" s="67">
        <f>IF(AND(AI74=1,OR(TRIM(U74)="Fail",AB74="Open",AND(ISNUMBER(AF74),AF74&lt;&gt;0,TRIM(U74)&lt;&gt;"Pass after CA"))),1,0)</f>
        <v/>
      </c>
      <c r="AM74" s="67">
        <f>IF(LEFT(AH74,7)="INVALID",1,0)</f>
        <v/>
      </c>
      <c r="AN74" s="67">
        <f>IF(AND(N74="Clarification required",AI74=1,AJ74=0),1,0)</f>
        <v/>
      </c>
      <c r="AO74" s="67">
        <f>IF(AK74=1,SUM(AK$5:AK74),"")</f>
        <v/>
      </c>
      <c r="AP74" s="67">
        <f>IF(AL74=1,SUM(AL$5:AL74),"")</f>
        <v/>
      </c>
      <c r="AQ74" s="67" t="n">
        <v>0</v>
      </c>
      <c r="AR74" s="67" t="n">
        <v>0</v>
      </c>
      <c r="AS74" s="67" t="n">
        <v>0</v>
      </c>
      <c r="AT74" s="67" t="n">
        <v>0</v>
      </c>
    </row>
    <row r="75" ht="40" customHeight="1">
      <c r="A75" s="63" t="inlineStr">
        <is>
          <t>F03-T7-07</t>
        </is>
      </c>
      <c r="B75" s="63" t="inlineStr">
        <is>
          <t>F03</t>
        </is>
      </c>
      <c r="C75" s="63">
        <f>Flights!$F$7</f>
        <v/>
      </c>
      <c r="D75" s="64">
        <f>Flights!$D$7</f>
        <v/>
      </c>
      <c r="E75" s="63">
        <f>Flights!$G$7&amp;"-"&amp;Flights!$H$7</f>
        <v/>
      </c>
      <c r="F75" s="63">
        <f>Flights!$K$7</f>
        <v/>
      </c>
      <c r="G75" s="63" t="inlineStr">
        <is>
          <t>T-7D</t>
        </is>
      </c>
      <c r="H75" s="63" t="inlineStr">
        <is>
          <t>Preparation</t>
        </is>
      </c>
      <c r="I75" s="63" t="inlineStr">
        <is>
          <t>Documents</t>
        </is>
      </c>
      <c r="J75" s="63" t="inlineStr">
        <is>
          <t>Galley loading diagram (GLD) received, revision recorded &amp; attached</t>
        </is>
      </c>
      <c r="K75" s="73" t="inlineStr">
        <is>
          <t>Documents sheet row complete</t>
        </is>
      </c>
      <c r="L75" s="73" t="inlineStr">
        <is>
          <t>User brief (T-7 days)</t>
        </is>
      </c>
      <c r="M75" s="73" t="inlineStr"/>
      <c r="N75" s="73" t="inlineStr">
        <is>
          <t>Required</t>
        </is>
      </c>
      <c r="O75" s="73" t="inlineStr"/>
      <c r="P75" s="63" t="inlineStr">
        <is>
          <t>CGK</t>
        </is>
      </c>
      <c r="Q75" s="65">
        <f>Flights!$AC$7</f>
        <v/>
      </c>
      <c r="R75" s="65">
        <f>Q75+(IF(AND(INDEX(TZ_DSTS,MATCH(P75,TZ_STN,0))&lt;&gt;"",Q75&gt;=INDEX(TZ_DSTS,MATCH(P75,TZ_STN,0)),Q75&lt;INDEX(TZ_DSTE,MATCH(P75,TZ_STN,0))),INDEX(TZ_DST,MATCH(P75,TZ_STN,0)),INDEX(TZ_STD,MATCH(P75,TZ_STN,0))))/24</f>
        <v/>
      </c>
      <c r="S75" s="65" t="inlineStr"/>
      <c r="T75" s="66" t="n"/>
      <c r="U75" s="66" t="n"/>
      <c r="V75" s="66" t="n"/>
      <c r="W75" s="67" t="n"/>
      <c r="X75" s="66" t="n"/>
      <c r="Y75" s="66" t="n"/>
      <c r="Z75" s="66" t="n"/>
      <c r="AA75" s="66" t="n"/>
      <c r="AB75" s="66" t="n"/>
      <c r="AC75" s="66" t="n"/>
      <c r="AD75" s="72" t="n"/>
      <c r="AE75" s="66" t="n"/>
      <c r="AF75" s="67">
        <f>IF(AND(ISNUMBER(X75),ISNUMBER(Y75)),Y75-X75,"")</f>
        <v/>
      </c>
      <c r="AG75" s="68">
        <f>IF(ISNUMBER(AD75),AD75-(IF(AND(INDEX(TZ_DSTS,MATCH(P75,TZ_STN,0))&lt;&gt;"",(AD75-INDEX(TZ_STD,MATCH(P75,TZ_STN,0))/24)&gt;=INDEX(TZ_DSTS,MATCH(P75,TZ_STN,0)),(AD75-INDEX(TZ_STD,MATCH(P75,TZ_STN,0))/24)&lt;INDEX(TZ_DSTE,MATCH(P75,TZ_STN,0))),INDEX(TZ_DST,MATCH(P75,TZ_STN,0)),INDEX(TZ_STD,MATCH(P75,TZ_STN,0))))/24,"")</f>
        <v/>
      </c>
      <c r="AH75" s="71">
        <f>IF(N75="N/A – rule","N/A – RULE",IF(TRIM(U75)="N/A",IF(AT75=0,"INVALID – N/A not permitted for this mandatory check",IF(AND(TRIM(AC75)&lt;&gt;"",TRIM(AE75)&lt;&gt;"",TRIM(T75)&lt;&gt;""),"N/A – JUSTIFIED","INVALID – N/A needs justification, PIC and verifier")),IF(OR(TRIM(U75)="Pass",TRIM(U75)="Pass after CA"),IF(NOT(ISNUMBER(AD75)),"INVALID – completion time missing",IF(TRIM(T75)="","INVALID – PIC missing",IF(TRIM(Z75)="","INVALID – evidence missing",IF(TRIM(AE75)="","INVALID – verifier missing",IF(AND(AQ75=1,TRIM(W75)=""),"INVALID – batch ID missing",IF(AND(AR75=1,OR(NOT(ISNUMBER(X75)),NOT(ISNUMBER(Y75)))),"INVALID – expected/actual qty missing",IF(IF(AND(TRIM(U75)="Pass",ISNUMBER(AF75)),IF(AF75&lt;&gt;0,"INVALID – qty variance: use Fail or Pass after CA",""),"")&amp;IF(AND(TRIM(U75)="Pass",AB75="Open"),"INVALID – corrective action still open: use Fail, then Pass after CA","")&amp;IF(AND(TRIM(U75)="Pass after CA",OR(TRIM(AA75)="",AB75&lt;&gt;"Closed")),"INVALID – corrective action not recorded/closed","")&lt;&gt;"",IF(AND(TRIM(U75)="Pass",ISNUMBER(AF75)),IF(AF75&lt;&gt;0,"INVALID – qty variance: use Fail or Pass after CA",""),"")&amp;IF(AND(TRIM(U75)="Pass",AB75="Open"),"INVALID – corrective action still open: use Fail, then Pass after CA","")&amp;IF(AND(TRIM(U75)="Pass after CA",OR(TRIM(AA75)="",AB75&lt;&gt;"Closed")),"INVALID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window"),IF(AG75&gt;Flights!$AA$7,"INVALID – completed after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f>
        <v/>
      </c>
      <c r="AI75" s="67">
        <f>IF(OR(AH75="N/A – RULE",AH75="N/A – JUSTIFIED"),0,1)</f>
        <v/>
      </c>
      <c r="AJ75" s="67">
        <f>IF(LEFT(AH75,8)="COMPLETE",1,0)</f>
        <v/>
      </c>
      <c r="AK75" s="67">
        <f>IF(AND(AI75=1,AJ75=0,AsOfUTC&gt;Q75),1,0)</f>
        <v/>
      </c>
      <c r="AL75" s="67">
        <f>IF(AND(AI75=1,OR(TRIM(U75)="Fail",AB75="Open",AND(ISNUMBER(AF75),AF75&lt;&gt;0,TRIM(U75)&lt;&gt;"Pass after CA"))),1,0)</f>
        <v/>
      </c>
      <c r="AM75" s="67">
        <f>IF(LEFT(AH75,7)="INVALID",1,0)</f>
        <v/>
      </c>
      <c r="AN75" s="67">
        <f>IF(AND(N75="Clarification required",AI75=1,AJ75=0),1,0)</f>
        <v/>
      </c>
      <c r="AO75" s="67">
        <f>IF(AK75=1,SUM(AK$5:AK75),"")</f>
        <v/>
      </c>
      <c r="AP75" s="67">
        <f>IF(AL75=1,SUM(AL$5:AL75),"")</f>
        <v/>
      </c>
      <c r="AQ75" s="67" t="n">
        <v>0</v>
      </c>
      <c r="AR75" s="67" t="n">
        <v>0</v>
      </c>
      <c r="AS75" s="67" t="n">
        <v>1</v>
      </c>
      <c r="AT75" s="67" t="n">
        <v>0</v>
      </c>
    </row>
    <row r="76" ht="40" customHeight="1">
      <c r="A76" s="63" t="inlineStr">
        <is>
          <t>F03-T7-08</t>
        </is>
      </c>
      <c r="B76" s="63" t="inlineStr">
        <is>
          <t>F03</t>
        </is>
      </c>
      <c r="C76" s="63">
        <f>Flights!$F$7</f>
        <v/>
      </c>
      <c r="D76" s="64">
        <f>Flights!$D$7</f>
        <v/>
      </c>
      <c r="E76" s="63">
        <f>Flights!$G$7&amp;"-"&amp;Flights!$H$7</f>
        <v/>
      </c>
      <c r="F76" s="63">
        <f>Flights!$K$7</f>
        <v/>
      </c>
      <c r="G76" s="63" t="inlineStr">
        <is>
          <t>T-7D</t>
        </is>
      </c>
      <c r="H76" s="63" t="inlineStr">
        <is>
          <t>Preparation</t>
        </is>
      </c>
      <c r="I76" s="63" t="inlineStr">
        <is>
          <t>Documents</t>
        </is>
      </c>
      <c r="J76" s="63" t="inlineStr">
        <is>
          <t>Menu checklist received, revision recorded &amp; attached</t>
        </is>
      </c>
      <c r="K76" s="73" t="inlineStr">
        <is>
          <t>Documents sheet row complete</t>
        </is>
      </c>
      <c r="L76" s="73" t="inlineStr">
        <is>
          <t>User brief (T-7 days)</t>
        </is>
      </c>
      <c r="M76" s="73" t="inlineStr"/>
      <c r="N76" s="73" t="inlineStr">
        <is>
          <t>Required</t>
        </is>
      </c>
      <c r="O76" s="73" t="inlineStr"/>
      <c r="P76" s="63" t="inlineStr">
        <is>
          <t>CGK</t>
        </is>
      </c>
      <c r="Q76" s="65">
        <f>Flights!$AC$7</f>
        <v/>
      </c>
      <c r="R76" s="65">
        <f>Q76+(IF(AND(INDEX(TZ_DSTS,MATCH(P76,TZ_STN,0))&lt;&gt;"",Q76&gt;=INDEX(TZ_DSTS,MATCH(P76,TZ_STN,0)),Q76&lt;INDEX(TZ_DSTE,MATCH(P76,TZ_STN,0))),INDEX(TZ_DST,MATCH(P76,TZ_STN,0)),INDEX(TZ_STD,MATCH(P76,TZ_STN,0))))/24</f>
        <v/>
      </c>
      <c r="S76" s="65" t="inlineStr"/>
      <c r="T76" s="66" t="n"/>
      <c r="U76" s="66" t="n"/>
      <c r="V76" s="66" t="n"/>
      <c r="W76" s="67" t="n"/>
      <c r="X76" s="66" t="n"/>
      <c r="Y76" s="66" t="n"/>
      <c r="Z76" s="66" t="n"/>
      <c r="AA76" s="66" t="n"/>
      <c r="AB76" s="66" t="n"/>
      <c r="AC76" s="66" t="n"/>
      <c r="AD76" s="72" t="n"/>
      <c r="AE76" s="66" t="n"/>
      <c r="AF76" s="67">
        <f>IF(AND(ISNUMBER(X76),ISNUMBER(Y76)),Y76-X76,"")</f>
        <v/>
      </c>
      <c r="AG76" s="68">
        <f>IF(ISNUMBER(AD76),AD76-(IF(AND(INDEX(TZ_DSTS,MATCH(P76,TZ_STN,0))&lt;&gt;"",(AD76-INDEX(TZ_STD,MATCH(P76,TZ_STN,0))/24)&gt;=INDEX(TZ_DSTS,MATCH(P76,TZ_STN,0)),(AD76-INDEX(TZ_STD,MATCH(P76,TZ_STN,0))/24)&lt;INDEX(TZ_DSTE,MATCH(P76,TZ_STN,0))),INDEX(TZ_DST,MATCH(P76,TZ_STN,0)),INDEX(TZ_STD,MATCH(P76,TZ_STN,0))))/24,"")</f>
        <v/>
      </c>
      <c r="AH76" s="71">
        <f>IF(N76="N/A – rule","N/A – RULE",IF(TRIM(U76)="N/A",IF(AT76=0,"INVALID – N/A not permitted for this mandatory check",IF(AND(TRIM(AC76)&lt;&gt;"",TRIM(AE76)&lt;&gt;"",TRIM(T76)&lt;&gt;""),"N/A – JUSTIFIED","INVALID – N/A needs justification, PIC and verifier")),IF(OR(TRIM(U76)="Pass",TRIM(U76)="Pass after CA"),IF(NOT(ISNUMBER(AD76)),"INVALID – completion time missing",IF(TRIM(T76)="","INVALID – PIC missing",IF(TRIM(Z76)="","INVALID – evidence missing",IF(TRIM(AE76)="","INVALID – verifier missing",IF(AND(AQ76=1,TRIM(W76)=""),"INVALID – batch ID missing",IF(AND(AR76=1,OR(NOT(ISNUMBER(X76)),NOT(ISNUMBER(Y76)))),"INVALID – expected/actual qty missing",IF(IF(AND(TRIM(U76)="Pass",ISNUMBER(AF76)),IF(AF76&lt;&gt;0,"INVALID – qty variance: use Fail or Pass after CA",""),"")&amp;IF(AND(TRIM(U76)="Pass",AB76="Open"),"INVALID – corrective action still open: use Fail, then Pass after CA","")&amp;IF(AND(TRIM(U76)="Pass after CA",OR(TRIM(AA76)="",AB76&lt;&gt;"Closed")),"INVALID – corrective action not recorded/closed","")&lt;&gt;"",IF(AND(TRIM(U76)="Pass",ISNUMBER(AF76)),IF(AF76&lt;&gt;0,"INVALID – qty variance: use Fail or Pass after CA",""),"")&amp;IF(AND(TRIM(U76)="Pass",AB76="Open"),"INVALID – corrective action still open: use Fail, then Pass after CA","")&amp;IF(AND(TRIM(U76)="Pass after CA",OR(TRIM(AA76)="",AB76&lt;&gt;"Closed")),"INVALID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window"),IF(AG76&gt;Flights!$AA$7,"INVALID – completed after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f>
        <v/>
      </c>
      <c r="AI76" s="67">
        <f>IF(OR(AH76="N/A – RULE",AH76="N/A – JUSTIFIED"),0,1)</f>
        <v/>
      </c>
      <c r="AJ76" s="67">
        <f>IF(LEFT(AH76,8)="COMPLETE",1,0)</f>
        <v/>
      </c>
      <c r="AK76" s="67">
        <f>IF(AND(AI76=1,AJ76=0,AsOfUTC&gt;Q76),1,0)</f>
        <v/>
      </c>
      <c r="AL76" s="67">
        <f>IF(AND(AI76=1,OR(TRIM(U76)="Fail",AB76="Open",AND(ISNUMBER(AF76),AF76&lt;&gt;0,TRIM(U76)&lt;&gt;"Pass after CA"))),1,0)</f>
        <v/>
      </c>
      <c r="AM76" s="67">
        <f>IF(LEFT(AH76,7)="INVALID",1,0)</f>
        <v/>
      </c>
      <c r="AN76" s="67">
        <f>IF(AND(N76="Clarification required",AI76=1,AJ76=0),1,0)</f>
        <v/>
      </c>
      <c r="AO76" s="67">
        <f>IF(AK76=1,SUM(AK$5:AK76),"")</f>
        <v/>
      </c>
      <c r="AP76" s="67">
        <f>IF(AL76=1,SUM(AL$5:AL76),"")</f>
        <v/>
      </c>
      <c r="AQ76" s="67" t="n">
        <v>0</v>
      </c>
      <c r="AR76" s="67" t="n">
        <v>0</v>
      </c>
      <c r="AS76" s="67" t="n">
        <v>2</v>
      </c>
      <c r="AT76" s="67" t="n">
        <v>0</v>
      </c>
    </row>
    <row r="77" ht="40" customHeight="1">
      <c r="A77" s="63" t="inlineStr">
        <is>
          <t>F03-T7-09</t>
        </is>
      </c>
      <c r="B77" s="63" t="inlineStr">
        <is>
          <t>F03</t>
        </is>
      </c>
      <c r="C77" s="63">
        <f>Flights!$F$7</f>
        <v/>
      </c>
      <c r="D77" s="64">
        <f>Flights!$D$7</f>
        <v/>
      </c>
      <c r="E77" s="63">
        <f>Flights!$G$7&amp;"-"&amp;Flights!$H$7</f>
        <v/>
      </c>
      <c r="F77" s="63">
        <f>Flights!$K$7</f>
        <v/>
      </c>
      <c r="G77" s="63" t="inlineStr">
        <is>
          <t>T-7D</t>
        </is>
      </c>
      <c r="H77" s="63" t="inlineStr">
        <is>
          <t>Preparation</t>
        </is>
      </c>
      <c r="I77" s="63" t="inlineStr">
        <is>
          <t>Uplift plan</t>
        </is>
      </c>
      <c r="J77" s="63" t="inlineStr">
        <is>
          <t>Uplift plan confirmed with caterer vs STD Uplift Information</t>
        </is>
      </c>
      <c r="K77" s="73" t="inlineStr">
        <is>
          <t>Service: 1 Meal (Meal); meal uplift stn CGK (ref lists KUL/CGK)</t>
        </is>
      </c>
      <c r="L77" s="73" t="inlineStr">
        <is>
          <t>STD UPLIFT INFORMATION.xlsx &gt; CATERING UPLIFT STN!C47:G47</t>
        </is>
      </c>
      <c r="M77" s="73" t="inlineStr"/>
      <c r="N77" s="73" t="inlineStr">
        <is>
          <t>Required</t>
        </is>
      </c>
      <c r="O77" s="73" t="inlineStr"/>
      <c r="P77" s="63" t="inlineStr">
        <is>
          <t>CGK</t>
        </is>
      </c>
      <c r="Q77" s="65">
        <f>Flights!$AC$7</f>
        <v/>
      </c>
      <c r="R77" s="65">
        <f>Q77+(IF(AND(INDEX(TZ_DSTS,MATCH(P77,TZ_STN,0))&lt;&gt;"",Q77&gt;=INDEX(TZ_DSTS,MATCH(P77,TZ_STN,0)),Q77&lt;INDEX(TZ_DSTE,MATCH(P77,TZ_STN,0))),INDEX(TZ_DST,MATCH(P77,TZ_STN,0)),INDEX(TZ_STD,MATCH(P77,TZ_STN,0))))/24</f>
        <v/>
      </c>
      <c r="S77" s="65" t="inlineStr"/>
      <c r="T77" s="66" t="n"/>
      <c r="U77" s="66" t="n"/>
      <c r="V77" s="66" t="n"/>
      <c r="W77" s="67" t="n"/>
      <c r="X77" s="66" t="n"/>
      <c r="Y77" s="66" t="n"/>
      <c r="Z77" s="66" t="n"/>
      <c r="AA77" s="66" t="n"/>
      <c r="AB77" s="66" t="n"/>
      <c r="AC77" s="66" t="n"/>
      <c r="AD77" s="72" t="n"/>
      <c r="AE77" s="66" t="n"/>
      <c r="AF77" s="67">
        <f>IF(AND(ISNUMBER(X77),ISNUMBER(Y77)),Y77-X77,"")</f>
        <v/>
      </c>
      <c r="AG77" s="68">
        <f>IF(ISNUMBER(AD77),AD77-(IF(AND(INDEX(TZ_DSTS,MATCH(P77,TZ_STN,0))&lt;&gt;"",(AD77-INDEX(TZ_STD,MATCH(P77,TZ_STN,0))/24)&gt;=INDEX(TZ_DSTS,MATCH(P77,TZ_STN,0)),(AD77-INDEX(TZ_STD,MATCH(P77,TZ_STN,0))/24)&lt;INDEX(TZ_DSTE,MATCH(P77,TZ_STN,0))),INDEX(TZ_DST,MATCH(P77,TZ_STN,0)),INDEX(TZ_STD,MATCH(P77,TZ_STN,0))))/24,"")</f>
        <v/>
      </c>
      <c r="AH77" s="71">
        <f>IF(N77="N/A – rule","N/A – RULE",IF(TRIM(U77)="N/A",IF(AT77=0,"INVALID – N/A not permitted for this mandatory check",IF(AND(TRIM(AC77)&lt;&gt;"",TRIM(AE77)&lt;&gt;"",TRIM(T77)&lt;&gt;""),"N/A – JUSTIFIED","INVALID – N/A needs justification, PIC and verifier")),IF(OR(TRIM(U77)="Pass",TRIM(U77)="Pass after CA"),IF(NOT(ISNUMBER(AD77)),"INVALID – completion time missing",IF(TRIM(T77)="","INVALID – PIC missing",IF(TRIM(Z77)="","INVALID – evidence missing",IF(TRIM(AE77)="","INVALID – verifier missing",IF(AND(AQ77=1,TRIM(W77)=""),"INVALID – batch ID missing",IF(AND(AR77=1,OR(NOT(ISNUMBER(X77)),NOT(ISNUMBER(Y77)))),"INVALID – expected/actual qty missing",IF(IF(AND(TRIM(U77)="Pass",ISNUMBER(AF77)),IF(AF77&lt;&gt;0,"INVALID – qty variance: use Fail or Pass after CA",""),"")&amp;IF(AND(TRIM(U77)="Pass",AB77="Open"),"INVALID – corrective action still open: use Fail, then Pass after CA","")&amp;IF(AND(TRIM(U77)="Pass after CA",OR(TRIM(AA77)="",AB77&lt;&gt;"Closed")),"INVALID – corrective action not recorded/closed","")&lt;&gt;"",IF(AND(TRIM(U77)="Pass",ISNUMBER(AF77)),IF(AF77&lt;&gt;0,"INVALID – qty variance: use Fail or Pass after CA",""),"")&amp;IF(AND(TRIM(U77)="Pass",AB77="Open"),"INVALID – corrective action still open: use Fail, then Pass after CA","")&amp;IF(AND(TRIM(U77)="Pass after CA",OR(TRIM(AA77)="",AB77&lt;&gt;"Closed")),"INVALID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window"),IF(AG77&gt;Flights!$AA$7,"INVALID – completed after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f>
        <v/>
      </c>
      <c r="AI77" s="67">
        <f>IF(OR(AH77="N/A – RULE",AH77="N/A – JUSTIFIED"),0,1)</f>
        <v/>
      </c>
      <c r="AJ77" s="67">
        <f>IF(LEFT(AH77,8)="COMPLETE",1,0)</f>
        <v/>
      </c>
      <c r="AK77" s="67">
        <f>IF(AND(AI77=1,AJ77=0,AsOfUTC&gt;Q77),1,0)</f>
        <v/>
      </c>
      <c r="AL77" s="67">
        <f>IF(AND(AI77=1,OR(TRIM(U77)="Fail",AB77="Open",AND(ISNUMBER(AF77),AF77&lt;&gt;0,TRIM(U77)&lt;&gt;"Pass after CA"))),1,0)</f>
        <v/>
      </c>
      <c r="AM77" s="67">
        <f>IF(LEFT(AH77,7)="INVALID",1,0)</f>
        <v/>
      </c>
      <c r="AN77" s="67">
        <f>IF(AND(N77="Clarification required",AI77=1,AJ77=0),1,0)</f>
        <v/>
      </c>
      <c r="AO77" s="67">
        <f>IF(AK77=1,SUM(AK$5:AK77),"")</f>
        <v/>
      </c>
      <c r="AP77" s="67">
        <f>IF(AL77=1,SUM(AL$5:AL77),"")</f>
        <v/>
      </c>
      <c r="AQ77" s="67" t="n">
        <v>0</v>
      </c>
      <c r="AR77" s="67" t="n">
        <v>0</v>
      </c>
      <c r="AS77" s="67" t="n">
        <v>0</v>
      </c>
      <c r="AT77" s="67" t="n">
        <v>0</v>
      </c>
    </row>
    <row r="78" ht="40" customHeight="1">
      <c r="A78" s="63" t="inlineStr">
        <is>
          <t>F03-T24-01</t>
        </is>
      </c>
      <c r="B78" s="63" t="inlineStr">
        <is>
          <t>F03</t>
        </is>
      </c>
      <c r="C78" s="63">
        <f>Flights!$F$7</f>
        <v/>
      </c>
      <c r="D78" s="64">
        <f>Flights!$D$7</f>
        <v/>
      </c>
      <c r="E78" s="63">
        <f>Flights!$G$7&amp;"-"&amp;Flights!$H$7</f>
        <v/>
      </c>
      <c r="F78" s="63">
        <f>Flights!$K$7</f>
        <v/>
      </c>
      <c r="G78" s="63" t="inlineStr">
        <is>
          <t>T-24H</t>
        </is>
      </c>
      <c r="H78" s="63" t="inlineStr">
        <is>
          <t>Preparation</t>
        </is>
      </c>
      <c r="I78" s="63" t="inlineStr">
        <is>
          <t>Meal</t>
        </is>
      </c>
      <c r="J78" s="63" t="inlineStr">
        <is>
          <t>Sensory test repeated on ACTUAL production batch for this flight</t>
        </is>
      </c>
      <c r="K78" s="73" t="inlineStr">
        <is>
          <t>Batch ID, result, CA and acceptance mandatory</t>
        </is>
      </c>
      <c r="L78" s="73" t="inlineStr">
        <is>
          <t>User brief (T-24 hours)</t>
        </is>
      </c>
      <c r="M78" s="73" t="inlineStr"/>
      <c r="N78" s="73" t="inlineStr">
        <is>
          <t>Required</t>
        </is>
      </c>
      <c r="O78" s="73" t="inlineStr"/>
      <c r="P78" s="63" t="inlineStr">
        <is>
          <t>CGK</t>
        </is>
      </c>
      <c r="Q78" s="65">
        <f>Flights!$AD$7</f>
        <v/>
      </c>
      <c r="R78" s="65">
        <f>Q78+(IF(AND(INDEX(TZ_DSTS,MATCH(P78,TZ_STN,0))&lt;&gt;"",Q78&gt;=INDEX(TZ_DSTS,MATCH(P78,TZ_STN,0)),Q78&lt;INDEX(TZ_DSTE,MATCH(P78,TZ_STN,0))),INDEX(TZ_DST,MATCH(P78,TZ_STN,0)),INDEX(TZ_STD,MATCH(P78,TZ_STN,0))))/24</f>
        <v/>
      </c>
      <c r="S78" s="65">
        <f>Q78-T24EarlyH/24</f>
        <v/>
      </c>
      <c r="T78" s="66" t="n"/>
      <c r="U78" s="66" t="n"/>
      <c r="V78" s="66" t="n"/>
      <c r="W78" s="66" t="n"/>
      <c r="X78" s="66" t="n"/>
      <c r="Y78" s="66" t="n"/>
      <c r="Z78" s="66" t="n"/>
      <c r="AA78" s="66" t="n"/>
      <c r="AB78" s="66" t="n"/>
      <c r="AC78" s="66" t="n"/>
      <c r="AD78" s="72" t="n"/>
      <c r="AE78" s="66" t="n"/>
      <c r="AF78" s="67">
        <f>IF(AND(ISNUMBER(X78),ISNUMBER(Y78)),Y78-X78,"")</f>
        <v/>
      </c>
      <c r="AG78" s="68">
        <f>IF(ISNUMBER(AD78),AD78-(IF(AND(INDEX(TZ_DSTS,MATCH(P78,TZ_STN,0))&lt;&gt;"",(AD78-INDEX(TZ_STD,MATCH(P78,TZ_STN,0))/24)&gt;=INDEX(TZ_DSTS,MATCH(P78,TZ_STN,0)),(AD78-INDEX(TZ_STD,MATCH(P78,TZ_STN,0))/24)&lt;INDEX(TZ_DSTE,MATCH(P78,TZ_STN,0))),INDEX(TZ_DST,MATCH(P78,TZ_STN,0)),INDEX(TZ_STD,MATCH(P78,TZ_STN,0))))/24,"")</f>
        <v/>
      </c>
      <c r="AH78" s="71">
        <f>IF(N78="N/A – rule","N/A – RULE",IF(TRIM(U78)="N/A",IF(AT78=0,"INVALID – N/A not permitted for this mandatory check",IF(AND(TRIM(AC78)&lt;&gt;"",TRIM(AE78)&lt;&gt;"",TRIM(T78)&lt;&gt;""),"N/A – JUSTIFIED","INVALID – N/A needs justification, PIC and verifier")),IF(OR(TRIM(U78)="Pass",TRIM(U78)="Pass after CA"),IF(NOT(ISNUMBER(AD78)),"INVALID – completion time missing",IF(TRIM(T78)="","INVALID – PIC missing",IF(TRIM(Z78)="","INVALID – evidence missing",IF(TRIM(AE78)="","INVALID – verifier missing",IF(AND(AQ78=1,TRIM(W78)=""),"INVALID – batch ID missing",IF(AND(AR78=1,OR(NOT(ISNUMBER(X78)),NOT(ISNUMBER(Y78)))),"INVALID – expected/actual qty missing",IF(IF(AND(TRIM(U78)="Pass",ISNUMBER(AF78)),IF(AF78&lt;&gt;0,"INVALID – qty variance: use Fail or Pass after CA",""),"")&amp;IF(AND(TRIM(U78)="Pass",AB78="Open"),"INVALID – corrective action still open: use Fail, then Pass after CA","")&amp;IF(AND(TRIM(U78)="Pass after CA",OR(TRIM(AA78)="",AB78&lt;&gt;"Closed")),"INVALID – corrective action not recorded/closed","")&lt;&gt;"",IF(AND(TRIM(U78)="Pass",ISNUMBER(AF78)),IF(AF78&lt;&gt;0,"INVALID – qty variance: use Fail or Pass after CA",""),"")&amp;IF(AND(TRIM(U78)="Pass",AB78="Open"),"INVALID – corrective action still open: use Fail, then Pass after CA","")&amp;IF(AND(TRIM(U78)="Pass after CA",OR(TRIM(AA78)="",AB78&lt;&gt;"Closed")),"INVALID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window"),IF(AG78&gt;Flights!$AA$7,"INVALID – completed after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f>
        <v/>
      </c>
      <c r="AI78" s="67">
        <f>IF(OR(AH78="N/A – RULE",AH78="N/A – JUSTIFIED"),0,1)</f>
        <v/>
      </c>
      <c r="AJ78" s="67">
        <f>IF(LEFT(AH78,8)="COMPLETE",1,0)</f>
        <v/>
      </c>
      <c r="AK78" s="67">
        <f>IF(AND(AI78=1,AJ78=0,AsOfUTC&gt;Q78),1,0)</f>
        <v/>
      </c>
      <c r="AL78" s="67">
        <f>IF(AND(AI78=1,OR(TRIM(U78)="Fail",AB78="Open",AND(ISNUMBER(AF78),AF78&lt;&gt;0,TRIM(U78)&lt;&gt;"Pass after CA"))),1,0)</f>
        <v/>
      </c>
      <c r="AM78" s="67">
        <f>IF(LEFT(AH78,7)="INVALID",1,0)</f>
        <v/>
      </c>
      <c r="AN78" s="67">
        <f>IF(AND(N78="Clarification required",AI78=1,AJ78=0),1,0)</f>
        <v/>
      </c>
      <c r="AO78" s="67">
        <f>IF(AK78=1,SUM(AK$5:AK78),"")</f>
        <v/>
      </c>
      <c r="AP78" s="67">
        <f>IF(AL78=1,SUM(AL$5:AL78),"")</f>
        <v/>
      </c>
      <c r="AQ78" s="67" t="n">
        <v>1</v>
      </c>
      <c r="AR78" s="67" t="n">
        <v>0</v>
      </c>
      <c r="AS78" s="67" t="n">
        <v>0</v>
      </c>
      <c r="AT78" s="67" t="n">
        <v>0</v>
      </c>
    </row>
    <row r="79" ht="40" customHeight="1">
      <c r="A79" s="63" t="inlineStr">
        <is>
          <t>F03-T12-01</t>
        </is>
      </c>
      <c r="B79" s="63" t="inlineStr">
        <is>
          <t>F03</t>
        </is>
      </c>
      <c r="C79" s="63">
        <f>Flights!$F$7</f>
        <v/>
      </c>
      <c r="D79" s="64">
        <f>Flights!$D$7</f>
        <v/>
      </c>
      <c r="E79" s="63">
        <f>Flights!$G$7&amp;"-"&amp;Flights!$H$7</f>
        <v/>
      </c>
      <c r="F79" s="63">
        <f>Flights!$K$7</f>
        <v/>
      </c>
      <c r="G79" s="63" t="inlineStr">
        <is>
          <t>T-12H PREP</t>
        </is>
      </c>
      <c r="H79" s="63" t="inlineStr">
        <is>
          <t>Preparation</t>
        </is>
      </c>
      <c r="I79" s="63" t="inlineStr">
        <is>
          <t>Meal</t>
        </is>
      </c>
      <c r="J79" s="63" t="inlineStr">
        <is>
          <t>Meal quality vs menu checklist</t>
        </is>
      </c>
      <c r="K79" s="73" t="inlineStr"/>
      <c r="L79" s="73" t="inlineStr">
        <is>
          <t>User brief (T-12 hours)</t>
        </is>
      </c>
      <c r="M79" s="73" t="inlineStr"/>
      <c r="N79" s="73" t="inlineStr">
        <is>
          <t>Required</t>
        </is>
      </c>
      <c r="O79" s="73" t="inlineStr">
        <is>
          <t>Preparation check at caterer - does NOT confirm loading.</t>
        </is>
      </c>
      <c r="P79" s="63" t="inlineStr">
        <is>
          <t>CGK</t>
        </is>
      </c>
      <c r="Q79" s="65">
        <f>Flights!$AE$7</f>
        <v/>
      </c>
      <c r="R79" s="65">
        <f>Q79+(IF(AND(INDEX(TZ_DSTS,MATCH(P79,TZ_STN,0))&lt;&gt;"",Q79&gt;=INDEX(TZ_DSTS,MATCH(P79,TZ_STN,0)),Q79&lt;INDEX(TZ_DSTE,MATCH(P79,TZ_STN,0))),INDEX(TZ_DST,MATCH(P79,TZ_STN,0)),INDEX(TZ_STD,MATCH(P79,TZ_STN,0))))/24</f>
        <v/>
      </c>
      <c r="S79" s="65">
        <f>Q79-T12EarlyH/24</f>
        <v/>
      </c>
      <c r="T79" s="66" t="n"/>
      <c r="U79" s="66" t="n"/>
      <c r="V79" s="66" t="n"/>
      <c r="W79" s="67" t="n"/>
      <c r="X79" s="66" t="n"/>
      <c r="Y79" s="66" t="n"/>
      <c r="Z79" s="66" t="n"/>
      <c r="AA79" s="66" t="n"/>
      <c r="AB79" s="66" t="n"/>
      <c r="AC79" s="66" t="n"/>
      <c r="AD79" s="72" t="n"/>
      <c r="AE79" s="66" t="n"/>
      <c r="AF79" s="67">
        <f>IF(AND(ISNUMBER(X79),ISNUMBER(Y79)),Y79-X79,"")</f>
        <v/>
      </c>
      <c r="AG79" s="68">
        <f>IF(ISNUMBER(AD79),AD79-(IF(AND(INDEX(TZ_DSTS,MATCH(P79,TZ_STN,0))&lt;&gt;"",(AD79-INDEX(TZ_STD,MATCH(P79,TZ_STN,0))/24)&gt;=INDEX(TZ_DSTS,MATCH(P79,TZ_STN,0)),(AD79-INDEX(TZ_STD,MATCH(P79,TZ_STN,0))/24)&lt;INDEX(TZ_DSTE,MATCH(P79,TZ_STN,0))),INDEX(TZ_DST,MATCH(P79,TZ_STN,0)),INDEX(TZ_STD,MATCH(P79,TZ_STN,0))))/24,"")</f>
        <v/>
      </c>
      <c r="AH79" s="71">
        <f>IF(N79="N/A – rule","N/A – RULE",IF(TRIM(U79)="N/A",IF(AT79=0,"INVALID – N/A not permitted for this mandatory check",IF(AND(TRIM(AC79)&lt;&gt;"",TRIM(AE79)&lt;&gt;"",TRIM(T79)&lt;&gt;""),"N/A – JUSTIFIED","INVALID – N/A needs justification, PIC and verifier")),IF(OR(TRIM(U79)="Pass",TRIM(U79)="Pass after CA"),IF(NOT(ISNUMBER(AD79)),"INVALID – completion time missing",IF(TRIM(T79)="","INVALID – PIC missing",IF(TRIM(Z79)="","INVALID – evidence missing",IF(TRIM(AE79)="","INVALID – verifier missing",IF(AND(AQ79=1,TRIM(W79)=""),"INVALID – batch ID missing",IF(AND(AR79=1,OR(NOT(ISNUMBER(X79)),NOT(ISNUMBER(Y79)))),"INVALID – expected/actual qty missing",IF(IF(AND(TRIM(U79)="Pass",ISNUMBER(AF79)),IF(AF79&lt;&gt;0,"INVALID – qty variance: use Fail or Pass after CA",""),"")&amp;IF(AND(TRIM(U79)="Pass",AB79="Open"),"INVALID – corrective action still open: use Fail, then Pass after CA","")&amp;IF(AND(TRIM(U79)="Pass after CA",OR(TRIM(AA79)="",AB79&lt;&gt;"Closed")),"INVALID – corrective action not recorded/closed","")&lt;&gt;"",IF(AND(TRIM(U79)="Pass",ISNUMBER(AF79)),IF(AF79&lt;&gt;0,"INVALID – qty variance: use Fail or Pass after CA",""),"")&amp;IF(AND(TRIM(U79)="Pass",AB79="Open"),"INVALID – corrective action still open: use Fail, then Pass after CA","")&amp;IF(AND(TRIM(U79)="Pass after CA",OR(TRIM(AA79)="",AB79&lt;&gt;"Closed")),"INVALID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window"),IF(AG79&gt;Flights!$AA$7,"INVALID – completed after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f>
        <v/>
      </c>
      <c r="AI79" s="67">
        <f>IF(OR(AH79="N/A – RULE",AH79="N/A – JUSTIFIED"),0,1)</f>
        <v/>
      </c>
      <c r="AJ79" s="67">
        <f>IF(LEFT(AH79,8)="COMPLETE",1,0)</f>
        <v/>
      </c>
      <c r="AK79" s="67">
        <f>IF(AND(AI79=1,AJ79=0,AsOfUTC&gt;Q79),1,0)</f>
        <v/>
      </c>
      <c r="AL79" s="67">
        <f>IF(AND(AI79=1,OR(TRIM(U79)="Fail",AB79="Open",AND(ISNUMBER(AF79),AF79&lt;&gt;0,TRIM(U79)&lt;&gt;"Pass after CA"))),1,0)</f>
        <v/>
      </c>
      <c r="AM79" s="67">
        <f>IF(LEFT(AH79,7)="INVALID",1,0)</f>
        <v/>
      </c>
      <c r="AN79" s="67">
        <f>IF(AND(N79="Clarification required",AI79=1,AJ79=0),1,0)</f>
        <v/>
      </c>
      <c r="AO79" s="67">
        <f>IF(AK79=1,SUM(AK$5:AK79),"")</f>
        <v/>
      </c>
      <c r="AP79" s="67">
        <f>IF(AL79=1,SUM(AL$5:AL79),"")</f>
        <v/>
      </c>
      <c r="AQ79" s="67" t="n">
        <v>0</v>
      </c>
      <c r="AR79" s="67" t="n">
        <v>0</v>
      </c>
      <c r="AS79" s="67" t="n">
        <v>0</v>
      </c>
      <c r="AT79" s="67" t="n">
        <v>0</v>
      </c>
    </row>
    <row r="80" ht="40" customHeight="1">
      <c r="A80" s="63" t="inlineStr">
        <is>
          <t>F03-T12-02</t>
        </is>
      </c>
      <c r="B80" s="63" t="inlineStr">
        <is>
          <t>F03</t>
        </is>
      </c>
      <c r="C80" s="63">
        <f>Flights!$F$7</f>
        <v/>
      </c>
      <c r="D80" s="64">
        <f>Flights!$D$7</f>
        <v/>
      </c>
      <c r="E80" s="63">
        <f>Flights!$G$7&amp;"-"&amp;Flights!$H$7</f>
        <v/>
      </c>
      <c r="F80" s="63">
        <f>Flights!$K$7</f>
        <v/>
      </c>
      <c r="G80" s="63" t="inlineStr">
        <is>
          <t>T-12H PREP</t>
        </is>
      </c>
      <c r="H80" s="63" t="inlineStr">
        <is>
          <t>Preparation</t>
        </is>
      </c>
      <c r="I80" s="63" t="inlineStr">
        <is>
          <t>Meal</t>
        </is>
      </c>
      <c r="J80" s="63" t="inlineStr">
        <is>
          <t>Meal quantities vs menu checklist</t>
        </is>
      </c>
      <c r="K80" s="73" t="inlineStr">
        <is>
          <t>Enter expected &amp; actual</t>
        </is>
      </c>
      <c r="L80" s="73" t="inlineStr">
        <is>
          <t>User brief (T-12 hours)</t>
        </is>
      </c>
      <c r="M80" s="73" t="inlineStr"/>
      <c r="N80" s="73" t="inlineStr">
        <is>
          <t>Required</t>
        </is>
      </c>
      <c r="O80" s="73" t="inlineStr">
        <is>
          <t>Preparation check at caterer - does NOT confirm loading.</t>
        </is>
      </c>
      <c r="P80" s="63" t="inlineStr">
        <is>
          <t>CGK</t>
        </is>
      </c>
      <c r="Q80" s="65">
        <f>Flights!$AE$7</f>
        <v/>
      </c>
      <c r="R80" s="65">
        <f>Q80+(IF(AND(INDEX(TZ_DSTS,MATCH(P80,TZ_STN,0))&lt;&gt;"",Q80&gt;=INDEX(TZ_DSTS,MATCH(P80,TZ_STN,0)),Q80&lt;INDEX(TZ_DSTE,MATCH(P80,TZ_STN,0))),INDEX(TZ_DST,MATCH(P80,TZ_STN,0)),INDEX(TZ_STD,MATCH(P80,TZ_STN,0))))/24</f>
        <v/>
      </c>
      <c r="S80" s="65">
        <f>Q80-T12EarlyH/24</f>
        <v/>
      </c>
      <c r="T80" s="66" t="n"/>
      <c r="U80" s="66" t="n"/>
      <c r="V80" s="66" t="n"/>
      <c r="W80" s="67" t="n"/>
      <c r="X80" s="66" t="n"/>
      <c r="Y80" s="66" t="n"/>
      <c r="Z80" s="66" t="n"/>
      <c r="AA80" s="66" t="n"/>
      <c r="AB80" s="66" t="n"/>
      <c r="AC80" s="66" t="n"/>
      <c r="AD80" s="72" t="n"/>
      <c r="AE80" s="66" t="n"/>
      <c r="AF80" s="67">
        <f>IF(AND(ISNUMBER(X80),ISNUMBER(Y80)),Y80-X80,"")</f>
        <v/>
      </c>
      <c r="AG80" s="68">
        <f>IF(ISNUMBER(AD80),AD80-(IF(AND(INDEX(TZ_DSTS,MATCH(P80,TZ_STN,0))&lt;&gt;"",(AD80-INDEX(TZ_STD,MATCH(P80,TZ_STN,0))/24)&gt;=INDEX(TZ_DSTS,MATCH(P80,TZ_STN,0)),(AD80-INDEX(TZ_STD,MATCH(P80,TZ_STN,0))/24)&lt;INDEX(TZ_DSTE,MATCH(P80,TZ_STN,0))),INDEX(TZ_DST,MATCH(P80,TZ_STN,0)),INDEX(TZ_STD,MATCH(P80,TZ_STN,0))))/24,"")</f>
        <v/>
      </c>
      <c r="AH80" s="71">
        <f>IF(N80="N/A – rule","N/A – RULE",IF(TRIM(U80)="N/A",IF(AT80=0,"INVALID – N/A not permitted for this mandatory check",IF(AND(TRIM(AC80)&lt;&gt;"",TRIM(AE80)&lt;&gt;"",TRIM(T80)&lt;&gt;""),"N/A – JUSTIFIED","INVALID – N/A needs justification, PIC and verifier")),IF(OR(TRIM(U80)="Pass",TRIM(U80)="Pass after CA"),IF(NOT(ISNUMBER(AD80)),"INVALID – completion time missing",IF(TRIM(T80)="","INVALID – PIC missing",IF(TRIM(Z80)="","INVALID – evidence missing",IF(TRIM(AE80)="","INVALID – verifier missing",IF(AND(AQ80=1,TRIM(W80)=""),"INVALID – batch ID missing",IF(AND(AR80=1,OR(NOT(ISNUMBER(X80)),NOT(ISNUMBER(Y80)))),"INVALID – expected/actual qty missing",IF(IF(AND(TRIM(U80)="Pass",ISNUMBER(AF80)),IF(AF80&lt;&gt;0,"INVALID – qty variance: use Fail or Pass after CA",""),"")&amp;IF(AND(TRIM(U80)="Pass",AB80="Open"),"INVALID – corrective action still open: use Fail, then Pass after CA","")&amp;IF(AND(TRIM(U80)="Pass after CA",OR(TRIM(AA80)="",AB80&lt;&gt;"Closed")),"INVALID – corrective action not recorded/closed","")&lt;&gt;"",IF(AND(TRIM(U80)="Pass",ISNUMBER(AF80)),IF(AF80&lt;&gt;0,"INVALID – qty variance: use Fail or Pass after CA",""),"")&amp;IF(AND(TRIM(U80)="Pass",AB80="Open"),"INVALID – corrective action still open: use Fail, then Pass after CA","")&amp;IF(AND(TRIM(U80)="Pass after CA",OR(TRIM(AA80)="",AB80&lt;&gt;"Closed")),"INVALID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window"),IF(AG80&gt;Flights!$AA$7,"INVALID – completed after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f>
        <v/>
      </c>
      <c r="AI80" s="67">
        <f>IF(OR(AH80="N/A – RULE",AH80="N/A – JUSTIFIED"),0,1)</f>
        <v/>
      </c>
      <c r="AJ80" s="67">
        <f>IF(LEFT(AH80,8)="COMPLETE",1,0)</f>
        <v/>
      </c>
      <c r="AK80" s="67">
        <f>IF(AND(AI80=1,AJ80=0,AsOfUTC&gt;Q80),1,0)</f>
        <v/>
      </c>
      <c r="AL80" s="67">
        <f>IF(AND(AI80=1,OR(TRIM(U80)="Fail",AB80="Open",AND(ISNUMBER(AF80),AF80&lt;&gt;0,TRIM(U80)&lt;&gt;"Pass after CA"))),1,0)</f>
        <v/>
      </c>
      <c r="AM80" s="67">
        <f>IF(LEFT(AH80,7)="INVALID",1,0)</f>
        <v/>
      </c>
      <c r="AN80" s="67">
        <f>IF(AND(N80="Clarification required",AI80=1,AJ80=0),1,0)</f>
        <v/>
      </c>
      <c r="AO80" s="67">
        <f>IF(AK80=1,SUM(AK$5:AK80),"")</f>
        <v/>
      </c>
      <c r="AP80" s="67">
        <f>IF(AL80=1,SUM(AL$5:AL80),"")</f>
        <v/>
      </c>
      <c r="AQ80" s="67" t="n">
        <v>0</v>
      </c>
      <c r="AR80" s="67" t="n">
        <v>1</v>
      </c>
      <c r="AS80" s="67" t="n">
        <v>0</v>
      </c>
      <c r="AT80" s="67" t="n">
        <v>0</v>
      </c>
    </row>
    <row r="81" ht="40" customHeight="1">
      <c r="A81" s="63" t="inlineStr">
        <is>
          <t>F03-T12-03</t>
        </is>
      </c>
      <c r="B81" s="63" t="inlineStr">
        <is>
          <t>F03</t>
        </is>
      </c>
      <c r="C81" s="63">
        <f>Flights!$F$7</f>
        <v/>
      </c>
      <c r="D81" s="64">
        <f>Flights!$D$7</f>
        <v/>
      </c>
      <c r="E81" s="63">
        <f>Flights!$G$7&amp;"-"&amp;Flights!$H$7</f>
        <v/>
      </c>
      <c r="F81" s="63">
        <f>Flights!$K$7</f>
        <v/>
      </c>
      <c r="G81" s="63" t="inlineStr">
        <is>
          <t>T-12H PREP</t>
        </is>
      </c>
      <c r="H81" s="63" t="inlineStr">
        <is>
          <t>Preparation</t>
        </is>
      </c>
      <c r="I81" s="63" t="inlineStr">
        <is>
          <t>Equipment</t>
        </is>
      </c>
      <c r="J81" s="63" t="inlineStr">
        <is>
          <t>Equipment cleanliness vs GLD</t>
        </is>
      </c>
      <c r="K81" s="73" t="inlineStr"/>
      <c r="L81" s="73" t="inlineStr">
        <is>
          <t>User brief (T-12 hours)</t>
        </is>
      </c>
      <c r="M81" s="73" t="inlineStr"/>
      <c r="N81" s="73" t="inlineStr">
        <is>
          <t>Required</t>
        </is>
      </c>
      <c r="O81" s="73" t="inlineStr">
        <is>
          <t>Preparation check at caterer - does NOT confirm loading.</t>
        </is>
      </c>
      <c r="P81" s="63" t="inlineStr">
        <is>
          <t>CGK</t>
        </is>
      </c>
      <c r="Q81" s="65">
        <f>Flights!$AE$7</f>
        <v/>
      </c>
      <c r="R81" s="65">
        <f>Q81+(IF(AND(INDEX(TZ_DSTS,MATCH(P81,TZ_STN,0))&lt;&gt;"",Q81&gt;=INDEX(TZ_DSTS,MATCH(P81,TZ_STN,0)),Q81&lt;INDEX(TZ_DSTE,MATCH(P81,TZ_STN,0))),INDEX(TZ_DST,MATCH(P81,TZ_STN,0)),INDEX(TZ_STD,MATCH(P81,TZ_STN,0))))/24</f>
        <v/>
      </c>
      <c r="S81" s="65">
        <f>Q81-T12EarlyH/24</f>
        <v/>
      </c>
      <c r="T81" s="66" t="n"/>
      <c r="U81" s="66" t="n"/>
      <c r="V81" s="66" t="n"/>
      <c r="W81" s="67" t="n"/>
      <c r="X81" s="66" t="n"/>
      <c r="Y81" s="66" t="n"/>
      <c r="Z81" s="66" t="n"/>
      <c r="AA81" s="66" t="n"/>
      <c r="AB81" s="66" t="n"/>
      <c r="AC81" s="66" t="n"/>
      <c r="AD81" s="72" t="n"/>
      <c r="AE81" s="66" t="n"/>
      <c r="AF81" s="67">
        <f>IF(AND(ISNUMBER(X81),ISNUMBER(Y81)),Y81-X81,"")</f>
        <v/>
      </c>
      <c r="AG81" s="68">
        <f>IF(ISNUMBER(AD81),AD81-(IF(AND(INDEX(TZ_DSTS,MATCH(P81,TZ_STN,0))&lt;&gt;"",(AD81-INDEX(TZ_STD,MATCH(P81,TZ_STN,0))/24)&gt;=INDEX(TZ_DSTS,MATCH(P81,TZ_STN,0)),(AD81-INDEX(TZ_STD,MATCH(P81,TZ_STN,0))/24)&lt;INDEX(TZ_DSTE,MATCH(P81,TZ_STN,0))),INDEX(TZ_DST,MATCH(P81,TZ_STN,0)),INDEX(TZ_STD,MATCH(P81,TZ_STN,0))))/24,"")</f>
        <v/>
      </c>
      <c r="AH81" s="71">
        <f>IF(N81="N/A – rule","N/A – RULE",IF(TRIM(U81)="N/A",IF(AT81=0,"INVALID – N/A not permitted for this mandatory check",IF(AND(TRIM(AC81)&lt;&gt;"",TRIM(AE81)&lt;&gt;"",TRIM(T81)&lt;&gt;""),"N/A – JUSTIFIED","INVALID – N/A needs justification, PIC and verifier")),IF(OR(TRIM(U81)="Pass",TRIM(U81)="Pass after CA"),IF(NOT(ISNUMBER(AD81)),"INVALID – completion time missing",IF(TRIM(T81)="","INVALID – PIC missing",IF(TRIM(Z81)="","INVALID – evidence missing",IF(TRIM(AE81)="","INVALID – verifier missing",IF(AND(AQ81=1,TRIM(W81)=""),"INVALID – batch ID missing",IF(AND(AR81=1,OR(NOT(ISNUMBER(X81)),NOT(ISNUMBER(Y81)))),"INVALID – expected/actual qty missing",IF(IF(AND(TRIM(U81)="Pass",ISNUMBER(AF81)),IF(AF81&lt;&gt;0,"INVALID – qty variance: use Fail or Pass after CA",""),"")&amp;IF(AND(TRIM(U81)="Pass",AB81="Open"),"INVALID – corrective action still open: use Fail, then Pass after CA","")&amp;IF(AND(TRIM(U81)="Pass after CA",OR(TRIM(AA81)="",AB81&lt;&gt;"Closed")),"INVALID – corrective action not recorded/closed","")&lt;&gt;"",IF(AND(TRIM(U81)="Pass",ISNUMBER(AF81)),IF(AF81&lt;&gt;0,"INVALID – qty variance: use Fail or Pass after CA",""),"")&amp;IF(AND(TRIM(U81)="Pass",AB81="Open"),"INVALID – corrective action still open: use Fail, then Pass after CA","")&amp;IF(AND(TRIM(U81)="Pass after CA",OR(TRIM(AA81)="",AB81&lt;&gt;"Closed")),"INVALID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window"),IF(AG81&gt;Flights!$AA$7,"INVALID – completed after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f>
        <v/>
      </c>
      <c r="AI81" s="67">
        <f>IF(OR(AH81="N/A – RULE",AH81="N/A – JUSTIFIED"),0,1)</f>
        <v/>
      </c>
      <c r="AJ81" s="67">
        <f>IF(LEFT(AH81,8)="COMPLETE",1,0)</f>
        <v/>
      </c>
      <c r="AK81" s="67">
        <f>IF(AND(AI81=1,AJ81=0,AsOfUTC&gt;Q81),1,0)</f>
        <v/>
      </c>
      <c r="AL81" s="67">
        <f>IF(AND(AI81=1,OR(TRIM(U81)="Fail",AB81="Open",AND(ISNUMBER(AF81),AF81&lt;&gt;0,TRIM(U81)&lt;&gt;"Pass after CA"))),1,0)</f>
        <v/>
      </c>
      <c r="AM81" s="67">
        <f>IF(LEFT(AH81,7)="INVALID",1,0)</f>
        <v/>
      </c>
      <c r="AN81" s="67">
        <f>IF(AND(N81="Clarification required",AI81=1,AJ81=0),1,0)</f>
        <v/>
      </c>
      <c r="AO81" s="67">
        <f>IF(AK81=1,SUM(AK$5:AK81),"")</f>
        <v/>
      </c>
      <c r="AP81" s="67">
        <f>IF(AL81=1,SUM(AL$5:AL81),"")</f>
        <v/>
      </c>
      <c r="AQ81" s="67" t="n">
        <v>0</v>
      </c>
      <c r="AR81" s="67" t="n">
        <v>0</v>
      </c>
      <c r="AS81" s="67" t="n">
        <v>0</v>
      </c>
      <c r="AT81" s="67" t="n">
        <v>0</v>
      </c>
    </row>
    <row r="82" ht="40" customHeight="1">
      <c r="A82" s="63" t="inlineStr">
        <is>
          <t>F03-T12-04</t>
        </is>
      </c>
      <c r="B82" s="63" t="inlineStr">
        <is>
          <t>F03</t>
        </is>
      </c>
      <c r="C82" s="63">
        <f>Flights!$F$7</f>
        <v/>
      </c>
      <c r="D82" s="64">
        <f>Flights!$D$7</f>
        <v/>
      </c>
      <c r="E82" s="63">
        <f>Flights!$G$7&amp;"-"&amp;Flights!$H$7</f>
        <v/>
      </c>
      <c r="F82" s="63">
        <f>Flights!$K$7</f>
        <v/>
      </c>
      <c r="G82" s="63" t="inlineStr">
        <is>
          <t>T-12H PREP</t>
        </is>
      </c>
      <c r="H82" s="63" t="inlineStr">
        <is>
          <t>Preparation</t>
        </is>
      </c>
      <c r="I82" s="63" t="inlineStr">
        <is>
          <t>Equipment</t>
        </is>
      </c>
      <c r="J82" s="63" t="inlineStr">
        <is>
          <t>Equipment presentation vs GLD</t>
        </is>
      </c>
      <c r="K82" s="73" t="inlineStr"/>
      <c r="L82" s="73" t="inlineStr">
        <is>
          <t>User brief (T-12 hours)</t>
        </is>
      </c>
      <c r="M82" s="73" t="inlineStr"/>
      <c r="N82" s="73" t="inlineStr">
        <is>
          <t>Required</t>
        </is>
      </c>
      <c r="O82" s="73" t="inlineStr">
        <is>
          <t>Preparation check at caterer - does NOT confirm loading.</t>
        </is>
      </c>
      <c r="P82" s="63" t="inlineStr">
        <is>
          <t>CGK</t>
        </is>
      </c>
      <c r="Q82" s="65">
        <f>Flights!$AE$7</f>
        <v/>
      </c>
      <c r="R82" s="65">
        <f>Q82+(IF(AND(INDEX(TZ_DSTS,MATCH(P82,TZ_STN,0))&lt;&gt;"",Q82&gt;=INDEX(TZ_DSTS,MATCH(P82,TZ_STN,0)),Q82&lt;INDEX(TZ_DSTE,MATCH(P82,TZ_STN,0))),INDEX(TZ_DST,MATCH(P82,TZ_STN,0)),INDEX(TZ_STD,MATCH(P82,TZ_STN,0))))/24</f>
        <v/>
      </c>
      <c r="S82" s="65">
        <f>Q82-T12EarlyH/24</f>
        <v/>
      </c>
      <c r="T82" s="66" t="n"/>
      <c r="U82" s="66" t="n"/>
      <c r="V82" s="66" t="n"/>
      <c r="W82" s="67" t="n"/>
      <c r="X82" s="66" t="n"/>
      <c r="Y82" s="66" t="n"/>
      <c r="Z82" s="66" t="n"/>
      <c r="AA82" s="66" t="n"/>
      <c r="AB82" s="66" t="n"/>
      <c r="AC82" s="66" t="n"/>
      <c r="AD82" s="72" t="n"/>
      <c r="AE82" s="66" t="n"/>
      <c r="AF82" s="67">
        <f>IF(AND(ISNUMBER(X82),ISNUMBER(Y82)),Y82-X82,"")</f>
        <v/>
      </c>
      <c r="AG82" s="68">
        <f>IF(ISNUMBER(AD82),AD82-(IF(AND(INDEX(TZ_DSTS,MATCH(P82,TZ_STN,0))&lt;&gt;"",(AD82-INDEX(TZ_STD,MATCH(P82,TZ_STN,0))/24)&gt;=INDEX(TZ_DSTS,MATCH(P82,TZ_STN,0)),(AD82-INDEX(TZ_STD,MATCH(P82,TZ_STN,0))/24)&lt;INDEX(TZ_DSTE,MATCH(P82,TZ_STN,0))),INDEX(TZ_DST,MATCH(P82,TZ_STN,0)),INDEX(TZ_STD,MATCH(P82,TZ_STN,0))))/24,"")</f>
        <v/>
      </c>
      <c r="AH82" s="71">
        <f>IF(N82="N/A – rule","N/A – RULE",IF(TRIM(U82)="N/A",IF(AT82=0,"INVALID – N/A not permitted for this mandatory check",IF(AND(TRIM(AC82)&lt;&gt;"",TRIM(AE82)&lt;&gt;"",TRIM(T82)&lt;&gt;""),"N/A – JUSTIFIED","INVALID – N/A needs justification, PIC and verifier")),IF(OR(TRIM(U82)="Pass",TRIM(U82)="Pass after CA"),IF(NOT(ISNUMBER(AD82)),"INVALID – completion time missing",IF(TRIM(T82)="","INVALID – PIC missing",IF(TRIM(Z82)="","INVALID – evidence missing",IF(TRIM(AE82)="","INVALID – verifier missing",IF(AND(AQ82=1,TRIM(W82)=""),"INVALID – batch ID missing",IF(AND(AR82=1,OR(NOT(ISNUMBER(X82)),NOT(ISNUMBER(Y82)))),"INVALID – expected/actual qty missing",IF(IF(AND(TRIM(U82)="Pass",ISNUMBER(AF82)),IF(AF82&lt;&gt;0,"INVALID – qty variance: use Fail or Pass after CA",""),"")&amp;IF(AND(TRIM(U82)="Pass",AB82="Open"),"INVALID – corrective action still open: use Fail, then Pass after CA","")&amp;IF(AND(TRIM(U82)="Pass after CA",OR(TRIM(AA82)="",AB82&lt;&gt;"Closed")),"INVALID – corrective action not recorded/closed","")&lt;&gt;"",IF(AND(TRIM(U82)="Pass",ISNUMBER(AF82)),IF(AF82&lt;&gt;0,"INVALID – qty variance: use Fail or Pass after CA",""),"")&amp;IF(AND(TRIM(U82)="Pass",AB82="Open"),"INVALID – corrective action still open: use Fail, then Pass after CA","")&amp;IF(AND(TRIM(U82)="Pass after CA",OR(TRIM(AA82)="",AB82&lt;&gt;"Closed")),"INVALID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window"),IF(AG82&gt;Flights!$AA$7,"INVALID – completed after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f>
        <v/>
      </c>
      <c r="AI82" s="67">
        <f>IF(OR(AH82="N/A – RULE",AH82="N/A – JUSTIFIED"),0,1)</f>
        <v/>
      </c>
      <c r="AJ82" s="67">
        <f>IF(LEFT(AH82,8)="COMPLETE",1,0)</f>
        <v/>
      </c>
      <c r="AK82" s="67">
        <f>IF(AND(AI82=1,AJ82=0,AsOfUTC&gt;Q82),1,0)</f>
        <v/>
      </c>
      <c r="AL82" s="67">
        <f>IF(AND(AI82=1,OR(TRIM(U82)="Fail",AB82="Open",AND(ISNUMBER(AF82),AF82&lt;&gt;0,TRIM(U82)&lt;&gt;"Pass after CA"))),1,0)</f>
        <v/>
      </c>
      <c r="AM82" s="67">
        <f>IF(LEFT(AH82,7)="INVALID",1,0)</f>
        <v/>
      </c>
      <c r="AN82" s="67">
        <f>IF(AND(N82="Clarification required",AI82=1,AJ82=0),1,0)</f>
        <v/>
      </c>
      <c r="AO82" s="67">
        <f>IF(AK82=1,SUM(AK$5:AK82),"")</f>
        <v/>
      </c>
      <c r="AP82" s="67">
        <f>IF(AL82=1,SUM(AL$5:AL82),"")</f>
        <v/>
      </c>
      <c r="AQ82" s="67" t="n">
        <v>0</v>
      </c>
      <c r="AR82" s="67" t="n">
        <v>0</v>
      </c>
      <c r="AS82" s="67" t="n">
        <v>0</v>
      </c>
      <c r="AT82" s="67" t="n">
        <v>0</v>
      </c>
    </row>
    <row r="83" ht="40" customHeight="1">
      <c r="A83" s="63" t="inlineStr">
        <is>
          <t>F03-T12-05</t>
        </is>
      </c>
      <c r="B83" s="63" t="inlineStr">
        <is>
          <t>F03</t>
        </is>
      </c>
      <c r="C83" s="63">
        <f>Flights!$F$7</f>
        <v/>
      </c>
      <c r="D83" s="64">
        <f>Flights!$D$7</f>
        <v/>
      </c>
      <c r="E83" s="63">
        <f>Flights!$G$7&amp;"-"&amp;Flights!$H$7</f>
        <v/>
      </c>
      <c r="F83" s="63">
        <f>Flights!$K$7</f>
        <v/>
      </c>
      <c r="G83" s="63" t="inlineStr">
        <is>
          <t>T-12H PREP</t>
        </is>
      </c>
      <c r="H83" s="63" t="inlineStr">
        <is>
          <t>Preparation</t>
        </is>
      </c>
      <c r="I83" s="63" t="inlineStr">
        <is>
          <t>Equipment</t>
        </is>
      </c>
      <c r="J83" s="63" t="inlineStr">
        <is>
          <t>Equipment serviceability vs GLD</t>
        </is>
      </c>
      <c r="K83" s="73" t="inlineStr"/>
      <c r="L83" s="73" t="inlineStr">
        <is>
          <t>User brief (T-12 hours)</t>
        </is>
      </c>
      <c r="M83" s="73" t="inlineStr"/>
      <c r="N83" s="73" t="inlineStr">
        <is>
          <t>Required</t>
        </is>
      </c>
      <c r="O83" s="73" t="inlineStr">
        <is>
          <t>Preparation check at caterer - does NOT confirm loading.</t>
        </is>
      </c>
      <c r="P83" s="63" t="inlineStr">
        <is>
          <t>CGK</t>
        </is>
      </c>
      <c r="Q83" s="65">
        <f>Flights!$AE$7</f>
        <v/>
      </c>
      <c r="R83" s="65">
        <f>Q83+(IF(AND(INDEX(TZ_DSTS,MATCH(P83,TZ_STN,0))&lt;&gt;"",Q83&gt;=INDEX(TZ_DSTS,MATCH(P83,TZ_STN,0)),Q83&lt;INDEX(TZ_DSTE,MATCH(P83,TZ_STN,0))),INDEX(TZ_DST,MATCH(P83,TZ_STN,0)),INDEX(TZ_STD,MATCH(P83,TZ_STN,0))))/24</f>
        <v/>
      </c>
      <c r="S83" s="65">
        <f>Q83-T12EarlyH/24</f>
        <v/>
      </c>
      <c r="T83" s="66" t="n"/>
      <c r="U83" s="66" t="n"/>
      <c r="V83" s="66" t="n"/>
      <c r="W83" s="67" t="n"/>
      <c r="X83" s="66" t="n"/>
      <c r="Y83" s="66" t="n"/>
      <c r="Z83" s="66" t="n"/>
      <c r="AA83" s="66" t="n"/>
      <c r="AB83" s="66" t="n"/>
      <c r="AC83" s="66" t="n"/>
      <c r="AD83" s="72" t="n"/>
      <c r="AE83" s="66" t="n"/>
      <c r="AF83" s="67">
        <f>IF(AND(ISNUMBER(X83),ISNUMBER(Y83)),Y83-X83,"")</f>
        <v/>
      </c>
      <c r="AG83" s="68">
        <f>IF(ISNUMBER(AD83),AD83-(IF(AND(INDEX(TZ_DSTS,MATCH(P83,TZ_STN,0))&lt;&gt;"",(AD83-INDEX(TZ_STD,MATCH(P83,TZ_STN,0))/24)&gt;=INDEX(TZ_DSTS,MATCH(P83,TZ_STN,0)),(AD83-INDEX(TZ_STD,MATCH(P83,TZ_STN,0))/24)&lt;INDEX(TZ_DSTE,MATCH(P83,TZ_STN,0))),INDEX(TZ_DST,MATCH(P83,TZ_STN,0)),INDEX(TZ_STD,MATCH(P83,TZ_STN,0))))/24,"")</f>
        <v/>
      </c>
      <c r="AH83" s="71">
        <f>IF(N83="N/A – rule","N/A – RULE",IF(TRIM(U83)="N/A",IF(AT83=0,"INVALID – N/A not permitted for this mandatory check",IF(AND(TRIM(AC83)&lt;&gt;"",TRIM(AE83)&lt;&gt;"",TRIM(T83)&lt;&gt;""),"N/A – JUSTIFIED","INVALID – N/A needs justification, PIC and verifier")),IF(OR(TRIM(U83)="Pass",TRIM(U83)="Pass after CA"),IF(NOT(ISNUMBER(AD83)),"INVALID – completion time missing",IF(TRIM(T83)="","INVALID – PIC missing",IF(TRIM(Z83)="","INVALID – evidence missing",IF(TRIM(AE83)="","INVALID – verifier missing",IF(AND(AQ83=1,TRIM(W83)=""),"INVALID – batch ID missing",IF(AND(AR83=1,OR(NOT(ISNUMBER(X83)),NOT(ISNUMBER(Y83)))),"INVALID – expected/actual qty missing",IF(IF(AND(TRIM(U83)="Pass",ISNUMBER(AF83)),IF(AF83&lt;&gt;0,"INVALID – qty variance: use Fail or Pass after CA",""),"")&amp;IF(AND(TRIM(U83)="Pass",AB83="Open"),"INVALID – corrective action still open: use Fail, then Pass after CA","")&amp;IF(AND(TRIM(U83)="Pass after CA",OR(TRIM(AA83)="",AB83&lt;&gt;"Closed")),"INVALID – corrective action not recorded/closed","")&lt;&gt;"",IF(AND(TRIM(U83)="Pass",ISNUMBER(AF83)),IF(AF83&lt;&gt;0,"INVALID – qty variance: use Fail or Pass after CA",""),"")&amp;IF(AND(TRIM(U83)="Pass",AB83="Open"),"INVALID – corrective action still open: use Fail, then Pass after CA","")&amp;IF(AND(TRIM(U83)="Pass after CA",OR(TRIM(AA83)="",AB83&lt;&gt;"Closed")),"INVALID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window"),IF(AG83&gt;Flights!$AA$7,"INVALID – completed after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f>
        <v/>
      </c>
      <c r="AI83" s="67">
        <f>IF(OR(AH83="N/A – RULE",AH83="N/A – JUSTIFIED"),0,1)</f>
        <v/>
      </c>
      <c r="AJ83" s="67">
        <f>IF(LEFT(AH83,8)="COMPLETE",1,0)</f>
        <v/>
      </c>
      <c r="AK83" s="67">
        <f>IF(AND(AI83=1,AJ83=0,AsOfUTC&gt;Q83),1,0)</f>
        <v/>
      </c>
      <c r="AL83" s="67">
        <f>IF(AND(AI83=1,OR(TRIM(U83)="Fail",AB83="Open",AND(ISNUMBER(AF83),AF83&lt;&gt;0,TRIM(U83)&lt;&gt;"Pass after CA"))),1,0)</f>
        <v/>
      </c>
      <c r="AM83" s="67">
        <f>IF(LEFT(AH83,7)="INVALID",1,0)</f>
        <v/>
      </c>
      <c r="AN83" s="67">
        <f>IF(AND(N83="Clarification required",AI83=1,AJ83=0),1,0)</f>
        <v/>
      </c>
      <c r="AO83" s="67">
        <f>IF(AK83=1,SUM(AK$5:AK83),"")</f>
        <v/>
      </c>
      <c r="AP83" s="67">
        <f>IF(AL83=1,SUM(AL$5:AL83),"")</f>
        <v/>
      </c>
      <c r="AQ83" s="67" t="n">
        <v>0</v>
      </c>
      <c r="AR83" s="67" t="n">
        <v>0</v>
      </c>
      <c r="AS83" s="67" t="n">
        <v>0</v>
      </c>
      <c r="AT83" s="67" t="n">
        <v>0</v>
      </c>
    </row>
    <row r="84" ht="79" customHeight="1">
      <c r="A84" s="63" t="inlineStr">
        <is>
          <t>F03-T12-06</t>
        </is>
      </c>
      <c r="B84" s="63" t="inlineStr">
        <is>
          <t>F03</t>
        </is>
      </c>
      <c r="C84" s="63">
        <f>Flights!$F$7</f>
        <v/>
      </c>
      <c r="D84" s="64">
        <f>Flights!$D$7</f>
        <v/>
      </c>
      <c r="E84" s="63">
        <f>Flights!$G$7&amp;"-"&amp;Flights!$H$7</f>
        <v/>
      </c>
      <c r="F84" s="63">
        <f>Flights!$K$7</f>
        <v/>
      </c>
      <c r="G84" s="63" t="inlineStr">
        <is>
          <t>T-12H PREP</t>
        </is>
      </c>
      <c r="H84" s="63" t="inlineStr">
        <is>
          <t>Preparation</t>
        </is>
      </c>
      <c r="I84" s="63" t="inlineStr">
        <is>
          <t>Equipment</t>
        </is>
      </c>
      <c r="J84" s="63" t="inlineStr">
        <is>
          <t>Equipment quantities vs GLD</t>
        </is>
      </c>
      <c r="K84" s="73" t="inlineStr">
        <is>
          <t>Enter expected &amp; actual. Aircraft galley data: A330-300 (A333): carts 42.5, SU 100, ovens 12, warming ovens 4, fridges 4, water heaters 6, beverage makers -, espresso -, folding trolleys 4, headsets BC &amp; EY: Dual Pin (AIRCRAFT TYPE!C9:R9)</t>
        </is>
      </c>
      <c r="L84" s="73" t="inlineStr">
        <is>
          <t>User brief (T-12 hours)</t>
        </is>
      </c>
      <c r="M84" s="73" t="inlineStr"/>
      <c r="N84" s="73" t="inlineStr">
        <is>
          <t>Required</t>
        </is>
      </c>
      <c r="O84" s="73" t="inlineStr">
        <is>
          <t>Preparation check at caterer - does NOT confirm loading.</t>
        </is>
      </c>
      <c r="P84" s="63" t="inlineStr">
        <is>
          <t>CGK</t>
        </is>
      </c>
      <c r="Q84" s="65">
        <f>Flights!$AE$7</f>
        <v/>
      </c>
      <c r="R84" s="65">
        <f>Q84+(IF(AND(INDEX(TZ_DSTS,MATCH(P84,TZ_STN,0))&lt;&gt;"",Q84&gt;=INDEX(TZ_DSTS,MATCH(P84,TZ_STN,0)),Q84&lt;INDEX(TZ_DSTE,MATCH(P84,TZ_STN,0))),INDEX(TZ_DST,MATCH(P84,TZ_STN,0)),INDEX(TZ_STD,MATCH(P84,TZ_STN,0))))/24</f>
        <v/>
      </c>
      <c r="S84" s="65">
        <f>Q84-T12EarlyH/24</f>
        <v/>
      </c>
      <c r="T84" s="66" t="n"/>
      <c r="U84" s="66" t="n"/>
      <c r="V84" s="66" t="n"/>
      <c r="W84" s="67" t="n"/>
      <c r="X84" s="66" t="n"/>
      <c r="Y84" s="66" t="n"/>
      <c r="Z84" s="66" t="n"/>
      <c r="AA84" s="66" t="n"/>
      <c r="AB84" s="66" t="n"/>
      <c r="AC84" s="66" t="n"/>
      <c r="AD84" s="72" t="n"/>
      <c r="AE84" s="66" t="n"/>
      <c r="AF84" s="67">
        <f>IF(AND(ISNUMBER(X84),ISNUMBER(Y84)),Y84-X84,"")</f>
        <v/>
      </c>
      <c r="AG84" s="68">
        <f>IF(ISNUMBER(AD84),AD84-(IF(AND(INDEX(TZ_DSTS,MATCH(P84,TZ_STN,0))&lt;&gt;"",(AD84-INDEX(TZ_STD,MATCH(P84,TZ_STN,0))/24)&gt;=INDEX(TZ_DSTS,MATCH(P84,TZ_STN,0)),(AD84-INDEX(TZ_STD,MATCH(P84,TZ_STN,0))/24)&lt;INDEX(TZ_DSTE,MATCH(P84,TZ_STN,0))),INDEX(TZ_DST,MATCH(P84,TZ_STN,0)),INDEX(TZ_STD,MATCH(P84,TZ_STN,0))))/24,"")</f>
        <v/>
      </c>
      <c r="AH84" s="71">
        <f>IF(N84="N/A – rule","N/A – RULE",IF(TRIM(U84)="N/A",IF(AT84=0,"INVALID – N/A not permitted for this mandatory check",IF(AND(TRIM(AC84)&lt;&gt;"",TRIM(AE84)&lt;&gt;"",TRIM(T84)&lt;&gt;""),"N/A – JUSTIFIED","INVALID – N/A needs justification, PIC and verifier")),IF(OR(TRIM(U84)="Pass",TRIM(U84)="Pass after CA"),IF(NOT(ISNUMBER(AD84)),"INVALID – completion time missing",IF(TRIM(T84)="","INVALID – PIC missing",IF(TRIM(Z84)="","INVALID – evidence missing",IF(TRIM(AE84)="","INVALID – verifier missing",IF(AND(AQ84=1,TRIM(W84)=""),"INVALID – batch ID missing",IF(AND(AR84=1,OR(NOT(ISNUMBER(X84)),NOT(ISNUMBER(Y84)))),"INVALID – expected/actual qty missing",IF(IF(AND(TRIM(U84)="Pass",ISNUMBER(AF84)),IF(AF84&lt;&gt;0,"INVALID – qty variance: use Fail or Pass after CA",""),"")&amp;IF(AND(TRIM(U84)="Pass",AB84="Open"),"INVALID – corrective action still open: use Fail, then Pass after CA","")&amp;IF(AND(TRIM(U84)="Pass after CA",OR(TRIM(AA84)="",AB84&lt;&gt;"Closed")),"INVALID – corrective action not recorded/closed","")&lt;&gt;"",IF(AND(TRIM(U84)="Pass",ISNUMBER(AF84)),IF(AF84&lt;&gt;0,"INVALID – qty variance: use Fail or Pass after CA",""),"")&amp;IF(AND(TRIM(U84)="Pass",AB84="Open"),"INVALID – corrective action still open: use Fail, then Pass after CA","")&amp;IF(AND(TRIM(U84)="Pass after CA",OR(TRIM(AA84)="",AB84&lt;&gt;"Closed")),"INVALID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window"),IF(AG84&gt;Flights!$AA$7,"INVALID – completed after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f>
        <v/>
      </c>
      <c r="AI84" s="67">
        <f>IF(OR(AH84="N/A – RULE",AH84="N/A – JUSTIFIED"),0,1)</f>
        <v/>
      </c>
      <c r="AJ84" s="67">
        <f>IF(LEFT(AH84,8)="COMPLETE",1,0)</f>
        <v/>
      </c>
      <c r="AK84" s="67">
        <f>IF(AND(AI84=1,AJ84=0,AsOfUTC&gt;Q84),1,0)</f>
        <v/>
      </c>
      <c r="AL84" s="67">
        <f>IF(AND(AI84=1,OR(TRIM(U84)="Fail",AB84="Open",AND(ISNUMBER(AF84),AF84&lt;&gt;0,TRIM(U84)&lt;&gt;"Pass after CA"))),1,0)</f>
        <v/>
      </c>
      <c r="AM84" s="67">
        <f>IF(LEFT(AH84,7)="INVALID",1,0)</f>
        <v/>
      </c>
      <c r="AN84" s="67">
        <f>IF(AND(N84="Clarification required",AI84=1,AJ84=0),1,0)</f>
        <v/>
      </c>
      <c r="AO84" s="67">
        <f>IF(AK84=1,SUM(AK$5:AK84),"")</f>
        <v/>
      </c>
      <c r="AP84" s="67">
        <f>IF(AL84=1,SUM(AL$5:AL84),"")</f>
        <v/>
      </c>
      <c r="AQ84" s="67" t="n">
        <v>0</v>
      </c>
      <c r="AR84" s="67" t="n">
        <v>1</v>
      </c>
      <c r="AS84" s="67" t="n">
        <v>0</v>
      </c>
      <c r="AT84" s="67" t="n">
        <v>0</v>
      </c>
    </row>
    <row r="85" ht="40" customHeight="1">
      <c r="A85" s="63" t="inlineStr">
        <is>
          <t>F03-T12-07</t>
        </is>
      </c>
      <c r="B85" s="63" t="inlineStr">
        <is>
          <t>F03</t>
        </is>
      </c>
      <c r="C85" s="63">
        <f>Flights!$F$7</f>
        <v/>
      </c>
      <c r="D85" s="64">
        <f>Flights!$D$7</f>
        <v/>
      </c>
      <c r="E85" s="63">
        <f>Flights!$G$7&amp;"-"&amp;Flights!$H$7</f>
        <v/>
      </c>
      <c r="F85" s="63">
        <f>Flights!$K$7</f>
        <v/>
      </c>
      <c r="G85" s="63" t="inlineStr">
        <is>
          <t>T-12H PREP</t>
        </is>
      </c>
      <c r="H85" s="63" t="inlineStr">
        <is>
          <t>Preparation</t>
        </is>
      </c>
      <c r="I85" s="63" t="inlineStr">
        <is>
          <t>Equipment</t>
        </is>
      </c>
      <c r="J85" s="63" t="inlineStr">
        <is>
          <t>Loading positions planned vs GLD</t>
        </is>
      </c>
      <c r="K85" s="73" t="inlineStr"/>
      <c r="L85" s="73" t="inlineStr">
        <is>
          <t>User brief (T-12 hours)</t>
        </is>
      </c>
      <c r="M85" s="73" t="inlineStr"/>
      <c r="N85" s="73" t="inlineStr">
        <is>
          <t>Required</t>
        </is>
      </c>
      <c r="O85" s="73" t="inlineStr">
        <is>
          <t>Preparation check at caterer - does NOT confirm loading.</t>
        </is>
      </c>
      <c r="P85" s="63" t="inlineStr">
        <is>
          <t>CGK</t>
        </is>
      </c>
      <c r="Q85" s="65">
        <f>Flights!$AE$7</f>
        <v/>
      </c>
      <c r="R85" s="65">
        <f>Q85+(IF(AND(INDEX(TZ_DSTS,MATCH(P85,TZ_STN,0))&lt;&gt;"",Q85&gt;=INDEX(TZ_DSTS,MATCH(P85,TZ_STN,0)),Q85&lt;INDEX(TZ_DSTE,MATCH(P85,TZ_STN,0))),INDEX(TZ_DST,MATCH(P85,TZ_STN,0)),INDEX(TZ_STD,MATCH(P85,TZ_STN,0))))/24</f>
        <v/>
      </c>
      <c r="S85" s="65">
        <f>Q85-T12EarlyH/24</f>
        <v/>
      </c>
      <c r="T85" s="66" t="n"/>
      <c r="U85" s="66" t="n"/>
      <c r="V85" s="66" t="n"/>
      <c r="W85" s="67" t="n"/>
      <c r="X85" s="66" t="n"/>
      <c r="Y85" s="66" t="n"/>
      <c r="Z85" s="66" t="n"/>
      <c r="AA85" s="66" t="n"/>
      <c r="AB85" s="66" t="n"/>
      <c r="AC85" s="66" t="n"/>
      <c r="AD85" s="72" t="n"/>
      <c r="AE85" s="66" t="n"/>
      <c r="AF85" s="67">
        <f>IF(AND(ISNUMBER(X85),ISNUMBER(Y85)),Y85-X85,"")</f>
        <v/>
      </c>
      <c r="AG85" s="68">
        <f>IF(ISNUMBER(AD85),AD85-(IF(AND(INDEX(TZ_DSTS,MATCH(P85,TZ_STN,0))&lt;&gt;"",(AD85-INDEX(TZ_STD,MATCH(P85,TZ_STN,0))/24)&gt;=INDEX(TZ_DSTS,MATCH(P85,TZ_STN,0)),(AD85-INDEX(TZ_STD,MATCH(P85,TZ_STN,0))/24)&lt;INDEX(TZ_DSTE,MATCH(P85,TZ_STN,0))),INDEX(TZ_DST,MATCH(P85,TZ_STN,0)),INDEX(TZ_STD,MATCH(P85,TZ_STN,0))))/24,"")</f>
        <v/>
      </c>
      <c r="AH85" s="71">
        <f>IF(N85="N/A – rule","N/A – RULE",IF(TRIM(U85)="N/A",IF(AT85=0,"INVALID – N/A not permitted for this mandatory check",IF(AND(TRIM(AC85)&lt;&gt;"",TRIM(AE85)&lt;&gt;"",TRIM(T85)&lt;&gt;""),"N/A – JUSTIFIED","INVALID – N/A needs justification, PIC and verifier")),IF(OR(TRIM(U85)="Pass",TRIM(U85)="Pass after CA"),IF(NOT(ISNUMBER(AD85)),"INVALID – completion time missing",IF(TRIM(T85)="","INVALID – PIC missing",IF(TRIM(Z85)="","INVALID – evidence missing",IF(TRIM(AE85)="","INVALID – verifier missing",IF(AND(AQ85=1,TRIM(W85)=""),"INVALID – batch ID missing",IF(AND(AR85=1,OR(NOT(ISNUMBER(X85)),NOT(ISNUMBER(Y85)))),"INVALID – expected/actual qty missing",IF(IF(AND(TRIM(U85)="Pass",ISNUMBER(AF85)),IF(AF85&lt;&gt;0,"INVALID – qty variance: use Fail or Pass after CA",""),"")&amp;IF(AND(TRIM(U85)="Pass",AB85="Open"),"INVALID – corrective action still open: use Fail, then Pass after CA","")&amp;IF(AND(TRIM(U85)="Pass after CA",OR(TRIM(AA85)="",AB85&lt;&gt;"Closed")),"INVALID – corrective action not recorded/closed","")&lt;&gt;"",IF(AND(TRIM(U85)="Pass",ISNUMBER(AF85)),IF(AF85&lt;&gt;0,"INVALID – qty variance: use Fail or Pass after CA",""),"")&amp;IF(AND(TRIM(U85)="Pass",AB85="Open"),"INVALID – corrective action still open: use Fail, then Pass after CA","")&amp;IF(AND(TRIM(U85)="Pass after CA",OR(TRIM(AA85)="",AB85&lt;&gt;"Closed")),"INVALID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window"),IF(AG85&gt;Flights!$AA$7,"INVALID – completed after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f>
        <v/>
      </c>
      <c r="AI85" s="67">
        <f>IF(OR(AH85="N/A – RULE",AH85="N/A – JUSTIFIED"),0,1)</f>
        <v/>
      </c>
      <c r="AJ85" s="67">
        <f>IF(LEFT(AH85,8)="COMPLETE",1,0)</f>
        <v/>
      </c>
      <c r="AK85" s="67">
        <f>IF(AND(AI85=1,AJ85=0,AsOfUTC&gt;Q85),1,0)</f>
        <v/>
      </c>
      <c r="AL85" s="67">
        <f>IF(AND(AI85=1,OR(TRIM(U85)="Fail",AB85="Open",AND(ISNUMBER(AF85),AF85&lt;&gt;0,TRIM(U85)&lt;&gt;"Pass after CA"))),1,0)</f>
        <v/>
      </c>
      <c r="AM85" s="67">
        <f>IF(LEFT(AH85,7)="INVALID",1,0)</f>
        <v/>
      </c>
      <c r="AN85" s="67">
        <f>IF(AND(N85="Clarification required",AI85=1,AJ85=0),1,0)</f>
        <v/>
      </c>
      <c r="AO85" s="67">
        <f>IF(AK85=1,SUM(AK$5:AK85),"")</f>
        <v/>
      </c>
      <c r="AP85" s="67">
        <f>IF(AL85=1,SUM(AL$5:AL85),"")</f>
        <v/>
      </c>
      <c r="AQ85" s="67" t="n">
        <v>0</v>
      </c>
      <c r="AR85" s="67" t="n">
        <v>0</v>
      </c>
      <c r="AS85" s="67" t="n">
        <v>0</v>
      </c>
      <c r="AT85" s="67" t="n">
        <v>0</v>
      </c>
    </row>
    <row r="86" ht="41.5" customHeight="1">
      <c r="A86" s="63" t="inlineStr">
        <is>
          <t>F03-T12-08</t>
        </is>
      </c>
      <c r="B86" s="63" t="inlineStr">
        <is>
          <t>F03</t>
        </is>
      </c>
      <c r="C86" s="63">
        <f>Flights!$F$7</f>
        <v/>
      </c>
      <c r="D86" s="64">
        <f>Flights!$D$7</f>
        <v/>
      </c>
      <c r="E86" s="63">
        <f>Flights!$G$7&amp;"-"&amp;Flights!$H$7</f>
        <v/>
      </c>
      <c r="F86" s="63">
        <f>Flights!$K$7</f>
        <v/>
      </c>
      <c r="G86" s="63" t="inlineStr">
        <is>
          <t>T-12H PREP</t>
        </is>
      </c>
      <c r="H86" s="63" t="inlineStr">
        <is>
          <t>Preparation</t>
        </is>
      </c>
      <c r="I86" s="63" t="inlineStr">
        <is>
          <t>Seat Linen</t>
        </is>
      </c>
      <c r="J86" s="63" t="inlineStr">
        <is>
          <t>Seat pillow (EY) - prepared</t>
        </is>
      </c>
      <c r="K86" s="73" t="inlineStr">
        <is>
          <t>Available 100% (ticked in reference)</t>
        </is>
      </c>
      <c r="L86" s="73" t="inlineStr">
        <is>
          <t>STD UPLIFT INFORMATION.xlsx &gt; SEAT LINEN!I42</t>
        </is>
      </c>
      <c r="M86" s="73" t="inlineStr">
        <is>
          <t>Not stated in reference</t>
        </is>
      </c>
      <c r="N86" s="73" t="inlineStr">
        <is>
          <t>Required</t>
        </is>
      </c>
      <c r="O86" s="73" t="inlineStr">
        <is>
          <t>Reference gives no uplift stn for this item: preparation checked at the meal uplift stn (CGK) - confirm with caterer.</t>
        </is>
      </c>
      <c r="P86" s="63" t="inlineStr">
        <is>
          <t>CGK</t>
        </is>
      </c>
      <c r="Q86" s="65">
        <f>Flights!$AE$7</f>
        <v/>
      </c>
      <c r="R86" s="65">
        <f>Q86+(IF(AND(INDEX(TZ_DSTS,MATCH(P86,TZ_STN,0))&lt;&gt;"",Q86&gt;=INDEX(TZ_DSTS,MATCH(P86,TZ_STN,0)),Q86&lt;INDEX(TZ_DSTE,MATCH(P86,TZ_STN,0))),INDEX(TZ_DST,MATCH(P86,TZ_STN,0)),INDEX(TZ_STD,MATCH(P86,TZ_STN,0))))/24</f>
        <v/>
      </c>
      <c r="S86" s="65">
        <f>Q86-T12EarlyH/24</f>
        <v/>
      </c>
      <c r="T86" s="66" t="n"/>
      <c r="U86" s="66" t="n"/>
      <c r="V86" s="66" t="n"/>
      <c r="W86" s="67" t="n"/>
      <c r="X86" s="66" t="n"/>
      <c r="Y86" s="66" t="n"/>
      <c r="Z86" s="66" t="n"/>
      <c r="AA86" s="66" t="n"/>
      <c r="AB86" s="66" t="n"/>
      <c r="AC86" s="66" t="n"/>
      <c r="AD86" s="72" t="n"/>
      <c r="AE86" s="66" t="n"/>
      <c r="AF86" s="67">
        <f>IF(AND(ISNUMBER(X86),ISNUMBER(Y86)),Y86-X86,"")</f>
        <v/>
      </c>
      <c r="AG86" s="68">
        <f>IF(ISNUMBER(AD86),AD86-(IF(AND(INDEX(TZ_DSTS,MATCH(P86,TZ_STN,0))&lt;&gt;"",(AD86-INDEX(TZ_STD,MATCH(P86,TZ_STN,0))/24)&gt;=INDEX(TZ_DSTS,MATCH(P86,TZ_STN,0)),(AD86-INDEX(TZ_STD,MATCH(P86,TZ_STN,0))/24)&lt;INDEX(TZ_DSTE,MATCH(P86,TZ_STN,0))),INDEX(TZ_DST,MATCH(P86,TZ_STN,0)),INDEX(TZ_STD,MATCH(P86,TZ_STN,0))))/24,"")</f>
        <v/>
      </c>
      <c r="AH86" s="71">
        <f>IF(N86="N/A – rule","N/A – RULE",IF(TRIM(U86)="N/A",IF(AT86=0,"INVALID – N/A not permitted for this mandatory check",IF(AND(TRIM(AC86)&lt;&gt;"",TRIM(AE86)&lt;&gt;"",TRIM(T86)&lt;&gt;""),"N/A – JUSTIFIED","INVALID – N/A needs justification, PIC and verifier")),IF(OR(TRIM(U86)="Pass",TRIM(U86)="Pass after CA"),IF(NOT(ISNUMBER(AD86)),"INVALID – completion time missing",IF(TRIM(T86)="","INVALID – PIC missing",IF(TRIM(Z86)="","INVALID – evidence missing",IF(TRIM(AE86)="","INVALID – verifier missing",IF(AND(AQ86=1,TRIM(W86)=""),"INVALID – batch ID missing",IF(AND(AR86=1,OR(NOT(ISNUMBER(X86)),NOT(ISNUMBER(Y86)))),"INVALID – expected/actual qty missing",IF(IF(AND(TRIM(U86)="Pass",ISNUMBER(AF86)),IF(AF86&lt;&gt;0,"INVALID – qty variance: use Fail or Pass after CA",""),"")&amp;IF(AND(TRIM(U86)="Pass",AB86="Open"),"INVALID – corrective action still open: use Fail, then Pass after CA","")&amp;IF(AND(TRIM(U86)="Pass after CA",OR(TRIM(AA86)="",AB86&lt;&gt;"Closed")),"INVALID – corrective action not recorded/closed","")&lt;&gt;"",IF(AND(TRIM(U86)="Pass",ISNUMBER(AF86)),IF(AF86&lt;&gt;0,"INVALID – qty variance: use Fail or Pass after CA",""),"")&amp;IF(AND(TRIM(U86)="Pass",AB86="Open"),"INVALID – corrective action still open: use Fail, then Pass after CA","")&amp;IF(AND(TRIM(U86)="Pass after CA",OR(TRIM(AA86)="",AB86&lt;&gt;"Closed")),"INVALID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window"),IF(AG86&gt;Flights!$AA$7,"INVALID – completed after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f>
        <v/>
      </c>
      <c r="AI86" s="67">
        <f>IF(OR(AH86="N/A – RULE",AH86="N/A – JUSTIFIED"),0,1)</f>
        <v/>
      </c>
      <c r="AJ86" s="67">
        <f>IF(LEFT(AH86,8)="COMPLETE",1,0)</f>
        <v/>
      </c>
      <c r="AK86" s="67">
        <f>IF(AND(AI86=1,AJ86=0,AsOfUTC&gt;Q86),1,0)</f>
        <v/>
      </c>
      <c r="AL86" s="67">
        <f>IF(AND(AI86=1,OR(TRIM(U86)="Fail",AB86="Open",AND(ISNUMBER(AF86),AF86&lt;&gt;0,TRIM(U86)&lt;&gt;"Pass after CA"))),1,0)</f>
        <v/>
      </c>
      <c r="AM86" s="67">
        <f>IF(LEFT(AH86,7)="INVALID",1,0)</f>
        <v/>
      </c>
      <c r="AN86" s="67">
        <f>IF(AND(N86="Clarification required",AI86=1,AJ86=0),1,0)</f>
        <v/>
      </c>
      <c r="AO86" s="67">
        <f>IF(AK86=1,SUM(AK$5:AK86),"")</f>
        <v/>
      </c>
      <c r="AP86" s="67">
        <f>IF(AL86=1,SUM(AL$5:AL86),"")</f>
        <v/>
      </c>
      <c r="AQ86" s="67" t="n">
        <v>0</v>
      </c>
      <c r="AR86" s="67" t="n">
        <v>0</v>
      </c>
      <c r="AS86" s="67" t="n">
        <v>0</v>
      </c>
      <c r="AT86" s="67" t="n">
        <v>1</v>
      </c>
    </row>
    <row r="87" ht="40" customHeight="1">
      <c r="A87" s="63" t="inlineStr">
        <is>
          <t>F03-UPL-01</t>
        </is>
      </c>
      <c r="B87" s="63" t="inlineStr">
        <is>
          <t>F03</t>
        </is>
      </c>
      <c r="C87" s="63">
        <f>Flights!$F$7</f>
        <v/>
      </c>
      <c r="D87" s="64">
        <f>Flights!$D$7</f>
        <v/>
      </c>
      <c r="E87" s="63">
        <f>Flights!$G$7&amp;"-"&amp;Flights!$H$7</f>
        <v/>
      </c>
      <c r="F87" s="63">
        <f>Flights!$K$7</f>
        <v/>
      </c>
      <c r="G87" s="63" t="inlineStr">
        <is>
          <t>UPLIFT</t>
        </is>
      </c>
      <c r="H87" s="63" t="inlineStr">
        <is>
          <t>Physical uplift</t>
        </is>
      </c>
      <c r="I87" s="63" t="inlineStr">
        <is>
          <t>Meal</t>
        </is>
      </c>
      <c r="J87" s="63" t="inlineStr">
        <is>
          <t>Meals physically uplifted on board - quantity vs menu checklist</t>
        </is>
      </c>
      <c r="K87" s="73" t="inlineStr">
        <is>
          <t>Enter expected &amp; actual</t>
        </is>
      </c>
      <c r="L87" s="73" t="inlineStr">
        <is>
          <t>User brief (T-12 hours - physical uplift)</t>
        </is>
      </c>
      <c r="M87" s="73" t="inlineStr"/>
      <c r="N87" s="73" t="inlineStr">
        <is>
          <t>Required</t>
        </is>
      </c>
      <c r="O87" s="73" t="inlineStr">
        <is>
          <t>Confirm on board before departure; completion time must fall inside the uplift window.</t>
        </is>
      </c>
      <c r="P87" s="63" t="inlineStr">
        <is>
          <t>CGK</t>
        </is>
      </c>
      <c r="Q87" s="65">
        <f>Flights!$AF$7</f>
        <v/>
      </c>
      <c r="R87" s="65">
        <f>Q87+(IF(AND(INDEX(TZ_DSTS,MATCH(P87,TZ_STN,0))&lt;&gt;"",Q87&gt;=INDEX(TZ_DSTS,MATCH(P87,TZ_STN,0)),Q87&lt;INDEX(TZ_DSTE,MATCH(P87,TZ_STN,0))),INDEX(TZ_DST,MATCH(P87,TZ_STN,0)),INDEX(TZ_STD,MATCH(P87,TZ_STN,0))))/24</f>
        <v/>
      </c>
      <c r="S87" s="65">
        <f>Q87-UpliftWindowH/24</f>
        <v/>
      </c>
      <c r="T87" s="66" t="n"/>
      <c r="U87" s="66" t="n"/>
      <c r="V87" s="66" t="n"/>
      <c r="W87" s="67" t="n"/>
      <c r="X87" s="66" t="n"/>
      <c r="Y87" s="66" t="n"/>
      <c r="Z87" s="66" t="n"/>
      <c r="AA87" s="66" t="n"/>
      <c r="AB87" s="66" t="n"/>
      <c r="AC87" s="66" t="n"/>
      <c r="AD87" s="72" t="n"/>
      <c r="AE87" s="66" t="n"/>
      <c r="AF87" s="67">
        <f>IF(AND(ISNUMBER(X87),ISNUMBER(Y87)),Y87-X87,"")</f>
        <v/>
      </c>
      <c r="AG87" s="68">
        <f>IF(ISNUMBER(AD87),AD87-(IF(AND(INDEX(TZ_DSTS,MATCH(P87,TZ_STN,0))&lt;&gt;"",(AD87-INDEX(TZ_STD,MATCH(P87,TZ_STN,0))/24)&gt;=INDEX(TZ_DSTS,MATCH(P87,TZ_STN,0)),(AD87-INDEX(TZ_STD,MATCH(P87,TZ_STN,0))/24)&lt;INDEX(TZ_DSTE,MATCH(P87,TZ_STN,0))),INDEX(TZ_DST,MATCH(P87,TZ_STN,0)),INDEX(TZ_STD,MATCH(P87,TZ_STN,0))))/24,"")</f>
        <v/>
      </c>
      <c r="AH87" s="71">
        <f>IF(N87="N/A – rule","N/A – RULE",IF(TRIM(U87)="N/A",IF(AT87=0,"INVALID – N/A not permitted for this mandatory check",IF(AND(TRIM(AC87)&lt;&gt;"",TRIM(AE87)&lt;&gt;"",TRIM(T87)&lt;&gt;""),"N/A – JUSTIFIED","INVALID – N/A needs justification, PIC and verifier")),IF(OR(TRIM(U87)="Pass",TRIM(U87)="Pass after CA"),IF(NOT(ISNUMBER(AD87)),"INVALID – completion time missing",IF(TRIM(T87)="","INVALID – PIC missing",IF(TRIM(Z87)="","INVALID – evidence missing",IF(TRIM(AE87)="","INVALID – verifier missing",IF(AND(AQ87=1,TRIM(W87)=""),"INVALID – batch ID missing",IF(AND(AR87=1,OR(NOT(ISNUMBER(X87)),NOT(ISNUMBER(Y87)))),"INVALID – expected/actual qty missing",IF(IF(AND(TRIM(U87)="Pass",ISNUMBER(AF87)),IF(AF87&lt;&gt;0,"INVALID – qty variance: use Fail or Pass after CA",""),"")&amp;IF(AND(TRIM(U87)="Pass",AB87="Open"),"INVALID – corrective action still open: use Fail, then Pass after CA","")&amp;IF(AND(TRIM(U87)="Pass after CA",OR(TRIM(AA87)="",AB87&lt;&gt;"Closed")),"INVALID – corrective action not recorded/closed","")&lt;&gt;"",IF(AND(TRIM(U87)="Pass",ISNUMBER(AF87)),IF(AF87&lt;&gt;0,"INVALID – qty variance: use Fail or Pass after CA",""),"")&amp;IF(AND(TRIM(U87)="Pass",AB87="Open"),"INVALID – corrective action still open: use Fail, then Pass after CA","")&amp;IF(AND(TRIM(U87)="Pass after CA",OR(TRIM(AA87)="",AB87&lt;&gt;"Closed")),"INVALID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window"),IF(AG87&gt;Flights!$AA$7,"INVALID – completed after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f>
        <v/>
      </c>
      <c r="AI87" s="67">
        <f>IF(OR(AH87="N/A – RULE",AH87="N/A – JUSTIFIED"),0,1)</f>
        <v/>
      </c>
      <c r="AJ87" s="67">
        <f>IF(LEFT(AH87,8)="COMPLETE",1,0)</f>
        <v/>
      </c>
      <c r="AK87" s="67">
        <f>IF(AND(AI87=1,AJ87=0,AsOfUTC&gt;Q87),1,0)</f>
        <v/>
      </c>
      <c r="AL87" s="67">
        <f>IF(AND(AI87=1,OR(TRIM(U87)="Fail",AB87="Open",AND(ISNUMBER(AF87),AF87&lt;&gt;0,TRIM(U87)&lt;&gt;"Pass after CA"))),1,0)</f>
        <v/>
      </c>
      <c r="AM87" s="67">
        <f>IF(LEFT(AH87,7)="INVALID",1,0)</f>
        <v/>
      </c>
      <c r="AN87" s="67">
        <f>IF(AND(N87="Clarification required",AI87=1,AJ87=0),1,0)</f>
        <v/>
      </c>
      <c r="AO87" s="67">
        <f>IF(AK87=1,SUM(AK$5:AK87),"")</f>
        <v/>
      </c>
      <c r="AP87" s="67">
        <f>IF(AL87=1,SUM(AL$5:AL87),"")</f>
        <v/>
      </c>
      <c r="AQ87" s="67" t="n">
        <v>0</v>
      </c>
      <c r="AR87" s="67" t="n">
        <v>1</v>
      </c>
      <c r="AS87" s="67" t="n">
        <v>0</v>
      </c>
      <c r="AT87" s="67" t="n">
        <v>0</v>
      </c>
    </row>
    <row r="88" ht="40" customHeight="1">
      <c r="A88" s="63" t="inlineStr">
        <is>
          <t>F03-UPL-02</t>
        </is>
      </c>
      <c r="B88" s="63" t="inlineStr">
        <is>
          <t>F03</t>
        </is>
      </c>
      <c r="C88" s="63">
        <f>Flights!$F$7</f>
        <v/>
      </c>
      <c r="D88" s="64">
        <f>Flights!$D$7</f>
        <v/>
      </c>
      <c r="E88" s="63">
        <f>Flights!$G$7&amp;"-"&amp;Flights!$H$7</f>
        <v/>
      </c>
      <c r="F88" s="63">
        <f>Flights!$K$7</f>
        <v/>
      </c>
      <c r="G88" s="63" t="inlineStr">
        <is>
          <t>UPLIFT</t>
        </is>
      </c>
      <c r="H88" s="63" t="inlineStr">
        <is>
          <t>Physical uplift</t>
        </is>
      </c>
      <c r="I88" s="63" t="inlineStr">
        <is>
          <t>Equipment</t>
        </is>
      </c>
      <c r="J88" s="63" t="inlineStr">
        <is>
          <t>Equipment physically loaded at GLD positions - quantity &amp; positions</t>
        </is>
      </c>
      <c r="K88" s="73" t="inlineStr">
        <is>
          <t>Enter expected &amp; actual</t>
        </is>
      </c>
      <c r="L88" s="73" t="inlineStr">
        <is>
          <t>User brief (T-12 hours - physical uplift)</t>
        </is>
      </c>
      <c r="M88" s="73" t="inlineStr"/>
      <c r="N88" s="73" t="inlineStr">
        <is>
          <t>Required</t>
        </is>
      </c>
      <c r="O88" s="73" t="inlineStr">
        <is>
          <t>Confirm on board before departure; completion time must fall inside the uplift window.</t>
        </is>
      </c>
      <c r="P88" s="63" t="inlineStr">
        <is>
          <t>CGK</t>
        </is>
      </c>
      <c r="Q88" s="65">
        <f>Flights!$AF$7</f>
        <v/>
      </c>
      <c r="R88" s="65">
        <f>Q88+(IF(AND(INDEX(TZ_DSTS,MATCH(P88,TZ_STN,0))&lt;&gt;"",Q88&gt;=INDEX(TZ_DSTS,MATCH(P88,TZ_STN,0)),Q88&lt;INDEX(TZ_DSTE,MATCH(P88,TZ_STN,0))),INDEX(TZ_DST,MATCH(P88,TZ_STN,0)),INDEX(TZ_STD,MATCH(P88,TZ_STN,0))))/24</f>
        <v/>
      </c>
      <c r="S88" s="65">
        <f>Q88-UpliftWindowH/24</f>
        <v/>
      </c>
      <c r="T88" s="66" t="n"/>
      <c r="U88" s="66" t="n"/>
      <c r="V88" s="66" t="n"/>
      <c r="W88" s="67" t="n"/>
      <c r="X88" s="66" t="n"/>
      <c r="Y88" s="66" t="n"/>
      <c r="Z88" s="66" t="n"/>
      <c r="AA88" s="66" t="n"/>
      <c r="AB88" s="66" t="n"/>
      <c r="AC88" s="66" t="n"/>
      <c r="AD88" s="72" t="n"/>
      <c r="AE88" s="66" t="n"/>
      <c r="AF88" s="67">
        <f>IF(AND(ISNUMBER(X88),ISNUMBER(Y88)),Y88-X88,"")</f>
        <v/>
      </c>
      <c r="AG88" s="68">
        <f>IF(ISNUMBER(AD88),AD88-(IF(AND(INDEX(TZ_DSTS,MATCH(P88,TZ_STN,0))&lt;&gt;"",(AD88-INDEX(TZ_STD,MATCH(P88,TZ_STN,0))/24)&gt;=INDEX(TZ_DSTS,MATCH(P88,TZ_STN,0)),(AD88-INDEX(TZ_STD,MATCH(P88,TZ_STN,0))/24)&lt;INDEX(TZ_DSTE,MATCH(P88,TZ_STN,0))),INDEX(TZ_DST,MATCH(P88,TZ_STN,0)),INDEX(TZ_STD,MATCH(P88,TZ_STN,0))))/24,"")</f>
        <v/>
      </c>
      <c r="AH88" s="71">
        <f>IF(N88="N/A – rule","N/A – RULE",IF(TRIM(U88)="N/A",IF(AT88=0,"INVALID – N/A not permitted for this mandatory check",IF(AND(TRIM(AC88)&lt;&gt;"",TRIM(AE88)&lt;&gt;"",TRIM(T88)&lt;&gt;""),"N/A – JUSTIFIED","INVALID – N/A needs justification, PIC and verifier")),IF(OR(TRIM(U88)="Pass",TRIM(U88)="Pass after CA"),IF(NOT(ISNUMBER(AD88)),"INVALID – completion time missing",IF(TRIM(T88)="","INVALID – PIC missing",IF(TRIM(Z88)="","INVALID – evidence missing",IF(TRIM(AE88)="","INVALID – verifier missing",IF(AND(AQ88=1,TRIM(W88)=""),"INVALID – batch ID missing",IF(AND(AR88=1,OR(NOT(ISNUMBER(X88)),NOT(ISNUMBER(Y88)))),"INVALID – expected/actual qty missing",IF(IF(AND(TRIM(U88)="Pass",ISNUMBER(AF88)),IF(AF88&lt;&gt;0,"INVALID – qty variance: use Fail or Pass after CA",""),"")&amp;IF(AND(TRIM(U88)="Pass",AB88="Open"),"INVALID – corrective action still open: use Fail, then Pass after CA","")&amp;IF(AND(TRIM(U88)="Pass after CA",OR(TRIM(AA88)="",AB88&lt;&gt;"Closed")),"INVALID – corrective action not recorded/closed","")&lt;&gt;"",IF(AND(TRIM(U88)="Pass",ISNUMBER(AF88)),IF(AF88&lt;&gt;0,"INVALID – qty variance: use Fail or Pass after CA",""),"")&amp;IF(AND(TRIM(U88)="Pass",AB88="Open"),"INVALID – corrective action still open: use Fail, then Pass after CA","")&amp;IF(AND(TRIM(U88)="Pass after CA",OR(TRIM(AA88)="",AB88&lt;&gt;"Closed")),"INVALID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window"),IF(AG88&gt;Flights!$AA$7,"INVALID – completed after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f>
        <v/>
      </c>
      <c r="AI88" s="67">
        <f>IF(OR(AH88="N/A – RULE",AH88="N/A – JUSTIFIED"),0,1)</f>
        <v/>
      </c>
      <c r="AJ88" s="67">
        <f>IF(LEFT(AH88,8)="COMPLETE",1,0)</f>
        <v/>
      </c>
      <c r="AK88" s="67">
        <f>IF(AND(AI88=1,AJ88=0,AsOfUTC&gt;Q88),1,0)</f>
        <v/>
      </c>
      <c r="AL88" s="67">
        <f>IF(AND(AI88=1,OR(TRIM(U88)="Fail",AB88="Open",AND(ISNUMBER(AF88),AF88&lt;&gt;0,TRIM(U88)&lt;&gt;"Pass after CA"))),1,0)</f>
        <v/>
      </c>
      <c r="AM88" s="67">
        <f>IF(LEFT(AH88,7)="INVALID",1,0)</f>
        <v/>
      </c>
      <c r="AN88" s="67">
        <f>IF(AND(N88="Clarification required",AI88=1,AJ88=0),1,0)</f>
        <v/>
      </c>
      <c r="AO88" s="67">
        <f>IF(AK88=1,SUM(AK$5:AK88),"")</f>
        <v/>
      </c>
      <c r="AP88" s="67">
        <f>IF(AL88=1,SUM(AL$5:AL88),"")</f>
        <v/>
      </c>
      <c r="AQ88" s="67" t="n">
        <v>0</v>
      </c>
      <c r="AR88" s="67" t="n">
        <v>1</v>
      </c>
      <c r="AS88" s="67" t="n">
        <v>0</v>
      </c>
      <c r="AT88" s="67" t="n">
        <v>0</v>
      </c>
    </row>
    <row r="89" ht="40" customHeight="1">
      <c r="A89" s="63" t="inlineStr">
        <is>
          <t>F03-UPL-03</t>
        </is>
      </c>
      <c r="B89" s="63" t="inlineStr">
        <is>
          <t>F03</t>
        </is>
      </c>
      <c r="C89" s="63">
        <f>Flights!$F$7</f>
        <v/>
      </c>
      <c r="D89" s="64">
        <f>Flights!$D$7</f>
        <v/>
      </c>
      <c r="E89" s="63">
        <f>Flights!$G$7&amp;"-"&amp;Flights!$H$7</f>
        <v/>
      </c>
      <c r="F89" s="63">
        <f>Flights!$K$7</f>
        <v/>
      </c>
      <c r="G89" s="63" t="inlineStr">
        <is>
          <t>UPLIFT</t>
        </is>
      </c>
      <c r="H89" s="63" t="inlineStr">
        <is>
          <t>Physical uplift</t>
        </is>
      </c>
      <c r="I89" s="63" t="inlineStr">
        <is>
          <t>Seat Linen</t>
        </is>
      </c>
      <c r="J89" s="63" t="inlineStr">
        <is>
          <t>Seat pillow (EY) - on board</t>
        </is>
      </c>
      <c r="K89" s="73" t="inlineStr">
        <is>
          <t>Available 100% (ticked in reference)</t>
        </is>
      </c>
      <c r="L89" s="73" t="inlineStr">
        <is>
          <t>STD UPLIFT INFORMATION.xlsx &gt; SEAT LINEN!I42</t>
        </is>
      </c>
      <c r="M89" s="73" t="inlineStr">
        <is>
          <t>Not stated in reference</t>
        </is>
      </c>
      <c r="N89" s="73" t="inlineStr">
        <is>
          <t>Required</t>
        </is>
      </c>
      <c r="O89" s="73" t="inlineStr"/>
      <c r="P89" s="63" t="inlineStr">
        <is>
          <t>CGK</t>
        </is>
      </c>
      <c r="Q89" s="65">
        <f>Flights!$AF$7</f>
        <v/>
      </c>
      <c r="R89" s="65">
        <f>Q89+(IF(AND(INDEX(TZ_DSTS,MATCH(P89,TZ_STN,0))&lt;&gt;"",Q89&gt;=INDEX(TZ_DSTS,MATCH(P89,TZ_STN,0)),Q89&lt;INDEX(TZ_DSTE,MATCH(P89,TZ_STN,0))),INDEX(TZ_DST,MATCH(P89,TZ_STN,0)),INDEX(TZ_STD,MATCH(P89,TZ_STN,0))))/24</f>
        <v/>
      </c>
      <c r="S89" s="65">
        <f>Q89-UpliftWindowH/24</f>
        <v/>
      </c>
      <c r="T89" s="66" t="n"/>
      <c r="U89" s="66" t="n"/>
      <c r="V89" s="66" t="n"/>
      <c r="W89" s="67" t="n"/>
      <c r="X89" s="66" t="n"/>
      <c r="Y89" s="66" t="n"/>
      <c r="Z89" s="66" t="n"/>
      <c r="AA89" s="66" t="n"/>
      <c r="AB89" s="66" t="n"/>
      <c r="AC89" s="66" t="n"/>
      <c r="AD89" s="72" t="n"/>
      <c r="AE89" s="66" t="n"/>
      <c r="AF89" s="67">
        <f>IF(AND(ISNUMBER(X89),ISNUMBER(Y89)),Y89-X89,"")</f>
        <v/>
      </c>
      <c r="AG89" s="68">
        <f>IF(ISNUMBER(AD89),AD89-(IF(AND(INDEX(TZ_DSTS,MATCH(P89,TZ_STN,0))&lt;&gt;"",(AD89-INDEX(TZ_STD,MATCH(P89,TZ_STN,0))/24)&gt;=INDEX(TZ_DSTS,MATCH(P89,TZ_STN,0)),(AD89-INDEX(TZ_STD,MATCH(P89,TZ_STN,0))/24)&lt;INDEX(TZ_DSTE,MATCH(P89,TZ_STN,0))),INDEX(TZ_DST,MATCH(P89,TZ_STN,0)),INDEX(TZ_STD,MATCH(P89,TZ_STN,0))))/24,"")</f>
        <v/>
      </c>
      <c r="AH89" s="71">
        <f>IF(N89="N/A – rule","N/A – RULE",IF(TRIM(U89)="N/A",IF(AT89=0,"INVALID – N/A not permitted for this mandatory check",IF(AND(TRIM(AC89)&lt;&gt;"",TRIM(AE89)&lt;&gt;"",TRIM(T89)&lt;&gt;""),"N/A – JUSTIFIED","INVALID – N/A needs justification, PIC and verifier")),IF(OR(TRIM(U89)="Pass",TRIM(U89)="Pass after CA"),IF(NOT(ISNUMBER(AD89)),"INVALID – completion time missing",IF(TRIM(T89)="","INVALID – PIC missing",IF(TRIM(Z89)="","INVALID – evidence missing",IF(TRIM(AE89)="","INVALID – verifier missing",IF(AND(AQ89=1,TRIM(W89)=""),"INVALID – batch ID missing",IF(AND(AR89=1,OR(NOT(ISNUMBER(X89)),NOT(ISNUMBER(Y89)))),"INVALID – expected/actual qty missing",IF(IF(AND(TRIM(U89)="Pass",ISNUMBER(AF89)),IF(AF89&lt;&gt;0,"INVALID – qty variance: use Fail or Pass after CA",""),"")&amp;IF(AND(TRIM(U89)="Pass",AB89="Open"),"INVALID – corrective action still open: use Fail, then Pass after CA","")&amp;IF(AND(TRIM(U89)="Pass after CA",OR(TRIM(AA89)="",AB89&lt;&gt;"Closed")),"INVALID – corrective action not recorded/closed","")&lt;&gt;"",IF(AND(TRIM(U89)="Pass",ISNUMBER(AF89)),IF(AF89&lt;&gt;0,"INVALID – qty variance: use Fail or Pass after CA",""),"")&amp;IF(AND(TRIM(U89)="Pass",AB89="Open"),"INVALID – corrective action still open: use Fail, then Pass after CA","")&amp;IF(AND(TRIM(U89)="Pass after CA",OR(TRIM(AA89)="",AB89&lt;&gt;"Closed")),"INVALID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window"),IF(AG89&gt;Flights!$AA$7,"INVALID – completed after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f>
        <v/>
      </c>
      <c r="AI89" s="67">
        <f>IF(OR(AH89="N/A – RULE",AH89="N/A – JUSTIFIED"),0,1)</f>
        <v/>
      </c>
      <c r="AJ89" s="67">
        <f>IF(LEFT(AH89,8)="COMPLETE",1,0)</f>
        <v/>
      </c>
      <c r="AK89" s="67">
        <f>IF(AND(AI89=1,AJ89=0,AsOfUTC&gt;Q89),1,0)</f>
        <v/>
      </c>
      <c r="AL89" s="67">
        <f>IF(AND(AI89=1,OR(TRIM(U89)="Fail",AB89="Open",AND(ISNUMBER(AF89),AF89&lt;&gt;0,TRIM(U89)&lt;&gt;"Pass after CA"))),1,0)</f>
        <v/>
      </c>
      <c r="AM89" s="67">
        <f>IF(LEFT(AH89,7)="INVALID",1,0)</f>
        <v/>
      </c>
      <c r="AN89" s="67">
        <f>IF(AND(N89="Clarification required",AI89=1,AJ89=0),1,0)</f>
        <v/>
      </c>
      <c r="AO89" s="67">
        <f>IF(AK89=1,SUM(AK$5:AK89),"")</f>
        <v/>
      </c>
      <c r="AP89" s="67">
        <f>IF(AL89=1,SUM(AL$5:AL89),"")</f>
        <v/>
      </c>
      <c r="AQ89" s="67" t="n">
        <v>0</v>
      </c>
      <c r="AR89" s="67" t="n">
        <v>0</v>
      </c>
      <c r="AS89" s="67" t="n">
        <v>0</v>
      </c>
      <c r="AT89" s="67" t="n">
        <v>1</v>
      </c>
    </row>
    <row r="90" ht="40" customHeight="1">
      <c r="A90" s="63" t="inlineStr">
        <is>
          <t>F04-T7-01</t>
        </is>
      </c>
      <c r="B90" s="63" t="inlineStr">
        <is>
          <t>F04</t>
        </is>
      </c>
      <c r="C90" s="63">
        <f>Flights!$F$8</f>
        <v/>
      </c>
      <c r="D90" s="64">
        <f>Flights!$D$8</f>
        <v/>
      </c>
      <c r="E90" s="63">
        <f>Flights!$G$8&amp;"-"&amp;Flights!$H$8</f>
        <v/>
      </c>
      <c r="F90" s="63">
        <f>Flights!$K$8</f>
        <v/>
      </c>
      <c r="G90" s="63" t="inlineStr">
        <is>
          <t>T-7D</t>
        </is>
      </c>
      <c r="H90" s="63" t="inlineStr">
        <is>
          <t>Preparation</t>
        </is>
      </c>
      <c r="I90" s="63" t="inlineStr">
        <is>
          <t>Meal</t>
        </is>
      </c>
      <c r="J90" s="63" t="inlineStr">
        <is>
          <t>Meal sensory testing completed for this flight's menu cycle (assessed class)</t>
        </is>
      </c>
      <c r="K90" s="73" t="inlineStr">
        <is>
          <t>Record panel result / score in Result</t>
        </is>
      </c>
      <c r="L90" s="73" t="inlineStr">
        <is>
          <t>User brief (T-7 days)</t>
        </is>
      </c>
      <c r="M90" s="73" t="inlineStr"/>
      <c r="N90" s="73" t="inlineStr">
        <is>
          <t>Required</t>
        </is>
      </c>
      <c r="O90" s="73" t="inlineStr"/>
      <c r="P90" s="63" t="inlineStr">
        <is>
          <t>KUL</t>
        </is>
      </c>
      <c r="Q90" s="65">
        <f>Flights!$AC$8</f>
        <v/>
      </c>
      <c r="R90" s="65">
        <f>Q90+(IF(AND(INDEX(TZ_DSTS,MATCH(P90,TZ_STN,0))&lt;&gt;"",Q90&gt;=INDEX(TZ_DSTS,MATCH(P90,TZ_STN,0)),Q90&lt;INDEX(TZ_DSTE,MATCH(P90,TZ_STN,0))),INDEX(TZ_DST,MATCH(P90,TZ_STN,0)),INDEX(TZ_STD,MATCH(P90,TZ_STN,0))))/24</f>
        <v/>
      </c>
      <c r="S90" s="65" t="inlineStr"/>
      <c r="T90" s="66" t="n"/>
      <c r="U90" s="66" t="n"/>
      <c r="V90" s="66" t="n"/>
      <c r="W90" s="67" t="n"/>
      <c r="X90" s="66" t="n"/>
      <c r="Y90" s="66" t="n"/>
      <c r="Z90" s="66" t="n"/>
      <c r="AA90" s="66" t="n"/>
      <c r="AB90" s="66" t="n"/>
      <c r="AC90" s="66" t="n"/>
      <c r="AD90" s="72" t="n"/>
      <c r="AE90" s="66" t="n"/>
      <c r="AF90" s="67">
        <f>IF(AND(ISNUMBER(X90),ISNUMBER(Y90)),Y90-X90,"")</f>
        <v/>
      </c>
      <c r="AG90" s="68">
        <f>IF(ISNUMBER(AD90),AD90-(IF(AND(INDEX(TZ_DSTS,MATCH(P90,TZ_STN,0))&lt;&gt;"",(AD90-INDEX(TZ_STD,MATCH(P90,TZ_STN,0))/24)&gt;=INDEX(TZ_DSTS,MATCH(P90,TZ_STN,0)),(AD90-INDEX(TZ_STD,MATCH(P90,TZ_STN,0))/24)&lt;INDEX(TZ_DSTE,MATCH(P90,TZ_STN,0))),INDEX(TZ_DST,MATCH(P90,TZ_STN,0)),INDEX(TZ_STD,MATCH(P90,TZ_STN,0))))/24,"")</f>
        <v/>
      </c>
      <c r="AH90" s="71">
        <f>IF(N90="N/A – rule","N/A – RULE",IF(TRIM(U90)="N/A",IF(AT90=0,"INVALID – N/A not permitted for this mandatory check",IF(AND(TRIM(AC90)&lt;&gt;"",TRIM(AE90)&lt;&gt;"",TRIM(T90)&lt;&gt;""),"N/A – JUSTIFIED","INVALID – N/A needs justification, PIC and verifier")),IF(OR(TRIM(U90)="Pass",TRIM(U90)="Pass after CA"),IF(NOT(ISNUMBER(AD90)),"INVALID – completion time missing",IF(TRIM(T90)="","INVALID – PIC missing",IF(TRIM(Z90)="","INVALID – evidence missing",IF(TRIM(AE90)="","INVALID – verifier missing",IF(AND(AQ90=1,TRIM(W90)=""),"INVALID – batch ID missing",IF(AND(AR90=1,OR(NOT(ISNUMBER(X90)),NOT(ISNUMBER(Y90)))),"INVALID – expected/actual qty missing",IF(IF(AND(TRIM(U90)="Pass",ISNUMBER(AF90)),IF(AF90&lt;&gt;0,"INVALID – qty variance: use Fail or Pass after CA",""),"")&amp;IF(AND(TRIM(U90)="Pass",AB90="Open"),"INVALID – corrective action still open: use Fail, then Pass after CA","")&amp;IF(AND(TRIM(U90)="Pass after CA",OR(TRIM(AA90)="",AB90&lt;&gt;"Closed")),"INVALID – corrective action not recorded/closed","")&lt;&gt;"",IF(AND(TRIM(U90)="Pass",ISNUMBER(AF90)),IF(AF90&lt;&gt;0,"INVALID – qty variance: use Fail or Pass after CA",""),"")&amp;IF(AND(TRIM(U90)="Pass",AB90="Open"),"INVALID – corrective action still open: use Fail, then Pass after CA","")&amp;IF(AND(TRIM(U90)="Pass after CA",OR(TRIM(AA90)="",AB90&lt;&gt;"Closed")),"INVALID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window"),IF(AG90&gt;Flights!$AA$8,"INVALID – completed after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f>
        <v/>
      </c>
      <c r="AI90" s="67">
        <f>IF(OR(AH90="N/A – RULE",AH90="N/A – JUSTIFIED"),0,1)</f>
        <v/>
      </c>
      <c r="AJ90" s="67">
        <f>IF(LEFT(AH90,8)="COMPLETE",1,0)</f>
        <v/>
      </c>
      <c r="AK90" s="67">
        <f>IF(AND(AI90=1,AJ90=0,AsOfUTC&gt;Q90),1,0)</f>
        <v/>
      </c>
      <c r="AL90" s="67">
        <f>IF(AND(AI90=1,OR(TRIM(U90)="Fail",AB90="Open",AND(ISNUMBER(AF90),AF90&lt;&gt;0,TRIM(U90)&lt;&gt;"Pass after CA"))),1,0)</f>
        <v/>
      </c>
      <c r="AM90" s="67">
        <f>IF(LEFT(AH90,7)="INVALID",1,0)</f>
        <v/>
      </c>
      <c r="AN90" s="67">
        <f>IF(AND(N90="Clarification required",AI90=1,AJ90=0),1,0)</f>
        <v/>
      </c>
      <c r="AO90" s="67">
        <f>IF(AK90=1,SUM(AK$5:AK90),"")</f>
        <v/>
      </c>
      <c r="AP90" s="67">
        <f>IF(AL90=1,SUM(AL$5:AL90),"")</f>
        <v/>
      </c>
      <c r="AQ90" s="67" t="n">
        <v>0</v>
      </c>
      <c r="AR90" s="67" t="n">
        <v>0</v>
      </c>
      <c r="AS90" s="67" t="n">
        <v>0</v>
      </c>
      <c r="AT90" s="67" t="n">
        <v>0</v>
      </c>
    </row>
    <row r="91" ht="40" customHeight="1">
      <c r="A91" s="63" t="inlineStr">
        <is>
          <t>F04-T7-02</t>
        </is>
      </c>
      <c r="B91" s="63" t="inlineStr">
        <is>
          <t>F04</t>
        </is>
      </c>
      <c r="C91" s="63">
        <f>Flights!$F$8</f>
        <v/>
      </c>
      <c r="D91" s="64">
        <f>Flights!$D$8</f>
        <v/>
      </c>
      <c r="E91" s="63">
        <f>Flights!$G$8&amp;"-"&amp;Flights!$H$8</f>
        <v/>
      </c>
      <c r="F91" s="63">
        <f>Flights!$K$8</f>
        <v/>
      </c>
      <c r="G91" s="63" t="inlineStr">
        <is>
          <t>T-7D</t>
        </is>
      </c>
      <c r="H91" s="63" t="inlineStr">
        <is>
          <t>Preparation</t>
        </is>
      </c>
      <c r="I91" s="63" t="inlineStr">
        <is>
          <t>Menu</t>
        </is>
      </c>
      <c r="J91" s="63" t="inlineStr">
        <is>
          <t>Printed menu cards confirmed (content, cycle, language, quantity)</t>
        </is>
      </c>
      <c r="K91" s="73" t="inlineStr">
        <is>
          <t>Menu card matches approved menu for this flight</t>
        </is>
      </c>
      <c r="L91" s="73" t="inlineStr">
        <is>
          <t>User brief (T-7 days)</t>
        </is>
      </c>
      <c r="M91" s="73" t="inlineStr"/>
      <c r="N91" s="73" t="inlineStr">
        <is>
          <t>Required</t>
        </is>
      </c>
      <c r="O91" s="73" t="inlineStr"/>
      <c r="P91" s="63" t="inlineStr">
        <is>
          <t>KUL</t>
        </is>
      </c>
      <c r="Q91" s="65">
        <f>Flights!$AC$8</f>
        <v/>
      </c>
      <c r="R91" s="65">
        <f>Q91+(IF(AND(INDEX(TZ_DSTS,MATCH(P91,TZ_STN,0))&lt;&gt;"",Q91&gt;=INDEX(TZ_DSTS,MATCH(P91,TZ_STN,0)),Q91&lt;INDEX(TZ_DSTE,MATCH(P91,TZ_STN,0))),INDEX(TZ_DST,MATCH(P91,TZ_STN,0)),INDEX(TZ_STD,MATCH(P91,TZ_STN,0))))/24</f>
        <v/>
      </c>
      <c r="S91" s="65" t="inlineStr"/>
      <c r="T91" s="66" t="n"/>
      <c r="U91" s="66" t="n"/>
      <c r="V91" s="66" t="n"/>
      <c r="W91" s="67" t="n"/>
      <c r="X91" s="66" t="n"/>
      <c r="Y91" s="66" t="n"/>
      <c r="Z91" s="66" t="n"/>
      <c r="AA91" s="66" t="n"/>
      <c r="AB91" s="66" t="n"/>
      <c r="AC91" s="66" t="n"/>
      <c r="AD91" s="72" t="n"/>
      <c r="AE91" s="66" t="n"/>
      <c r="AF91" s="67">
        <f>IF(AND(ISNUMBER(X91),ISNUMBER(Y91)),Y91-X91,"")</f>
        <v/>
      </c>
      <c r="AG91" s="68">
        <f>IF(ISNUMBER(AD91),AD91-(IF(AND(INDEX(TZ_DSTS,MATCH(P91,TZ_STN,0))&lt;&gt;"",(AD91-INDEX(TZ_STD,MATCH(P91,TZ_STN,0))/24)&gt;=INDEX(TZ_DSTS,MATCH(P91,TZ_STN,0)),(AD91-INDEX(TZ_STD,MATCH(P91,TZ_STN,0))/24)&lt;INDEX(TZ_DSTE,MATCH(P91,TZ_STN,0))),INDEX(TZ_DST,MATCH(P91,TZ_STN,0)),INDEX(TZ_STD,MATCH(P91,TZ_STN,0))))/24,"")</f>
        <v/>
      </c>
      <c r="AH91" s="71">
        <f>IF(N91="N/A – rule","N/A – RULE",IF(TRIM(U91)="N/A",IF(AT91=0,"INVALID – N/A not permitted for this mandatory check",IF(AND(TRIM(AC91)&lt;&gt;"",TRIM(AE91)&lt;&gt;"",TRIM(T91)&lt;&gt;""),"N/A – JUSTIFIED","INVALID – N/A needs justification, PIC and verifier")),IF(OR(TRIM(U91)="Pass",TRIM(U91)="Pass after CA"),IF(NOT(ISNUMBER(AD91)),"INVALID – completion time missing",IF(TRIM(T91)="","INVALID – PIC missing",IF(TRIM(Z91)="","INVALID – evidence missing",IF(TRIM(AE91)="","INVALID – verifier missing",IF(AND(AQ91=1,TRIM(W91)=""),"INVALID – batch ID missing",IF(AND(AR91=1,OR(NOT(ISNUMBER(X91)),NOT(ISNUMBER(Y91)))),"INVALID – expected/actual qty missing",IF(IF(AND(TRIM(U91)="Pass",ISNUMBER(AF91)),IF(AF91&lt;&gt;0,"INVALID – qty variance: use Fail or Pass after CA",""),"")&amp;IF(AND(TRIM(U91)="Pass",AB91="Open"),"INVALID – corrective action still open: use Fail, then Pass after CA","")&amp;IF(AND(TRIM(U91)="Pass after CA",OR(TRIM(AA91)="",AB91&lt;&gt;"Closed")),"INVALID – corrective action not recorded/closed","")&lt;&gt;"",IF(AND(TRIM(U91)="Pass",ISNUMBER(AF91)),IF(AF91&lt;&gt;0,"INVALID – qty variance: use Fail or Pass after CA",""),"")&amp;IF(AND(TRIM(U91)="Pass",AB91="Open"),"INVALID – corrective action still open: use Fail, then Pass after CA","")&amp;IF(AND(TRIM(U91)="Pass after CA",OR(TRIM(AA91)="",AB91&lt;&gt;"Closed")),"INVALID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window"),IF(AG91&gt;Flights!$AA$8,"INVALID – completed after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f>
        <v/>
      </c>
      <c r="AI91" s="67">
        <f>IF(OR(AH91="N/A – RULE",AH91="N/A – JUSTIFIED"),0,1)</f>
        <v/>
      </c>
      <c r="AJ91" s="67">
        <f>IF(LEFT(AH91,8)="COMPLETE",1,0)</f>
        <v/>
      </c>
      <c r="AK91" s="67">
        <f>IF(AND(AI91=1,AJ91=0,AsOfUTC&gt;Q91),1,0)</f>
        <v/>
      </c>
      <c r="AL91" s="67">
        <f>IF(AND(AI91=1,OR(TRIM(U91)="Fail",AB91="Open",AND(ISNUMBER(AF91),AF91&lt;&gt;0,TRIM(U91)&lt;&gt;"Pass after CA"))),1,0)</f>
        <v/>
      </c>
      <c r="AM91" s="67">
        <f>IF(LEFT(AH91,7)="INVALID",1,0)</f>
        <v/>
      </c>
      <c r="AN91" s="67">
        <f>IF(AND(N91="Clarification required",AI91=1,AJ91=0),1,0)</f>
        <v/>
      </c>
      <c r="AO91" s="67">
        <f>IF(AK91=1,SUM(AK$5:AK91),"")</f>
        <v/>
      </c>
      <c r="AP91" s="67">
        <f>IF(AL91=1,SUM(AL$5:AL91),"")</f>
        <v/>
      </c>
      <c r="AQ91" s="67" t="n">
        <v>0</v>
      </c>
      <c r="AR91" s="67" t="n">
        <v>0</v>
      </c>
      <c r="AS91" s="67" t="n">
        <v>0</v>
      </c>
      <c r="AT91" s="67" t="n">
        <v>1</v>
      </c>
    </row>
    <row r="92" ht="41.5" customHeight="1">
      <c r="A92" s="63" t="inlineStr">
        <is>
          <t>F04-T7-03</t>
        </is>
      </c>
      <c r="B92" s="63" t="inlineStr">
        <is>
          <t>F04</t>
        </is>
      </c>
      <c r="C92" s="63">
        <f>Flights!$F$8</f>
        <v/>
      </c>
      <c r="D92" s="64">
        <f>Flights!$D$8</f>
        <v/>
      </c>
      <c r="E92" s="63">
        <f>Flights!$G$8&amp;"-"&amp;Flights!$H$8</f>
        <v/>
      </c>
      <c r="F92" s="63">
        <f>Flights!$K$8</f>
        <v/>
      </c>
      <c r="G92" s="63" t="inlineStr">
        <is>
          <t>T-7D</t>
        </is>
      </c>
      <c r="H92" s="63" t="inlineStr">
        <is>
          <t>Preparation</t>
        </is>
      </c>
      <c r="I92" s="63" t="inlineStr">
        <is>
          <t>IFE</t>
        </is>
      </c>
      <c r="J92" s="63" t="inlineStr">
        <is>
          <t>Digital menu in IFE confirmed (A339 only)</t>
        </is>
      </c>
      <c r="K92" s="73" t="inlineStr">
        <is>
          <t>Applies when fleet = A339</t>
        </is>
      </c>
      <c r="L92" s="73" t="inlineStr">
        <is>
          <t>User brief (T-7 days)</t>
        </is>
      </c>
      <c r="M92" s="73" t="inlineStr"/>
      <c r="N92" s="73">
        <f>IF(TRIM(Flights!$L$8)="A339","Required","N/A – rule")</f>
        <v/>
      </c>
      <c r="O92" s="73" t="inlineStr">
        <is>
          <t>Digital IFE menu applies to A339 only (user brief). Applicability follows the Fleet cell on Flights.</t>
        </is>
      </c>
      <c r="P92" s="63" t="inlineStr">
        <is>
          <t>KUL</t>
        </is>
      </c>
      <c r="Q92" s="65">
        <f>Flights!$AC$8</f>
        <v/>
      </c>
      <c r="R92" s="65">
        <f>Q92+(IF(AND(INDEX(TZ_DSTS,MATCH(P92,TZ_STN,0))&lt;&gt;"",Q92&gt;=INDEX(TZ_DSTS,MATCH(P92,TZ_STN,0)),Q92&lt;INDEX(TZ_DSTE,MATCH(P92,TZ_STN,0))),INDEX(TZ_DST,MATCH(P92,TZ_STN,0)),INDEX(TZ_STD,MATCH(P92,TZ_STN,0))))/24</f>
        <v/>
      </c>
      <c r="S92" s="65" t="inlineStr"/>
      <c r="T92" s="66" t="n"/>
      <c r="U92" s="66" t="n"/>
      <c r="V92" s="66" t="n"/>
      <c r="W92" s="67" t="n"/>
      <c r="X92" s="66" t="n"/>
      <c r="Y92" s="66" t="n"/>
      <c r="Z92" s="66" t="n"/>
      <c r="AA92" s="66" t="n"/>
      <c r="AB92" s="66" t="n"/>
      <c r="AC92" s="66" t="n"/>
      <c r="AD92" s="72" t="n"/>
      <c r="AE92" s="66" t="n"/>
      <c r="AF92" s="67">
        <f>IF(AND(ISNUMBER(X92),ISNUMBER(Y92)),Y92-X92,"")</f>
        <v/>
      </c>
      <c r="AG92" s="68">
        <f>IF(ISNUMBER(AD92),AD92-(IF(AND(INDEX(TZ_DSTS,MATCH(P92,TZ_STN,0))&lt;&gt;"",(AD92-INDEX(TZ_STD,MATCH(P92,TZ_STN,0))/24)&gt;=INDEX(TZ_DSTS,MATCH(P92,TZ_STN,0)),(AD92-INDEX(TZ_STD,MATCH(P92,TZ_STN,0))/24)&lt;INDEX(TZ_DSTE,MATCH(P92,TZ_STN,0))),INDEX(TZ_DST,MATCH(P92,TZ_STN,0)),INDEX(TZ_STD,MATCH(P92,TZ_STN,0))))/24,"")</f>
        <v/>
      </c>
      <c r="AH92" s="71">
        <f>IF(N92="N/A – rule","N/A – RULE",IF(TRIM(U92)="N/A",IF(AT92=0,"INVALID – N/A not permitted for this mandatory check",IF(AND(TRIM(AC92)&lt;&gt;"",TRIM(AE92)&lt;&gt;"",TRIM(T92)&lt;&gt;""),"N/A – JUSTIFIED","INVALID – N/A needs justification, PIC and verifier")),IF(OR(TRIM(U92)="Pass",TRIM(U92)="Pass after CA"),IF(NOT(ISNUMBER(AD92)),"INVALID – completion time missing",IF(TRIM(T92)="","INVALID – PIC missing",IF(TRIM(Z92)="","INVALID – evidence missing",IF(TRIM(AE92)="","INVALID – verifier missing",IF(AND(AQ92=1,TRIM(W92)=""),"INVALID – batch ID missing",IF(AND(AR92=1,OR(NOT(ISNUMBER(X92)),NOT(ISNUMBER(Y92)))),"INVALID – expected/actual qty missing",IF(IF(AND(TRIM(U92)="Pass",ISNUMBER(AF92)),IF(AF92&lt;&gt;0,"INVALID – qty variance: use Fail or Pass after CA",""),"")&amp;IF(AND(TRIM(U92)="Pass",AB92="Open"),"INVALID – corrective action still open: use Fail, then Pass after CA","")&amp;IF(AND(TRIM(U92)="Pass after CA",OR(TRIM(AA92)="",AB92&lt;&gt;"Closed")),"INVALID – corrective action not recorded/closed","")&lt;&gt;"",IF(AND(TRIM(U92)="Pass",ISNUMBER(AF92)),IF(AF92&lt;&gt;0,"INVALID – qty variance: use Fail or Pass after CA",""),"")&amp;IF(AND(TRIM(U92)="Pass",AB92="Open"),"INVALID – corrective action still open: use Fail, then Pass after CA","")&amp;IF(AND(TRIM(U92)="Pass after CA",OR(TRIM(AA92)="",AB92&lt;&gt;"Closed")),"INVALID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window"),IF(AG92&gt;Flights!$AA$8,"INVALID – completed after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f>
        <v/>
      </c>
      <c r="AI92" s="67">
        <f>IF(OR(AH92="N/A – RULE",AH92="N/A – JUSTIFIED"),0,1)</f>
        <v/>
      </c>
      <c r="AJ92" s="67">
        <f>IF(LEFT(AH92,8)="COMPLETE",1,0)</f>
        <v/>
      </c>
      <c r="AK92" s="67">
        <f>IF(AND(AI92=1,AJ92=0,AsOfUTC&gt;Q92),1,0)</f>
        <v/>
      </c>
      <c r="AL92" s="67">
        <f>IF(AND(AI92=1,OR(TRIM(U92)="Fail",AB92="Open",AND(ISNUMBER(AF92),AF92&lt;&gt;0,TRIM(U92)&lt;&gt;"Pass after CA"))),1,0)</f>
        <v/>
      </c>
      <c r="AM92" s="67">
        <f>IF(LEFT(AH92,7)="INVALID",1,0)</f>
        <v/>
      </c>
      <c r="AN92" s="67">
        <f>IF(AND(N92="Clarification required",AI92=1,AJ92=0),1,0)</f>
        <v/>
      </c>
      <c r="AO92" s="67">
        <f>IF(AK92=1,SUM(AK$5:AK92),"")</f>
        <v/>
      </c>
      <c r="AP92" s="67">
        <f>IF(AL92=1,SUM(AL$5:AL92),"")</f>
        <v/>
      </c>
      <c r="AQ92" s="67" t="n">
        <v>0</v>
      </c>
      <c r="AR92" s="67" t="n">
        <v>0</v>
      </c>
      <c r="AS92" s="67" t="n">
        <v>0</v>
      </c>
      <c r="AT92" s="67" t="n">
        <v>0</v>
      </c>
    </row>
    <row r="93" ht="40" customHeight="1">
      <c r="A93" s="63" t="inlineStr">
        <is>
          <t>F04-T7-04</t>
        </is>
      </c>
      <c r="B93" s="63" t="inlineStr">
        <is>
          <t>F04</t>
        </is>
      </c>
      <c r="C93" s="63">
        <f>Flights!$F$8</f>
        <v/>
      </c>
      <c r="D93" s="64">
        <f>Flights!$D$8</f>
        <v/>
      </c>
      <c r="E93" s="63">
        <f>Flights!$G$8&amp;"-"&amp;Flights!$H$8</f>
        <v/>
      </c>
      <c r="F93" s="63">
        <f>Flights!$K$8</f>
        <v/>
      </c>
      <c r="G93" s="63" t="inlineStr">
        <is>
          <t>T-7D</t>
        </is>
      </c>
      <c r="H93" s="63" t="inlineStr">
        <is>
          <t>Preparation</t>
        </is>
      </c>
      <c r="I93" s="63" t="inlineStr">
        <is>
          <t>Staffing</t>
        </is>
      </c>
      <c r="J93" s="63" t="inlineStr">
        <is>
          <t>Experienced catering officer assigned to this flight</t>
        </is>
      </c>
      <c r="K93" s="73" t="inlineStr">
        <is>
          <t>Record officer name in Result</t>
        </is>
      </c>
      <c r="L93" s="73" t="inlineStr">
        <is>
          <t>User brief (T-7 days)</t>
        </is>
      </c>
      <c r="M93" s="73" t="inlineStr"/>
      <c r="N93" s="73" t="inlineStr">
        <is>
          <t>Required</t>
        </is>
      </c>
      <c r="O93" s="73" t="inlineStr"/>
      <c r="P93" s="63" t="inlineStr">
        <is>
          <t>KUL</t>
        </is>
      </c>
      <c r="Q93" s="65">
        <f>Flights!$AC$8</f>
        <v/>
      </c>
      <c r="R93" s="65">
        <f>Q93+(IF(AND(INDEX(TZ_DSTS,MATCH(P93,TZ_STN,0))&lt;&gt;"",Q93&gt;=INDEX(TZ_DSTS,MATCH(P93,TZ_STN,0)),Q93&lt;INDEX(TZ_DSTE,MATCH(P93,TZ_STN,0))),INDEX(TZ_DST,MATCH(P93,TZ_STN,0)),INDEX(TZ_STD,MATCH(P93,TZ_STN,0))))/24</f>
        <v/>
      </c>
      <c r="S93" s="65" t="inlineStr"/>
      <c r="T93" s="66" t="n"/>
      <c r="U93" s="66" t="n"/>
      <c r="V93" s="66" t="n"/>
      <c r="W93" s="67" t="n"/>
      <c r="X93" s="66" t="n"/>
      <c r="Y93" s="66" t="n"/>
      <c r="Z93" s="66" t="n"/>
      <c r="AA93" s="66" t="n"/>
      <c r="AB93" s="66" t="n"/>
      <c r="AC93" s="66" t="n"/>
      <c r="AD93" s="72" t="n"/>
      <c r="AE93" s="66" t="n"/>
      <c r="AF93" s="67">
        <f>IF(AND(ISNUMBER(X93),ISNUMBER(Y93)),Y93-X93,"")</f>
        <v/>
      </c>
      <c r="AG93" s="68">
        <f>IF(ISNUMBER(AD93),AD93-(IF(AND(INDEX(TZ_DSTS,MATCH(P93,TZ_STN,0))&lt;&gt;"",(AD93-INDEX(TZ_STD,MATCH(P93,TZ_STN,0))/24)&gt;=INDEX(TZ_DSTS,MATCH(P93,TZ_STN,0)),(AD93-INDEX(TZ_STD,MATCH(P93,TZ_STN,0))/24)&lt;INDEX(TZ_DSTE,MATCH(P93,TZ_STN,0))),INDEX(TZ_DST,MATCH(P93,TZ_STN,0)),INDEX(TZ_STD,MATCH(P93,TZ_STN,0))))/24,"")</f>
        <v/>
      </c>
      <c r="AH93" s="71">
        <f>IF(N93="N/A – rule","N/A – RULE",IF(TRIM(U93)="N/A",IF(AT93=0,"INVALID – N/A not permitted for this mandatory check",IF(AND(TRIM(AC93)&lt;&gt;"",TRIM(AE93)&lt;&gt;"",TRIM(T93)&lt;&gt;""),"N/A – JUSTIFIED","INVALID – N/A needs justification, PIC and verifier")),IF(OR(TRIM(U93)="Pass",TRIM(U93)="Pass after CA"),IF(NOT(ISNUMBER(AD93)),"INVALID – completion time missing",IF(TRIM(T93)="","INVALID – PIC missing",IF(TRIM(Z93)="","INVALID – evidence missing",IF(TRIM(AE93)="","INVALID – verifier missing",IF(AND(AQ93=1,TRIM(W93)=""),"INVALID – batch ID missing",IF(AND(AR93=1,OR(NOT(ISNUMBER(X93)),NOT(ISNUMBER(Y93)))),"INVALID – expected/actual qty missing",IF(IF(AND(TRIM(U93)="Pass",ISNUMBER(AF93)),IF(AF93&lt;&gt;0,"INVALID – qty variance: use Fail or Pass after CA",""),"")&amp;IF(AND(TRIM(U93)="Pass",AB93="Open"),"INVALID – corrective action still open: use Fail, then Pass after CA","")&amp;IF(AND(TRIM(U93)="Pass after CA",OR(TRIM(AA93)="",AB93&lt;&gt;"Closed")),"INVALID – corrective action not recorded/closed","")&lt;&gt;"",IF(AND(TRIM(U93)="Pass",ISNUMBER(AF93)),IF(AF93&lt;&gt;0,"INVALID – qty variance: use Fail or Pass after CA",""),"")&amp;IF(AND(TRIM(U93)="Pass",AB93="Open"),"INVALID – corrective action still open: use Fail, then Pass after CA","")&amp;IF(AND(TRIM(U93)="Pass after CA",OR(TRIM(AA93)="",AB93&lt;&gt;"Closed")),"INVALID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window"),IF(AG93&gt;Flights!$AA$8,"INVALID – completed after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f>
        <v/>
      </c>
      <c r="AI93" s="67">
        <f>IF(OR(AH93="N/A – RULE",AH93="N/A – JUSTIFIED"),0,1)</f>
        <v/>
      </c>
      <c r="AJ93" s="67">
        <f>IF(LEFT(AH93,8)="COMPLETE",1,0)</f>
        <v/>
      </c>
      <c r="AK93" s="67">
        <f>IF(AND(AI93=1,AJ93=0,AsOfUTC&gt;Q93),1,0)</f>
        <v/>
      </c>
      <c r="AL93" s="67">
        <f>IF(AND(AI93=1,OR(TRIM(U93)="Fail",AB93="Open",AND(ISNUMBER(AF93),AF93&lt;&gt;0,TRIM(U93)&lt;&gt;"Pass after CA"))),1,0)</f>
        <v/>
      </c>
      <c r="AM93" s="67">
        <f>IF(LEFT(AH93,7)="INVALID",1,0)</f>
        <v/>
      </c>
      <c r="AN93" s="67">
        <f>IF(AND(N93="Clarification required",AI93=1,AJ93=0),1,0)</f>
        <v/>
      </c>
      <c r="AO93" s="67">
        <f>IF(AK93=1,SUM(AK$5:AK93),"")</f>
        <v/>
      </c>
      <c r="AP93" s="67">
        <f>IF(AL93=1,SUM(AL$5:AL93),"")</f>
        <v/>
      </c>
      <c r="AQ93" s="67" t="n">
        <v>0</v>
      </c>
      <c r="AR93" s="67" t="n">
        <v>0</v>
      </c>
      <c r="AS93" s="67" t="n">
        <v>0</v>
      </c>
      <c r="AT93" s="67" t="n">
        <v>0</v>
      </c>
    </row>
    <row r="94" ht="40" customHeight="1">
      <c r="A94" s="63" t="inlineStr">
        <is>
          <t>F04-T7-05</t>
        </is>
      </c>
      <c r="B94" s="63" t="inlineStr">
        <is>
          <t>F04</t>
        </is>
      </c>
      <c r="C94" s="63">
        <f>Flights!$F$8</f>
        <v/>
      </c>
      <c r="D94" s="64">
        <f>Flights!$D$8</f>
        <v/>
      </c>
      <c r="E94" s="63">
        <f>Flights!$G$8&amp;"-"&amp;Flights!$H$8</f>
        <v/>
      </c>
      <c r="F94" s="63">
        <f>Flights!$K$8</f>
        <v/>
      </c>
      <c r="G94" s="63" t="inlineStr">
        <is>
          <t>T-7D</t>
        </is>
      </c>
      <c r="H94" s="63" t="inlineStr">
        <is>
          <t>Preparation</t>
        </is>
      </c>
      <c r="I94" s="63" t="inlineStr">
        <is>
          <t>ISOP</t>
        </is>
      </c>
      <c r="J94" s="63" t="inlineStr">
        <is>
          <t>All latest applicable ISOP revisions communicated to caterer</t>
        </is>
      </c>
      <c r="K94" s="73" t="inlineStr">
        <is>
          <t>List revision numbers in Result (see ISOP register)</t>
        </is>
      </c>
      <c r="L94" s="73" t="inlineStr">
        <is>
          <t>User brief (T-7 days)</t>
        </is>
      </c>
      <c r="M94" s="73" t="inlineStr"/>
      <c r="N94" s="73" t="inlineStr">
        <is>
          <t>Required</t>
        </is>
      </c>
      <c r="O94" s="73" t="inlineStr"/>
      <c r="P94" s="63" t="inlineStr">
        <is>
          <t>KUL</t>
        </is>
      </c>
      <c r="Q94" s="65">
        <f>Flights!$AC$8</f>
        <v/>
      </c>
      <c r="R94" s="65">
        <f>Q94+(IF(AND(INDEX(TZ_DSTS,MATCH(P94,TZ_STN,0))&lt;&gt;"",Q94&gt;=INDEX(TZ_DSTS,MATCH(P94,TZ_STN,0)),Q94&lt;INDEX(TZ_DSTE,MATCH(P94,TZ_STN,0))),INDEX(TZ_DST,MATCH(P94,TZ_STN,0)),INDEX(TZ_STD,MATCH(P94,TZ_STN,0))))/24</f>
        <v/>
      </c>
      <c r="S94" s="65" t="inlineStr"/>
      <c r="T94" s="66" t="n"/>
      <c r="U94" s="66" t="n"/>
      <c r="V94" s="66" t="n"/>
      <c r="W94" s="67" t="n"/>
      <c r="X94" s="66" t="n"/>
      <c r="Y94" s="66" t="n"/>
      <c r="Z94" s="66" t="n"/>
      <c r="AA94" s="66" t="n"/>
      <c r="AB94" s="66" t="n"/>
      <c r="AC94" s="66" t="n"/>
      <c r="AD94" s="72" t="n"/>
      <c r="AE94" s="66" t="n"/>
      <c r="AF94" s="67">
        <f>IF(AND(ISNUMBER(X94),ISNUMBER(Y94)),Y94-X94,"")</f>
        <v/>
      </c>
      <c r="AG94" s="68">
        <f>IF(ISNUMBER(AD94),AD94-(IF(AND(INDEX(TZ_DSTS,MATCH(P94,TZ_STN,0))&lt;&gt;"",(AD94-INDEX(TZ_STD,MATCH(P94,TZ_STN,0))/24)&gt;=INDEX(TZ_DSTS,MATCH(P94,TZ_STN,0)),(AD94-INDEX(TZ_STD,MATCH(P94,TZ_STN,0))/24)&lt;INDEX(TZ_DSTE,MATCH(P94,TZ_STN,0))),INDEX(TZ_DST,MATCH(P94,TZ_STN,0)),INDEX(TZ_STD,MATCH(P94,TZ_STN,0))))/24,"")</f>
        <v/>
      </c>
      <c r="AH94" s="71">
        <f>IF(N94="N/A – rule","N/A – RULE",IF(TRIM(U94)="N/A",IF(AT94=0,"INVALID – N/A not permitted for this mandatory check",IF(AND(TRIM(AC94)&lt;&gt;"",TRIM(AE94)&lt;&gt;"",TRIM(T94)&lt;&gt;""),"N/A – JUSTIFIED","INVALID – N/A needs justification, PIC and verifier")),IF(OR(TRIM(U94)="Pass",TRIM(U94)="Pass after CA"),IF(NOT(ISNUMBER(AD94)),"INVALID – completion time missing",IF(TRIM(T94)="","INVALID – PIC missing",IF(TRIM(Z94)="","INVALID – evidence missing",IF(TRIM(AE94)="","INVALID – verifier missing",IF(AND(AQ94=1,TRIM(W94)=""),"INVALID – batch ID missing",IF(AND(AR94=1,OR(NOT(ISNUMBER(X94)),NOT(ISNUMBER(Y94)))),"INVALID – expected/actual qty missing",IF(IF(AND(TRIM(U94)="Pass",ISNUMBER(AF94)),IF(AF94&lt;&gt;0,"INVALID – qty variance: use Fail or Pass after CA",""),"")&amp;IF(AND(TRIM(U94)="Pass",AB94="Open"),"INVALID – corrective action still open: use Fail, then Pass after CA","")&amp;IF(AND(TRIM(U94)="Pass after CA",OR(TRIM(AA94)="",AB94&lt;&gt;"Closed")),"INVALID – corrective action not recorded/closed","")&lt;&gt;"",IF(AND(TRIM(U94)="Pass",ISNUMBER(AF94)),IF(AF94&lt;&gt;0,"INVALID – qty variance: use Fail or Pass after CA",""),"")&amp;IF(AND(TRIM(U94)="Pass",AB94="Open"),"INVALID – corrective action still open: use Fail, then Pass after CA","")&amp;IF(AND(TRIM(U94)="Pass after CA",OR(TRIM(AA94)="",AB94&lt;&gt;"Closed")),"INVALID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window"),IF(AG94&gt;Flights!$AA$8,"INVALID – completed after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f>
        <v/>
      </c>
      <c r="AI94" s="67">
        <f>IF(OR(AH94="N/A – RULE",AH94="N/A – JUSTIFIED"),0,1)</f>
        <v/>
      </c>
      <c r="AJ94" s="67">
        <f>IF(LEFT(AH94,8)="COMPLETE",1,0)</f>
        <v/>
      </c>
      <c r="AK94" s="67">
        <f>IF(AND(AI94=1,AJ94=0,AsOfUTC&gt;Q94),1,0)</f>
        <v/>
      </c>
      <c r="AL94" s="67">
        <f>IF(AND(AI94=1,OR(TRIM(U94)="Fail",AB94="Open",AND(ISNUMBER(AF94),AF94&lt;&gt;0,TRIM(U94)&lt;&gt;"Pass after CA"))),1,0)</f>
        <v/>
      </c>
      <c r="AM94" s="67">
        <f>IF(LEFT(AH94,7)="INVALID",1,0)</f>
        <v/>
      </c>
      <c r="AN94" s="67">
        <f>IF(AND(N94="Clarification required",AI94=1,AJ94=0),1,0)</f>
        <v/>
      </c>
      <c r="AO94" s="67">
        <f>IF(AK94=1,SUM(AK$5:AK94),"")</f>
        <v/>
      </c>
      <c r="AP94" s="67">
        <f>IF(AL94=1,SUM(AL$5:AL94),"")</f>
        <v/>
      </c>
      <c r="AQ94" s="67" t="n">
        <v>0</v>
      </c>
      <c r="AR94" s="67" t="n">
        <v>0</v>
      </c>
      <c r="AS94" s="67" t="n">
        <v>0</v>
      </c>
      <c r="AT94" s="67" t="n">
        <v>0</v>
      </c>
    </row>
    <row r="95" ht="40" customHeight="1">
      <c r="A95" s="63" t="inlineStr">
        <is>
          <t>F04-T7-06</t>
        </is>
      </c>
      <c r="B95" s="63" t="inlineStr">
        <is>
          <t>F04</t>
        </is>
      </c>
      <c r="C95" s="63">
        <f>Flights!$F$8</f>
        <v/>
      </c>
      <c r="D95" s="64">
        <f>Flights!$D$8</f>
        <v/>
      </c>
      <c r="E95" s="63">
        <f>Flights!$G$8&amp;"-"&amp;Flights!$H$8</f>
        <v/>
      </c>
      <c r="F95" s="63">
        <f>Flights!$K$8</f>
        <v/>
      </c>
      <c r="G95" s="63" t="inlineStr">
        <is>
          <t>T-7D</t>
        </is>
      </c>
      <c r="H95" s="63" t="inlineStr">
        <is>
          <t>Preparation</t>
        </is>
      </c>
      <c r="I95" s="63" t="inlineStr">
        <is>
          <t>ISOP</t>
        </is>
      </c>
      <c r="J95" s="63" t="inlineStr">
        <is>
          <t>Caterer acknowledgement of ISOP revisions recorded</t>
        </is>
      </c>
      <c r="K95" s="73" t="inlineStr">
        <is>
          <t>Record acknowledgement ref in Evidence</t>
        </is>
      </c>
      <c r="L95" s="73" t="inlineStr">
        <is>
          <t>User brief (T-7 days)</t>
        </is>
      </c>
      <c r="M95" s="73" t="inlineStr"/>
      <c r="N95" s="73" t="inlineStr">
        <is>
          <t>Required</t>
        </is>
      </c>
      <c r="O95" s="73" t="inlineStr"/>
      <c r="P95" s="63" t="inlineStr">
        <is>
          <t>KUL</t>
        </is>
      </c>
      <c r="Q95" s="65">
        <f>Flights!$AC$8</f>
        <v/>
      </c>
      <c r="R95" s="65">
        <f>Q95+(IF(AND(INDEX(TZ_DSTS,MATCH(P95,TZ_STN,0))&lt;&gt;"",Q95&gt;=INDEX(TZ_DSTS,MATCH(P95,TZ_STN,0)),Q95&lt;INDEX(TZ_DSTE,MATCH(P95,TZ_STN,0))),INDEX(TZ_DST,MATCH(P95,TZ_STN,0)),INDEX(TZ_STD,MATCH(P95,TZ_STN,0))))/24</f>
        <v/>
      </c>
      <c r="S95" s="65" t="inlineStr"/>
      <c r="T95" s="66" t="n"/>
      <c r="U95" s="66" t="n"/>
      <c r="V95" s="66" t="n"/>
      <c r="W95" s="67" t="n"/>
      <c r="X95" s="66" t="n"/>
      <c r="Y95" s="66" t="n"/>
      <c r="Z95" s="66" t="n"/>
      <c r="AA95" s="66" t="n"/>
      <c r="AB95" s="66" t="n"/>
      <c r="AC95" s="66" t="n"/>
      <c r="AD95" s="72" t="n"/>
      <c r="AE95" s="66" t="n"/>
      <c r="AF95" s="67">
        <f>IF(AND(ISNUMBER(X95),ISNUMBER(Y95)),Y95-X95,"")</f>
        <v/>
      </c>
      <c r="AG95" s="68">
        <f>IF(ISNUMBER(AD95),AD95-(IF(AND(INDEX(TZ_DSTS,MATCH(P95,TZ_STN,0))&lt;&gt;"",(AD95-INDEX(TZ_STD,MATCH(P95,TZ_STN,0))/24)&gt;=INDEX(TZ_DSTS,MATCH(P95,TZ_STN,0)),(AD95-INDEX(TZ_STD,MATCH(P95,TZ_STN,0))/24)&lt;INDEX(TZ_DSTE,MATCH(P95,TZ_STN,0))),INDEX(TZ_DST,MATCH(P95,TZ_STN,0)),INDEX(TZ_STD,MATCH(P95,TZ_STN,0))))/24,"")</f>
        <v/>
      </c>
      <c r="AH95" s="71">
        <f>IF(N95="N/A – rule","N/A – RULE",IF(TRIM(U95)="N/A",IF(AT95=0,"INVALID – N/A not permitted for this mandatory check",IF(AND(TRIM(AC95)&lt;&gt;"",TRIM(AE95)&lt;&gt;"",TRIM(T95)&lt;&gt;""),"N/A – JUSTIFIED","INVALID – N/A needs justification, PIC and verifier")),IF(OR(TRIM(U95)="Pass",TRIM(U95)="Pass after CA"),IF(NOT(ISNUMBER(AD95)),"INVALID – completion time missing",IF(TRIM(T95)="","INVALID – PIC missing",IF(TRIM(Z95)="","INVALID – evidence missing",IF(TRIM(AE95)="","INVALID – verifier missing",IF(AND(AQ95=1,TRIM(W95)=""),"INVALID – batch ID missing",IF(AND(AR95=1,OR(NOT(ISNUMBER(X95)),NOT(ISNUMBER(Y95)))),"INVALID – expected/actual qty missing",IF(IF(AND(TRIM(U95)="Pass",ISNUMBER(AF95)),IF(AF95&lt;&gt;0,"INVALID – qty variance: use Fail or Pass after CA",""),"")&amp;IF(AND(TRIM(U95)="Pass",AB95="Open"),"INVALID – corrective action still open: use Fail, then Pass after CA","")&amp;IF(AND(TRIM(U95)="Pass after CA",OR(TRIM(AA95)="",AB95&lt;&gt;"Closed")),"INVALID – corrective action not recorded/closed","")&lt;&gt;"",IF(AND(TRIM(U95)="Pass",ISNUMBER(AF95)),IF(AF95&lt;&gt;0,"INVALID – qty variance: use Fail or Pass after CA",""),"")&amp;IF(AND(TRIM(U95)="Pass",AB95="Open"),"INVALID – corrective action still open: use Fail, then Pass after CA","")&amp;IF(AND(TRIM(U95)="Pass after CA",OR(TRIM(AA95)="",AB95&lt;&gt;"Closed")),"INVALID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window"),IF(AG95&gt;Flights!$AA$8,"INVALID – completed after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f>
        <v/>
      </c>
      <c r="AI95" s="67">
        <f>IF(OR(AH95="N/A – RULE",AH95="N/A – JUSTIFIED"),0,1)</f>
        <v/>
      </c>
      <c r="AJ95" s="67">
        <f>IF(LEFT(AH95,8)="COMPLETE",1,0)</f>
        <v/>
      </c>
      <c r="AK95" s="67">
        <f>IF(AND(AI95=1,AJ95=0,AsOfUTC&gt;Q95),1,0)</f>
        <v/>
      </c>
      <c r="AL95" s="67">
        <f>IF(AND(AI95=1,OR(TRIM(U95)="Fail",AB95="Open",AND(ISNUMBER(AF95),AF95&lt;&gt;0,TRIM(U95)&lt;&gt;"Pass after CA"))),1,0)</f>
        <v/>
      </c>
      <c r="AM95" s="67">
        <f>IF(LEFT(AH95,7)="INVALID",1,0)</f>
        <v/>
      </c>
      <c r="AN95" s="67">
        <f>IF(AND(N95="Clarification required",AI95=1,AJ95=0),1,0)</f>
        <v/>
      </c>
      <c r="AO95" s="67">
        <f>IF(AK95=1,SUM(AK$5:AK95),"")</f>
        <v/>
      </c>
      <c r="AP95" s="67">
        <f>IF(AL95=1,SUM(AL$5:AL95),"")</f>
        <v/>
      </c>
      <c r="AQ95" s="67" t="n">
        <v>0</v>
      </c>
      <c r="AR95" s="67" t="n">
        <v>0</v>
      </c>
      <c r="AS95" s="67" t="n">
        <v>0</v>
      </c>
      <c r="AT95" s="67" t="n">
        <v>0</v>
      </c>
    </row>
    <row r="96" ht="40" customHeight="1">
      <c r="A96" s="63" t="inlineStr">
        <is>
          <t>F04-T7-07</t>
        </is>
      </c>
      <c r="B96" s="63" t="inlineStr">
        <is>
          <t>F04</t>
        </is>
      </c>
      <c r="C96" s="63">
        <f>Flights!$F$8</f>
        <v/>
      </c>
      <c r="D96" s="64">
        <f>Flights!$D$8</f>
        <v/>
      </c>
      <c r="E96" s="63">
        <f>Flights!$G$8&amp;"-"&amp;Flights!$H$8</f>
        <v/>
      </c>
      <c r="F96" s="63">
        <f>Flights!$K$8</f>
        <v/>
      </c>
      <c r="G96" s="63" t="inlineStr">
        <is>
          <t>T-7D</t>
        </is>
      </c>
      <c r="H96" s="63" t="inlineStr">
        <is>
          <t>Preparation</t>
        </is>
      </c>
      <c r="I96" s="63" t="inlineStr">
        <is>
          <t>Documents</t>
        </is>
      </c>
      <c r="J96" s="63" t="inlineStr">
        <is>
          <t>Galley loading diagram (GLD) received, revision recorded &amp; attached</t>
        </is>
      </c>
      <c r="K96" s="73" t="inlineStr">
        <is>
          <t>Documents sheet row complete</t>
        </is>
      </c>
      <c r="L96" s="73" t="inlineStr">
        <is>
          <t>User brief (T-7 days)</t>
        </is>
      </c>
      <c r="M96" s="73" t="inlineStr"/>
      <c r="N96" s="73" t="inlineStr">
        <is>
          <t>Required</t>
        </is>
      </c>
      <c r="O96" s="73" t="inlineStr"/>
      <c r="P96" s="63" t="inlineStr">
        <is>
          <t>KUL</t>
        </is>
      </c>
      <c r="Q96" s="65">
        <f>Flights!$AC$8</f>
        <v/>
      </c>
      <c r="R96" s="65">
        <f>Q96+(IF(AND(INDEX(TZ_DSTS,MATCH(P96,TZ_STN,0))&lt;&gt;"",Q96&gt;=INDEX(TZ_DSTS,MATCH(P96,TZ_STN,0)),Q96&lt;INDEX(TZ_DSTE,MATCH(P96,TZ_STN,0))),INDEX(TZ_DST,MATCH(P96,TZ_STN,0)),INDEX(TZ_STD,MATCH(P96,TZ_STN,0))))/24</f>
        <v/>
      </c>
      <c r="S96" s="65" t="inlineStr"/>
      <c r="T96" s="66" t="n"/>
      <c r="U96" s="66" t="n"/>
      <c r="V96" s="66" t="n"/>
      <c r="W96" s="67" t="n"/>
      <c r="X96" s="66" t="n"/>
      <c r="Y96" s="66" t="n"/>
      <c r="Z96" s="66" t="n"/>
      <c r="AA96" s="66" t="n"/>
      <c r="AB96" s="66" t="n"/>
      <c r="AC96" s="66" t="n"/>
      <c r="AD96" s="72" t="n"/>
      <c r="AE96" s="66" t="n"/>
      <c r="AF96" s="67">
        <f>IF(AND(ISNUMBER(X96),ISNUMBER(Y96)),Y96-X96,"")</f>
        <v/>
      </c>
      <c r="AG96" s="68">
        <f>IF(ISNUMBER(AD96),AD96-(IF(AND(INDEX(TZ_DSTS,MATCH(P96,TZ_STN,0))&lt;&gt;"",(AD96-INDEX(TZ_STD,MATCH(P96,TZ_STN,0))/24)&gt;=INDEX(TZ_DSTS,MATCH(P96,TZ_STN,0)),(AD96-INDEX(TZ_STD,MATCH(P96,TZ_STN,0))/24)&lt;INDEX(TZ_DSTE,MATCH(P96,TZ_STN,0))),INDEX(TZ_DST,MATCH(P96,TZ_STN,0)),INDEX(TZ_STD,MATCH(P96,TZ_STN,0))))/24,"")</f>
        <v/>
      </c>
      <c r="AH96" s="71">
        <f>IF(N96="N/A – rule","N/A – RULE",IF(TRIM(U96)="N/A",IF(AT96=0,"INVALID – N/A not permitted for this mandatory check",IF(AND(TRIM(AC96)&lt;&gt;"",TRIM(AE96)&lt;&gt;"",TRIM(T96)&lt;&gt;""),"N/A – JUSTIFIED","INVALID – N/A needs justification, PIC and verifier")),IF(OR(TRIM(U96)="Pass",TRIM(U96)="Pass after CA"),IF(NOT(ISNUMBER(AD96)),"INVALID – completion time missing",IF(TRIM(T96)="","INVALID – PIC missing",IF(TRIM(Z96)="","INVALID – evidence missing",IF(TRIM(AE96)="","INVALID – verifier missing",IF(AND(AQ96=1,TRIM(W96)=""),"INVALID – batch ID missing",IF(AND(AR96=1,OR(NOT(ISNUMBER(X96)),NOT(ISNUMBER(Y96)))),"INVALID – expected/actual qty missing",IF(IF(AND(TRIM(U96)="Pass",ISNUMBER(AF96)),IF(AF96&lt;&gt;0,"INVALID – qty variance: use Fail or Pass after CA",""),"")&amp;IF(AND(TRIM(U96)="Pass",AB96="Open"),"INVALID – corrective action still open: use Fail, then Pass after CA","")&amp;IF(AND(TRIM(U96)="Pass after CA",OR(TRIM(AA96)="",AB96&lt;&gt;"Closed")),"INVALID – corrective action not recorded/closed","")&lt;&gt;"",IF(AND(TRIM(U96)="Pass",ISNUMBER(AF96)),IF(AF96&lt;&gt;0,"INVALID – qty variance: use Fail or Pass after CA",""),"")&amp;IF(AND(TRIM(U96)="Pass",AB96="Open"),"INVALID – corrective action still open: use Fail, then Pass after CA","")&amp;IF(AND(TRIM(U96)="Pass after CA",OR(TRIM(AA96)="",AB96&lt;&gt;"Closed")),"INVALID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window"),IF(AG96&gt;Flights!$AA$8,"INVALID – completed after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f>
        <v/>
      </c>
      <c r="AI96" s="67">
        <f>IF(OR(AH96="N/A – RULE",AH96="N/A – JUSTIFIED"),0,1)</f>
        <v/>
      </c>
      <c r="AJ96" s="67">
        <f>IF(LEFT(AH96,8)="COMPLETE",1,0)</f>
        <v/>
      </c>
      <c r="AK96" s="67">
        <f>IF(AND(AI96=1,AJ96=0,AsOfUTC&gt;Q96),1,0)</f>
        <v/>
      </c>
      <c r="AL96" s="67">
        <f>IF(AND(AI96=1,OR(TRIM(U96)="Fail",AB96="Open",AND(ISNUMBER(AF96),AF96&lt;&gt;0,TRIM(U96)&lt;&gt;"Pass after CA"))),1,0)</f>
        <v/>
      </c>
      <c r="AM96" s="67">
        <f>IF(LEFT(AH96,7)="INVALID",1,0)</f>
        <v/>
      </c>
      <c r="AN96" s="67">
        <f>IF(AND(N96="Clarification required",AI96=1,AJ96=0),1,0)</f>
        <v/>
      </c>
      <c r="AO96" s="67">
        <f>IF(AK96=1,SUM(AK$5:AK96),"")</f>
        <v/>
      </c>
      <c r="AP96" s="67">
        <f>IF(AL96=1,SUM(AL$5:AL96),"")</f>
        <v/>
      </c>
      <c r="AQ96" s="67" t="n">
        <v>0</v>
      </c>
      <c r="AR96" s="67" t="n">
        <v>0</v>
      </c>
      <c r="AS96" s="67" t="n">
        <v>1</v>
      </c>
      <c r="AT96" s="67" t="n">
        <v>0</v>
      </c>
    </row>
    <row r="97" ht="40" customHeight="1">
      <c r="A97" s="63" t="inlineStr">
        <is>
          <t>F04-T7-08</t>
        </is>
      </c>
      <c r="B97" s="63" t="inlineStr">
        <is>
          <t>F04</t>
        </is>
      </c>
      <c r="C97" s="63">
        <f>Flights!$F$8</f>
        <v/>
      </c>
      <c r="D97" s="64">
        <f>Flights!$D$8</f>
        <v/>
      </c>
      <c r="E97" s="63">
        <f>Flights!$G$8&amp;"-"&amp;Flights!$H$8</f>
        <v/>
      </c>
      <c r="F97" s="63">
        <f>Flights!$K$8</f>
        <v/>
      </c>
      <c r="G97" s="63" t="inlineStr">
        <is>
          <t>T-7D</t>
        </is>
      </c>
      <c r="H97" s="63" t="inlineStr">
        <is>
          <t>Preparation</t>
        </is>
      </c>
      <c r="I97" s="63" t="inlineStr">
        <is>
          <t>Documents</t>
        </is>
      </c>
      <c r="J97" s="63" t="inlineStr">
        <is>
          <t>Menu checklist received, revision recorded &amp; attached</t>
        </is>
      </c>
      <c r="K97" s="73" t="inlineStr">
        <is>
          <t>Documents sheet row complete</t>
        </is>
      </c>
      <c r="L97" s="73" t="inlineStr">
        <is>
          <t>User brief (T-7 days)</t>
        </is>
      </c>
      <c r="M97" s="73" t="inlineStr"/>
      <c r="N97" s="73" t="inlineStr">
        <is>
          <t>Required</t>
        </is>
      </c>
      <c r="O97" s="73" t="inlineStr"/>
      <c r="P97" s="63" t="inlineStr">
        <is>
          <t>KUL</t>
        </is>
      </c>
      <c r="Q97" s="65">
        <f>Flights!$AC$8</f>
        <v/>
      </c>
      <c r="R97" s="65">
        <f>Q97+(IF(AND(INDEX(TZ_DSTS,MATCH(P97,TZ_STN,0))&lt;&gt;"",Q97&gt;=INDEX(TZ_DSTS,MATCH(P97,TZ_STN,0)),Q97&lt;INDEX(TZ_DSTE,MATCH(P97,TZ_STN,0))),INDEX(TZ_DST,MATCH(P97,TZ_STN,0)),INDEX(TZ_STD,MATCH(P97,TZ_STN,0))))/24</f>
        <v/>
      </c>
      <c r="S97" s="65" t="inlineStr"/>
      <c r="T97" s="66" t="n"/>
      <c r="U97" s="66" t="n"/>
      <c r="V97" s="66" t="n"/>
      <c r="W97" s="67" t="n"/>
      <c r="X97" s="66" t="n"/>
      <c r="Y97" s="66" t="n"/>
      <c r="Z97" s="66" t="n"/>
      <c r="AA97" s="66" t="n"/>
      <c r="AB97" s="66" t="n"/>
      <c r="AC97" s="66" t="n"/>
      <c r="AD97" s="72" t="n"/>
      <c r="AE97" s="66" t="n"/>
      <c r="AF97" s="67">
        <f>IF(AND(ISNUMBER(X97),ISNUMBER(Y97)),Y97-X97,"")</f>
        <v/>
      </c>
      <c r="AG97" s="68">
        <f>IF(ISNUMBER(AD97),AD97-(IF(AND(INDEX(TZ_DSTS,MATCH(P97,TZ_STN,0))&lt;&gt;"",(AD97-INDEX(TZ_STD,MATCH(P97,TZ_STN,0))/24)&gt;=INDEX(TZ_DSTS,MATCH(P97,TZ_STN,0)),(AD97-INDEX(TZ_STD,MATCH(P97,TZ_STN,0))/24)&lt;INDEX(TZ_DSTE,MATCH(P97,TZ_STN,0))),INDEX(TZ_DST,MATCH(P97,TZ_STN,0)),INDEX(TZ_STD,MATCH(P97,TZ_STN,0))))/24,"")</f>
        <v/>
      </c>
      <c r="AH97" s="71">
        <f>IF(N97="N/A – rule","N/A – RULE",IF(TRIM(U97)="N/A",IF(AT97=0,"INVALID – N/A not permitted for this mandatory check",IF(AND(TRIM(AC97)&lt;&gt;"",TRIM(AE97)&lt;&gt;"",TRIM(T97)&lt;&gt;""),"N/A – JUSTIFIED","INVALID – N/A needs justification, PIC and verifier")),IF(OR(TRIM(U97)="Pass",TRIM(U97)="Pass after CA"),IF(NOT(ISNUMBER(AD97)),"INVALID – completion time missing",IF(TRIM(T97)="","INVALID – PIC missing",IF(TRIM(Z97)="","INVALID – evidence missing",IF(TRIM(AE97)="","INVALID – verifier missing",IF(AND(AQ97=1,TRIM(W97)=""),"INVALID – batch ID missing",IF(AND(AR97=1,OR(NOT(ISNUMBER(X97)),NOT(ISNUMBER(Y97)))),"INVALID – expected/actual qty missing",IF(IF(AND(TRIM(U97)="Pass",ISNUMBER(AF97)),IF(AF97&lt;&gt;0,"INVALID – qty variance: use Fail or Pass after CA",""),"")&amp;IF(AND(TRIM(U97)="Pass",AB97="Open"),"INVALID – corrective action still open: use Fail, then Pass after CA","")&amp;IF(AND(TRIM(U97)="Pass after CA",OR(TRIM(AA97)="",AB97&lt;&gt;"Closed")),"INVALID – corrective action not recorded/closed","")&lt;&gt;"",IF(AND(TRIM(U97)="Pass",ISNUMBER(AF97)),IF(AF97&lt;&gt;0,"INVALID – qty variance: use Fail or Pass after CA",""),"")&amp;IF(AND(TRIM(U97)="Pass",AB97="Open"),"INVALID – corrective action still open: use Fail, then Pass after CA","")&amp;IF(AND(TRIM(U97)="Pass after CA",OR(TRIM(AA97)="",AB97&lt;&gt;"Closed")),"INVALID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window"),IF(AG97&gt;Flights!$AA$8,"INVALID – completed after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f>
        <v/>
      </c>
      <c r="AI97" s="67">
        <f>IF(OR(AH97="N/A – RULE",AH97="N/A – JUSTIFIED"),0,1)</f>
        <v/>
      </c>
      <c r="AJ97" s="67">
        <f>IF(LEFT(AH97,8)="COMPLETE",1,0)</f>
        <v/>
      </c>
      <c r="AK97" s="67">
        <f>IF(AND(AI97=1,AJ97=0,AsOfUTC&gt;Q97),1,0)</f>
        <v/>
      </c>
      <c r="AL97" s="67">
        <f>IF(AND(AI97=1,OR(TRIM(U97)="Fail",AB97="Open",AND(ISNUMBER(AF97),AF97&lt;&gt;0,TRIM(U97)&lt;&gt;"Pass after CA"))),1,0)</f>
        <v/>
      </c>
      <c r="AM97" s="67">
        <f>IF(LEFT(AH97,7)="INVALID",1,0)</f>
        <v/>
      </c>
      <c r="AN97" s="67">
        <f>IF(AND(N97="Clarification required",AI97=1,AJ97=0),1,0)</f>
        <v/>
      </c>
      <c r="AO97" s="67">
        <f>IF(AK97=1,SUM(AK$5:AK97),"")</f>
        <v/>
      </c>
      <c r="AP97" s="67">
        <f>IF(AL97=1,SUM(AL$5:AL97),"")</f>
        <v/>
      </c>
      <c r="AQ97" s="67" t="n">
        <v>0</v>
      </c>
      <c r="AR97" s="67" t="n">
        <v>0</v>
      </c>
      <c r="AS97" s="67" t="n">
        <v>2</v>
      </c>
      <c r="AT97" s="67" t="n">
        <v>0</v>
      </c>
    </row>
    <row r="98" ht="40" customHeight="1">
      <c r="A98" s="63" t="inlineStr">
        <is>
          <t>F04-T7-09</t>
        </is>
      </c>
      <c r="B98" s="63" t="inlineStr">
        <is>
          <t>F04</t>
        </is>
      </c>
      <c r="C98" s="63">
        <f>Flights!$F$8</f>
        <v/>
      </c>
      <c r="D98" s="64">
        <f>Flights!$D$8</f>
        <v/>
      </c>
      <c r="E98" s="63">
        <f>Flights!$G$8&amp;"-"&amp;Flights!$H$8</f>
        <v/>
      </c>
      <c r="F98" s="63">
        <f>Flights!$K$8</f>
        <v/>
      </c>
      <c r="G98" s="63" t="inlineStr">
        <is>
          <t>T-7D</t>
        </is>
      </c>
      <c r="H98" s="63" t="inlineStr">
        <is>
          <t>Preparation</t>
        </is>
      </c>
      <c r="I98" s="63" t="inlineStr">
        <is>
          <t>Uplift plan</t>
        </is>
      </c>
      <c r="J98" s="63" t="inlineStr">
        <is>
          <t>Uplift plan confirmed with caterer vs STD Uplift Information</t>
        </is>
      </c>
      <c r="K98" s="73" t="inlineStr">
        <is>
          <t>Service: 1.5 Meal (Meal); meal uplift stn KUL (ref lists KUL/NRT)</t>
        </is>
      </c>
      <c r="L98" s="73" t="inlineStr">
        <is>
          <t>STD UPLIFT INFORMATION.xlsx &gt; CATERING UPLIFT STN!C16:G16</t>
        </is>
      </c>
      <c r="M98" s="73" t="inlineStr"/>
      <c r="N98" s="73" t="inlineStr">
        <is>
          <t>Required</t>
        </is>
      </c>
      <c r="O98" s="73" t="inlineStr"/>
      <c r="P98" s="63" t="inlineStr">
        <is>
          <t>KUL</t>
        </is>
      </c>
      <c r="Q98" s="65">
        <f>Flights!$AC$8</f>
        <v/>
      </c>
      <c r="R98" s="65">
        <f>Q98+(IF(AND(INDEX(TZ_DSTS,MATCH(P98,TZ_STN,0))&lt;&gt;"",Q98&gt;=INDEX(TZ_DSTS,MATCH(P98,TZ_STN,0)),Q98&lt;INDEX(TZ_DSTE,MATCH(P98,TZ_STN,0))),INDEX(TZ_DST,MATCH(P98,TZ_STN,0)),INDEX(TZ_STD,MATCH(P98,TZ_STN,0))))/24</f>
        <v/>
      </c>
      <c r="S98" s="65" t="inlineStr"/>
      <c r="T98" s="66" t="n"/>
      <c r="U98" s="66" t="n"/>
      <c r="V98" s="66" t="n"/>
      <c r="W98" s="67" t="n"/>
      <c r="X98" s="66" t="n"/>
      <c r="Y98" s="66" t="n"/>
      <c r="Z98" s="66" t="n"/>
      <c r="AA98" s="66" t="n"/>
      <c r="AB98" s="66" t="n"/>
      <c r="AC98" s="66" t="n"/>
      <c r="AD98" s="72" t="n"/>
      <c r="AE98" s="66" t="n"/>
      <c r="AF98" s="67">
        <f>IF(AND(ISNUMBER(X98),ISNUMBER(Y98)),Y98-X98,"")</f>
        <v/>
      </c>
      <c r="AG98" s="68">
        <f>IF(ISNUMBER(AD98),AD98-(IF(AND(INDEX(TZ_DSTS,MATCH(P98,TZ_STN,0))&lt;&gt;"",(AD98-INDEX(TZ_STD,MATCH(P98,TZ_STN,0))/24)&gt;=INDEX(TZ_DSTS,MATCH(P98,TZ_STN,0)),(AD98-INDEX(TZ_STD,MATCH(P98,TZ_STN,0))/24)&lt;INDEX(TZ_DSTE,MATCH(P98,TZ_STN,0))),INDEX(TZ_DST,MATCH(P98,TZ_STN,0)),INDEX(TZ_STD,MATCH(P98,TZ_STN,0))))/24,"")</f>
        <v/>
      </c>
      <c r="AH98" s="71">
        <f>IF(N98="N/A – rule","N/A – RULE",IF(TRIM(U98)="N/A",IF(AT98=0,"INVALID – N/A not permitted for this mandatory check",IF(AND(TRIM(AC98)&lt;&gt;"",TRIM(AE98)&lt;&gt;"",TRIM(T98)&lt;&gt;""),"N/A – JUSTIFIED","INVALID – N/A needs justification, PIC and verifier")),IF(OR(TRIM(U98)="Pass",TRIM(U98)="Pass after CA"),IF(NOT(ISNUMBER(AD98)),"INVALID – completion time missing",IF(TRIM(T98)="","INVALID – PIC missing",IF(TRIM(Z98)="","INVALID – evidence missing",IF(TRIM(AE98)="","INVALID – verifier missing",IF(AND(AQ98=1,TRIM(W98)=""),"INVALID – batch ID missing",IF(AND(AR98=1,OR(NOT(ISNUMBER(X98)),NOT(ISNUMBER(Y98)))),"INVALID – expected/actual qty missing",IF(IF(AND(TRIM(U98)="Pass",ISNUMBER(AF98)),IF(AF98&lt;&gt;0,"INVALID – qty variance: use Fail or Pass after CA",""),"")&amp;IF(AND(TRIM(U98)="Pass",AB98="Open"),"INVALID – corrective action still open: use Fail, then Pass after CA","")&amp;IF(AND(TRIM(U98)="Pass after CA",OR(TRIM(AA98)="",AB98&lt;&gt;"Closed")),"INVALID – corrective action not recorded/closed","")&lt;&gt;"",IF(AND(TRIM(U98)="Pass",ISNUMBER(AF98)),IF(AF98&lt;&gt;0,"INVALID – qty variance: use Fail or Pass after CA",""),"")&amp;IF(AND(TRIM(U98)="Pass",AB98="Open"),"INVALID – corrective action still open: use Fail, then Pass after CA","")&amp;IF(AND(TRIM(U98)="Pass after CA",OR(TRIM(AA98)="",AB98&lt;&gt;"Closed")),"INVALID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window"),IF(AG98&gt;Flights!$AA$8,"INVALID – completed after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f>
        <v/>
      </c>
      <c r="AI98" s="67">
        <f>IF(OR(AH98="N/A – RULE",AH98="N/A – JUSTIFIED"),0,1)</f>
        <v/>
      </c>
      <c r="AJ98" s="67">
        <f>IF(LEFT(AH98,8)="COMPLETE",1,0)</f>
        <v/>
      </c>
      <c r="AK98" s="67">
        <f>IF(AND(AI98=1,AJ98=0,AsOfUTC&gt;Q98),1,0)</f>
        <v/>
      </c>
      <c r="AL98" s="67">
        <f>IF(AND(AI98=1,OR(TRIM(U98)="Fail",AB98="Open",AND(ISNUMBER(AF98),AF98&lt;&gt;0,TRIM(U98)&lt;&gt;"Pass after CA"))),1,0)</f>
        <v/>
      </c>
      <c r="AM98" s="67">
        <f>IF(LEFT(AH98,7)="INVALID",1,0)</f>
        <v/>
      </c>
      <c r="AN98" s="67">
        <f>IF(AND(N98="Clarification required",AI98=1,AJ98=0),1,0)</f>
        <v/>
      </c>
      <c r="AO98" s="67">
        <f>IF(AK98=1,SUM(AK$5:AK98),"")</f>
        <v/>
      </c>
      <c r="AP98" s="67">
        <f>IF(AL98=1,SUM(AL$5:AL98),"")</f>
        <v/>
      </c>
      <c r="AQ98" s="67" t="n">
        <v>0</v>
      </c>
      <c r="AR98" s="67" t="n">
        <v>0</v>
      </c>
      <c r="AS98" s="67" t="n">
        <v>0</v>
      </c>
      <c r="AT98" s="67" t="n">
        <v>0</v>
      </c>
    </row>
    <row r="99" ht="40" customHeight="1">
      <c r="A99" s="63" t="inlineStr">
        <is>
          <t>F04-T24-01</t>
        </is>
      </c>
      <c r="B99" s="63" t="inlineStr">
        <is>
          <t>F04</t>
        </is>
      </c>
      <c r="C99" s="63">
        <f>Flights!$F$8</f>
        <v/>
      </c>
      <c r="D99" s="64">
        <f>Flights!$D$8</f>
        <v/>
      </c>
      <c r="E99" s="63">
        <f>Flights!$G$8&amp;"-"&amp;Flights!$H$8</f>
        <v/>
      </c>
      <c r="F99" s="63">
        <f>Flights!$K$8</f>
        <v/>
      </c>
      <c r="G99" s="63" t="inlineStr">
        <is>
          <t>T-24H</t>
        </is>
      </c>
      <c r="H99" s="63" t="inlineStr">
        <is>
          <t>Preparation</t>
        </is>
      </c>
      <c r="I99" s="63" t="inlineStr">
        <is>
          <t>Meal</t>
        </is>
      </c>
      <c r="J99" s="63" t="inlineStr">
        <is>
          <t>Sensory test repeated on ACTUAL production batch for this flight</t>
        </is>
      </c>
      <c r="K99" s="73" t="inlineStr">
        <is>
          <t>Batch ID, result, CA and acceptance mandatory</t>
        </is>
      </c>
      <c r="L99" s="73" t="inlineStr">
        <is>
          <t>User brief (T-24 hours)</t>
        </is>
      </c>
      <c r="M99" s="73" t="inlineStr"/>
      <c r="N99" s="73" t="inlineStr">
        <is>
          <t>Required</t>
        </is>
      </c>
      <c r="O99" s="73" t="inlineStr"/>
      <c r="P99" s="63" t="inlineStr">
        <is>
          <t>KUL</t>
        </is>
      </c>
      <c r="Q99" s="65">
        <f>Flights!$AD$8</f>
        <v/>
      </c>
      <c r="R99" s="65">
        <f>Q99+(IF(AND(INDEX(TZ_DSTS,MATCH(P99,TZ_STN,0))&lt;&gt;"",Q99&gt;=INDEX(TZ_DSTS,MATCH(P99,TZ_STN,0)),Q99&lt;INDEX(TZ_DSTE,MATCH(P99,TZ_STN,0))),INDEX(TZ_DST,MATCH(P99,TZ_STN,0)),INDEX(TZ_STD,MATCH(P99,TZ_STN,0))))/24</f>
        <v/>
      </c>
      <c r="S99" s="65">
        <f>Q99-T24EarlyH/24</f>
        <v/>
      </c>
      <c r="T99" s="66" t="n"/>
      <c r="U99" s="66" t="n"/>
      <c r="V99" s="66" t="n"/>
      <c r="W99" s="66" t="n"/>
      <c r="X99" s="66" t="n"/>
      <c r="Y99" s="66" t="n"/>
      <c r="Z99" s="66" t="n"/>
      <c r="AA99" s="66" t="n"/>
      <c r="AB99" s="66" t="n"/>
      <c r="AC99" s="66" t="n"/>
      <c r="AD99" s="72" t="n"/>
      <c r="AE99" s="66" t="n"/>
      <c r="AF99" s="67">
        <f>IF(AND(ISNUMBER(X99),ISNUMBER(Y99)),Y99-X99,"")</f>
        <v/>
      </c>
      <c r="AG99" s="68">
        <f>IF(ISNUMBER(AD99),AD99-(IF(AND(INDEX(TZ_DSTS,MATCH(P99,TZ_STN,0))&lt;&gt;"",(AD99-INDEX(TZ_STD,MATCH(P99,TZ_STN,0))/24)&gt;=INDEX(TZ_DSTS,MATCH(P99,TZ_STN,0)),(AD99-INDEX(TZ_STD,MATCH(P99,TZ_STN,0))/24)&lt;INDEX(TZ_DSTE,MATCH(P99,TZ_STN,0))),INDEX(TZ_DST,MATCH(P99,TZ_STN,0)),INDEX(TZ_STD,MATCH(P99,TZ_STN,0))))/24,"")</f>
        <v/>
      </c>
      <c r="AH99" s="71">
        <f>IF(N99="N/A – rule","N/A – RULE",IF(TRIM(U99)="N/A",IF(AT99=0,"INVALID – N/A not permitted for this mandatory check",IF(AND(TRIM(AC99)&lt;&gt;"",TRIM(AE99)&lt;&gt;"",TRIM(T99)&lt;&gt;""),"N/A – JUSTIFIED","INVALID – N/A needs justification, PIC and verifier")),IF(OR(TRIM(U99)="Pass",TRIM(U99)="Pass after CA"),IF(NOT(ISNUMBER(AD99)),"INVALID – completion time missing",IF(TRIM(T99)="","INVALID – PIC missing",IF(TRIM(Z99)="","INVALID – evidence missing",IF(TRIM(AE99)="","INVALID – verifier missing",IF(AND(AQ99=1,TRIM(W99)=""),"INVALID – batch ID missing",IF(AND(AR99=1,OR(NOT(ISNUMBER(X99)),NOT(ISNUMBER(Y99)))),"INVALID – expected/actual qty missing",IF(IF(AND(TRIM(U99)="Pass",ISNUMBER(AF99)),IF(AF99&lt;&gt;0,"INVALID – qty variance: use Fail or Pass after CA",""),"")&amp;IF(AND(TRIM(U99)="Pass",AB99="Open"),"INVALID – corrective action still open: use Fail, then Pass after CA","")&amp;IF(AND(TRIM(U99)="Pass after CA",OR(TRIM(AA99)="",AB99&lt;&gt;"Closed")),"INVALID – corrective action not recorded/closed","")&lt;&gt;"",IF(AND(TRIM(U99)="Pass",ISNUMBER(AF99)),IF(AF99&lt;&gt;0,"INVALID – qty variance: use Fail or Pass after CA",""),"")&amp;IF(AND(TRIM(U99)="Pass",AB99="Open"),"INVALID – corrective action still open: use Fail, then Pass after CA","")&amp;IF(AND(TRIM(U99)="Pass after CA",OR(TRIM(AA99)="",AB99&lt;&gt;"Closed")),"INVALID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window"),IF(AG99&gt;Flights!$AA$8,"INVALID – completed after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f>
        <v/>
      </c>
      <c r="AI99" s="67">
        <f>IF(OR(AH99="N/A – RULE",AH99="N/A – JUSTIFIED"),0,1)</f>
        <v/>
      </c>
      <c r="AJ99" s="67">
        <f>IF(LEFT(AH99,8)="COMPLETE",1,0)</f>
        <v/>
      </c>
      <c r="AK99" s="67">
        <f>IF(AND(AI99=1,AJ99=0,AsOfUTC&gt;Q99),1,0)</f>
        <v/>
      </c>
      <c r="AL99" s="67">
        <f>IF(AND(AI99=1,OR(TRIM(U99)="Fail",AB99="Open",AND(ISNUMBER(AF99),AF99&lt;&gt;0,TRIM(U99)&lt;&gt;"Pass after CA"))),1,0)</f>
        <v/>
      </c>
      <c r="AM99" s="67">
        <f>IF(LEFT(AH99,7)="INVALID",1,0)</f>
        <v/>
      </c>
      <c r="AN99" s="67">
        <f>IF(AND(N99="Clarification required",AI99=1,AJ99=0),1,0)</f>
        <v/>
      </c>
      <c r="AO99" s="67">
        <f>IF(AK99=1,SUM(AK$5:AK99),"")</f>
        <v/>
      </c>
      <c r="AP99" s="67">
        <f>IF(AL99=1,SUM(AL$5:AL99),"")</f>
        <v/>
      </c>
      <c r="AQ99" s="67" t="n">
        <v>1</v>
      </c>
      <c r="AR99" s="67" t="n">
        <v>0</v>
      </c>
      <c r="AS99" s="67" t="n">
        <v>0</v>
      </c>
      <c r="AT99" s="67" t="n">
        <v>0</v>
      </c>
    </row>
    <row r="100" ht="40" customHeight="1">
      <c r="A100" s="63" t="inlineStr">
        <is>
          <t>F04-T12-01</t>
        </is>
      </c>
      <c r="B100" s="63" t="inlineStr">
        <is>
          <t>F04</t>
        </is>
      </c>
      <c r="C100" s="63">
        <f>Flights!$F$8</f>
        <v/>
      </c>
      <c r="D100" s="64">
        <f>Flights!$D$8</f>
        <v/>
      </c>
      <c r="E100" s="63">
        <f>Flights!$G$8&amp;"-"&amp;Flights!$H$8</f>
        <v/>
      </c>
      <c r="F100" s="63">
        <f>Flights!$K$8</f>
        <v/>
      </c>
      <c r="G100" s="63" t="inlineStr">
        <is>
          <t>T-12H PREP</t>
        </is>
      </c>
      <c r="H100" s="63" t="inlineStr">
        <is>
          <t>Preparation</t>
        </is>
      </c>
      <c r="I100" s="63" t="inlineStr">
        <is>
          <t>Meal</t>
        </is>
      </c>
      <c r="J100" s="63" t="inlineStr">
        <is>
          <t>Meal quality vs menu checklist</t>
        </is>
      </c>
      <c r="K100" s="73" t="inlineStr"/>
      <c r="L100" s="73" t="inlineStr">
        <is>
          <t>User brief (T-12 hours)</t>
        </is>
      </c>
      <c r="M100" s="73" t="inlineStr"/>
      <c r="N100" s="73" t="inlineStr">
        <is>
          <t>Required</t>
        </is>
      </c>
      <c r="O100" s="73" t="inlineStr">
        <is>
          <t>Preparation check at caterer - does NOT confirm loading.</t>
        </is>
      </c>
      <c r="P100" s="63" t="inlineStr">
        <is>
          <t>KUL</t>
        </is>
      </c>
      <c r="Q100" s="65">
        <f>Flights!$AE$8</f>
        <v/>
      </c>
      <c r="R100" s="65">
        <f>Q100+(IF(AND(INDEX(TZ_DSTS,MATCH(P100,TZ_STN,0))&lt;&gt;"",Q100&gt;=INDEX(TZ_DSTS,MATCH(P100,TZ_STN,0)),Q100&lt;INDEX(TZ_DSTE,MATCH(P100,TZ_STN,0))),INDEX(TZ_DST,MATCH(P100,TZ_STN,0)),INDEX(TZ_STD,MATCH(P100,TZ_STN,0))))/24</f>
        <v/>
      </c>
      <c r="S100" s="65">
        <f>Q100-T12EarlyH/24</f>
        <v/>
      </c>
      <c r="T100" s="66" t="n"/>
      <c r="U100" s="66" t="n"/>
      <c r="V100" s="66" t="n"/>
      <c r="W100" s="67" t="n"/>
      <c r="X100" s="66" t="n"/>
      <c r="Y100" s="66" t="n"/>
      <c r="Z100" s="66" t="n"/>
      <c r="AA100" s="66" t="n"/>
      <c r="AB100" s="66" t="n"/>
      <c r="AC100" s="66" t="n"/>
      <c r="AD100" s="72" t="n"/>
      <c r="AE100" s="66" t="n"/>
      <c r="AF100" s="67">
        <f>IF(AND(ISNUMBER(X100),ISNUMBER(Y100)),Y100-X100,"")</f>
        <v/>
      </c>
      <c r="AG100" s="68">
        <f>IF(ISNUMBER(AD100),AD100-(IF(AND(INDEX(TZ_DSTS,MATCH(P100,TZ_STN,0))&lt;&gt;"",(AD100-INDEX(TZ_STD,MATCH(P100,TZ_STN,0))/24)&gt;=INDEX(TZ_DSTS,MATCH(P100,TZ_STN,0)),(AD100-INDEX(TZ_STD,MATCH(P100,TZ_STN,0))/24)&lt;INDEX(TZ_DSTE,MATCH(P100,TZ_STN,0))),INDEX(TZ_DST,MATCH(P100,TZ_STN,0)),INDEX(TZ_STD,MATCH(P100,TZ_STN,0))))/24,"")</f>
        <v/>
      </c>
      <c r="AH100" s="71">
        <f>IF(N100="N/A – rule","N/A – RULE",IF(TRIM(U100)="N/A",IF(AT100=0,"INVALID – N/A not permitted for this mandatory check",IF(AND(TRIM(AC100)&lt;&gt;"",TRIM(AE100)&lt;&gt;"",TRIM(T100)&lt;&gt;""),"N/A – JUSTIFIED","INVALID – N/A needs justification, PIC and verifier")),IF(OR(TRIM(U100)="Pass",TRIM(U100)="Pass after CA"),IF(NOT(ISNUMBER(AD100)),"INVALID – completion time missing",IF(TRIM(T100)="","INVALID – PIC missing",IF(TRIM(Z100)="","INVALID – evidence missing",IF(TRIM(AE100)="","INVALID – verifier missing",IF(AND(AQ100=1,TRIM(W100)=""),"INVALID – batch ID missing",IF(AND(AR100=1,OR(NOT(ISNUMBER(X100)),NOT(ISNUMBER(Y100)))),"INVALID – expected/actual qty missing",IF(IF(AND(TRIM(U100)="Pass",ISNUMBER(AF100)),IF(AF100&lt;&gt;0,"INVALID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recorded/closed","")&lt;&gt;"",IF(AND(TRIM(U100)="Pass",ISNUMBER(AF100)),IF(AF100&lt;&gt;0,"INVALID – qty variance: use Fail or Pass after CA",""),"")&amp;IF(AND(TRIM(U100)="Pass",AB100="Open"),"INVALID – corrective action still open: use Fail, then Pass after CA","")&amp;IF(AND(TRIM(U100)="Pass after CA",OR(TRIM(AA100)="",AB100&lt;&gt;"Closed")),"INVALID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window"),IF(AG100&gt;Flights!$AA$8,"INVALID – completed after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f>
        <v/>
      </c>
      <c r="AI100" s="67">
        <f>IF(OR(AH100="N/A – RULE",AH100="N/A – JUSTIFIED"),0,1)</f>
        <v/>
      </c>
      <c r="AJ100" s="67">
        <f>IF(LEFT(AH100,8)="COMPLETE",1,0)</f>
        <v/>
      </c>
      <c r="AK100" s="67">
        <f>IF(AND(AI100=1,AJ100=0,AsOfUTC&gt;Q100),1,0)</f>
        <v/>
      </c>
      <c r="AL100" s="67">
        <f>IF(AND(AI100=1,OR(TRIM(U100)="Fail",AB100="Open",AND(ISNUMBER(AF100),AF100&lt;&gt;0,TRIM(U100)&lt;&gt;"Pass after CA"))),1,0)</f>
        <v/>
      </c>
      <c r="AM100" s="67">
        <f>IF(LEFT(AH100,7)="INVALID",1,0)</f>
        <v/>
      </c>
      <c r="AN100" s="67">
        <f>IF(AND(N100="Clarification required",AI100=1,AJ100=0),1,0)</f>
        <v/>
      </c>
      <c r="AO100" s="67">
        <f>IF(AK100=1,SUM(AK$5:AK100),"")</f>
        <v/>
      </c>
      <c r="AP100" s="67">
        <f>IF(AL100=1,SUM(AL$5:AL100),"")</f>
        <v/>
      </c>
      <c r="AQ100" s="67" t="n">
        <v>0</v>
      </c>
      <c r="AR100" s="67" t="n">
        <v>0</v>
      </c>
      <c r="AS100" s="67" t="n">
        <v>0</v>
      </c>
      <c r="AT100" s="67" t="n">
        <v>0</v>
      </c>
    </row>
    <row r="101" ht="40" customHeight="1">
      <c r="A101" s="63" t="inlineStr">
        <is>
          <t>F04-T12-02</t>
        </is>
      </c>
      <c r="B101" s="63" t="inlineStr">
        <is>
          <t>F04</t>
        </is>
      </c>
      <c r="C101" s="63">
        <f>Flights!$F$8</f>
        <v/>
      </c>
      <c r="D101" s="64">
        <f>Flights!$D$8</f>
        <v/>
      </c>
      <c r="E101" s="63">
        <f>Flights!$G$8&amp;"-"&amp;Flights!$H$8</f>
        <v/>
      </c>
      <c r="F101" s="63">
        <f>Flights!$K$8</f>
        <v/>
      </c>
      <c r="G101" s="63" t="inlineStr">
        <is>
          <t>T-12H PREP</t>
        </is>
      </c>
      <c r="H101" s="63" t="inlineStr">
        <is>
          <t>Preparation</t>
        </is>
      </c>
      <c r="I101" s="63" t="inlineStr">
        <is>
          <t>Meal</t>
        </is>
      </c>
      <c r="J101" s="63" t="inlineStr">
        <is>
          <t>Meal quantities vs menu checklist</t>
        </is>
      </c>
      <c r="K101" s="73" t="inlineStr">
        <is>
          <t>Enter expected &amp; actual</t>
        </is>
      </c>
      <c r="L101" s="73" t="inlineStr">
        <is>
          <t>User brief (T-12 hours)</t>
        </is>
      </c>
      <c r="M101" s="73" t="inlineStr"/>
      <c r="N101" s="73" t="inlineStr">
        <is>
          <t>Required</t>
        </is>
      </c>
      <c r="O101" s="73" t="inlineStr">
        <is>
          <t>Preparation check at caterer - does NOT confirm loading.</t>
        </is>
      </c>
      <c r="P101" s="63" t="inlineStr">
        <is>
          <t>KUL</t>
        </is>
      </c>
      <c r="Q101" s="65">
        <f>Flights!$AE$8</f>
        <v/>
      </c>
      <c r="R101" s="65">
        <f>Q101+(IF(AND(INDEX(TZ_DSTS,MATCH(P101,TZ_STN,0))&lt;&gt;"",Q101&gt;=INDEX(TZ_DSTS,MATCH(P101,TZ_STN,0)),Q101&lt;INDEX(TZ_DSTE,MATCH(P101,TZ_STN,0))),INDEX(TZ_DST,MATCH(P101,TZ_STN,0)),INDEX(TZ_STD,MATCH(P101,TZ_STN,0))))/24</f>
        <v/>
      </c>
      <c r="S101" s="65">
        <f>Q101-T12EarlyH/24</f>
        <v/>
      </c>
      <c r="T101" s="66" t="n"/>
      <c r="U101" s="66" t="n"/>
      <c r="V101" s="66" t="n"/>
      <c r="W101" s="67" t="n"/>
      <c r="X101" s="66" t="n"/>
      <c r="Y101" s="66" t="n"/>
      <c r="Z101" s="66" t="n"/>
      <c r="AA101" s="66" t="n"/>
      <c r="AB101" s="66" t="n"/>
      <c r="AC101" s="66" t="n"/>
      <c r="AD101" s="72" t="n"/>
      <c r="AE101" s="66" t="n"/>
      <c r="AF101" s="67">
        <f>IF(AND(ISNUMBER(X101),ISNUMBER(Y101)),Y101-X101,"")</f>
        <v/>
      </c>
      <c r="AG101" s="68">
        <f>IF(ISNUMBER(AD101),AD101-(IF(AND(INDEX(TZ_DSTS,MATCH(P101,TZ_STN,0))&lt;&gt;"",(AD101-INDEX(TZ_STD,MATCH(P101,TZ_STN,0))/24)&gt;=INDEX(TZ_DSTS,MATCH(P101,TZ_STN,0)),(AD101-INDEX(TZ_STD,MATCH(P101,TZ_STN,0))/24)&lt;INDEX(TZ_DSTE,MATCH(P101,TZ_STN,0))),INDEX(TZ_DST,MATCH(P101,TZ_STN,0)),INDEX(TZ_STD,MATCH(P101,TZ_STN,0))))/24,"")</f>
        <v/>
      </c>
      <c r="AH101" s="71">
        <f>IF(N101="N/A – rule","N/A – RULE",IF(TRIM(U101)="N/A",IF(AT101=0,"INVALID – N/A not permitted for this mandatory check",IF(AND(TRIM(AC101)&lt;&gt;"",TRIM(AE101)&lt;&gt;"",TRIM(T101)&lt;&gt;""),"N/A – JUSTIFIED","INVALID – N/A needs justification, PIC and verifier")),IF(OR(TRIM(U101)="Pass",TRIM(U101)="Pass after CA"),IF(NOT(ISNUMBER(AD101)),"INVALID – completion time missing",IF(TRIM(T101)="","INVALID – PIC missing",IF(TRIM(Z101)="","INVALID – evidence missing",IF(TRIM(AE101)="","INVALID – verifier missing",IF(AND(AQ101=1,TRIM(W101)=""),"INVALID – batch ID missing",IF(AND(AR101=1,OR(NOT(ISNUMBER(X101)),NOT(ISNUMBER(Y101)))),"INVALID – expected/actual qty missing",IF(IF(AND(TRIM(U101)="Pass",ISNUMBER(AF101)),IF(AF101&lt;&gt;0,"INVALID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recorded/closed","")&lt;&gt;"",IF(AND(TRIM(U101)="Pass",ISNUMBER(AF101)),IF(AF101&lt;&gt;0,"INVALID – qty variance: use Fail or Pass after CA",""),"")&amp;IF(AND(TRIM(U101)="Pass",AB101="Open"),"INVALID – corrective action still open: use Fail, then Pass after CA","")&amp;IF(AND(TRIM(U101)="Pass after CA",OR(TRIM(AA101)="",AB101&lt;&gt;"Closed")),"INVALID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window"),IF(AG101&gt;Flights!$AA$8,"INVALID – completed after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f>
        <v/>
      </c>
      <c r="AI101" s="67">
        <f>IF(OR(AH101="N/A – RULE",AH101="N/A – JUSTIFIED"),0,1)</f>
        <v/>
      </c>
      <c r="AJ101" s="67">
        <f>IF(LEFT(AH101,8)="COMPLETE",1,0)</f>
        <v/>
      </c>
      <c r="AK101" s="67">
        <f>IF(AND(AI101=1,AJ101=0,AsOfUTC&gt;Q101),1,0)</f>
        <v/>
      </c>
      <c r="AL101" s="67">
        <f>IF(AND(AI101=1,OR(TRIM(U101)="Fail",AB101="Open",AND(ISNUMBER(AF101),AF101&lt;&gt;0,TRIM(U101)&lt;&gt;"Pass after CA"))),1,0)</f>
        <v/>
      </c>
      <c r="AM101" s="67">
        <f>IF(LEFT(AH101,7)="INVALID",1,0)</f>
        <v/>
      </c>
      <c r="AN101" s="67">
        <f>IF(AND(N101="Clarification required",AI101=1,AJ101=0),1,0)</f>
        <v/>
      </c>
      <c r="AO101" s="67">
        <f>IF(AK101=1,SUM(AK$5:AK101),"")</f>
        <v/>
      </c>
      <c r="AP101" s="67">
        <f>IF(AL101=1,SUM(AL$5:AL101),"")</f>
        <v/>
      </c>
      <c r="AQ101" s="67" t="n">
        <v>0</v>
      </c>
      <c r="AR101" s="67" t="n">
        <v>1</v>
      </c>
      <c r="AS101" s="67" t="n">
        <v>0</v>
      </c>
      <c r="AT101" s="67" t="n">
        <v>0</v>
      </c>
    </row>
    <row r="102" ht="40" customHeight="1">
      <c r="A102" s="63" t="inlineStr">
        <is>
          <t>F04-T12-03</t>
        </is>
      </c>
      <c r="B102" s="63" t="inlineStr">
        <is>
          <t>F04</t>
        </is>
      </c>
      <c r="C102" s="63">
        <f>Flights!$F$8</f>
        <v/>
      </c>
      <c r="D102" s="64">
        <f>Flights!$D$8</f>
        <v/>
      </c>
      <c r="E102" s="63">
        <f>Flights!$G$8&amp;"-"&amp;Flights!$H$8</f>
        <v/>
      </c>
      <c r="F102" s="63">
        <f>Flights!$K$8</f>
        <v/>
      </c>
      <c r="G102" s="63" t="inlineStr">
        <is>
          <t>T-12H PREP</t>
        </is>
      </c>
      <c r="H102" s="63" t="inlineStr">
        <is>
          <t>Preparation</t>
        </is>
      </c>
      <c r="I102" s="63" t="inlineStr">
        <is>
          <t>Equipment</t>
        </is>
      </c>
      <c r="J102" s="63" t="inlineStr">
        <is>
          <t>Equipment cleanliness vs GLD</t>
        </is>
      </c>
      <c r="K102" s="73" t="inlineStr"/>
      <c r="L102" s="73" t="inlineStr">
        <is>
          <t>User brief (T-12 hours)</t>
        </is>
      </c>
      <c r="M102" s="73" t="inlineStr"/>
      <c r="N102" s="73" t="inlineStr">
        <is>
          <t>Required</t>
        </is>
      </c>
      <c r="O102" s="73" t="inlineStr">
        <is>
          <t>Preparation check at caterer - does NOT confirm loading.</t>
        </is>
      </c>
      <c r="P102" s="63" t="inlineStr">
        <is>
          <t>KUL</t>
        </is>
      </c>
      <c r="Q102" s="65">
        <f>Flights!$AE$8</f>
        <v/>
      </c>
      <c r="R102" s="65">
        <f>Q102+(IF(AND(INDEX(TZ_DSTS,MATCH(P102,TZ_STN,0))&lt;&gt;"",Q102&gt;=INDEX(TZ_DSTS,MATCH(P102,TZ_STN,0)),Q102&lt;INDEX(TZ_DSTE,MATCH(P102,TZ_STN,0))),INDEX(TZ_DST,MATCH(P102,TZ_STN,0)),INDEX(TZ_STD,MATCH(P102,TZ_STN,0))))/24</f>
        <v/>
      </c>
      <c r="S102" s="65">
        <f>Q102-T12EarlyH/24</f>
        <v/>
      </c>
      <c r="T102" s="66" t="n"/>
      <c r="U102" s="66" t="n"/>
      <c r="V102" s="66" t="n"/>
      <c r="W102" s="67" t="n"/>
      <c r="X102" s="66" t="n"/>
      <c r="Y102" s="66" t="n"/>
      <c r="Z102" s="66" t="n"/>
      <c r="AA102" s="66" t="n"/>
      <c r="AB102" s="66" t="n"/>
      <c r="AC102" s="66" t="n"/>
      <c r="AD102" s="72" t="n"/>
      <c r="AE102" s="66" t="n"/>
      <c r="AF102" s="67">
        <f>IF(AND(ISNUMBER(X102),ISNUMBER(Y102)),Y102-X102,"")</f>
        <v/>
      </c>
      <c r="AG102" s="68">
        <f>IF(ISNUMBER(AD102),AD102-(IF(AND(INDEX(TZ_DSTS,MATCH(P102,TZ_STN,0))&lt;&gt;"",(AD102-INDEX(TZ_STD,MATCH(P102,TZ_STN,0))/24)&gt;=INDEX(TZ_DSTS,MATCH(P102,TZ_STN,0)),(AD102-INDEX(TZ_STD,MATCH(P102,TZ_STN,0))/24)&lt;INDEX(TZ_DSTE,MATCH(P102,TZ_STN,0))),INDEX(TZ_DST,MATCH(P102,TZ_STN,0)),INDEX(TZ_STD,MATCH(P102,TZ_STN,0))))/24,"")</f>
        <v/>
      </c>
      <c r="AH102" s="71">
        <f>IF(N102="N/A – rule","N/A – RULE",IF(TRIM(U102)="N/A",IF(AT102=0,"INVALID – N/A not permitted for this mandatory check",IF(AND(TRIM(AC102)&lt;&gt;"",TRIM(AE102)&lt;&gt;"",TRIM(T102)&lt;&gt;""),"N/A – JUSTIFIED","INVALID – N/A needs justification, PIC and verifier")),IF(OR(TRIM(U102)="Pass",TRIM(U102)="Pass after CA"),IF(NOT(ISNUMBER(AD102)),"INVALID – completion time missing",IF(TRIM(T102)="","INVALID – PIC missing",IF(TRIM(Z102)="","INVALID – evidence missing",IF(TRIM(AE102)="","INVALID – verifier missing",IF(AND(AQ102=1,TRIM(W102)=""),"INVALID – batch ID missing",IF(AND(AR102=1,OR(NOT(ISNUMBER(X102)),NOT(ISNUMBER(Y102)))),"INVALID – expected/actual qty missing",IF(IF(AND(TRIM(U102)="Pass",ISNUMBER(AF102)),IF(AF102&lt;&gt;0,"INVALID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recorded/closed","")&lt;&gt;"",IF(AND(TRIM(U102)="Pass",ISNUMBER(AF102)),IF(AF102&lt;&gt;0,"INVALID – qty variance: use Fail or Pass after CA",""),"")&amp;IF(AND(TRIM(U102)="Pass",AB102="Open"),"INVALID – corrective action still open: use Fail, then Pass after CA","")&amp;IF(AND(TRIM(U102)="Pass after CA",OR(TRIM(AA102)="",AB102&lt;&gt;"Closed")),"INVALID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window"),IF(AG102&gt;Flights!$AA$8,"INVALID – completed after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f>
        <v/>
      </c>
      <c r="AI102" s="67">
        <f>IF(OR(AH102="N/A – RULE",AH102="N/A – JUSTIFIED"),0,1)</f>
        <v/>
      </c>
      <c r="AJ102" s="67">
        <f>IF(LEFT(AH102,8)="COMPLETE",1,0)</f>
        <v/>
      </c>
      <c r="AK102" s="67">
        <f>IF(AND(AI102=1,AJ102=0,AsOfUTC&gt;Q102),1,0)</f>
        <v/>
      </c>
      <c r="AL102" s="67">
        <f>IF(AND(AI102=1,OR(TRIM(U102)="Fail",AB102="Open",AND(ISNUMBER(AF102),AF102&lt;&gt;0,TRIM(U102)&lt;&gt;"Pass after CA"))),1,0)</f>
        <v/>
      </c>
      <c r="AM102" s="67">
        <f>IF(LEFT(AH102,7)="INVALID",1,0)</f>
        <v/>
      </c>
      <c r="AN102" s="67">
        <f>IF(AND(N102="Clarification required",AI102=1,AJ102=0),1,0)</f>
        <v/>
      </c>
      <c r="AO102" s="67">
        <f>IF(AK102=1,SUM(AK$5:AK102),"")</f>
        <v/>
      </c>
      <c r="AP102" s="67">
        <f>IF(AL102=1,SUM(AL$5:AL102),"")</f>
        <v/>
      </c>
      <c r="AQ102" s="67" t="n">
        <v>0</v>
      </c>
      <c r="AR102" s="67" t="n">
        <v>0</v>
      </c>
      <c r="AS102" s="67" t="n">
        <v>0</v>
      </c>
      <c r="AT102" s="67" t="n">
        <v>0</v>
      </c>
    </row>
    <row r="103" ht="40" customHeight="1">
      <c r="A103" s="63" t="inlineStr">
        <is>
          <t>F04-T12-04</t>
        </is>
      </c>
      <c r="B103" s="63" t="inlineStr">
        <is>
          <t>F04</t>
        </is>
      </c>
      <c r="C103" s="63">
        <f>Flights!$F$8</f>
        <v/>
      </c>
      <c r="D103" s="64">
        <f>Flights!$D$8</f>
        <v/>
      </c>
      <c r="E103" s="63">
        <f>Flights!$G$8&amp;"-"&amp;Flights!$H$8</f>
        <v/>
      </c>
      <c r="F103" s="63">
        <f>Flights!$K$8</f>
        <v/>
      </c>
      <c r="G103" s="63" t="inlineStr">
        <is>
          <t>T-12H PREP</t>
        </is>
      </c>
      <c r="H103" s="63" t="inlineStr">
        <is>
          <t>Preparation</t>
        </is>
      </c>
      <c r="I103" s="63" t="inlineStr">
        <is>
          <t>Equipment</t>
        </is>
      </c>
      <c r="J103" s="63" t="inlineStr">
        <is>
          <t>Equipment presentation vs GLD</t>
        </is>
      </c>
      <c r="K103" s="73" t="inlineStr"/>
      <c r="L103" s="73" t="inlineStr">
        <is>
          <t>User brief (T-12 hours)</t>
        </is>
      </c>
      <c r="M103" s="73" t="inlineStr"/>
      <c r="N103" s="73" t="inlineStr">
        <is>
          <t>Required</t>
        </is>
      </c>
      <c r="O103" s="73" t="inlineStr">
        <is>
          <t>Preparation check at caterer - does NOT confirm loading.</t>
        </is>
      </c>
      <c r="P103" s="63" t="inlineStr">
        <is>
          <t>KUL</t>
        </is>
      </c>
      <c r="Q103" s="65">
        <f>Flights!$AE$8</f>
        <v/>
      </c>
      <c r="R103" s="65">
        <f>Q103+(IF(AND(INDEX(TZ_DSTS,MATCH(P103,TZ_STN,0))&lt;&gt;"",Q103&gt;=INDEX(TZ_DSTS,MATCH(P103,TZ_STN,0)),Q103&lt;INDEX(TZ_DSTE,MATCH(P103,TZ_STN,0))),INDEX(TZ_DST,MATCH(P103,TZ_STN,0)),INDEX(TZ_STD,MATCH(P103,TZ_STN,0))))/24</f>
        <v/>
      </c>
      <c r="S103" s="65">
        <f>Q103-T12EarlyH/24</f>
        <v/>
      </c>
      <c r="T103" s="66" t="n"/>
      <c r="U103" s="66" t="n"/>
      <c r="V103" s="66" t="n"/>
      <c r="W103" s="67" t="n"/>
      <c r="X103" s="66" t="n"/>
      <c r="Y103" s="66" t="n"/>
      <c r="Z103" s="66" t="n"/>
      <c r="AA103" s="66" t="n"/>
      <c r="AB103" s="66" t="n"/>
      <c r="AC103" s="66" t="n"/>
      <c r="AD103" s="72" t="n"/>
      <c r="AE103" s="66" t="n"/>
      <c r="AF103" s="67">
        <f>IF(AND(ISNUMBER(X103),ISNUMBER(Y103)),Y103-X103,"")</f>
        <v/>
      </c>
      <c r="AG103" s="68">
        <f>IF(ISNUMBER(AD103),AD103-(IF(AND(INDEX(TZ_DSTS,MATCH(P103,TZ_STN,0))&lt;&gt;"",(AD103-INDEX(TZ_STD,MATCH(P103,TZ_STN,0))/24)&gt;=INDEX(TZ_DSTS,MATCH(P103,TZ_STN,0)),(AD103-INDEX(TZ_STD,MATCH(P103,TZ_STN,0))/24)&lt;INDEX(TZ_DSTE,MATCH(P103,TZ_STN,0))),INDEX(TZ_DST,MATCH(P103,TZ_STN,0)),INDEX(TZ_STD,MATCH(P103,TZ_STN,0))))/24,"")</f>
        <v/>
      </c>
      <c r="AH103" s="71">
        <f>IF(N103="N/A – rule","N/A – RULE",IF(TRIM(U103)="N/A",IF(AT103=0,"INVALID – N/A not permitted for this mandatory check",IF(AND(TRIM(AC103)&lt;&gt;"",TRIM(AE103)&lt;&gt;"",TRIM(T103)&lt;&gt;""),"N/A – JUSTIFIED","INVALID – N/A needs justification, PIC and verifier")),IF(OR(TRIM(U103)="Pass",TRIM(U103)="Pass after CA"),IF(NOT(ISNUMBER(AD103)),"INVALID – completion time missing",IF(TRIM(T103)="","INVALID – PIC missing",IF(TRIM(Z103)="","INVALID – evidence missing",IF(TRIM(AE103)="","INVALID – verifier missing",IF(AND(AQ103=1,TRIM(W103)=""),"INVALID – batch ID missing",IF(AND(AR103=1,OR(NOT(ISNUMBER(X103)),NOT(ISNUMBER(Y103)))),"INVALID – expected/actual qty missing",IF(IF(AND(TRIM(U103)="Pass",ISNUMBER(AF103)),IF(AF103&lt;&gt;0,"INVALID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recorded/closed","")&lt;&gt;"",IF(AND(TRIM(U103)="Pass",ISNUMBER(AF103)),IF(AF103&lt;&gt;0,"INVALID – qty variance: use Fail or Pass after CA",""),"")&amp;IF(AND(TRIM(U103)="Pass",AB103="Open"),"INVALID – corrective action still open: use Fail, then Pass after CA","")&amp;IF(AND(TRIM(U103)="Pass after CA",OR(TRIM(AA103)="",AB103&lt;&gt;"Closed")),"INVALID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window"),IF(AG103&gt;Flights!$AA$8,"INVALID – completed after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f>
        <v/>
      </c>
      <c r="AI103" s="67">
        <f>IF(OR(AH103="N/A – RULE",AH103="N/A – JUSTIFIED"),0,1)</f>
        <v/>
      </c>
      <c r="AJ103" s="67">
        <f>IF(LEFT(AH103,8)="COMPLETE",1,0)</f>
        <v/>
      </c>
      <c r="AK103" s="67">
        <f>IF(AND(AI103=1,AJ103=0,AsOfUTC&gt;Q103),1,0)</f>
        <v/>
      </c>
      <c r="AL103" s="67">
        <f>IF(AND(AI103=1,OR(TRIM(U103)="Fail",AB103="Open",AND(ISNUMBER(AF103),AF103&lt;&gt;0,TRIM(U103)&lt;&gt;"Pass after CA"))),1,0)</f>
        <v/>
      </c>
      <c r="AM103" s="67">
        <f>IF(LEFT(AH103,7)="INVALID",1,0)</f>
        <v/>
      </c>
      <c r="AN103" s="67">
        <f>IF(AND(N103="Clarification required",AI103=1,AJ103=0),1,0)</f>
        <v/>
      </c>
      <c r="AO103" s="67">
        <f>IF(AK103=1,SUM(AK$5:AK103),"")</f>
        <v/>
      </c>
      <c r="AP103" s="67">
        <f>IF(AL103=1,SUM(AL$5:AL103),"")</f>
        <v/>
      </c>
      <c r="AQ103" s="67" t="n">
        <v>0</v>
      </c>
      <c r="AR103" s="67" t="n">
        <v>0</v>
      </c>
      <c r="AS103" s="67" t="n">
        <v>0</v>
      </c>
      <c r="AT103" s="67" t="n">
        <v>0</v>
      </c>
    </row>
    <row r="104" ht="40" customHeight="1">
      <c r="A104" s="63" t="inlineStr">
        <is>
          <t>F04-T12-05</t>
        </is>
      </c>
      <c r="B104" s="63" t="inlineStr">
        <is>
          <t>F04</t>
        </is>
      </c>
      <c r="C104" s="63">
        <f>Flights!$F$8</f>
        <v/>
      </c>
      <c r="D104" s="64">
        <f>Flights!$D$8</f>
        <v/>
      </c>
      <c r="E104" s="63">
        <f>Flights!$G$8&amp;"-"&amp;Flights!$H$8</f>
        <v/>
      </c>
      <c r="F104" s="63">
        <f>Flights!$K$8</f>
        <v/>
      </c>
      <c r="G104" s="63" t="inlineStr">
        <is>
          <t>T-12H PREP</t>
        </is>
      </c>
      <c r="H104" s="63" t="inlineStr">
        <is>
          <t>Preparation</t>
        </is>
      </c>
      <c r="I104" s="63" t="inlineStr">
        <is>
          <t>Equipment</t>
        </is>
      </c>
      <c r="J104" s="63" t="inlineStr">
        <is>
          <t>Equipment serviceability vs GLD</t>
        </is>
      </c>
      <c r="K104" s="73" t="inlineStr"/>
      <c r="L104" s="73" t="inlineStr">
        <is>
          <t>User brief (T-12 hours)</t>
        </is>
      </c>
      <c r="M104" s="73" t="inlineStr"/>
      <c r="N104" s="73" t="inlineStr">
        <is>
          <t>Required</t>
        </is>
      </c>
      <c r="O104" s="73" t="inlineStr">
        <is>
          <t>Preparation check at caterer - does NOT confirm loading.</t>
        </is>
      </c>
      <c r="P104" s="63" t="inlineStr">
        <is>
          <t>KUL</t>
        </is>
      </c>
      <c r="Q104" s="65">
        <f>Flights!$AE$8</f>
        <v/>
      </c>
      <c r="R104" s="65">
        <f>Q104+(IF(AND(INDEX(TZ_DSTS,MATCH(P104,TZ_STN,0))&lt;&gt;"",Q104&gt;=INDEX(TZ_DSTS,MATCH(P104,TZ_STN,0)),Q104&lt;INDEX(TZ_DSTE,MATCH(P104,TZ_STN,0))),INDEX(TZ_DST,MATCH(P104,TZ_STN,0)),INDEX(TZ_STD,MATCH(P104,TZ_STN,0))))/24</f>
        <v/>
      </c>
      <c r="S104" s="65">
        <f>Q104-T12EarlyH/24</f>
        <v/>
      </c>
      <c r="T104" s="66" t="n"/>
      <c r="U104" s="66" t="n"/>
      <c r="V104" s="66" t="n"/>
      <c r="W104" s="67" t="n"/>
      <c r="X104" s="66" t="n"/>
      <c r="Y104" s="66" t="n"/>
      <c r="Z104" s="66" t="n"/>
      <c r="AA104" s="66" t="n"/>
      <c r="AB104" s="66" t="n"/>
      <c r="AC104" s="66" t="n"/>
      <c r="AD104" s="72" t="n"/>
      <c r="AE104" s="66" t="n"/>
      <c r="AF104" s="67">
        <f>IF(AND(ISNUMBER(X104),ISNUMBER(Y104)),Y104-X104,"")</f>
        <v/>
      </c>
      <c r="AG104" s="68">
        <f>IF(ISNUMBER(AD104),AD104-(IF(AND(INDEX(TZ_DSTS,MATCH(P104,TZ_STN,0))&lt;&gt;"",(AD104-INDEX(TZ_STD,MATCH(P104,TZ_STN,0))/24)&gt;=INDEX(TZ_DSTS,MATCH(P104,TZ_STN,0)),(AD104-INDEX(TZ_STD,MATCH(P104,TZ_STN,0))/24)&lt;INDEX(TZ_DSTE,MATCH(P104,TZ_STN,0))),INDEX(TZ_DST,MATCH(P104,TZ_STN,0)),INDEX(TZ_STD,MATCH(P104,TZ_STN,0))))/24,"")</f>
        <v/>
      </c>
      <c r="AH104" s="71">
        <f>IF(N104="N/A – rule","N/A – RULE",IF(TRIM(U104)="N/A",IF(AT104=0,"INVALID – N/A not permitted for this mandatory check",IF(AND(TRIM(AC104)&lt;&gt;"",TRIM(AE104)&lt;&gt;"",TRIM(T104)&lt;&gt;""),"N/A – JUSTIFIED","INVALID – N/A needs justification, PIC and verifier")),IF(OR(TRIM(U104)="Pass",TRIM(U104)="Pass after CA"),IF(NOT(ISNUMBER(AD104)),"INVALID – completion time missing",IF(TRIM(T104)="","INVALID – PIC missing",IF(TRIM(Z104)="","INVALID – evidence missing",IF(TRIM(AE104)="","INVALID – verifier missing",IF(AND(AQ104=1,TRIM(W104)=""),"INVALID – batch ID missing",IF(AND(AR104=1,OR(NOT(ISNUMBER(X104)),NOT(ISNUMBER(Y104)))),"INVALID – expected/actual qty missing",IF(IF(AND(TRIM(U104)="Pass",ISNUMBER(AF104)),IF(AF104&lt;&gt;0,"INVALID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recorded/closed","")&lt;&gt;"",IF(AND(TRIM(U104)="Pass",ISNUMBER(AF104)),IF(AF104&lt;&gt;0,"INVALID – qty variance: use Fail or Pass after CA",""),"")&amp;IF(AND(TRIM(U104)="Pass",AB104="Open"),"INVALID – corrective action still open: use Fail, then Pass after CA","")&amp;IF(AND(TRIM(U104)="Pass after CA",OR(TRIM(AA104)="",AB104&lt;&gt;"Closed")),"INVALID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window"),IF(AG104&gt;Flights!$AA$8,"INVALID – completed after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f>
        <v/>
      </c>
      <c r="AI104" s="67">
        <f>IF(OR(AH104="N/A – RULE",AH104="N/A – JUSTIFIED"),0,1)</f>
        <v/>
      </c>
      <c r="AJ104" s="67">
        <f>IF(LEFT(AH104,8)="COMPLETE",1,0)</f>
        <v/>
      </c>
      <c r="AK104" s="67">
        <f>IF(AND(AI104=1,AJ104=0,AsOfUTC&gt;Q104),1,0)</f>
        <v/>
      </c>
      <c r="AL104" s="67">
        <f>IF(AND(AI104=1,OR(TRIM(U104)="Fail",AB104="Open",AND(ISNUMBER(AF104),AF104&lt;&gt;0,TRIM(U104)&lt;&gt;"Pass after CA"))),1,0)</f>
        <v/>
      </c>
      <c r="AM104" s="67">
        <f>IF(LEFT(AH104,7)="INVALID",1,0)</f>
        <v/>
      </c>
      <c r="AN104" s="67">
        <f>IF(AND(N104="Clarification required",AI104=1,AJ104=0),1,0)</f>
        <v/>
      </c>
      <c r="AO104" s="67">
        <f>IF(AK104=1,SUM(AK$5:AK104),"")</f>
        <v/>
      </c>
      <c r="AP104" s="67">
        <f>IF(AL104=1,SUM(AL$5:AL104),"")</f>
        <v/>
      </c>
      <c r="AQ104" s="67" t="n">
        <v>0</v>
      </c>
      <c r="AR104" s="67" t="n">
        <v>0</v>
      </c>
      <c r="AS104" s="67" t="n">
        <v>0</v>
      </c>
      <c r="AT104" s="67" t="n">
        <v>0</v>
      </c>
    </row>
    <row r="105" ht="141.5" customHeight="1">
      <c r="A105" s="63" t="inlineStr">
        <is>
          <t>F04-T12-06</t>
        </is>
      </c>
      <c r="B105" s="63" t="inlineStr">
        <is>
          <t>F04</t>
        </is>
      </c>
      <c r="C105" s="63">
        <f>Flights!$F$8</f>
        <v/>
      </c>
      <c r="D105" s="64">
        <f>Flights!$D$8</f>
        <v/>
      </c>
      <c r="E105" s="63">
        <f>Flights!$G$8&amp;"-"&amp;Flights!$H$8</f>
        <v/>
      </c>
      <c r="F105" s="63">
        <f>Flights!$K$8</f>
        <v/>
      </c>
      <c r="G105" s="63" t="inlineStr">
        <is>
          <t>T-12H PREP</t>
        </is>
      </c>
      <c r="H105" s="63" t="inlineStr">
        <is>
          <t>Preparation</t>
        </is>
      </c>
      <c r="I105" s="63" t="inlineStr">
        <is>
          <t>Equipment</t>
        </is>
      </c>
      <c r="J105" s="63" t="inlineStr">
        <is>
          <t>Equipment quantities vs GLD</t>
        </is>
      </c>
      <c r="K105"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105" s="73" t="inlineStr">
        <is>
          <t>User brief (T-12 hours)</t>
        </is>
      </c>
      <c r="M105" s="73" t="inlineStr"/>
      <c r="N105" s="73" t="inlineStr">
        <is>
          <t>Required</t>
        </is>
      </c>
      <c r="O105" s="73" t="inlineStr">
        <is>
          <t>Preparation check at caterer - does NOT confirm loading.</t>
        </is>
      </c>
      <c r="P105" s="63" t="inlineStr">
        <is>
          <t>KUL</t>
        </is>
      </c>
      <c r="Q105" s="65">
        <f>Flights!$AE$8</f>
        <v/>
      </c>
      <c r="R105" s="65">
        <f>Q105+(IF(AND(INDEX(TZ_DSTS,MATCH(P105,TZ_STN,0))&lt;&gt;"",Q105&gt;=INDEX(TZ_DSTS,MATCH(P105,TZ_STN,0)),Q105&lt;INDEX(TZ_DSTE,MATCH(P105,TZ_STN,0))),INDEX(TZ_DST,MATCH(P105,TZ_STN,0)),INDEX(TZ_STD,MATCH(P105,TZ_STN,0))))/24</f>
        <v/>
      </c>
      <c r="S105" s="65">
        <f>Q105-T12EarlyH/24</f>
        <v/>
      </c>
      <c r="T105" s="66" t="n"/>
      <c r="U105" s="66" t="n"/>
      <c r="V105" s="66" t="n"/>
      <c r="W105" s="67" t="n"/>
      <c r="X105" s="66" t="n"/>
      <c r="Y105" s="66" t="n"/>
      <c r="Z105" s="66" t="n"/>
      <c r="AA105" s="66" t="n"/>
      <c r="AB105" s="66" t="n"/>
      <c r="AC105" s="66" t="n"/>
      <c r="AD105" s="72" t="n"/>
      <c r="AE105" s="66" t="n"/>
      <c r="AF105" s="67">
        <f>IF(AND(ISNUMBER(X105),ISNUMBER(Y105)),Y105-X105,"")</f>
        <v/>
      </c>
      <c r="AG105" s="68">
        <f>IF(ISNUMBER(AD105),AD105-(IF(AND(INDEX(TZ_DSTS,MATCH(P105,TZ_STN,0))&lt;&gt;"",(AD105-INDEX(TZ_STD,MATCH(P105,TZ_STN,0))/24)&gt;=INDEX(TZ_DSTS,MATCH(P105,TZ_STN,0)),(AD105-INDEX(TZ_STD,MATCH(P105,TZ_STN,0))/24)&lt;INDEX(TZ_DSTE,MATCH(P105,TZ_STN,0))),INDEX(TZ_DST,MATCH(P105,TZ_STN,0)),INDEX(TZ_STD,MATCH(P105,TZ_STN,0))))/24,"")</f>
        <v/>
      </c>
      <c r="AH105" s="71">
        <f>IF(N105="N/A – rule","N/A – RULE",IF(TRIM(U105)="N/A",IF(AT105=0,"INVALID – N/A not permitted for this mandatory check",IF(AND(TRIM(AC105)&lt;&gt;"",TRIM(AE105)&lt;&gt;"",TRIM(T105)&lt;&gt;""),"N/A – JUSTIFIED","INVALID – N/A needs justification, PIC and verifier")),IF(OR(TRIM(U105)="Pass",TRIM(U105)="Pass after CA"),IF(NOT(ISNUMBER(AD105)),"INVALID – completion time missing",IF(TRIM(T105)="","INVALID – PIC missing",IF(TRIM(Z105)="","INVALID – evidence missing",IF(TRIM(AE105)="","INVALID – verifier missing",IF(AND(AQ105=1,TRIM(W105)=""),"INVALID – batch ID missing",IF(AND(AR105=1,OR(NOT(ISNUMBER(X105)),NOT(ISNUMBER(Y105)))),"INVALID – expected/actual qty missing",IF(IF(AND(TRIM(U105)="Pass",ISNUMBER(AF105)),IF(AF105&lt;&gt;0,"INVALID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recorded/closed","")&lt;&gt;"",IF(AND(TRIM(U105)="Pass",ISNUMBER(AF105)),IF(AF105&lt;&gt;0,"INVALID – qty variance: use Fail or Pass after CA",""),"")&amp;IF(AND(TRIM(U105)="Pass",AB105="Open"),"INVALID – corrective action still open: use Fail, then Pass after CA","")&amp;IF(AND(TRIM(U105)="Pass after CA",OR(TRIM(AA105)="",AB105&lt;&gt;"Closed")),"INVALID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window"),IF(AG105&gt;Flights!$AA$8,"INVALID – completed after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f>
        <v/>
      </c>
      <c r="AI105" s="67">
        <f>IF(OR(AH105="N/A – RULE",AH105="N/A – JUSTIFIED"),0,1)</f>
        <v/>
      </c>
      <c r="AJ105" s="67">
        <f>IF(LEFT(AH105,8)="COMPLETE",1,0)</f>
        <v/>
      </c>
      <c r="AK105" s="67">
        <f>IF(AND(AI105=1,AJ105=0,AsOfUTC&gt;Q105),1,0)</f>
        <v/>
      </c>
      <c r="AL105" s="67">
        <f>IF(AND(AI105=1,OR(TRIM(U105)="Fail",AB105="Open",AND(ISNUMBER(AF105),AF105&lt;&gt;0,TRIM(U105)&lt;&gt;"Pass after CA"))),1,0)</f>
        <v/>
      </c>
      <c r="AM105" s="67">
        <f>IF(LEFT(AH105,7)="INVALID",1,0)</f>
        <v/>
      </c>
      <c r="AN105" s="67">
        <f>IF(AND(N105="Clarification required",AI105=1,AJ105=0),1,0)</f>
        <v/>
      </c>
      <c r="AO105" s="67">
        <f>IF(AK105=1,SUM(AK$5:AK105),"")</f>
        <v/>
      </c>
      <c r="AP105" s="67">
        <f>IF(AL105=1,SUM(AL$5:AL105),"")</f>
        <v/>
      </c>
      <c r="AQ105" s="67" t="n">
        <v>0</v>
      </c>
      <c r="AR105" s="67" t="n">
        <v>1</v>
      </c>
      <c r="AS105" s="67" t="n">
        <v>0</v>
      </c>
      <c r="AT105" s="67" t="n">
        <v>0</v>
      </c>
    </row>
    <row r="106" ht="40" customHeight="1">
      <c r="A106" s="63" t="inlineStr">
        <is>
          <t>F04-T12-07</t>
        </is>
      </c>
      <c r="B106" s="63" t="inlineStr">
        <is>
          <t>F04</t>
        </is>
      </c>
      <c r="C106" s="63">
        <f>Flights!$F$8</f>
        <v/>
      </c>
      <c r="D106" s="64">
        <f>Flights!$D$8</f>
        <v/>
      </c>
      <c r="E106" s="63">
        <f>Flights!$G$8&amp;"-"&amp;Flights!$H$8</f>
        <v/>
      </c>
      <c r="F106" s="63">
        <f>Flights!$K$8</f>
        <v/>
      </c>
      <c r="G106" s="63" t="inlineStr">
        <is>
          <t>T-12H PREP</t>
        </is>
      </c>
      <c r="H106" s="63" t="inlineStr">
        <is>
          <t>Preparation</t>
        </is>
      </c>
      <c r="I106" s="63" t="inlineStr">
        <is>
          <t>Equipment</t>
        </is>
      </c>
      <c r="J106" s="63" t="inlineStr">
        <is>
          <t>Loading positions planned vs GLD</t>
        </is>
      </c>
      <c r="K106" s="73" t="inlineStr"/>
      <c r="L106" s="73" t="inlineStr">
        <is>
          <t>User brief (T-12 hours)</t>
        </is>
      </c>
      <c r="M106" s="73" t="inlineStr"/>
      <c r="N106" s="73" t="inlineStr">
        <is>
          <t>Required</t>
        </is>
      </c>
      <c r="O106" s="73" t="inlineStr">
        <is>
          <t>Preparation check at caterer - does NOT confirm loading.</t>
        </is>
      </c>
      <c r="P106" s="63" t="inlineStr">
        <is>
          <t>KUL</t>
        </is>
      </c>
      <c r="Q106" s="65">
        <f>Flights!$AE$8</f>
        <v/>
      </c>
      <c r="R106" s="65">
        <f>Q106+(IF(AND(INDEX(TZ_DSTS,MATCH(P106,TZ_STN,0))&lt;&gt;"",Q106&gt;=INDEX(TZ_DSTS,MATCH(P106,TZ_STN,0)),Q106&lt;INDEX(TZ_DSTE,MATCH(P106,TZ_STN,0))),INDEX(TZ_DST,MATCH(P106,TZ_STN,0)),INDEX(TZ_STD,MATCH(P106,TZ_STN,0))))/24</f>
        <v/>
      </c>
      <c r="S106" s="65">
        <f>Q106-T12EarlyH/24</f>
        <v/>
      </c>
      <c r="T106" s="66" t="n"/>
      <c r="U106" s="66" t="n"/>
      <c r="V106" s="66" t="n"/>
      <c r="W106" s="67" t="n"/>
      <c r="X106" s="66" t="n"/>
      <c r="Y106" s="66" t="n"/>
      <c r="Z106" s="66" t="n"/>
      <c r="AA106" s="66" t="n"/>
      <c r="AB106" s="66" t="n"/>
      <c r="AC106" s="66" t="n"/>
      <c r="AD106" s="72" t="n"/>
      <c r="AE106" s="66" t="n"/>
      <c r="AF106" s="67">
        <f>IF(AND(ISNUMBER(X106),ISNUMBER(Y106)),Y106-X106,"")</f>
        <v/>
      </c>
      <c r="AG106" s="68">
        <f>IF(ISNUMBER(AD106),AD106-(IF(AND(INDEX(TZ_DSTS,MATCH(P106,TZ_STN,0))&lt;&gt;"",(AD106-INDEX(TZ_STD,MATCH(P106,TZ_STN,0))/24)&gt;=INDEX(TZ_DSTS,MATCH(P106,TZ_STN,0)),(AD106-INDEX(TZ_STD,MATCH(P106,TZ_STN,0))/24)&lt;INDEX(TZ_DSTE,MATCH(P106,TZ_STN,0))),INDEX(TZ_DST,MATCH(P106,TZ_STN,0)),INDEX(TZ_STD,MATCH(P106,TZ_STN,0))))/24,"")</f>
        <v/>
      </c>
      <c r="AH106" s="71">
        <f>IF(N106="N/A – rule","N/A – RULE",IF(TRIM(U106)="N/A",IF(AT106=0,"INVALID – N/A not permitted for this mandatory check",IF(AND(TRIM(AC106)&lt;&gt;"",TRIM(AE106)&lt;&gt;"",TRIM(T106)&lt;&gt;""),"N/A – JUSTIFIED","INVALID – N/A needs justification, PIC and verifier")),IF(OR(TRIM(U106)="Pass",TRIM(U106)="Pass after CA"),IF(NOT(ISNUMBER(AD106)),"INVALID – completion time missing",IF(TRIM(T106)="","INVALID – PIC missing",IF(TRIM(Z106)="","INVALID – evidence missing",IF(TRIM(AE106)="","INVALID – verifier missing",IF(AND(AQ106=1,TRIM(W106)=""),"INVALID – batch ID missing",IF(AND(AR106=1,OR(NOT(ISNUMBER(X106)),NOT(ISNUMBER(Y106)))),"INVALID – expected/actual qty missing",IF(IF(AND(TRIM(U106)="Pass",ISNUMBER(AF106)),IF(AF106&lt;&gt;0,"INVALID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recorded/closed","")&lt;&gt;"",IF(AND(TRIM(U106)="Pass",ISNUMBER(AF106)),IF(AF106&lt;&gt;0,"INVALID – qty variance: use Fail or Pass after CA",""),"")&amp;IF(AND(TRIM(U106)="Pass",AB106="Open"),"INVALID – corrective action still open: use Fail, then Pass after CA","")&amp;IF(AND(TRIM(U106)="Pass after CA",OR(TRIM(AA106)="",AB106&lt;&gt;"Closed")),"INVALID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window"),IF(AG106&gt;Flights!$AA$8,"INVALID – completed after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f>
        <v/>
      </c>
      <c r="AI106" s="67">
        <f>IF(OR(AH106="N/A – RULE",AH106="N/A – JUSTIFIED"),0,1)</f>
        <v/>
      </c>
      <c r="AJ106" s="67">
        <f>IF(LEFT(AH106,8)="COMPLETE",1,0)</f>
        <v/>
      </c>
      <c r="AK106" s="67">
        <f>IF(AND(AI106=1,AJ106=0,AsOfUTC&gt;Q106),1,0)</f>
        <v/>
      </c>
      <c r="AL106" s="67">
        <f>IF(AND(AI106=1,OR(TRIM(U106)="Fail",AB106="Open",AND(ISNUMBER(AF106),AF106&lt;&gt;0,TRIM(U106)&lt;&gt;"Pass after CA"))),1,0)</f>
        <v/>
      </c>
      <c r="AM106" s="67">
        <f>IF(LEFT(AH106,7)="INVALID",1,0)</f>
        <v/>
      </c>
      <c r="AN106" s="67">
        <f>IF(AND(N106="Clarification required",AI106=1,AJ106=0),1,0)</f>
        <v/>
      </c>
      <c r="AO106" s="67">
        <f>IF(AK106=1,SUM(AK$5:AK106),"")</f>
        <v/>
      </c>
      <c r="AP106" s="67">
        <f>IF(AL106=1,SUM(AL$5:AL106),"")</f>
        <v/>
      </c>
      <c r="AQ106" s="67" t="n">
        <v>0</v>
      </c>
      <c r="AR106" s="67" t="n">
        <v>0</v>
      </c>
      <c r="AS106" s="67" t="n">
        <v>0</v>
      </c>
      <c r="AT106" s="67" t="n">
        <v>0</v>
      </c>
    </row>
    <row r="107" ht="40" customHeight="1">
      <c r="A107" s="63" t="inlineStr">
        <is>
          <t>F04-T12-08</t>
        </is>
      </c>
      <c r="B107" s="63" t="inlineStr">
        <is>
          <t>F04</t>
        </is>
      </c>
      <c r="C107" s="63">
        <f>Flights!$F$8</f>
        <v/>
      </c>
      <c r="D107" s="64">
        <f>Flights!$D$8</f>
        <v/>
      </c>
      <c r="E107" s="63">
        <f>Flights!$G$8&amp;"-"&amp;Flights!$H$8</f>
        <v/>
      </c>
      <c r="F107" s="63">
        <f>Flights!$K$8</f>
        <v/>
      </c>
      <c r="G107" s="63" t="inlineStr">
        <is>
          <t>T-12H PREP</t>
        </is>
      </c>
      <c r="H107" s="63" t="inlineStr">
        <is>
          <t>Preparation</t>
        </is>
      </c>
      <c r="I107" s="63" t="inlineStr">
        <is>
          <t>Amenities</t>
        </is>
      </c>
      <c r="J107" s="63" t="inlineStr">
        <is>
          <t>Toiletry kits - prepared</t>
        </is>
      </c>
      <c r="K107" s="73" t="inlineStr">
        <is>
          <t>Available (ticked in reference)</t>
        </is>
      </c>
      <c r="L107" s="73" t="inlineStr">
        <is>
          <t>STD UPLIFT INFORMATION.xlsx &gt; AMENITIES!D23 / H23</t>
        </is>
      </c>
      <c r="M107" s="73" t="inlineStr">
        <is>
          <t>KUL</t>
        </is>
      </c>
      <c r="N107" s="73" t="inlineStr">
        <is>
          <t>Required</t>
        </is>
      </c>
      <c r="O107" s="73" t="inlineStr"/>
      <c r="P107" s="63" t="inlineStr">
        <is>
          <t>KUL</t>
        </is>
      </c>
      <c r="Q107" s="65">
        <f>Flights!$AE$8</f>
        <v/>
      </c>
      <c r="R107" s="65">
        <f>Q107+(IF(AND(INDEX(TZ_DSTS,MATCH(P107,TZ_STN,0))&lt;&gt;"",Q107&gt;=INDEX(TZ_DSTS,MATCH(P107,TZ_STN,0)),Q107&lt;INDEX(TZ_DSTE,MATCH(P107,TZ_STN,0))),INDEX(TZ_DST,MATCH(P107,TZ_STN,0)),INDEX(TZ_STD,MATCH(P107,TZ_STN,0))))/24</f>
        <v/>
      </c>
      <c r="S107" s="65">
        <f>Q107-T12EarlyH/24</f>
        <v/>
      </c>
      <c r="T107" s="66" t="n"/>
      <c r="U107" s="66" t="n"/>
      <c r="V107" s="66" t="n"/>
      <c r="W107" s="67" t="n"/>
      <c r="X107" s="66" t="n"/>
      <c r="Y107" s="66" t="n"/>
      <c r="Z107" s="66" t="n"/>
      <c r="AA107" s="66" t="n"/>
      <c r="AB107" s="66" t="n"/>
      <c r="AC107" s="66" t="n"/>
      <c r="AD107" s="72" t="n"/>
      <c r="AE107" s="66" t="n"/>
      <c r="AF107" s="67">
        <f>IF(AND(ISNUMBER(X107),ISNUMBER(Y107)),Y107-X107,"")</f>
        <v/>
      </c>
      <c r="AG107" s="68">
        <f>IF(ISNUMBER(AD107),AD107-(IF(AND(INDEX(TZ_DSTS,MATCH(P107,TZ_STN,0))&lt;&gt;"",(AD107-INDEX(TZ_STD,MATCH(P107,TZ_STN,0))/24)&gt;=INDEX(TZ_DSTS,MATCH(P107,TZ_STN,0)),(AD107-INDEX(TZ_STD,MATCH(P107,TZ_STN,0))/24)&lt;INDEX(TZ_DSTE,MATCH(P107,TZ_STN,0))),INDEX(TZ_DST,MATCH(P107,TZ_STN,0)),INDEX(TZ_STD,MATCH(P107,TZ_STN,0))))/24,"")</f>
        <v/>
      </c>
      <c r="AH107" s="71">
        <f>IF(N107="N/A – rule","N/A – RULE",IF(TRIM(U107)="N/A",IF(AT107=0,"INVALID – N/A not permitted for this mandatory check",IF(AND(TRIM(AC107)&lt;&gt;"",TRIM(AE107)&lt;&gt;"",TRIM(T107)&lt;&gt;""),"N/A – JUSTIFIED","INVALID – N/A needs justification, PIC and verifier")),IF(OR(TRIM(U107)="Pass",TRIM(U107)="Pass after CA"),IF(NOT(ISNUMBER(AD107)),"INVALID – completion time missing",IF(TRIM(T107)="","INVALID – PIC missing",IF(TRIM(Z107)="","INVALID – evidence missing",IF(TRIM(AE107)="","INVALID – verifier missing",IF(AND(AQ107=1,TRIM(W107)=""),"INVALID – batch ID missing",IF(AND(AR107=1,OR(NOT(ISNUMBER(X107)),NOT(ISNUMBER(Y107)))),"INVALID – expected/actual qty missing",IF(IF(AND(TRIM(U107)="Pass",ISNUMBER(AF107)),IF(AF107&lt;&gt;0,"INVALID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recorded/closed","")&lt;&gt;"",IF(AND(TRIM(U107)="Pass",ISNUMBER(AF107)),IF(AF107&lt;&gt;0,"INVALID – qty variance: use Fail or Pass after CA",""),"")&amp;IF(AND(TRIM(U107)="Pass",AB107="Open"),"INVALID – corrective action still open: use Fail, then Pass after CA","")&amp;IF(AND(TRIM(U107)="Pass after CA",OR(TRIM(AA107)="",AB107&lt;&gt;"Closed")),"INVALID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window"),IF(AG107&gt;Flights!$AA$8,"INVALID – completed after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f>
        <v/>
      </c>
      <c r="AI107" s="67">
        <f>IF(OR(AH107="N/A – RULE",AH107="N/A – JUSTIFIED"),0,1)</f>
        <v/>
      </c>
      <c r="AJ107" s="67">
        <f>IF(LEFT(AH107,8)="COMPLETE",1,0)</f>
        <v/>
      </c>
      <c r="AK107" s="67">
        <f>IF(AND(AI107=1,AJ107=0,AsOfUTC&gt;Q107),1,0)</f>
        <v/>
      </c>
      <c r="AL107" s="67">
        <f>IF(AND(AI107=1,OR(TRIM(U107)="Fail",AB107="Open",AND(ISNUMBER(AF107),AF107&lt;&gt;0,TRIM(U107)&lt;&gt;"Pass after CA"))),1,0)</f>
        <v/>
      </c>
      <c r="AM107" s="67">
        <f>IF(LEFT(AH107,7)="INVALID",1,0)</f>
        <v/>
      </c>
      <c r="AN107" s="67">
        <f>IF(AND(N107="Clarification required",AI107=1,AJ107=0),1,0)</f>
        <v/>
      </c>
      <c r="AO107" s="67">
        <f>IF(AK107=1,SUM(AK$5:AK107),"")</f>
        <v/>
      </c>
      <c r="AP107" s="67">
        <f>IF(AL107=1,SUM(AL$5:AL107),"")</f>
        <v/>
      </c>
      <c r="AQ107" s="67" t="n">
        <v>0</v>
      </c>
      <c r="AR107" s="67" t="n">
        <v>0</v>
      </c>
      <c r="AS107" s="67" t="n">
        <v>0</v>
      </c>
      <c r="AT107" s="67" t="n">
        <v>1</v>
      </c>
    </row>
    <row r="108" ht="40" customHeight="1">
      <c r="A108" s="63" t="inlineStr">
        <is>
          <t>F04-T12-09</t>
        </is>
      </c>
      <c r="B108" s="63" t="inlineStr">
        <is>
          <t>F04</t>
        </is>
      </c>
      <c r="C108" s="63">
        <f>Flights!$F$8</f>
        <v/>
      </c>
      <c r="D108" s="64">
        <f>Flights!$D$8</f>
        <v/>
      </c>
      <c r="E108" s="63">
        <f>Flights!$G$8&amp;"-"&amp;Flights!$H$8</f>
        <v/>
      </c>
      <c r="F108" s="63">
        <f>Flights!$K$8</f>
        <v/>
      </c>
      <c r="G108" s="63" t="inlineStr">
        <is>
          <t>T-12H PREP</t>
        </is>
      </c>
      <c r="H108" s="63" t="inlineStr">
        <is>
          <t>Preparation</t>
        </is>
      </c>
      <c r="I108" s="63" t="inlineStr">
        <is>
          <t>Amenities</t>
        </is>
      </c>
      <c r="J108" s="63" t="inlineStr">
        <is>
          <t>Slippers (BS/BC) - prepared</t>
        </is>
      </c>
      <c r="K108" s="73" t="inlineStr">
        <is>
          <t>Available (ticked in reference)</t>
        </is>
      </c>
      <c r="L108" s="73" t="inlineStr">
        <is>
          <t>STD UPLIFT INFORMATION.xlsx &gt; AMENITIES!G23 / H23</t>
        </is>
      </c>
      <c r="M108" s="73" t="inlineStr">
        <is>
          <t>KUL</t>
        </is>
      </c>
      <c r="N108" s="73" t="inlineStr">
        <is>
          <t>Required</t>
        </is>
      </c>
      <c r="O108" s="73" t="inlineStr"/>
      <c r="P108" s="63" t="inlineStr">
        <is>
          <t>KUL</t>
        </is>
      </c>
      <c r="Q108" s="65">
        <f>Flights!$AE$8</f>
        <v/>
      </c>
      <c r="R108" s="65">
        <f>Q108+(IF(AND(INDEX(TZ_DSTS,MATCH(P108,TZ_STN,0))&lt;&gt;"",Q108&gt;=INDEX(TZ_DSTS,MATCH(P108,TZ_STN,0)),Q108&lt;INDEX(TZ_DSTE,MATCH(P108,TZ_STN,0))),INDEX(TZ_DST,MATCH(P108,TZ_STN,0)),INDEX(TZ_STD,MATCH(P108,TZ_STN,0))))/24</f>
        <v/>
      </c>
      <c r="S108" s="65">
        <f>Q108-T12EarlyH/24</f>
        <v/>
      </c>
      <c r="T108" s="66" t="n"/>
      <c r="U108" s="66" t="n"/>
      <c r="V108" s="66" t="n"/>
      <c r="W108" s="67" t="n"/>
      <c r="X108" s="66" t="n"/>
      <c r="Y108" s="66" t="n"/>
      <c r="Z108" s="66" t="n"/>
      <c r="AA108" s="66" t="n"/>
      <c r="AB108" s="66" t="n"/>
      <c r="AC108" s="66" t="n"/>
      <c r="AD108" s="72" t="n"/>
      <c r="AE108" s="66" t="n"/>
      <c r="AF108" s="67">
        <f>IF(AND(ISNUMBER(X108),ISNUMBER(Y108)),Y108-X108,"")</f>
        <v/>
      </c>
      <c r="AG108" s="68">
        <f>IF(ISNUMBER(AD108),AD108-(IF(AND(INDEX(TZ_DSTS,MATCH(P108,TZ_STN,0))&lt;&gt;"",(AD108-INDEX(TZ_STD,MATCH(P108,TZ_STN,0))/24)&gt;=INDEX(TZ_DSTS,MATCH(P108,TZ_STN,0)),(AD108-INDEX(TZ_STD,MATCH(P108,TZ_STN,0))/24)&lt;INDEX(TZ_DSTE,MATCH(P108,TZ_STN,0))),INDEX(TZ_DST,MATCH(P108,TZ_STN,0)),INDEX(TZ_STD,MATCH(P108,TZ_STN,0))))/24,"")</f>
        <v/>
      </c>
      <c r="AH108" s="71">
        <f>IF(N108="N/A – rule","N/A – RULE",IF(TRIM(U108)="N/A",IF(AT108=0,"INVALID – N/A not permitted for this mandatory check",IF(AND(TRIM(AC108)&lt;&gt;"",TRIM(AE108)&lt;&gt;"",TRIM(T108)&lt;&gt;""),"N/A – JUSTIFIED","INVALID – N/A needs justification, PIC and verifier")),IF(OR(TRIM(U108)="Pass",TRIM(U108)="Pass after CA"),IF(NOT(ISNUMBER(AD108)),"INVALID – completion time missing",IF(TRIM(T108)="","INVALID – PIC missing",IF(TRIM(Z108)="","INVALID – evidence missing",IF(TRIM(AE108)="","INVALID – verifier missing",IF(AND(AQ108=1,TRIM(W108)=""),"INVALID – batch ID missing",IF(AND(AR108=1,OR(NOT(ISNUMBER(X108)),NOT(ISNUMBER(Y108)))),"INVALID – expected/actual qty missing",IF(IF(AND(TRIM(U108)="Pass",ISNUMBER(AF108)),IF(AF108&lt;&gt;0,"INVALID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recorded/closed","")&lt;&gt;"",IF(AND(TRIM(U108)="Pass",ISNUMBER(AF108)),IF(AF108&lt;&gt;0,"INVALID – qty variance: use Fail or Pass after CA",""),"")&amp;IF(AND(TRIM(U108)="Pass",AB108="Open"),"INVALID – corrective action still open: use Fail, then Pass after CA","")&amp;IF(AND(TRIM(U108)="Pass after CA",OR(TRIM(AA108)="",AB108&lt;&gt;"Closed")),"INVALID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window"),IF(AG108&gt;Flights!$AA$8,"INVALID – completed after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f>
        <v/>
      </c>
      <c r="AI108" s="67">
        <f>IF(OR(AH108="N/A – RULE",AH108="N/A – JUSTIFIED"),0,1)</f>
        <v/>
      </c>
      <c r="AJ108" s="67">
        <f>IF(LEFT(AH108,8)="COMPLETE",1,0)</f>
        <v/>
      </c>
      <c r="AK108" s="67">
        <f>IF(AND(AI108=1,AJ108=0,AsOfUTC&gt;Q108),1,0)</f>
        <v/>
      </c>
      <c r="AL108" s="67">
        <f>IF(AND(AI108=1,OR(TRIM(U108)="Fail",AB108="Open",AND(ISNUMBER(AF108),AF108&lt;&gt;0,TRIM(U108)&lt;&gt;"Pass after CA"))),1,0)</f>
        <v/>
      </c>
      <c r="AM108" s="67">
        <f>IF(LEFT(AH108,7)="INVALID",1,0)</f>
        <v/>
      </c>
      <c r="AN108" s="67">
        <f>IF(AND(N108="Clarification required",AI108=1,AJ108=0),1,0)</f>
        <v/>
      </c>
      <c r="AO108" s="67">
        <f>IF(AK108=1,SUM(AK$5:AK108),"")</f>
        <v/>
      </c>
      <c r="AP108" s="67">
        <f>IF(AL108=1,SUM(AL$5:AL108),"")</f>
        <v/>
      </c>
      <c r="AQ108" s="67" t="n">
        <v>0</v>
      </c>
      <c r="AR108" s="67" t="n">
        <v>0</v>
      </c>
      <c r="AS108" s="67" t="n">
        <v>0</v>
      </c>
      <c r="AT108" s="67" t="n">
        <v>1</v>
      </c>
    </row>
    <row r="109" ht="41.5" customHeight="1">
      <c r="A109" s="63" t="inlineStr">
        <is>
          <t>F04-T12-10</t>
        </is>
      </c>
      <c r="B109" s="63" t="inlineStr">
        <is>
          <t>F04</t>
        </is>
      </c>
      <c r="C109" s="63">
        <f>Flights!$F$8</f>
        <v/>
      </c>
      <c r="D109" s="64">
        <f>Flights!$D$8</f>
        <v/>
      </c>
      <c r="E109" s="63">
        <f>Flights!$G$8&amp;"-"&amp;Flights!$H$8</f>
        <v/>
      </c>
      <c r="F109" s="63">
        <f>Flights!$K$8</f>
        <v/>
      </c>
      <c r="G109" s="63" t="inlineStr">
        <is>
          <t>T-12H PREP</t>
        </is>
      </c>
      <c r="H109" s="63" t="inlineStr">
        <is>
          <t>Preparation</t>
        </is>
      </c>
      <c r="I109" s="63" t="inlineStr">
        <is>
          <t>F&amp;B Linen</t>
        </is>
      </c>
      <c r="J109" s="63" t="inlineStr">
        <is>
          <t>Towel - prepared</t>
        </is>
      </c>
      <c r="K109" s="73" t="inlineStr">
        <is>
          <t>Available (ticked in reference)</t>
        </is>
      </c>
      <c r="L109" s="73" t="inlineStr">
        <is>
          <t>STD UPLIFT INFORMATION.xlsx &gt; F&amp;B LINEN!D14</t>
        </is>
      </c>
      <c r="M109" s="73" t="inlineStr">
        <is>
          <t>Not stated in reference</t>
        </is>
      </c>
      <c r="N109" s="73" t="inlineStr">
        <is>
          <t>Required</t>
        </is>
      </c>
      <c r="O109" s="73" t="inlineStr">
        <is>
          <t>Reference gives no uplift stn for this item: preparation checked at the meal uplift stn (KUL) - confirm with caterer.</t>
        </is>
      </c>
      <c r="P109" s="63" t="inlineStr">
        <is>
          <t>KUL</t>
        </is>
      </c>
      <c r="Q109" s="65">
        <f>Flights!$AE$8</f>
        <v/>
      </c>
      <c r="R109" s="65">
        <f>Q109+(IF(AND(INDEX(TZ_DSTS,MATCH(P109,TZ_STN,0))&lt;&gt;"",Q109&gt;=INDEX(TZ_DSTS,MATCH(P109,TZ_STN,0)),Q109&lt;INDEX(TZ_DSTE,MATCH(P109,TZ_STN,0))),INDEX(TZ_DST,MATCH(P109,TZ_STN,0)),INDEX(TZ_STD,MATCH(P109,TZ_STN,0))))/24</f>
        <v/>
      </c>
      <c r="S109" s="65">
        <f>Q109-T12EarlyH/24</f>
        <v/>
      </c>
      <c r="T109" s="66" t="n"/>
      <c r="U109" s="66" t="n"/>
      <c r="V109" s="66" t="n"/>
      <c r="W109" s="67" t="n"/>
      <c r="X109" s="66" t="n"/>
      <c r="Y109" s="66" t="n"/>
      <c r="Z109" s="66" t="n"/>
      <c r="AA109" s="66" t="n"/>
      <c r="AB109" s="66" t="n"/>
      <c r="AC109" s="66" t="n"/>
      <c r="AD109" s="72" t="n"/>
      <c r="AE109" s="66" t="n"/>
      <c r="AF109" s="67">
        <f>IF(AND(ISNUMBER(X109),ISNUMBER(Y109)),Y109-X109,"")</f>
        <v/>
      </c>
      <c r="AG109" s="68">
        <f>IF(ISNUMBER(AD109),AD109-(IF(AND(INDEX(TZ_DSTS,MATCH(P109,TZ_STN,0))&lt;&gt;"",(AD109-INDEX(TZ_STD,MATCH(P109,TZ_STN,0))/24)&gt;=INDEX(TZ_DSTS,MATCH(P109,TZ_STN,0)),(AD109-INDEX(TZ_STD,MATCH(P109,TZ_STN,0))/24)&lt;INDEX(TZ_DSTE,MATCH(P109,TZ_STN,0))),INDEX(TZ_DST,MATCH(P109,TZ_STN,0)),INDEX(TZ_STD,MATCH(P109,TZ_STN,0))))/24,"")</f>
        <v/>
      </c>
      <c r="AH109" s="71">
        <f>IF(N109="N/A – rule","N/A – RULE",IF(TRIM(U109)="N/A",IF(AT109=0,"INVALID – N/A not permitted for this mandatory check",IF(AND(TRIM(AC109)&lt;&gt;"",TRIM(AE109)&lt;&gt;"",TRIM(T109)&lt;&gt;""),"N/A – JUSTIFIED","INVALID – N/A needs justification, PIC and verifier")),IF(OR(TRIM(U109)="Pass",TRIM(U109)="Pass after CA"),IF(NOT(ISNUMBER(AD109)),"INVALID – completion time missing",IF(TRIM(T109)="","INVALID – PIC missing",IF(TRIM(Z109)="","INVALID – evidence missing",IF(TRIM(AE109)="","INVALID – verifier missing",IF(AND(AQ109=1,TRIM(W109)=""),"INVALID – batch ID missing",IF(AND(AR109=1,OR(NOT(ISNUMBER(X109)),NOT(ISNUMBER(Y109)))),"INVALID – expected/actual qty missing",IF(IF(AND(TRIM(U109)="Pass",ISNUMBER(AF109)),IF(AF109&lt;&gt;0,"INVALID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recorded/closed","")&lt;&gt;"",IF(AND(TRIM(U109)="Pass",ISNUMBER(AF109)),IF(AF109&lt;&gt;0,"INVALID – qty variance: use Fail or Pass after CA",""),"")&amp;IF(AND(TRIM(U109)="Pass",AB109="Open"),"INVALID – corrective action still open: use Fail, then Pass after CA","")&amp;IF(AND(TRIM(U109)="Pass after CA",OR(TRIM(AA109)="",AB109&lt;&gt;"Closed")),"INVALID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window"),IF(AG109&gt;Flights!$AA$8,"INVALID – completed after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f>
        <v/>
      </c>
      <c r="AI109" s="67">
        <f>IF(OR(AH109="N/A – RULE",AH109="N/A – JUSTIFIED"),0,1)</f>
        <v/>
      </c>
      <c r="AJ109" s="67">
        <f>IF(LEFT(AH109,8)="COMPLETE",1,0)</f>
        <v/>
      </c>
      <c r="AK109" s="67">
        <f>IF(AND(AI109=1,AJ109=0,AsOfUTC&gt;Q109),1,0)</f>
        <v/>
      </c>
      <c r="AL109" s="67">
        <f>IF(AND(AI109=1,OR(TRIM(U109)="Fail",AB109="Open",AND(ISNUMBER(AF109),AF109&lt;&gt;0,TRIM(U109)&lt;&gt;"Pass after CA"))),1,0)</f>
        <v/>
      </c>
      <c r="AM109" s="67">
        <f>IF(LEFT(AH109,7)="INVALID",1,0)</f>
        <v/>
      </c>
      <c r="AN109" s="67">
        <f>IF(AND(N109="Clarification required",AI109=1,AJ109=0),1,0)</f>
        <v/>
      </c>
      <c r="AO109" s="67">
        <f>IF(AK109=1,SUM(AK$5:AK109),"")</f>
        <v/>
      </c>
      <c r="AP109" s="67">
        <f>IF(AL109=1,SUM(AL$5:AL109),"")</f>
        <v/>
      </c>
      <c r="AQ109" s="67" t="n">
        <v>0</v>
      </c>
      <c r="AR109" s="67" t="n">
        <v>0</v>
      </c>
      <c r="AS109" s="67" t="n">
        <v>0</v>
      </c>
      <c r="AT109" s="67" t="n">
        <v>1</v>
      </c>
    </row>
    <row r="110" ht="41.5" customHeight="1">
      <c r="A110" s="63" t="inlineStr">
        <is>
          <t>F04-T12-11</t>
        </is>
      </c>
      <c r="B110" s="63" t="inlineStr">
        <is>
          <t>F04</t>
        </is>
      </c>
      <c r="C110" s="63">
        <f>Flights!$F$8</f>
        <v/>
      </c>
      <c r="D110" s="64">
        <f>Flights!$D$8</f>
        <v/>
      </c>
      <c r="E110" s="63">
        <f>Flights!$G$8&amp;"-"&amp;Flights!$H$8</f>
        <v/>
      </c>
      <c r="F110" s="63">
        <f>Flights!$K$8</f>
        <v/>
      </c>
      <c r="G110" s="63" t="inlineStr">
        <is>
          <t>T-12H PREP</t>
        </is>
      </c>
      <c r="H110" s="63" t="inlineStr">
        <is>
          <t>Preparation</t>
        </is>
      </c>
      <c r="I110" s="63" t="inlineStr">
        <is>
          <t>F&amp;B Linen</t>
        </is>
      </c>
      <c r="J110" s="63" t="inlineStr">
        <is>
          <t>Tray cloth - prepared</t>
        </is>
      </c>
      <c r="K110" s="73" t="inlineStr">
        <is>
          <t>Available (ticked in reference)</t>
        </is>
      </c>
      <c r="L110" s="73" t="inlineStr">
        <is>
          <t>STD UPLIFT INFORMATION.xlsx &gt; F&amp;B LINEN!E14</t>
        </is>
      </c>
      <c r="M110" s="73" t="inlineStr">
        <is>
          <t>Not stated in reference</t>
        </is>
      </c>
      <c r="N110" s="73" t="inlineStr">
        <is>
          <t>Required</t>
        </is>
      </c>
      <c r="O110" s="73" t="inlineStr">
        <is>
          <t>Reference gives no uplift stn for this item: preparation checked at the meal uplift stn (KUL) - confirm with caterer.</t>
        </is>
      </c>
      <c r="P110" s="63" t="inlineStr">
        <is>
          <t>KUL</t>
        </is>
      </c>
      <c r="Q110" s="65">
        <f>Flights!$AE$8</f>
        <v/>
      </c>
      <c r="R110" s="65">
        <f>Q110+(IF(AND(INDEX(TZ_DSTS,MATCH(P110,TZ_STN,0))&lt;&gt;"",Q110&gt;=INDEX(TZ_DSTS,MATCH(P110,TZ_STN,0)),Q110&lt;INDEX(TZ_DSTE,MATCH(P110,TZ_STN,0))),INDEX(TZ_DST,MATCH(P110,TZ_STN,0)),INDEX(TZ_STD,MATCH(P110,TZ_STN,0))))/24</f>
        <v/>
      </c>
      <c r="S110" s="65">
        <f>Q110-T12EarlyH/24</f>
        <v/>
      </c>
      <c r="T110" s="66" t="n"/>
      <c r="U110" s="66" t="n"/>
      <c r="V110" s="66" t="n"/>
      <c r="W110" s="67" t="n"/>
      <c r="X110" s="66" t="n"/>
      <c r="Y110" s="66" t="n"/>
      <c r="Z110" s="66" t="n"/>
      <c r="AA110" s="66" t="n"/>
      <c r="AB110" s="66" t="n"/>
      <c r="AC110" s="66" t="n"/>
      <c r="AD110" s="72" t="n"/>
      <c r="AE110" s="66" t="n"/>
      <c r="AF110" s="67">
        <f>IF(AND(ISNUMBER(X110),ISNUMBER(Y110)),Y110-X110,"")</f>
        <v/>
      </c>
      <c r="AG110" s="68">
        <f>IF(ISNUMBER(AD110),AD110-(IF(AND(INDEX(TZ_DSTS,MATCH(P110,TZ_STN,0))&lt;&gt;"",(AD110-INDEX(TZ_STD,MATCH(P110,TZ_STN,0))/24)&gt;=INDEX(TZ_DSTS,MATCH(P110,TZ_STN,0)),(AD110-INDEX(TZ_STD,MATCH(P110,TZ_STN,0))/24)&lt;INDEX(TZ_DSTE,MATCH(P110,TZ_STN,0))),INDEX(TZ_DST,MATCH(P110,TZ_STN,0)),INDEX(TZ_STD,MATCH(P110,TZ_STN,0))))/24,"")</f>
        <v/>
      </c>
      <c r="AH110" s="71">
        <f>IF(N110="N/A – rule","N/A – RULE",IF(TRIM(U110)="N/A",IF(AT110=0,"INVALID – N/A not permitted for this mandatory check",IF(AND(TRIM(AC110)&lt;&gt;"",TRIM(AE110)&lt;&gt;"",TRIM(T110)&lt;&gt;""),"N/A – JUSTIFIED","INVALID – N/A needs justification, PIC and verifier")),IF(OR(TRIM(U110)="Pass",TRIM(U110)="Pass after CA"),IF(NOT(ISNUMBER(AD110)),"INVALID – completion time missing",IF(TRIM(T110)="","INVALID – PIC missing",IF(TRIM(Z110)="","INVALID – evidence missing",IF(TRIM(AE110)="","INVALID – verifier missing",IF(AND(AQ110=1,TRIM(W110)=""),"INVALID – batch ID missing",IF(AND(AR110=1,OR(NOT(ISNUMBER(X110)),NOT(ISNUMBER(Y110)))),"INVALID – expected/actual qty missing",IF(IF(AND(TRIM(U110)="Pass",ISNUMBER(AF110)),IF(AF110&lt;&gt;0,"INVALID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recorded/closed","")&lt;&gt;"",IF(AND(TRIM(U110)="Pass",ISNUMBER(AF110)),IF(AF110&lt;&gt;0,"INVALID – qty variance: use Fail or Pass after CA",""),"")&amp;IF(AND(TRIM(U110)="Pass",AB110="Open"),"INVALID – corrective action still open: use Fail, then Pass after CA","")&amp;IF(AND(TRIM(U110)="Pass after CA",OR(TRIM(AA110)="",AB110&lt;&gt;"Closed")),"INVALID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window"),IF(AG110&gt;Flights!$AA$8,"INVALID – completed after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f>
        <v/>
      </c>
      <c r="AI110" s="67">
        <f>IF(OR(AH110="N/A – RULE",AH110="N/A – JUSTIFIED"),0,1)</f>
        <v/>
      </c>
      <c r="AJ110" s="67">
        <f>IF(LEFT(AH110,8)="COMPLETE",1,0)</f>
        <v/>
      </c>
      <c r="AK110" s="67">
        <f>IF(AND(AI110=1,AJ110=0,AsOfUTC&gt;Q110),1,0)</f>
        <v/>
      </c>
      <c r="AL110" s="67">
        <f>IF(AND(AI110=1,OR(TRIM(U110)="Fail",AB110="Open",AND(ISNUMBER(AF110),AF110&lt;&gt;0,TRIM(U110)&lt;&gt;"Pass after CA"))),1,0)</f>
        <v/>
      </c>
      <c r="AM110" s="67">
        <f>IF(LEFT(AH110,7)="INVALID",1,0)</f>
        <v/>
      </c>
      <c r="AN110" s="67">
        <f>IF(AND(N110="Clarification required",AI110=1,AJ110=0),1,0)</f>
        <v/>
      </c>
      <c r="AO110" s="67">
        <f>IF(AK110=1,SUM(AK$5:AK110),"")</f>
        <v/>
      </c>
      <c r="AP110" s="67">
        <f>IF(AL110=1,SUM(AL$5:AL110),"")</f>
        <v/>
      </c>
      <c r="AQ110" s="67" t="n">
        <v>0</v>
      </c>
      <c r="AR110" s="67" t="n">
        <v>0</v>
      </c>
      <c r="AS110" s="67" t="n">
        <v>0</v>
      </c>
      <c r="AT110" s="67" t="n">
        <v>1</v>
      </c>
    </row>
    <row r="111" ht="41.5" customHeight="1">
      <c r="A111" s="63" t="inlineStr">
        <is>
          <t>F04-T12-12</t>
        </is>
      </c>
      <c r="B111" s="63" t="inlineStr">
        <is>
          <t>F04</t>
        </is>
      </c>
      <c r="C111" s="63">
        <f>Flights!$F$8</f>
        <v/>
      </c>
      <c r="D111" s="64">
        <f>Flights!$D$8</f>
        <v/>
      </c>
      <c r="E111" s="63">
        <f>Flights!$G$8&amp;"-"&amp;Flights!$H$8</f>
        <v/>
      </c>
      <c r="F111" s="63">
        <f>Flights!$K$8</f>
        <v/>
      </c>
      <c r="G111" s="63" t="inlineStr">
        <is>
          <t>T-12H PREP</t>
        </is>
      </c>
      <c r="H111" s="63" t="inlineStr">
        <is>
          <t>Preparation</t>
        </is>
      </c>
      <c r="I111" s="63" t="inlineStr">
        <is>
          <t>F&amp;B Linen</t>
        </is>
      </c>
      <c r="J111" s="63" t="inlineStr">
        <is>
          <t>Napkin - prepared</t>
        </is>
      </c>
      <c r="K111" s="73" t="inlineStr">
        <is>
          <t>Available (ticked in reference)</t>
        </is>
      </c>
      <c r="L111" s="73" t="inlineStr">
        <is>
          <t>STD UPLIFT INFORMATION.xlsx &gt; F&amp;B LINEN!F14</t>
        </is>
      </c>
      <c r="M111" s="73" t="inlineStr">
        <is>
          <t>Not stated in reference</t>
        </is>
      </c>
      <c r="N111" s="73" t="inlineStr">
        <is>
          <t>Required</t>
        </is>
      </c>
      <c r="O111" s="73" t="inlineStr">
        <is>
          <t>Reference gives no uplift stn for this item: preparation checked at the meal uplift stn (KUL) - confirm with caterer.</t>
        </is>
      </c>
      <c r="P111" s="63" t="inlineStr">
        <is>
          <t>KUL</t>
        </is>
      </c>
      <c r="Q111" s="65">
        <f>Flights!$AE$8</f>
        <v/>
      </c>
      <c r="R111" s="65">
        <f>Q111+(IF(AND(INDEX(TZ_DSTS,MATCH(P111,TZ_STN,0))&lt;&gt;"",Q111&gt;=INDEX(TZ_DSTS,MATCH(P111,TZ_STN,0)),Q111&lt;INDEX(TZ_DSTE,MATCH(P111,TZ_STN,0))),INDEX(TZ_DST,MATCH(P111,TZ_STN,0)),INDEX(TZ_STD,MATCH(P111,TZ_STN,0))))/24</f>
        <v/>
      </c>
      <c r="S111" s="65">
        <f>Q111-T12EarlyH/24</f>
        <v/>
      </c>
      <c r="T111" s="66" t="n"/>
      <c r="U111" s="66" t="n"/>
      <c r="V111" s="66" t="n"/>
      <c r="W111" s="67" t="n"/>
      <c r="X111" s="66" t="n"/>
      <c r="Y111" s="66" t="n"/>
      <c r="Z111" s="66" t="n"/>
      <c r="AA111" s="66" t="n"/>
      <c r="AB111" s="66" t="n"/>
      <c r="AC111" s="66" t="n"/>
      <c r="AD111" s="72" t="n"/>
      <c r="AE111" s="66" t="n"/>
      <c r="AF111" s="67">
        <f>IF(AND(ISNUMBER(X111),ISNUMBER(Y111)),Y111-X111,"")</f>
        <v/>
      </c>
      <c r="AG111" s="68">
        <f>IF(ISNUMBER(AD111),AD111-(IF(AND(INDEX(TZ_DSTS,MATCH(P111,TZ_STN,0))&lt;&gt;"",(AD111-INDEX(TZ_STD,MATCH(P111,TZ_STN,0))/24)&gt;=INDEX(TZ_DSTS,MATCH(P111,TZ_STN,0)),(AD111-INDEX(TZ_STD,MATCH(P111,TZ_STN,0))/24)&lt;INDEX(TZ_DSTE,MATCH(P111,TZ_STN,0))),INDEX(TZ_DST,MATCH(P111,TZ_STN,0)),INDEX(TZ_STD,MATCH(P111,TZ_STN,0))))/24,"")</f>
        <v/>
      </c>
      <c r="AH111" s="71">
        <f>IF(N111="N/A – rule","N/A – RULE",IF(TRIM(U111)="N/A",IF(AT111=0,"INVALID – N/A not permitted for this mandatory check",IF(AND(TRIM(AC111)&lt;&gt;"",TRIM(AE111)&lt;&gt;"",TRIM(T111)&lt;&gt;""),"N/A – JUSTIFIED","INVALID – N/A needs justification, PIC and verifier")),IF(OR(TRIM(U111)="Pass",TRIM(U111)="Pass after CA"),IF(NOT(ISNUMBER(AD111)),"INVALID – completion time missing",IF(TRIM(T111)="","INVALID – PIC missing",IF(TRIM(Z111)="","INVALID – evidence missing",IF(TRIM(AE111)="","INVALID – verifier missing",IF(AND(AQ111=1,TRIM(W111)=""),"INVALID – batch ID missing",IF(AND(AR111=1,OR(NOT(ISNUMBER(X111)),NOT(ISNUMBER(Y111)))),"INVALID – expected/actual qty missing",IF(IF(AND(TRIM(U111)="Pass",ISNUMBER(AF111)),IF(AF111&lt;&gt;0,"INVALID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recorded/closed","")&lt;&gt;"",IF(AND(TRIM(U111)="Pass",ISNUMBER(AF111)),IF(AF111&lt;&gt;0,"INVALID – qty variance: use Fail or Pass after CA",""),"")&amp;IF(AND(TRIM(U111)="Pass",AB111="Open"),"INVALID – corrective action still open: use Fail, then Pass after CA","")&amp;IF(AND(TRIM(U111)="Pass after CA",OR(TRIM(AA111)="",AB111&lt;&gt;"Closed")),"INVALID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window"),IF(AG111&gt;Flights!$AA$8,"INVALID – completed after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f>
        <v/>
      </c>
      <c r="AI111" s="67">
        <f>IF(OR(AH111="N/A – RULE",AH111="N/A – JUSTIFIED"),0,1)</f>
        <v/>
      </c>
      <c r="AJ111" s="67">
        <f>IF(LEFT(AH111,8)="COMPLETE",1,0)</f>
        <v/>
      </c>
      <c r="AK111" s="67">
        <f>IF(AND(AI111=1,AJ111=0,AsOfUTC&gt;Q111),1,0)</f>
        <v/>
      </c>
      <c r="AL111" s="67">
        <f>IF(AND(AI111=1,OR(TRIM(U111)="Fail",AB111="Open",AND(ISNUMBER(AF111),AF111&lt;&gt;0,TRIM(U111)&lt;&gt;"Pass after CA"))),1,0)</f>
        <v/>
      </c>
      <c r="AM111" s="67">
        <f>IF(LEFT(AH111,7)="INVALID",1,0)</f>
        <v/>
      </c>
      <c r="AN111" s="67">
        <f>IF(AND(N111="Clarification required",AI111=1,AJ111=0),1,0)</f>
        <v/>
      </c>
      <c r="AO111" s="67">
        <f>IF(AK111=1,SUM(AK$5:AK111),"")</f>
        <v/>
      </c>
      <c r="AP111" s="67">
        <f>IF(AL111=1,SUM(AL$5:AL111),"")</f>
        <v/>
      </c>
      <c r="AQ111" s="67" t="n">
        <v>0</v>
      </c>
      <c r="AR111" s="67" t="n">
        <v>0</v>
      </c>
      <c r="AS111" s="67" t="n">
        <v>0</v>
      </c>
      <c r="AT111" s="67" t="n">
        <v>1</v>
      </c>
    </row>
    <row r="112" ht="41.5" customHeight="1">
      <c r="A112" s="63" t="inlineStr">
        <is>
          <t>F04-T12-13</t>
        </is>
      </c>
      <c r="B112" s="63" t="inlineStr">
        <is>
          <t>F04</t>
        </is>
      </c>
      <c r="C112" s="63">
        <f>Flights!$F$8</f>
        <v/>
      </c>
      <c r="D112" s="64">
        <f>Flights!$D$8</f>
        <v/>
      </c>
      <c r="E112" s="63">
        <f>Flights!$G$8&amp;"-"&amp;Flights!$H$8</f>
        <v/>
      </c>
      <c r="F112" s="63">
        <f>Flights!$K$8</f>
        <v/>
      </c>
      <c r="G112" s="63" t="inlineStr">
        <is>
          <t>T-12H PREP</t>
        </is>
      </c>
      <c r="H112" s="63" t="inlineStr">
        <is>
          <t>Preparation</t>
        </is>
      </c>
      <c r="I112" s="63" t="inlineStr">
        <is>
          <t>F&amp;B Linen</t>
        </is>
      </c>
      <c r="J112" s="63" t="inlineStr">
        <is>
          <t>Table cloth - prepared</t>
        </is>
      </c>
      <c r="K112" s="73" t="inlineStr">
        <is>
          <t>Available (ticked in reference)</t>
        </is>
      </c>
      <c r="L112" s="73" t="inlineStr">
        <is>
          <t>STD UPLIFT INFORMATION.xlsx &gt; F&amp;B LINEN!G14</t>
        </is>
      </c>
      <c r="M112" s="73" t="inlineStr">
        <is>
          <t>Not stated in reference</t>
        </is>
      </c>
      <c r="N112" s="73" t="inlineStr">
        <is>
          <t>Required</t>
        </is>
      </c>
      <c r="O112" s="73" t="inlineStr">
        <is>
          <t>Reference gives no uplift stn for this item: preparation checked at the meal uplift stn (KUL) - confirm with caterer.</t>
        </is>
      </c>
      <c r="P112" s="63" t="inlineStr">
        <is>
          <t>KUL</t>
        </is>
      </c>
      <c r="Q112" s="65">
        <f>Flights!$AE$8</f>
        <v/>
      </c>
      <c r="R112" s="65">
        <f>Q112+(IF(AND(INDEX(TZ_DSTS,MATCH(P112,TZ_STN,0))&lt;&gt;"",Q112&gt;=INDEX(TZ_DSTS,MATCH(P112,TZ_STN,0)),Q112&lt;INDEX(TZ_DSTE,MATCH(P112,TZ_STN,0))),INDEX(TZ_DST,MATCH(P112,TZ_STN,0)),INDEX(TZ_STD,MATCH(P112,TZ_STN,0))))/24</f>
        <v/>
      </c>
      <c r="S112" s="65">
        <f>Q112-T12EarlyH/24</f>
        <v/>
      </c>
      <c r="T112" s="66" t="n"/>
      <c r="U112" s="66" t="n"/>
      <c r="V112" s="66" t="n"/>
      <c r="W112" s="67" t="n"/>
      <c r="X112" s="66" t="n"/>
      <c r="Y112" s="66" t="n"/>
      <c r="Z112" s="66" t="n"/>
      <c r="AA112" s="66" t="n"/>
      <c r="AB112" s="66" t="n"/>
      <c r="AC112" s="66" t="n"/>
      <c r="AD112" s="72" t="n"/>
      <c r="AE112" s="66" t="n"/>
      <c r="AF112" s="67">
        <f>IF(AND(ISNUMBER(X112),ISNUMBER(Y112)),Y112-X112,"")</f>
        <v/>
      </c>
      <c r="AG112" s="68">
        <f>IF(ISNUMBER(AD112),AD112-(IF(AND(INDEX(TZ_DSTS,MATCH(P112,TZ_STN,0))&lt;&gt;"",(AD112-INDEX(TZ_STD,MATCH(P112,TZ_STN,0))/24)&gt;=INDEX(TZ_DSTS,MATCH(P112,TZ_STN,0)),(AD112-INDEX(TZ_STD,MATCH(P112,TZ_STN,0))/24)&lt;INDEX(TZ_DSTE,MATCH(P112,TZ_STN,0))),INDEX(TZ_DST,MATCH(P112,TZ_STN,0)),INDEX(TZ_STD,MATCH(P112,TZ_STN,0))))/24,"")</f>
        <v/>
      </c>
      <c r="AH112" s="71">
        <f>IF(N112="N/A – rule","N/A – RULE",IF(TRIM(U112)="N/A",IF(AT112=0,"INVALID – N/A not permitted for this mandatory check",IF(AND(TRIM(AC112)&lt;&gt;"",TRIM(AE112)&lt;&gt;"",TRIM(T112)&lt;&gt;""),"N/A – JUSTIFIED","INVALID – N/A needs justification, PIC and verifier")),IF(OR(TRIM(U112)="Pass",TRIM(U112)="Pass after CA"),IF(NOT(ISNUMBER(AD112)),"INVALID – completion time missing",IF(TRIM(T112)="","INVALID – PIC missing",IF(TRIM(Z112)="","INVALID – evidence missing",IF(TRIM(AE112)="","INVALID – verifier missing",IF(AND(AQ112=1,TRIM(W112)=""),"INVALID – batch ID missing",IF(AND(AR112=1,OR(NOT(ISNUMBER(X112)),NOT(ISNUMBER(Y112)))),"INVALID – expected/actual qty missing",IF(IF(AND(TRIM(U112)="Pass",ISNUMBER(AF112)),IF(AF112&lt;&gt;0,"INVALID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recorded/closed","")&lt;&gt;"",IF(AND(TRIM(U112)="Pass",ISNUMBER(AF112)),IF(AF112&lt;&gt;0,"INVALID – qty variance: use Fail or Pass after CA",""),"")&amp;IF(AND(TRIM(U112)="Pass",AB112="Open"),"INVALID – corrective action still open: use Fail, then Pass after CA","")&amp;IF(AND(TRIM(U112)="Pass after CA",OR(TRIM(AA112)="",AB112&lt;&gt;"Closed")),"INVALID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window"),IF(AG112&gt;Flights!$AA$8,"INVALID – completed after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f>
        <v/>
      </c>
      <c r="AI112" s="67">
        <f>IF(OR(AH112="N/A – RULE",AH112="N/A – JUSTIFIED"),0,1)</f>
        <v/>
      </c>
      <c r="AJ112" s="67">
        <f>IF(LEFT(AH112,8)="COMPLETE",1,0)</f>
        <v/>
      </c>
      <c r="AK112" s="67">
        <f>IF(AND(AI112=1,AJ112=0,AsOfUTC&gt;Q112),1,0)</f>
        <v/>
      </c>
      <c r="AL112" s="67">
        <f>IF(AND(AI112=1,OR(TRIM(U112)="Fail",AB112="Open",AND(ISNUMBER(AF112),AF112&lt;&gt;0,TRIM(U112)&lt;&gt;"Pass after CA"))),1,0)</f>
        <v/>
      </c>
      <c r="AM112" s="67">
        <f>IF(LEFT(AH112,7)="INVALID",1,0)</f>
        <v/>
      </c>
      <c r="AN112" s="67">
        <f>IF(AND(N112="Clarification required",AI112=1,AJ112=0),1,0)</f>
        <v/>
      </c>
      <c r="AO112" s="67">
        <f>IF(AK112=1,SUM(AK$5:AK112),"")</f>
        <v/>
      </c>
      <c r="AP112" s="67">
        <f>IF(AL112=1,SUM(AL$5:AL112),"")</f>
        <v/>
      </c>
      <c r="AQ112" s="67" t="n">
        <v>0</v>
      </c>
      <c r="AR112" s="67" t="n">
        <v>0</v>
      </c>
      <c r="AS112" s="67" t="n">
        <v>0</v>
      </c>
      <c r="AT112" s="67" t="n">
        <v>1</v>
      </c>
    </row>
    <row r="113" ht="41.5" customHeight="1">
      <c r="A113" s="63" t="inlineStr">
        <is>
          <t>F04-T12-14</t>
        </is>
      </c>
      <c r="B113" s="63" t="inlineStr">
        <is>
          <t>F04</t>
        </is>
      </c>
      <c r="C113" s="63">
        <f>Flights!$F$8</f>
        <v/>
      </c>
      <c r="D113" s="64">
        <f>Flights!$D$8</f>
        <v/>
      </c>
      <c r="E113" s="63">
        <f>Flights!$G$8&amp;"-"&amp;Flights!$H$8</f>
        <v/>
      </c>
      <c r="F113" s="63">
        <f>Flights!$K$8</f>
        <v/>
      </c>
      <c r="G113" s="63" t="inlineStr">
        <is>
          <t>T-12H PREP</t>
        </is>
      </c>
      <c r="H113" s="63" t="inlineStr">
        <is>
          <t>Preparation</t>
        </is>
      </c>
      <c r="I113" s="63" t="inlineStr">
        <is>
          <t>F&amp;B Linen</t>
        </is>
      </c>
      <c r="J113" s="63" t="inlineStr">
        <is>
          <t>Bread linen (using table cloth) - prepared</t>
        </is>
      </c>
      <c r="K113" s="73" t="inlineStr">
        <is>
          <t>Available (ticked in reference)</t>
        </is>
      </c>
      <c r="L113" s="73" t="inlineStr">
        <is>
          <t>STD UPLIFT INFORMATION.xlsx &gt; F&amp;B LINEN!H14</t>
        </is>
      </c>
      <c r="M113" s="73" t="inlineStr">
        <is>
          <t>Not stated in reference</t>
        </is>
      </c>
      <c r="N113" s="73" t="inlineStr">
        <is>
          <t>Required</t>
        </is>
      </c>
      <c r="O113" s="73" t="inlineStr">
        <is>
          <t>Reference gives no uplift stn for this item: preparation checked at the meal uplift stn (KUL) - confirm with caterer.</t>
        </is>
      </c>
      <c r="P113" s="63" t="inlineStr">
        <is>
          <t>KUL</t>
        </is>
      </c>
      <c r="Q113" s="65">
        <f>Flights!$AE$8</f>
        <v/>
      </c>
      <c r="R113" s="65">
        <f>Q113+(IF(AND(INDEX(TZ_DSTS,MATCH(P113,TZ_STN,0))&lt;&gt;"",Q113&gt;=INDEX(TZ_DSTS,MATCH(P113,TZ_STN,0)),Q113&lt;INDEX(TZ_DSTE,MATCH(P113,TZ_STN,0))),INDEX(TZ_DST,MATCH(P113,TZ_STN,0)),INDEX(TZ_STD,MATCH(P113,TZ_STN,0))))/24</f>
        <v/>
      </c>
      <c r="S113" s="65">
        <f>Q113-T12EarlyH/24</f>
        <v/>
      </c>
      <c r="T113" s="66" t="n"/>
      <c r="U113" s="66" t="n"/>
      <c r="V113" s="66" t="n"/>
      <c r="W113" s="67" t="n"/>
      <c r="X113" s="66" t="n"/>
      <c r="Y113" s="66" t="n"/>
      <c r="Z113" s="66" t="n"/>
      <c r="AA113" s="66" t="n"/>
      <c r="AB113" s="66" t="n"/>
      <c r="AC113" s="66" t="n"/>
      <c r="AD113" s="72" t="n"/>
      <c r="AE113" s="66" t="n"/>
      <c r="AF113" s="67">
        <f>IF(AND(ISNUMBER(X113),ISNUMBER(Y113)),Y113-X113,"")</f>
        <v/>
      </c>
      <c r="AG113" s="68">
        <f>IF(ISNUMBER(AD113),AD113-(IF(AND(INDEX(TZ_DSTS,MATCH(P113,TZ_STN,0))&lt;&gt;"",(AD113-INDEX(TZ_STD,MATCH(P113,TZ_STN,0))/24)&gt;=INDEX(TZ_DSTS,MATCH(P113,TZ_STN,0)),(AD113-INDEX(TZ_STD,MATCH(P113,TZ_STN,0))/24)&lt;INDEX(TZ_DSTE,MATCH(P113,TZ_STN,0))),INDEX(TZ_DST,MATCH(P113,TZ_STN,0)),INDEX(TZ_STD,MATCH(P113,TZ_STN,0))))/24,"")</f>
        <v/>
      </c>
      <c r="AH113" s="71">
        <f>IF(N113="N/A – rule","N/A – RULE",IF(TRIM(U113)="N/A",IF(AT113=0,"INVALID – N/A not permitted for this mandatory check",IF(AND(TRIM(AC113)&lt;&gt;"",TRIM(AE113)&lt;&gt;"",TRIM(T113)&lt;&gt;""),"N/A – JUSTIFIED","INVALID – N/A needs justification, PIC and verifier")),IF(OR(TRIM(U113)="Pass",TRIM(U113)="Pass after CA"),IF(NOT(ISNUMBER(AD113)),"INVALID – completion time missing",IF(TRIM(T113)="","INVALID – PIC missing",IF(TRIM(Z113)="","INVALID – evidence missing",IF(TRIM(AE113)="","INVALID – verifier missing",IF(AND(AQ113=1,TRIM(W113)=""),"INVALID – batch ID missing",IF(AND(AR113=1,OR(NOT(ISNUMBER(X113)),NOT(ISNUMBER(Y113)))),"INVALID – expected/actual qty missing",IF(IF(AND(TRIM(U113)="Pass",ISNUMBER(AF113)),IF(AF113&lt;&gt;0,"INVALID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recorded/closed","")&lt;&gt;"",IF(AND(TRIM(U113)="Pass",ISNUMBER(AF113)),IF(AF113&lt;&gt;0,"INVALID – qty variance: use Fail or Pass after CA",""),"")&amp;IF(AND(TRIM(U113)="Pass",AB113="Open"),"INVALID – corrective action still open: use Fail, then Pass after CA","")&amp;IF(AND(TRIM(U113)="Pass after CA",OR(TRIM(AA113)="",AB113&lt;&gt;"Closed")),"INVALID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window"),IF(AG113&gt;Flights!$AA$8,"INVALID – completed after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f>
        <v/>
      </c>
      <c r="AI113" s="67">
        <f>IF(OR(AH113="N/A – RULE",AH113="N/A – JUSTIFIED"),0,1)</f>
        <v/>
      </c>
      <c r="AJ113" s="67">
        <f>IF(LEFT(AH113,8)="COMPLETE",1,0)</f>
        <v/>
      </c>
      <c r="AK113" s="67">
        <f>IF(AND(AI113=1,AJ113=0,AsOfUTC&gt;Q113),1,0)</f>
        <v/>
      </c>
      <c r="AL113" s="67">
        <f>IF(AND(AI113=1,OR(TRIM(U113)="Fail",AB113="Open",AND(ISNUMBER(AF113),AF113&lt;&gt;0,TRIM(U113)&lt;&gt;"Pass after CA"))),1,0)</f>
        <v/>
      </c>
      <c r="AM113" s="67">
        <f>IF(LEFT(AH113,7)="INVALID",1,0)</f>
        <v/>
      </c>
      <c r="AN113" s="67">
        <f>IF(AND(N113="Clarification required",AI113=1,AJ113=0),1,0)</f>
        <v/>
      </c>
      <c r="AO113" s="67">
        <f>IF(AK113=1,SUM(AK$5:AK113),"")</f>
        <v/>
      </c>
      <c r="AP113" s="67">
        <f>IF(AL113=1,SUM(AL$5:AL113),"")</f>
        <v/>
      </c>
      <c r="AQ113" s="67" t="n">
        <v>0</v>
      </c>
      <c r="AR113" s="67" t="n">
        <v>0</v>
      </c>
      <c r="AS113" s="67" t="n">
        <v>0</v>
      </c>
      <c r="AT113" s="67" t="n">
        <v>1</v>
      </c>
    </row>
    <row r="114" ht="54" customHeight="1">
      <c r="A114" s="63" t="inlineStr">
        <is>
          <t>F04-T12-15</t>
        </is>
      </c>
      <c r="B114" s="63" t="inlineStr">
        <is>
          <t>F04</t>
        </is>
      </c>
      <c r="C114" s="63">
        <f>Flights!$F$8</f>
        <v/>
      </c>
      <c r="D114" s="64">
        <f>Flights!$D$8</f>
        <v/>
      </c>
      <c r="E114" s="63">
        <f>Flights!$G$8&amp;"-"&amp;Flights!$H$8</f>
        <v/>
      </c>
      <c r="F114" s="63">
        <f>Flights!$K$8</f>
        <v/>
      </c>
      <c r="G114" s="63" t="inlineStr">
        <is>
          <t>T-12H PREP</t>
        </is>
      </c>
      <c r="H114" s="63" t="inlineStr">
        <is>
          <t>Preparation</t>
        </is>
      </c>
      <c r="I114" s="63" t="inlineStr">
        <is>
          <t>F&amp;B Linen</t>
        </is>
      </c>
      <c r="J114" s="63" t="inlineStr">
        <is>
          <t>Trolley cloth - prepared</t>
        </is>
      </c>
      <c r="K114" s="73" t="inlineStr">
        <is>
          <t>Wide body: Top/Middle &amp; Bottom</t>
        </is>
      </c>
      <c r="L114" s="73" t="inlineStr">
        <is>
          <t>STD UPLIFT INFORMATION.xlsx &gt; F&amp;B LINEN!I14</t>
        </is>
      </c>
      <c r="M114" s="73" t="inlineStr">
        <is>
          <t>Not stated in reference</t>
        </is>
      </c>
      <c r="N114" s="73" t="inlineStr">
        <is>
          <t>Required</t>
        </is>
      </c>
      <c r="O114" s="73" t="inlineStr">
        <is>
          <t>Per note F&amp;B LINEN!B79:C80. Reference gives no uplift stn for this item: preparation checked at the meal uplift stn (KUL) - confirm with caterer.</t>
        </is>
      </c>
      <c r="P114" s="63" t="inlineStr">
        <is>
          <t>KUL</t>
        </is>
      </c>
      <c r="Q114" s="65">
        <f>Flights!$AE$8</f>
        <v/>
      </c>
      <c r="R114" s="65">
        <f>Q114+(IF(AND(INDEX(TZ_DSTS,MATCH(P114,TZ_STN,0))&lt;&gt;"",Q114&gt;=INDEX(TZ_DSTS,MATCH(P114,TZ_STN,0)),Q114&lt;INDEX(TZ_DSTE,MATCH(P114,TZ_STN,0))),INDEX(TZ_DST,MATCH(P114,TZ_STN,0)),INDEX(TZ_STD,MATCH(P114,TZ_STN,0))))/24</f>
        <v/>
      </c>
      <c r="S114" s="65">
        <f>Q114-T12EarlyH/24</f>
        <v/>
      </c>
      <c r="T114" s="66" t="n"/>
      <c r="U114" s="66" t="n"/>
      <c r="V114" s="66" t="n"/>
      <c r="W114" s="67" t="n"/>
      <c r="X114" s="66" t="n"/>
      <c r="Y114" s="66" t="n"/>
      <c r="Z114" s="66" t="n"/>
      <c r="AA114" s="66" t="n"/>
      <c r="AB114" s="66" t="n"/>
      <c r="AC114" s="66" t="n"/>
      <c r="AD114" s="72" t="n"/>
      <c r="AE114" s="66" t="n"/>
      <c r="AF114" s="67">
        <f>IF(AND(ISNUMBER(X114),ISNUMBER(Y114)),Y114-X114,"")</f>
        <v/>
      </c>
      <c r="AG114" s="68">
        <f>IF(ISNUMBER(AD114),AD114-(IF(AND(INDEX(TZ_DSTS,MATCH(P114,TZ_STN,0))&lt;&gt;"",(AD114-INDEX(TZ_STD,MATCH(P114,TZ_STN,0))/24)&gt;=INDEX(TZ_DSTS,MATCH(P114,TZ_STN,0)),(AD114-INDEX(TZ_STD,MATCH(P114,TZ_STN,0))/24)&lt;INDEX(TZ_DSTE,MATCH(P114,TZ_STN,0))),INDEX(TZ_DST,MATCH(P114,TZ_STN,0)),INDEX(TZ_STD,MATCH(P114,TZ_STN,0))))/24,"")</f>
        <v/>
      </c>
      <c r="AH114" s="71">
        <f>IF(N114="N/A – rule","N/A – RULE",IF(TRIM(U114)="N/A",IF(AT114=0,"INVALID – N/A not permitted for this mandatory check",IF(AND(TRIM(AC114)&lt;&gt;"",TRIM(AE114)&lt;&gt;"",TRIM(T114)&lt;&gt;""),"N/A – JUSTIFIED","INVALID – N/A needs justification, PIC and verifier")),IF(OR(TRIM(U114)="Pass",TRIM(U114)="Pass after CA"),IF(NOT(ISNUMBER(AD114)),"INVALID – completion time missing",IF(TRIM(T114)="","INVALID – PIC missing",IF(TRIM(Z114)="","INVALID – evidence missing",IF(TRIM(AE114)="","INVALID – verifier missing",IF(AND(AQ114=1,TRIM(W114)=""),"INVALID – batch ID missing",IF(AND(AR114=1,OR(NOT(ISNUMBER(X114)),NOT(ISNUMBER(Y114)))),"INVALID – expected/actual qty missing",IF(IF(AND(TRIM(U114)="Pass",ISNUMBER(AF114)),IF(AF114&lt;&gt;0,"INVALID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recorded/closed","")&lt;&gt;"",IF(AND(TRIM(U114)="Pass",ISNUMBER(AF114)),IF(AF114&lt;&gt;0,"INVALID – qty variance: use Fail or Pass after CA",""),"")&amp;IF(AND(TRIM(U114)="Pass",AB114="Open"),"INVALID – corrective action still open: use Fail, then Pass after CA","")&amp;IF(AND(TRIM(U114)="Pass after CA",OR(TRIM(AA114)="",AB114&lt;&gt;"Closed")),"INVALID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window"),IF(AG114&gt;Flights!$AA$8,"INVALID – completed after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f>
        <v/>
      </c>
      <c r="AI114" s="67">
        <f>IF(OR(AH114="N/A – RULE",AH114="N/A – JUSTIFIED"),0,1)</f>
        <v/>
      </c>
      <c r="AJ114" s="67">
        <f>IF(LEFT(AH114,8)="COMPLETE",1,0)</f>
        <v/>
      </c>
      <c r="AK114" s="67">
        <f>IF(AND(AI114=1,AJ114=0,AsOfUTC&gt;Q114),1,0)</f>
        <v/>
      </c>
      <c r="AL114" s="67">
        <f>IF(AND(AI114=1,OR(TRIM(U114)="Fail",AB114="Open",AND(ISNUMBER(AF114),AF114&lt;&gt;0,TRIM(U114)&lt;&gt;"Pass after CA"))),1,0)</f>
        <v/>
      </c>
      <c r="AM114" s="67">
        <f>IF(LEFT(AH114,7)="INVALID",1,0)</f>
        <v/>
      </c>
      <c r="AN114" s="67">
        <f>IF(AND(N114="Clarification required",AI114=1,AJ114=0),1,0)</f>
        <v/>
      </c>
      <c r="AO114" s="67">
        <f>IF(AK114=1,SUM(AK$5:AK114),"")</f>
        <v/>
      </c>
      <c r="AP114" s="67">
        <f>IF(AL114=1,SUM(AL$5:AL114),"")</f>
        <v/>
      </c>
      <c r="AQ114" s="67" t="n">
        <v>0</v>
      </c>
      <c r="AR114" s="67" t="n">
        <v>0</v>
      </c>
      <c r="AS114" s="67" t="n">
        <v>0</v>
      </c>
      <c r="AT114" s="67" t="n">
        <v>1</v>
      </c>
    </row>
    <row r="115" ht="41.5" customHeight="1">
      <c r="A115" s="63" t="inlineStr">
        <is>
          <t>F04-T12-16</t>
        </is>
      </c>
      <c r="B115" s="63" t="inlineStr">
        <is>
          <t>F04</t>
        </is>
      </c>
      <c r="C115" s="63">
        <f>Flights!$F$8</f>
        <v/>
      </c>
      <c r="D115" s="64">
        <f>Flights!$D$8</f>
        <v/>
      </c>
      <c r="E115" s="63">
        <f>Flights!$G$8&amp;"-"&amp;Flights!$H$8</f>
        <v/>
      </c>
      <c r="F115" s="63">
        <f>Flights!$K$8</f>
        <v/>
      </c>
      <c r="G115" s="63" t="inlineStr">
        <is>
          <t>T-12H PREP</t>
        </is>
      </c>
      <c r="H115" s="63" t="inlineStr">
        <is>
          <t>Preparation</t>
        </is>
      </c>
      <c r="I115" s="63" t="inlineStr">
        <is>
          <t>F&amp;B Linen</t>
        </is>
      </c>
      <c r="J115" s="63" t="inlineStr">
        <is>
          <t>Linen bag - prepared</t>
        </is>
      </c>
      <c r="K115" s="73" t="inlineStr">
        <is>
          <t>Available (ticked in reference)</t>
        </is>
      </c>
      <c r="L115" s="73" t="inlineStr">
        <is>
          <t>STD UPLIFT INFORMATION.xlsx &gt; F&amp;B LINEN!J14</t>
        </is>
      </c>
      <c r="M115" s="73" t="inlineStr">
        <is>
          <t>Not stated in reference</t>
        </is>
      </c>
      <c r="N115" s="73" t="inlineStr">
        <is>
          <t>Required</t>
        </is>
      </c>
      <c r="O115" s="73" t="inlineStr">
        <is>
          <t>Reference gives no uplift stn for this item: preparation checked at the meal uplift stn (KUL) - confirm with caterer.</t>
        </is>
      </c>
      <c r="P115" s="63" t="inlineStr">
        <is>
          <t>KUL</t>
        </is>
      </c>
      <c r="Q115" s="65">
        <f>Flights!$AE$8</f>
        <v/>
      </c>
      <c r="R115" s="65">
        <f>Q115+(IF(AND(INDEX(TZ_DSTS,MATCH(P115,TZ_STN,0))&lt;&gt;"",Q115&gt;=INDEX(TZ_DSTS,MATCH(P115,TZ_STN,0)),Q115&lt;INDEX(TZ_DSTE,MATCH(P115,TZ_STN,0))),INDEX(TZ_DST,MATCH(P115,TZ_STN,0)),INDEX(TZ_STD,MATCH(P115,TZ_STN,0))))/24</f>
        <v/>
      </c>
      <c r="S115" s="65">
        <f>Q115-T12EarlyH/24</f>
        <v/>
      </c>
      <c r="T115" s="66" t="n"/>
      <c r="U115" s="66" t="n"/>
      <c r="V115" s="66" t="n"/>
      <c r="W115" s="67" t="n"/>
      <c r="X115" s="66" t="n"/>
      <c r="Y115" s="66" t="n"/>
      <c r="Z115" s="66" t="n"/>
      <c r="AA115" s="66" t="n"/>
      <c r="AB115" s="66" t="n"/>
      <c r="AC115" s="66" t="n"/>
      <c r="AD115" s="72" t="n"/>
      <c r="AE115" s="66" t="n"/>
      <c r="AF115" s="67">
        <f>IF(AND(ISNUMBER(X115),ISNUMBER(Y115)),Y115-X115,"")</f>
        <v/>
      </c>
      <c r="AG115" s="68">
        <f>IF(ISNUMBER(AD115),AD115-(IF(AND(INDEX(TZ_DSTS,MATCH(P115,TZ_STN,0))&lt;&gt;"",(AD115-INDEX(TZ_STD,MATCH(P115,TZ_STN,0))/24)&gt;=INDEX(TZ_DSTS,MATCH(P115,TZ_STN,0)),(AD115-INDEX(TZ_STD,MATCH(P115,TZ_STN,0))/24)&lt;INDEX(TZ_DSTE,MATCH(P115,TZ_STN,0))),INDEX(TZ_DST,MATCH(P115,TZ_STN,0)),INDEX(TZ_STD,MATCH(P115,TZ_STN,0))))/24,"")</f>
        <v/>
      </c>
      <c r="AH115" s="71">
        <f>IF(N115="N/A – rule","N/A – RULE",IF(TRIM(U115)="N/A",IF(AT115=0,"INVALID – N/A not permitted for this mandatory check",IF(AND(TRIM(AC115)&lt;&gt;"",TRIM(AE115)&lt;&gt;"",TRIM(T115)&lt;&gt;""),"N/A – JUSTIFIED","INVALID – N/A needs justification, PIC and verifier")),IF(OR(TRIM(U115)="Pass",TRIM(U115)="Pass after CA"),IF(NOT(ISNUMBER(AD115)),"INVALID – completion time missing",IF(TRIM(T115)="","INVALID – PIC missing",IF(TRIM(Z115)="","INVALID – evidence missing",IF(TRIM(AE115)="","INVALID – verifier missing",IF(AND(AQ115=1,TRIM(W115)=""),"INVALID – batch ID missing",IF(AND(AR115=1,OR(NOT(ISNUMBER(X115)),NOT(ISNUMBER(Y115)))),"INVALID – expected/actual qty missing",IF(IF(AND(TRIM(U115)="Pass",ISNUMBER(AF115)),IF(AF115&lt;&gt;0,"INVALID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recorded/closed","")&lt;&gt;"",IF(AND(TRIM(U115)="Pass",ISNUMBER(AF115)),IF(AF115&lt;&gt;0,"INVALID – qty variance: use Fail or Pass after CA",""),"")&amp;IF(AND(TRIM(U115)="Pass",AB115="Open"),"INVALID – corrective action still open: use Fail, then Pass after CA","")&amp;IF(AND(TRIM(U115)="Pass after CA",OR(TRIM(AA115)="",AB115&lt;&gt;"Closed")),"INVALID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window"),IF(AG115&gt;Flights!$AA$8,"INVALID – completed after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f>
        <v/>
      </c>
      <c r="AI115" s="67">
        <f>IF(OR(AH115="N/A – RULE",AH115="N/A – JUSTIFIED"),0,1)</f>
        <v/>
      </c>
      <c r="AJ115" s="67">
        <f>IF(LEFT(AH115,8)="COMPLETE",1,0)</f>
        <v/>
      </c>
      <c r="AK115" s="67">
        <f>IF(AND(AI115=1,AJ115=0,AsOfUTC&gt;Q115),1,0)</f>
        <v/>
      </c>
      <c r="AL115" s="67">
        <f>IF(AND(AI115=1,OR(TRIM(U115)="Fail",AB115="Open",AND(ISNUMBER(AF115),AF115&lt;&gt;0,TRIM(U115)&lt;&gt;"Pass after CA"))),1,0)</f>
        <v/>
      </c>
      <c r="AM115" s="67">
        <f>IF(LEFT(AH115,7)="INVALID",1,0)</f>
        <v/>
      </c>
      <c r="AN115" s="67">
        <f>IF(AND(N115="Clarification required",AI115=1,AJ115=0),1,0)</f>
        <v/>
      </c>
      <c r="AO115" s="67">
        <f>IF(AK115=1,SUM(AK$5:AK115),"")</f>
        <v/>
      </c>
      <c r="AP115" s="67">
        <f>IF(AL115=1,SUM(AL$5:AL115),"")</f>
        <v/>
      </c>
      <c r="AQ115" s="67" t="n">
        <v>0</v>
      </c>
      <c r="AR115" s="67" t="n">
        <v>0</v>
      </c>
      <c r="AS115" s="67" t="n">
        <v>0</v>
      </c>
      <c r="AT115" s="67" t="n">
        <v>1</v>
      </c>
    </row>
    <row r="116" ht="41.5" customHeight="1">
      <c r="A116" s="63" t="inlineStr">
        <is>
          <t>F04-T12-17</t>
        </is>
      </c>
      <c r="B116" s="63" t="inlineStr">
        <is>
          <t>F04</t>
        </is>
      </c>
      <c r="C116" s="63">
        <f>Flights!$F$8</f>
        <v/>
      </c>
      <c r="D116" s="64">
        <f>Flights!$D$8</f>
        <v/>
      </c>
      <c r="E116" s="63">
        <f>Flights!$G$8&amp;"-"&amp;Flights!$H$8</f>
        <v/>
      </c>
      <c r="F116" s="63">
        <f>Flights!$K$8</f>
        <v/>
      </c>
      <c r="G116" s="63" t="inlineStr">
        <is>
          <t>T-12H PREP</t>
        </is>
      </c>
      <c r="H116" s="63" t="inlineStr">
        <is>
          <t>Preparation</t>
        </is>
      </c>
      <c r="I116" s="63" t="inlineStr">
        <is>
          <t>Seat Linen</t>
        </is>
      </c>
      <c r="J116" s="63" t="inlineStr">
        <is>
          <t>Seat pillow (BS &amp; BC) - prepared</t>
        </is>
      </c>
      <c r="K116" s="73" t="inlineStr">
        <is>
          <t>Available 100% (ticked in reference)</t>
        </is>
      </c>
      <c r="L116" s="73" t="inlineStr">
        <is>
          <t>STD UPLIFT INFORMATION.xlsx &gt; SEAT LINEN!E14</t>
        </is>
      </c>
      <c r="M116" s="73" t="inlineStr">
        <is>
          <t>Not stated in reference</t>
        </is>
      </c>
      <c r="N116" s="73" t="inlineStr">
        <is>
          <t>Required</t>
        </is>
      </c>
      <c r="O116" s="73" t="inlineStr">
        <is>
          <t>Reference gives no uplift stn for this item: preparation checked at the meal uplift stn (KUL) - confirm with caterer.</t>
        </is>
      </c>
      <c r="P116" s="63" t="inlineStr">
        <is>
          <t>KUL</t>
        </is>
      </c>
      <c r="Q116" s="65">
        <f>Flights!$AE$8</f>
        <v/>
      </c>
      <c r="R116" s="65">
        <f>Q116+(IF(AND(INDEX(TZ_DSTS,MATCH(P116,TZ_STN,0))&lt;&gt;"",Q116&gt;=INDEX(TZ_DSTS,MATCH(P116,TZ_STN,0)),Q116&lt;INDEX(TZ_DSTE,MATCH(P116,TZ_STN,0))),INDEX(TZ_DST,MATCH(P116,TZ_STN,0)),INDEX(TZ_STD,MATCH(P116,TZ_STN,0))))/24</f>
        <v/>
      </c>
      <c r="S116" s="65">
        <f>Q116-T12EarlyH/24</f>
        <v/>
      </c>
      <c r="T116" s="66" t="n"/>
      <c r="U116" s="66" t="n"/>
      <c r="V116" s="66" t="n"/>
      <c r="W116" s="67" t="n"/>
      <c r="X116" s="66" t="n"/>
      <c r="Y116" s="66" t="n"/>
      <c r="Z116" s="66" t="n"/>
      <c r="AA116" s="66" t="n"/>
      <c r="AB116" s="66" t="n"/>
      <c r="AC116" s="66" t="n"/>
      <c r="AD116" s="72" t="n"/>
      <c r="AE116" s="66" t="n"/>
      <c r="AF116" s="67">
        <f>IF(AND(ISNUMBER(X116),ISNUMBER(Y116)),Y116-X116,"")</f>
        <v/>
      </c>
      <c r="AG116" s="68">
        <f>IF(ISNUMBER(AD116),AD116-(IF(AND(INDEX(TZ_DSTS,MATCH(P116,TZ_STN,0))&lt;&gt;"",(AD116-INDEX(TZ_STD,MATCH(P116,TZ_STN,0))/24)&gt;=INDEX(TZ_DSTS,MATCH(P116,TZ_STN,0)),(AD116-INDEX(TZ_STD,MATCH(P116,TZ_STN,0))/24)&lt;INDEX(TZ_DSTE,MATCH(P116,TZ_STN,0))),INDEX(TZ_DST,MATCH(P116,TZ_STN,0)),INDEX(TZ_STD,MATCH(P116,TZ_STN,0))))/24,"")</f>
        <v/>
      </c>
      <c r="AH116" s="71">
        <f>IF(N116="N/A – rule","N/A – RULE",IF(TRIM(U116)="N/A",IF(AT116=0,"INVALID – N/A not permitted for this mandatory check",IF(AND(TRIM(AC116)&lt;&gt;"",TRIM(AE116)&lt;&gt;"",TRIM(T116)&lt;&gt;""),"N/A – JUSTIFIED","INVALID – N/A needs justification, PIC and verifier")),IF(OR(TRIM(U116)="Pass",TRIM(U116)="Pass after CA"),IF(NOT(ISNUMBER(AD116)),"INVALID – completion time missing",IF(TRIM(T116)="","INVALID – PIC missing",IF(TRIM(Z116)="","INVALID – evidence missing",IF(TRIM(AE116)="","INVALID – verifier missing",IF(AND(AQ116=1,TRIM(W116)=""),"INVALID – batch ID missing",IF(AND(AR116=1,OR(NOT(ISNUMBER(X116)),NOT(ISNUMBER(Y116)))),"INVALID – expected/actual qty missing",IF(IF(AND(TRIM(U116)="Pass",ISNUMBER(AF116)),IF(AF116&lt;&gt;0,"INVALID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recorded/closed","")&lt;&gt;"",IF(AND(TRIM(U116)="Pass",ISNUMBER(AF116)),IF(AF116&lt;&gt;0,"INVALID – qty variance: use Fail or Pass after CA",""),"")&amp;IF(AND(TRIM(U116)="Pass",AB116="Open"),"INVALID – corrective action still open: use Fail, then Pass after CA","")&amp;IF(AND(TRIM(U116)="Pass after CA",OR(TRIM(AA116)="",AB116&lt;&gt;"Closed")),"INVALID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window"),IF(AG116&gt;Flights!$AA$8,"INVALID – completed after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f>
        <v/>
      </c>
      <c r="AI116" s="67">
        <f>IF(OR(AH116="N/A – RULE",AH116="N/A – JUSTIFIED"),0,1)</f>
        <v/>
      </c>
      <c r="AJ116" s="67">
        <f>IF(LEFT(AH116,8)="COMPLETE",1,0)</f>
        <v/>
      </c>
      <c r="AK116" s="67">
        <f>IF(AND(AI116=1,AJ116=0,AsOfUTC&gt;Q116),1,0)</f>
        <v/>
      </c>
      <c r="AL116" s="67">
        <f>IF(AND(AI116=1,OR(TRIM(U116)="Fail",AB116="Open",AND(ISNUMBER(AF116),AF116&lt;&gt;0,TRIM(U116)&lt;&gt;"Pass after CA"))),1,0)</f>
        <v/>
      </c>
      <c r="AM116" s="67">
        <f>IF(LEFT(AH116,7)="INVALID",1,0)</f>
        <v/>
      </c>
      <c r="AN116" s="67">
        <f>IF(AND(N116="Clarification required",AI116=1,AJ116=0),1,0)</f>
        <v/>
      </c>
      <c r="AO116" s="67">
        <f>IF(AK116=1,SUM(AK$5:AK116),"")</f>
        <v/>
      </c>
      <c r="AP116" s="67">
        <f>IF(AL116=1,SUM(AL$5:AL116),"")</f>
        <v/>
      </c>
      <c r="AQ116" s="67" t="n">
        <v>0</v>
      </c>
      <c r="AR116" s="67" t="n">
        <v>0</v>
      </c>
      <c r="AS116" s="67" t="n">
        <v>0</v>
      </c>
      <c r="AT116" s="67" t="n">
        <v>1</v>
      </c>
    </row>
    <row r="117" ht="41.5" customHeight="1">
      <c r="A117" s="63" t="inlineStr">
        <is>
          <t>F04-T12-18</t>
        </is>
      </c>
      <c r="B117" s="63" t="inlineStr">
        <is>
          <t>F04</t>
        </is>
      </c>
      <c r="C117" s="63">
        <f>Flights!$F$8</f>
        <v/>
      </c>
      <c r="D117" s="64">
        <f>Flights!$D$8</f>
        <v/>
      </c>
      <c r="E117" s="63">
        <f>Flights!$G$8&amp;"-"&amp;Flights!$H$8</f>
        <v/>
      </c>
      <c r="F117" s="63">
        <f>Flights!$K$8</f>
        <v/>
      </c>
      <c r="G117" s="63" t="inlineStr">
        <is>
          <t>T-12H PREP</t>
        </is>
      </c>
      <c r="H117" s="63" t="inlineStr">
        <is>
          <t>Preparation</t>
        </is>
      </c>
      <c r="I117" s="63" t="inlineStr">
        <is>
          <t>Seat Linen</t>
        </is>
      </c>
      <c r="J117" s="63" t="inlineStr">
        <is>
          <t>Duvet (BS &amp; BC) - prepared</t>
        </is>
      </c>
      <c r="K117" s="73" t="inlineStr">
        <is>
          <t>Available 100% (ticked in reference)</t>
        </is>
      </c>
      <c r="L117" s="73" t="inlineStr">
        <is>
          <t>STD UPLIFT INFORMATION.xlsx &gt; SEAT LINEN!F14</t>
        </is>
      </c>
      <c r="M117" s="73" t="inlineStr">
        <is>
          <t>Not stated in reference</t>
        </is>
      </c>
      <c r="N117" s="73" t="inlineStr">
        <is>
          <t>Required</t>
        </is>
      </c>
      <c r="O117" s="73" t="inlineStr">
        <is>
          <t>Reference gives no uplift stn for this item: preparation checked at the meal uplift stn (KUL) - confirm with caterer.</t>
        </is>
      </c>
      <c r="P117" s="63" t="inlineStr">
        <is>
          <t>KUL</t>
        </is>
      </c>
      <c r="Q117" s="65">
        <f>Flights!$AE$8</f>
        <v/>
      </c>
      <c r="R117" s="65">
        <f>Q117+(IF(AND(INDEX(TZ_DSTS,MATCH(P117,TZ_STN,0))&lt;&gt;"",Q117&gt;=INDEX(TZ_DSTS,MATCH(P117,TZ_STN,0)),Q117&lt;INDEX(TZ_DSTE,MATCH(P117,TZ_STN,0))),INDEX(TZ_DST,MATCH(P117,TZ_STN,0)),INDEX(TZ_STD,MATCH(P117,TZ_STN,0))))/24</f>
        <v/>
      </c>
      <c r="S117" s="65">
        <f>Q117-T12EarlyH/24</f>
        <v/>
      </c>
      <c r="T117" s="66" t="n"/>
      <c r="U117" s="66" t="n"/>
      <c r="V117" s="66" t="n"/>
      <c r="W117" s="67" t="n"/>
      <c r="X117" s="66" t="n"/>
      <c r="Y117" s="66" t="n"/>
      <c r="Z117" s="66" t="n"/>
      <c r="AA117" s="66" t="n"/>
      <c r="AB117" s="66" t="n"/>
      <c r="AC117" s="66" t="n"/>
      <c r="AD117" s="72" t="n"/>
      <c r="AE117" s="66" t="n"/>
      <c r="AF117" s="67">
        <f>IF(AND(ISNUMBER(X117),ISNUMBER(Y117)),Y117-X117,"")</f>
        <v/>
      </c>
      <c r="AG117" s="68">
        <f>IF(ISNUMBER(AD117),AD117-(IF(AND(INDEX(TZ_DSTS,MATCH(P117,TZ_STN,0))&lt;&gt;"",(AD117-INDEX(TZ_STD,MATCH(P117,TZ_STN,0))/24)&gt;=INDEX(TZ_DSTS,MATCH(P117,TZ_STN,0)),(AD117-INDEX(TZ_STD,MATCH(P117,TZ_STN,0))/24)&lt;INDEX(TZ_DSTE,MATCH(P117,TZ_STN,0))),INDEX(TZ_DST,MATCH(P117,TZ_STN,0)),INDEX(TZ_STD,MATCH(P117,TZ_STN,0))))/24,"")</f>
        <v/>
      </c>
      <c r="AH117" s="71">
        <f>IF(N117="N/A – rule","N/A – RULE",IF(TRIM(U117)="N/A",IF(AT117=0,"INVALID – N/A not permitted for this mandatory check",IF(AND(TRIM(AC117)&lt;&gt;"",TRIM(AE117)&lt;&gt;"",TRIM(T117)&lt;&gt;""),"N/A – JUSTIFIED","INVALID – N/A needs justification, PIC and verifier")),IF(OR(TRIM(U117)="Pass",TRIM(U117)="Pass after CA"),IF(NOT(ISNUMBER(AD117)),"INVALID – completion time missing",IF(TRIM(T117)="","INVALID – PIC missing",IF(TRIM(Z117)="","INVALID – evidence missing",IF(TRIM(AE117)="","INVALID – verifier missing",IF(AND(AQ117=1,TRIM(W117)=""),"INVALID – batch ID missing",IF(AND(AR117=1,OR(NOT(ISNUMBER(X117)),NOT(ISNUMBER(Y117)))),"INVALID – expected/actual qty missing",IF(IF(AND(TRIM(U117)="Pass",ISNUMBER(AF117)),IF(AF117&lt;&gt;0,"INVALID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recorded/closed","")&lt;&gt;"",IF(AND(TRIM(U117)="Pass",ISNUMBER(AF117)),IF(AF117&lt;&gt;0,"INVALID – qty variance: use Fail or Pass after CA",""),"")&amp;IF(AND(TRIM(U117)="Pass",AB117="Open"),"INVALID – corrective action still open: use Fail, then Pass after CA","")&amp;IF(AND(TRIM(U117)="Pass after CA",OR(TRIM(AA117)="",AB117&lt;&gt;"Closed")),"INVALID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window"),IF(AG117&gt;Flights!$AA$8,"INVALID – completed after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f>
        <v/>
      </c>
      <c r="AI117" s="67">
        <f>IF(OR(AH117="N/A – RULE",AH117="N/A – JUSTIFIED"),0,1)</f>
        <v/>
      </c>
      <c r="AJ117" s="67">
        <f>IF(LEFT(AH117,8)="COMPLETE",1,0)</f>
        <v/>
      </c>
      <c r="AK117" s="67">
        <f>IF(AND(AI117=1,AJ117=0,AsOfUTC&gt;Q117),1,0)</f>
        <v/>
      </c>
      <c r="AL117" s="67">
        <f>IF(AND(AI117=1,OR(TRIM(U117)="Fail",AB117="Open",AND(ISNUMBER(AF117),AF117&lt;&gt;0,TRIM(U117)&lt;&gt;"Pass after CA"))),1,0)</f>
        <v/>
      </c>
      <c r="AM117" s="67">
        <f>IF(LEFT(AH117,7)="INVALID",1,0)</f>
        <v/>
      </c>
      <c r="AN117" s="67">
        <f>IF(AND(N117="Clarification required",AI117=1,AJ117=0),1,0)</f>
        <v/>
      </c>
      <c r="AO117" s="67">
        <f>IF(AK117=1,SUM(AK$5:AK117),"")</f>
        <v/>
      </c>
      <c r="AP117" s="67">
        <f>IF(AL117=1,SUM(AL$5:AL117),"")</f>
        <v/>
      </c>
      <c r="AQ117" s="67" t="n">
        <v>0</v>
      </c>
      <c r="AR117" s="67" t="n">
        <v>0</v>
      </c>
      <c r="AS117" s="67" t="n">
        <v>0</v>
      </c>
      <c r="AT117" s="67" t="n">
        <v>1</v>
      </c>
    </row>
    <row r="118" ht="41.5" customHeight="1">
      <c r="A118" s="63" t="inlineStr">
        <is>
          <t>F04-T12-19</t>
        </is>
      </c>
      <c r="B118" s="63" t="inlineStr">
        <is>
          <t>F04</t>
        </is>
      </c>
      <c r="C118" s="63">
        <f>Flights!$F$8</f>
        <v/>
      </c>
      <c r="D118" s="64">
        <f>Flights!$D$8</f>
        <v/>
      </c>
      <c r="E118" s="63">
        <f>Flights!$G$8&amp;"-"&amp;Flights!$H$8</f>
        <v/>
      </c>
      <c r="F118" s="63">
        <f>Flights!$K$8</f>
        <v/>
      </c>
      <c r="G118" s="63" t="inlineStr">
        <is>
          <t>T-12H PREP</t>
        </is>
      </c>
      <c r="H118" s="63" t="inlineStr">
        <is>
          <t>Preparation</t>
        </is>
      </c>
      <c r="I118" s="63" t="inlineStr">
        <is>
          <t>Seat Linen</t>
        </is>
      </c>
      <c r="J118" s="63" t="inlineStr">
        <is>
          <t>Mattress (BS &amp; BC) - prepared</t>
        </is>
      </c>
      <c r="K118" s="73" t="inlineStr">
        <is>
          <t>Available 100% (ticked in reference)</t>
        </is>
      </c>
      <c r="L118" s="73" t="inlineStr">
        <is>
          <t>STD UPLIFT INFORMATION.xlsx &gt; SEAT LINEN!G14</t>
        </is>
      </c>
      <c r="M118" s="73" t="inlineStr">
        <is>
          <t>Not stated in reference</t>
        </is>
      </c>
      <c r="N118" s="73" t="inlineStr">
        <is>
          <t>Required</t>
        </is>
      </c>
      <c r="O118" s="73" t="inlineStr">
        <is>
          <t>Reference gives no uplift stn for this item: preparation checked at the meal uplift stn (KUL) - confirm with caterer.</t>
        </is>
      </c>
      <c r="P118" s="63" t="inlineStr">
        <is>
          <t>KUL</t>
        </is>
      </c>
      <c r="Q118" s="65">
        <f>Flights!$AE$8</f>
        <v/>
      </c>
      <c r="R118" s="65">
        <f>Q118+(IF(AND(INDEX(TZ_DSTS,MATCH(P118,TZ_STN,0))&lt;&gt;"",Q118&gt;=INDEX(TZ_DSTS,MATCH(P118,TZ_STN,0)),Q118&lt;INDEX(TZ_DSTE,MATCH(P118,TZ_STN,0))),INDEX(TZ_DST,MATCH(P118,TZ_STN,0)),INDEX(TZ_STD,MATCH(P118,TZ_STN,0))))/24</f>
        <v/>
      </c>
      <c r="S118" s="65">
        <f>Q118-T12EarlyH/24</f>
        <v/>
      </c>
      <c r="T118" s="66" t="n"/>
      <c r="U118" s="66" t="n"/>
      <c r="V118" s="66" t="n"/>
      <c r="W118" s="67" t="n"/>
      <c r="X118" s="66" t="n"/>
      <c r="Y118" s="66" t="n"/>
      <c r="Z118" s="66" t="n"/>
      <c r="AA118" s="66" t="n"/>
      <c r="AB118" s="66" t="n"/>
      <c r="AC118" s="66" t="n"/>
      <c r="AD118" s="72" t="n"/>
      <c r="AE118" s="66" t="n"/>
      <c r="AF118" s="67">
        <f>IF(AND(ISNUMBER(X118),ISNUMBER(Y118)),Y118-X118,"")</f>
        <v/>
      </c>
      <c r="AG118" s="68">
        <f>IF(ISNUMBER(AD118),AD118-(IF(AND(INDEX(TZ_DSTS,MATCH(P118,TZ_STN,0))&lt;&gt;"",(AD118-INDEX(TZ_STD,MATCH(P118,TZ_STN,0))/24)&gt;=INDEX(TZ_DSTS,MATCH(P118,TZ_STN,0)),(AD118-INDEX(TZ_STD,MATCH(P118,TZ_STN,0))/24)&lt;INDEX(TZ_DSTE,MATCH(P118,TZ_STN,0))),INDEX(TZ_DST,MATCH(P118,TZ_STN,0)),INDEX(TZ_STD,MATCH(P118,TZ_STN,0))))/24,"")</f>
        <v/>
      </c>
      <c r="AH118" s="71">
        <f>IF(N118="N/A – rule","N/A – RULE",IF(TRIM(U118)="N/A",IF(AT118=0,"INVALID – N/A not permitted for this mandatory check",IF(AND(TRIM(AC118)&lt;&gt;"",TRIM(AE118)&lt;&gt;"",TRIM(T118)&lt;&gt;""),"N/A – JUSTIFIED","INVALID – N/A needs justification, PIC and verifier")),IF(OR(TRIM(U118)="Pass",TRIM(U118)="Pass after CA"),IF(NOT(ISNUMBER(AD118)),"INVALID – completion time missing",IF(TRIM(T118)="","INVALID – PIC missing",IF(TRIM(Z118)="","INVALID – evidence missing",IF(TRIM(AE118)="","INVALID – verifier missing",IF(AND(AQ118=1,TRIM(W118)=""),"INVALID – batch ID missing",IF(AND(AR118=1,OR(NOT(ISNUMBER(X118)),NOT(ISNUMBER(Y118)))),"INVALID – expected/actual qty missing",IF(IF(AND(TRIM(U118)="Pass",ISNUMBER(AF118)),IF(AF118&lt;&gt;0,"INVALID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recorded/closed","")&lt;&gt;"",IF(AND(TRIM(U118)="Pass",ISNUMBER(AF118)),IF(AF118&lt;&gt;0,"INVALID – qty variance: use Fail or Pass after CA",""),"")&amp;IF(AND(TRIM(U118)="Pass",AB118="Open"),"INVALID – corrective action still open: use Fail, then Pass after CA","")&amp;IF(AND(TRIM(U118)="Pass after CA",OR(TRIM(AA118)="",AB118&lt;&gt;"Closed")),"INVALID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window"),IF(AG118&gt;Flights!$AA$8,"INVALID – completed after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f>
        <v/>
      </c>
      <c r="AI118" s="67">
        <f>IF(OR(AH118="N/A – RULE",AH118="N/A – JUSTIFIED"),0,1)</f>
        <v/>
      </c>
      <c r="AJ118" s="67">
        <f>IF(LEFT(AH118,8)="COMPLETE",1,0)</f>
        <v/>
      </c>
      <c r="AK118" s="67">
        <f>IF(AND(AI118=1,AJ118=0,AsOfUTC&gt;Q118),1,0)</f>
        <v/>
      </c>
      <c r="AL118" s="67">
        <f>IF(AND(AI118=1,OR(TRIM(U118)="Fail",AB118="Open",AND(ISNUMBER(AF118),AF118&lt;&gt;0,TRIM(U118)&lt;&gt;"Pass after CA"))),1,0)</f>
        <v/>
      </c>
      <c r="AM118" s="67">
        <f>IF(LEFT(AH118,7)="INVALID",1,0)</f>
        <v/>
      </c>
      <c r="AN118" s="67">
        <f>IF(AND(N118="Clarification required",AI118=1,AJ118=0),1,0)</f>
        <v/>
      </c>
      <c r="AO118" s="67">
        <f>IF(AK118=1,SUM(AK$5:AK118),"")</f>
        <v/>
      </c>
      <c r="AP118" s="67">
        <f>IF(AL118=1,SUM(AL$5:AL118),"")</f>
        <v/>
      </c>
      <c r="AQ118" s="67" t="n">
        <v>0</v>
      </c>
      <c r="AR118" s="67" t="n">
        <v>0</v>
      </c>
      <c r="AS118" s="67" t="n">
        <v>0</v>
      </c>
      <c r="AT118" s="67" t="n">
        <v>1</v>
      </c>
    </row>
    <row r="119" ht="40" customHeight="1">
      <c r="A119" s="63" t="inlineStr">
        <is>
          <t>F04-T12-20</t>
        </is>
      </c>
      <c r="B119" s="63" t="inlineStr">
        <is>
          <t>F04</t>
        </is>
      </c>
      <c r="C119" s="63">
        <f>Flights!$F$8</f>
        <v/>
      </c>
      <c r="D119" s="64">
        <f>Flights!$D$8</f>
        <v/>
      </c>
      <c r="E119" s="63">
        <f>Flights!$G$8&amp;"-"&amp;Flights!$H$8</f>
        <v/>
      </c>
      <c r="F119" s="63">
        <f>Flights!$K$8</f>
        <v/>
      </c>
      <c r="G119" s="63" t="inlineStr">
        <is>
          <t>T-12H PREP</t>
        </is>
      </c>
      <c r="H119" s="63" t="inlineStr">
        <is>
          <t>Preparation</t>
        </is>
      </c>
      <c r="I119" s="63" t="inlineStr">
        <is>
          <t>Signature Drinks</t>
        </is>
      </c>
      <c r="J119" s="63" t="inlineStr">
        <is>
          <t>Signature drink &amp; garnish (BC) - prepared</t>
        </is>
      </c>
      <c r="K119" s="73" t="inlineStr">
        <is>
          <t>Available (ticked in reference)</t>
        </is>
      </c>
      <c r="L119" s="73" t="inlineStr">
        <is>
          <t>STD UPLIFT INFORMATION.xlsx &gt; Signature Drinks!F14 / G14 / D79</t>
        </is>
      </c>
      <c r="M119" s="73" t="inlineStr">
        <is>
          <t>KUL</t>
        </is>
      </c>
      <c r="N119" s="73" t="inlineStr">
        <is>
          <t>Required</t>
        </is>
      </c>
      <c r="O119" s="73" t="inlineStr">
        <is>
          <t>Signature drinks &amp; garnish uplifted from KUL (note D79).</t>
        </is>
      </c>
      <c r="P119" s="63" t="inlineStr">
        <is>
          <t>KUL</t>
        </is>
      </c>
      <c r="Q119" s="65">
        <f>Flights!$AE$8</f>
        <v/>
      </c>
      <c r="R119" s="65">
        <f>Q119+(IF(AND(INDEX(TZ_DSTS,MATCH(P119,TZ_STN,0))&lt;&gt;"",Q119&gt;=INDEX(TZ_DSTS,MATCH(P119,TZ_STN,0)),Q119&lt;INDEX(TZ_DSTE,MATCH(P119,TZ_STN,0))),INDEX(TZ_DST,MATCH(P119,TZ_STN,0)),INDEX(TZ_STD,MATCH(P119,TZ_STN,0))))/24</f>
        <v/>
      </c>
      <c r="S119" s="65">
        <f>Q119-T12EarlyH/24</f>
        <v/>
      </c>
      <c r="T119" s="66" t="n"/>
      <c r="U119" s="66" t="n"/>
      <c r="V119" s="66" t="n"/>
      <c r="W119" s="67" t="n"/>
      <c r="X119" s="66" t="n"/>
      <c r="Y119" s="66" t="n"/>
      <c r="Z119" s="66" t="n"/>
      <c r="AA119" s="66" t="n"/>
      <c r="AB119" s="66" t="n"/>
      <c r="AC119" s="66" t="n"/>
      <c r="AD119" s="72" t="n"/>
      <c r="AE119" s="66" t="n"/>
      <c r="AF119" s="67">
        <f>IF(AND(ISNUMBER(X119),ISNUMBER(Y119)),Y119-X119,"")</f>
        <v/>
      </c>
      <c r="AG119" s="68">
        <f>IF(ISNUMBER(AD119),AD119-(IF(AND(INDEX(TZ_DSTS,MATCH(P119,TZ_STN,0))&lt;&gt;"",(AD119-INDEX(TZ_STD,MATCH(P119,TZ_STN,0))/24)&gt;=INDEX(TZ_DSTS,MATCH(P119,TZ_STN,0)),(AD119-INDEX(TZ_STD,MATCH(P119,TZ_STN,0))/24)&lt;INDEX(TZ_DSTE,MATCH(P119,TZ_STN,0))),INDEX(TZ_DST,MATCH(P119,TZ_STN,0)),INDEX(TZ_STD,MATCH(P119,TZ_STN,0))))/24,"")</f>
        <v/>
      </c>
      <c r="AH119" s="71">
        <f>IF(N119="N/A – rule","N/A – RULE",IF(TRIM(U119)="N/A",IF(AT119=0,"INVALID – N/A not permitted for this mandatory check",IF(AND(TRIM(AC119)&lt;&gt;"",TRIM(AE119)&lt;&gt;"",TRIM(T119)&lt;&gt;""),"N/A – JUSTIFIED","INVALID – N/A needs justification, PIC and verifier")),IF(OR(TRIM(U119)="Pass",TRIM(U119)="Pass after CA"),IF(NOT(ISNUMBER(AD119)),"INVALID – completion time missing",IF(TRIM(T119)="","INVALID – PIC missing",IF(TRIM(Z119)="","INVALID – evidence missing",IF(TRIM(AE119)="","INVALID – verifier missing",IF(AND(AQ119=1,TRIM(W119)=""),"INVALID – batch ID missing",IF(AND(AR119=1,OR(NOT(ISNUMBER(X119)),NOT(ISNUMBER(Y119)))),"INVALID – expected/actual qty missing",IF(IF(AND(TRIM(U119)="Pass",ISNUMBER(AF119)),IF(AF119&lt;&gt;0,"INVALID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recorded/closed","")&lt;&gt;"",IF(AND(TRIM(U119)="Pass",ISNUMBER(AF119)),IF(AF119&lt;&gt;0,"INVALID – qty variance: use Fail or Pass after CA",""),"")&amp;IF(AND(TRIM(U119)="Pass",AB119="Open"),"INVALID – corrective action still open: use Fail, then Pass after CA","")&amp;IF(AND(TRIM(U119)="Pass after CA",OR(TRIM(AA119)="",AB119&lt;&gt;"Closed")),"INVALID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window"),IF(AG119&gt;Flights!$AA$8,"INVALID – completed after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f>
        <v/>
      </c>
      <c r="AI119" s="67">
        <f>IF(OR(AH119="N/A – RULE",AH119="N/A – JUSTIFIED"),0,1)</f>
        <v/>
      </c>
      <c r="AJ119" s="67">
        <f>IF(LEFT(AH119,8)="COMPLETE",1,0)</f>
        <v/>
      </c>
      <c r="AK119" s="67">
        <f>IF(AND(AI119=1,AJ119=0,AsOfUTC&gt;Q119),1,0)</f>
        <v/>
      </c>
      <c r="AL119" s="67">
        <f>IF(AND(AI119=1,OR(TRIM(U119)="Fail",AB119="Open",AND(ISNUMBER(AF119),AF119&lt;&gt;0,TRIM(U119)&lt;&gt;"Pass after CA"))),1,0)</f>
        <v/>
      </c>
      <c r="AM119" s="67">
        <f>IF(LEFT(AH119,7)="INVALID",1,0)</f>
        <v/>
      </c>
      <c r="AN119" s="67">
        <f>IF(AND(N119="Clarification required",AI119=1,AJ119=0),1,0)</f>
        <v/>
      </c>
      <c r="AO119" s="67">
        <f>IF(AK119=1,SUM(AK$5:AK119),"")</f>
        <v/>
      </c>
      <c r="AP119" s="67">
        <f>IF(AL119=1,SUM(AL$5:AL119),"")</f>
        <v/>
      </c>
      <c r="AQ119" s="67" t="n">
        <v>0</v>
      </c>
      <c r="AR119" s="67" t="n">
        <v>0</v>
      </c>
      <c r="AS119" s="67" t="n">
        <v>0</v>
      </c>
      <c r="AT119" s="67" t="n">
        <v>1</v>
      </c>
    </row>
    <row r="120" ht="54" customHeight="1">
      <c r="A120" s="63" t="inlineStr">
        <is>
          <t>F04-T12-21</t>
        </is>
      </c>
      <c r="B120" s="63" t="inlineStr">
        <is>
          <t>F04</t>
        </is>
      </c>
      <c r="C120" s="63">
        <f>Flights!$F$8</f>
        <v/>
      </c>
      <c r="D120" s="64">
        <f>Flights!$D$8</f>
        <v/>
      </c>
      <c r="E120" s="63">
        <f>Flights!$G$8&amp;"-"&amp;Flights!$H$8</f>
        <v/>
      </c>
      <c r="F120" s="63">
        <f>Flights!$K$8</f>
        <v/>
      </c>
      <c r="G120" s="63" t="inlineStr">
        <is>
          <t>T-12H PREP</t>
        </is>
      </c>
      <c r="H120" s="63" t="inlineStr">
        <is>
          <t>Preparation</t>
        </is>
      </c>
      <c r="I120" s="63" t="inlineStr">
        <is>
          <t>Sales Cart</t>
        </is>
      </c>
      <c r="J120" s="63" t="inlineStr">
        <is>
          <t>Sales cart (caterer PASB) - prepared</t>
        </is>
      </c>
      <c r="K120" s="73" t="inlineStr">
        <is>
          <t>A359: 5R41A &amp; 5R42A (not applicable for LHR) (full cart); 9M-MAH: G4F13A (half cart) - per tail</t>
        </is>
      </c>
      <c r="L120" s="73" t="inlineStr">
        <is>
          <t>STD UPLIFT INFORMATION.xlsx &gt; SALES CART!K7:K14 / L9 / C9 / O8:R12</t>
        </is>
      </c>
      <c r="M120" s="73" t="inlineStr">
        <is>
          <t>Not stated in reference</t>
        </is>
      </c>
      <c r="N120" s="73" t="inlineStr">
        <is>
          <t>Required</t>
        </is>
      </c>
      <c r="O120" s="73" t="inlineStr">
        <is>
          <t>Block 7.17 h &gt;= 4 h. Location depends on tail. Reference gives no uplift stn for this item: preparation checked at the meal uplift stn (KUL) - confirm with caterer.</t>
        </is>
      </c>
      <c r="P120" s="63" t="inlineStr">
        <is>
          <t>KUL</t>
        </is>
      </c>
      <c r="Q120" s="65">
        <f>Flights!$AE$8</f>
        <v/>
      </c>
      <c r="R120" s="65">
        <f>Q120+(IF(AND(INDEX(TZ_DSTS,MATCH(P120,TZ_STN,0))&lt;&gt;"",Q120&gt;=INDEX(TZ_DSTS,MATCH(P120,TZ_STN,0)),Q120&lt;INDEX(TZ_DSTE,MATCH(P120,TZ_STN,0))),INDEX(TZ_DST,MATCH(P120,TZ_STN,0)),INDEX(TZ_STD,MATCH(P120,TZ_STN,0))))/24</f>
        <v/>
      </c>
      <c r="S120" s="65">
        <f>Q120-T12EarlyH/24</f>
        <v/>
      </c>
      <c r="T120" s="66" t="n"/>
      <c r="U120" s="66" t="n"/>
      <c r="V120" s="66" t="n"/>
      <c r="W120" s="67" t="n"/>
      <c r="X120" s="66" t="n"/>
      <c r="Y120" s="66" t="n"/>
      <c r="Z120" s="66" t="n"/>
      <c r="AA120" s="66" t="n"/>
      <c r="AB120" s="66" t="n"/>
      <c r="AC120" s="66" t="n"/>
      <c r="AD120" s="72" t="n"/>
      <c r="AE120" s="66" t="n"/>
      <c r="AF120" s="67">
        <f>IF(AND(ISNUMBER(X120),ISNUMBER(Y120)),Y120-X120,"")</f>
        <v/>
      </c>
      <c r="AG120" s="68">
        <f>IF(ISNUMBER(AD120),AD120-(IF(AND(INDEX(TZ_DSTS,MATCH(P120,TZ_STN,0))&lt;&gt;"",(AD120-INDEX(TZ_STD,MATCH(P120,TZ_STN,0))/24)&gt;=INDEX(TZ_DSTS,MATCH(P120,TZ_STN,0)),(AD120-INDEX(TZ_STD,MATCH(P120,TZ_STN,0))/24)&lt;INDEX(TZ_DSTE,MATCH(P120,TZ_STN,0))),INDEX(TZ_DST,MATCH(P120,TZ_STN,0)),INDEX(TZ_STD,MATCH(P120,TZ_STN,0))))/24,"")</f>
        <v/>
      </c>
      <c r="AH120" s="71">
        <f>IF(N120="N/A – rule","N/A – RULE",IF(TRIM(U120)="N/A",IF(AT120=0,"INVALID – N/A not permitted for this mandatory check",IF(AND(TRIM(AC120)&lt;&gt;"",TRIM(AE120)&lt;&gt;"",TRIM(T120)&lt;&gt;""),"N/A – JUSTIFIED","INVALID – N/A needs justification, PIC and verifier")),IF(OR(TRIM(U120)="Pass",TRIM(U120)="Pass after CA"),IF(NOT(ISNUMBER(AD120)),"INVALID – completion time missing",IF(TRIM(T120)="","INVALID – PIC missing",IF(TRIM(Z120)="","INVALID – evidence missing",IF(TRIM(AE120)="","INVALID – verifier missing",IF(AND(AQ120=1,TRIM(W120)=""),"INVALID – batch ID missing",IF(AND(AR120=1,OR(NOT(ISNUMBER(X120)),NOT(ISNUMBER(Y120)))),"INVALID – expected/actual qty missing",IF(IF(AND(TRIM(U120)="Pass",ISNUMBER(AF120)),IF(AF120&lt;&gt;0,"INVALID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recorded/closed","")&lt;&gt;"",IF(AND(TRIM(U120)="Pass",ISNUMBER(AF120)),IF(AF120&lt;&gt;0,"INVALID – qty variance: use Fail or Pass after CA",""),"")&amp;IF(AND(TRIM(U120)="Pass",AB120="Open"),"INVALID – corrective action still open: use Fail, then Pass after CA","")&amp;IF(AND(TRIM(U120)="Pass after CA",OR(TRIM(AA120)="",AB120&lt;&gt;"Closed")),"INVALID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window"),IF(AG120&gt;Flights!$AA$8,"INVALID – completed after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f>
        <v/>
      </c>
      <c r="AI120" s="67">
        <f>IF(OR(AH120="N/A – RULE",AH120="N/A – JUSTIFIED"),0,1)</f>
        <v/>
      </c>
      <c r="AJ120" s="67">
        <f>IF(LEFT(AH120,8)="COMPLETE",1,0)</f>
        <v/>
      </c>
      <c r="AK120" s="67">
        <f>IF(AND(AI120=1,AJ120=0,AsOfUTC&gt;Q120),1,0)</f>
        <v/>
      </c>
      <c r="AL120" s="67">
        <f>IF(AND(AI120=1,OR(TRIM(U120)="Fail",AB120="Open",AND(ISNUMBER(AF120),AF120&lt;&gt;0,TRIM(U120)&lt;&gt;"Pass after CA"))),1,0)</f>
        <v/>
      </c>
      <c r="AM120" s="67">
        <f>IF(LEFT(AH120,7)="INVALID",1,0)</f>
        <v/>
      </c>
      <c r="AN120" s="67">
        <f>IF(AND(N120="Clarification required",AI120=1,AJ120=0),1,0)</f>
        <v/>
      </c>
      <c r="AO120" s="67">
        <f>IF(AK120=1,SUM(AK$5:AK120),"")</f>
        <v/>
      </c>
      <c r="AP120" s="67">
        <f>IF(AL120=1,SUM(AL$5:AL120),"")</f>
        <v/>
      </c>
      <c r="AQ120" s="67" t="n">
        <v>0</v>
      </c>
      <c r="AR120" s="67" t="n">
        <v>0</v>
      </c>
      <c r="AS120" s="67" t="n">
        <v>0</v>
      </c>
      <c r="AT120" s="67" t="n">
        <v>1</v>
      </c>
    </row>
    <row r="121" ht="40" customHeight="1">
      <c r="A121" s="63" t="inlineStr">
        <is>
          <t>F04-UPL-01</t>
        </is>
      </c>
      <c r="B121" s="63" t="inlineStr">
        <is>
          <t>F04</t>
        </is>
      </c>
      <c r="C121" s="63">
        <f>Flights!$F$8</f>
        <v/>
      </c>
      <c r="D121" s="64">
        <f>Flights!$D$8</f>
        <v/>
      </c>
      <c r="E121" s="63">
        <f>Flights!$G$8&amp;"-"&amp;Flights!$H$8</f>
        <v/>
      </c>
      <c r="F121" s="63">
        <f>Flights!$K$8</f>
        <v/>
      </c>
      <c r="G121" s="63" t="inlineStr">
        <is>
          <t>UPLIFT</t>
        </is>
      </c>
      <c r="H121" s="63" t="inlineStr">
        <is>
          <t>Physical uplift</t>
        </is>
      </c>
      <c r="I121" s="63" t="inlineStr">
        <is>
          <t>Meal</t>
        </is>
      </c>
      <c r="J121" s="63" t="inlineStr">
        <is>
          <t>Meals physically uplifted on board - quantity vs menu checklist</t>
        </is>
      </c>
      <c r="K121" s="73" t="inlineStr">
        <is>
          <t>Enter expected &amp; actual</t>
        </is>
      </c>
      <c r="L121" s="73" t="inlineStr">
        <is>
          <t>User brief (T-12 hours - physical uplift)</t>
        </is>
      </c>
      <c r="M121" s="73" t="inlineStr"/>
      <c r="N121" s="73" t="inlineStr">
        <is>
          <t>Required</t>
        </is>
      </c>
      <c r="O121" s="73" t="inlineStr">
        <is>
          <t>Confirm on board before departure; completion time must fall inside the uplift window.</t>
        </is>
      </c>
      <c r="P121" s="63" t="inlineStr">
        <is>
          <t>KUL</t>
        </is>
      </c>
      <c r="Q121" s="65">
        <f>Flights!$AF$8</f>
        <v/>
      </c>
      <c r="R121" s="65">
        <f>Q121+(IF(AND(INDEX(TZ_DSTS,MATCH(P121,TZ_STN,0))&lt;&gt;"",Q121&gt;=INDEX(TZ_DSTS,MATCH(P121,TZ_STN,0)),Q121&lt;INDEX(TZ_DSTE,MATCH(P121,TZ_STN,0))),INDEX(TZ_DST,MATCH(P121,TZ_STN,0)),INDEX(TZ_STD,MATCH(P121,TZ_STN,0))))/24</f>
        <v/>
      </c>
      <c r="S121" s="65">
        <f>Q121-UpliftWindowH/24</f>
        <v/>
      </c>
      <c r="T121" s="66" t="n"/>
      <c r="U121" s="66" t="n"/>
      <c r="V121" s="66" t="n"/>
      <c r="W121" s="67" t="n"/>
      <c r="X121" s="66" t="n"/>
      <c r="Y121" s="66" t="n"/>
      <c r="Z121" s="66" t="n"/>
      <c r="AA121" s="66" t="n"/>
      <c r="AB121" s="66" t="n"/>
      <c r="AC121" s="66" t="n"/>
      <c r="AD121" s="72" t="n"/>
      <c r="AE121" s="66" t="n"/>
      <c r="AF121" s="67">
        <f>IF(AND(ISNUMBER(X121),ISNUMBER(Y121)),Y121-X121,"")</f>
        <v/>
      </c>
      <c r="AG121" s="68">
        <f>IF(ISNUMBER(AD121),AD121-(IF(AND(INDEX(TZ_DSTS,MATCH(P121,TZ_STN,0))&lt;&gt;"",(AD121-INDEX(TZ_STD,MATCH(P121,TZ_STN,0))/24)&gt;=INDEX(TZ_DSTS,MATCH(P121,TZ_STN,0)),(AD121-INDEX(TZ_STD,MATCH(P121,TZ_STN,0))/24)&lt;INDEX(TZ_DSTE,MATCH(P121,TZ_STN,0))),INDEX(TZ_DST,MATCH(P121,TZ_STN,0)),INDEX(TZ_STD,MATCH(P121,TZ_STN,0))))/24,"")</f>
        <v/>
      </c>
      <c r="AH121" s="71">
        <f>IF(N121="N/A – rule","N/A – RULE",IF(TRIM(U121)="N/A",IF(AT121=0,"INVALID – N/A not permitted for this mandatory check",IF(AND(TRIM(AC121)&lt;&gt;"",TRIM(AE121)&lt;&gt;"",TRIM(T121)&lt;&gt;""),"N/A – JUSTIFIED","INVALID – N/A needs justification, PIC and verifier")),IF(OR(TRIM(U121)="Pass",TRIM(U121)="Pass after CA"),IF(NOT(ISNUMBER(AD121)),"INVALID – completion time missing",IF(TRIM(T121)="","INVALID – PIC missing",IF(TRIM(Z121)="","INVALID – evidence missing",IF(TRIM(AE121)="","INVALID – verifier missing",IF(AND(AQ121=1,TRIM(W121)=""),"INVALID – batch ID missing",IF(AND(AR121=1,OR(NOT(ISNUMBER(X121)),NOT(ISNUMBER(Y121)))),"INVALID – expected/actual qty missing",IF(IF(AND(TRIM(U121)="Pass",ISNUMBER(AF121)),IF(AF121&lt;&gt;0,"INVALID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recorded/closed","")&lt;&gt;"",IF(AND(TRIM(U121)="Pass",ISNUMBER(AF121)),IF(AF121&lt;&gt;0,"INVALID – qty variance: use Fail or Pass after CA",""),"")&amp;IF(AND(TRIM(U121)="Pass",AB121="Open"),"INVALID – corrective action still open: use Fail, then Pass after CA","")&amp;IF(AND(TRIM(U121)="Pass after CA",OR(TRIM(AA121)="",AB121&lt;&gt;"Closed")),"INVALID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window"),IF(AG121&gt;Flights!$AA$8,"INVALID – completed after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f>
        <v/>
      </c>
      <c r="AI121" s="67">
        <f>IF(OR(AH121="N/A – RULE",AH121="N/A – JUSTIFIED"),0,1)</f>
        <v/>
      </c>
      <c r="AJ121" s="67">
        <f>IF(LEFT(AH121,8)="COMPLETE",1,0)</f>
        <v/>
      </c>
      <c r="AK121" s="67">
        <f>IF(AND(AI121=1,AJ121=0,AsOfUTC&gt;Q121),1,0)</f>
        <v/>
      </c>
      <c r="AL121" s="67">
        <f>IF(AND(AI121=1,OR(TRIM(U121)="Fail",AB121="Open",AND(ISNUMBER(AF121),AF121&lt;&gt;0,TRIM(U121)&lt;&gt;"Pass after CA"))),1,0)</f>
        <v/>
      </c>
      <c r="AM121" s="67">
        <f>IF(LEFT(AH121,7)="INVALID",1,0)</f>
        <v/>
      </c>
      <c r="AN121" s="67">
        <f>IF(AND(N121="Clarification required",AI121=1,AJ121=0),1,0)</f>
        <v/>
      </c>
      <c r="AO121" s="67">
        <f>IF(AK121=1,SUM(AK$5:AK121),"")</f>
        <v/>
      </c>
      <c r="AP121" s="67">
        <f>IF(AL121=1,SUM(AL$5:AL121),"")</f>
        <v/>
      </c>
      <c r="AQ121" s="67" t="n">
        <v>0</v>
      </c>
      <c r="AR121" s="67" t="n">
        <v>1</v>
      </c>
      <c r="AS121" s="67" t="n">
        <v>0</v>
      </c>
      <c r="AT121" s="67" t="n">
        <v>0</v>
      </c>
    </row>
    <row r="122" ht="40" customHeight="1">
      <c r="A122" s="63" t="inlineStr">
        <is>
          <t>F04-UPL-02</t>
        </is>
      </c>
      <c r="B122" s="63" t="inlineStr">
        <is>
          <t>F04</t>
        </is>
      </c>
      <c r="C122" s="63">
        <f>Flights!$F$8</f>
        <v/>
      </c>
      <c r="D122" s="64">
        <f>Flights!$D$8</f>
        <v/>
      </c>
      <c r="E122" s="63">
        <f>Flights!$G$8&amp;"-"&amp;Flights!$H$8</f>
        <v/>
      </c>
      <c r="F122" s="63">
        <f>Flights!$K$8</f>
        <v/>
      </c>
      <c r="G122" s="63" t="inlineStr">
        <is>
          <t>UPLIFT</t>
        </is>
      </c>
      <c r="H122" s="63" t="inlineStr">
        <is>
          <t>Physical uplift</t>
        </is>
      </c>
      <c r="I122" s="63" t="inlineStr">
        <is>
          <t>Equipment</t>
        </is>
      </c>
      <c r="J122" s="63" t="inlineStr">
        <is>
          <t>Equipment physically loaded at GLD positions - quantity &amp; positions</t>
        </is>
      </c>
      <c r="K122" s="73" t="inlineStr">
        <is>
          <t>Enter expected &amp; actual</t>
        </is>
      </c>
      <c r="L122" s="73" t="inlineStr">
        <is>
          <t>User brief (T-12 hours - physical uplift)</t>
        </is>
      </c>
      <c r="M122" s="73" t="inlineStr"/>
      <c r="N122" s="73" t="inlineStr">
        <is>
          <t>Required</t>
        </is>
      </c>
      <c r="O122" s="73" t="inlineStr">
        <is>
          <t>Confirm on board before departure; completion time must fall inside the uplift window.</t>
        </is>
      </c>
      <c r="P122" s="63" t="inlineStr">
        <is>
          <t>KUL</t>
        </is>
      </c>
      <c r="Q122" s="65">
        <f>Flights!$AF$8</f>
        <v/>
      </c>
      <c r="R122" s="65">
        <f>Q122+(IF(AND(INDEX(TZ_DSTS,MATCH(P122,TZ_STN,0))&lt;&gt;"",Q122&gt;=INDEX(TZ_DSTS,MATCH(P122,TZ_STN,0)),Q122&lt;INDEX(TZ_DSTE,MATCH(P122,TZ_STN,0))),INDEX(TZ_DST,MATCH(P122,TZ_STN,0)),INDEX(TZ_STD,MATCH(P122,TZ_STN,0))))/24</f>
        <v/>
      </c>
      <c r="S122" s="65">
        <f>Q122-UpliftWindowH/24</f>
        <v/>
      </c>
      <c r="T122" s="66" t="n"/>
      <c r="U122" s="66" t="n"/>
      <c r="V122" s="66" t="n"/>
      <c r="W122" s="67" t="n"/>
      <c r="X122" s="66" t="n"/>
      <c r="Y122" s="66" t="n"/>
      <c r="Z122" s="66" t="n"/>
      <c r="AA122" s="66" t="n"/>
      <c r="AB122" s="66" t="n"/>
      <c r="AC122" s="66" t="n"/>
      <c r="AD122" s="72" t="n"/>
      <c r="AE122" s="66" t="n"/>
      <c r="AF122" s="67">
        <f>IF(AND(ISNUMBER(X122),ISNUMBER(Y122)),Y122-X122,"")</f>
        <v/>
      </c>
      <c r="AG122" s="68">
        <f>IF(ISNUMBER(AD122),AD122-(IF(AND(INDEX(TZ_DSTS,MATCH(P122,TZ_STN,0))&lt;&gt;"",(AD122-INDEX(TZ_STD,MATCH(P122,TZ_STN,0))/24)&gt;=INDEX(TZ_DSTS,MATCH(P122,TZ_STN,0)),(AD122-INDEX(TZ_STD,MATCH(P122,TZ_STN,0))/24)&lt;INDEX(TZ_DSTE,MATCH(P122,TZ_STN,0))),INDEX(TZ_DST,MATCH(P122,TZ_STN,0)),INDEX(TZ_STD,MATCH(P122,TZ_STN,0))))/24,"")</f>
        <v/>
      </c>
      <c r="AH122" s="71">
        <f>IF(N122="N/A – rule","N/A – RULE",IF(TRIM(U122)="N/A",IF(AT122=0,"INVALID – N/A not permitted for this mandatory check",IF(AND(TRIM(AC122)&lt;&gt;"",TRIM(AE122)&lt;&gt;"",TRIM(T122)&lt;&gt;""),"N/A – JUSTIFIED","INVALID – N/A needs justification, PIC and verifier")),IF(OR(TRIM(U122)="Pass",TRIM(U122)="Pass after CA"),IF(NOT(ISNUMBER(AD122)),"INVALID – completion time missing",IF(TRIM(T122)="","INVALID – PIC missing",IF(TRIM(Z122)="","INVALID – evidence missing",IF(TRIM(AE122)="","INVALID – verifier missing",IF(AND(AQ122=1,TRIM(W122)=""),"INVALID – batch ID missing",IF(AND(AR122=1,OR(NOT(ISNUMBER(X122)),NOT(ISNUMBER(Y122)))),"INVALID – expected/actual qty missing",IF(IF(AND(TRIM(U122)="Pass",ISNUMBER(AF122)),IF(AF122&lt;&gt;0,"INVALID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recorded/closed","")&lt;&gt;"",IF(AND(TRIM(U122)="Pass",ISNUMBER(AF122)),IF(AF122&lt;&gt;0,"INVALID – qty variance: use Fail or Pass after CA",""),"")&amp;IF(AND(TRIM(U122)="Pass",AB122="Open"),"INVALID – corrective action still open: use Fail, then Pass after CA","")&amp;IF(AND(TRIM(U122)="Pass after CA",OR(TRIM(AA122)="",AB122&lt;&gt;"Closed")),"INVALID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window"),IF(AG122&gt;Flights!$AA$8,"INVALID – completed after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f>
        <v/>
      </c>
      <c r="AI122" s="67">
        <f>IF(OR(AH122="N/A – RULE",AH122="N/A – JUSTIFIED"),0,1)</f>
        <v/>
      </c>
      <c r="AJ122" s="67">
        <f>IF(LEFT(AH122,8)="COMPLETE",1,0)</f>
        <v/>
      </c>
      <c r="AK122" s="67">
        <f>IF(AND(AI122=1,AJ122=0,AsOfUTC&gt;Q122),1,0)</f>
        <v/>
      </c>
      <c r="AL122" s="67">
        <f>IF(AND(AI122=1,OR(TRIM(U122)="Fail",AB122="Open",AND(ISNUMBER(AF122),AF122&lt;&gt;0,TRIM(U122)&lt;&gt;"Pass after CA"))),1,0)</f>
        <v/>
      </c>
      <c r="AM122" s="67">
        <f>IF(LEFT(AH122,7)="INVALID",1,0)</f>
        <v/>
      </c>
      <c r="AN122" s="67">
        <f>IF(AND(N122="Clarification required",AI122=1,AJ122=0),1,0)</f>
        <v/>
      </c>
      <c r="AO122" s="67">
        <f>IF(AK122=1,SUM(AK$5:AK122),"")</f>
        <v/>
      </c>
      <c r="AP122" s="67">
        <f>IF(AL122=1,SUM(AL$5:AL122),"")</f>
        <v/>
      </c>
      <c r="AQ122" s="67" t="n">
        <v>0</v>
      </c>
      <c r="AR122" s="67" t="n">
        <v>1</v>
      </c>
      <c r="AS122" s="67" t="n">
        <v>0</v>
      </c>
      <c r="AT122" s="67" t="n">
        <v>0</v>
      </c>
    </row>
    <row r="123" ht="40" customHeight="1">
      <c r="A123" s="63" t="inlineStr">
        <is>
          <t>F04-UPL-03</t>
        </is>
      </c>
      <c r="B123" s="63" t="inlineStr">
        <is>
          <t>F04</t>
        </is>
      </c>
      <c r="C123" s="63">
        <f>Flights!$F$8</f>
        <v/>
      </c>
      <c r="D123" s="64">
        <f>Flights!$D$8</f>
        <v/>
      </c>
      <c r="E123" s="63">
        <f>Flights!$G$8&amp;"-"&amp;Flights!$H$8</f>
        <v/>
      </c>
      <c r="F123" s="63">
        <f>Flights!$K$8</f>
        <v/>
      </c>
      <c r="G123" s="63" t="inlineStr">
        <is>
          <t>UPLIFT</t>
        </is>
      </c>
      <c r="H123" s="63" t="inlineStr">
        <is>
          <t>Physical uplift</t>
        </is>
      </c>
      <c r="I123" s="63" t="inlineStr">
        <is>
          <t>Amenities</t>
        </is>
      </c>
      <c r="J123" s="63" t="inlineStr">
        <is>
          <t>Toiletry kits - on board</t>
        </is>
      </c>
      <c r="K123" s="73" t="inlineStr">
        <is>
          <t>Available (ticked in reference)</t>
        </is>
      </c>
      <c r="L123" s="73" t="inlineStr">
        <is>
          <t>STD UPLIFT INFORMATION.xlsx &gt; AMENITIES!D23 / H23</t>
        </is>
      </c>
      <c r="M123" s="73" t="inlineStr">
        <is>
          <t>KUL</t>
        </is>
      </c>
      <c r="N123" s="73" t="inlineStr">
        <is>
          <t>Required</t>
        </is>
      </c>
      <c r="O123" s="73" t="inlineStr"/>
      <c r="P123" s="63" t="inlineStr">
        <is>
          <t>KUL</t>
        </is>
      </c>
      <c r="Q123" s="65">
        <f>Flights!$AF$8</f>
        <v/>
      </c>
      <c r="R123" s="65">
        <f>Q123+(IF(AND(INDEX(TZ_DSTS,MATCH(P123,TZ_STN,0))&lt;&gt;"",Q123&gt;=INDEX(TZ_DSTS,MATCH(P123,TZ_STN,0)),Q123&lt;INDEX(TZ_DSTE,MATCH(P123,TZ_STN,0))),INDEX(TZ_DST,MATCH(P123,TZ_STN,0)),INDEX(TZ_STD,MATCH(P123,TZ_STN,0))))/24</f>
        <v/>
      </c>
      <c r="S123" s="65">
        <f>Q123-UpliftWindowH/24</f>
        <v/>
      </c>
      <c r="T123" s="66" t="n"/>
      <c r="U123" s="66" t="n"/>
      <c r="V123" s="66" t="n"/>
      <c r="W123" s="67" t="n"/>
      <c r="X123" s="66" t="n"/>
      <c r="Y123" s="66" t="n"/>
      <c r="Z123" s="66" t="n"/>
      <c r="AA123" s="66" t="n"/>
      <c r="AB123" s="66" t="n"/>
      <c r="AC123" s="66" t="n"/>
      <c r="AD123" s="72" t="n"/>
      <c r="AE123" s="66" t="n"/>
      <c r="AF123" s="67">
        <f>IF(AND(ISNUMBER(X123),ISNUMBER(Y123)),Y123-X123,"")</f>
        <v/>
      </c>
      <c r="AG123" s="68">
        <f>IF(ISNUMBER(AD123),AD123-(IF(AND(INDEX(TZ_DSTS,MATCH(P123,TZ_STN,0))&lt;&gt;"",(AD123-INDEX(TZ_STD,MATCH(P123,TZ_STN,0))/24)&gt;=INDEX(TZ_DSTS,MATCH(P123,TZ_STN,0)),(AD123-INDEX(TZ_STD,MATCH(P123,TZ_STN,0))/24)&lt;INDEX(TZ_DSTE,MATCH(P123,TZ_STN,0))),INDEX(TZ_DST,MATCH(P123,TZ_STN,0)),INDEX(TZ_STD,MATCH(P123,TZ_STN,0))))/24,"")</f>
        <v/>
      </c>
      <c r="AH123" s="71">
        <f>IF(N123="N/A – rule","N/A – RULE",IF(TRIM(U123)="N/A",IF(AT123=0,"INVALID – N/A not permitted for this mandatory check",IF(AND(TRIM(AC123)&lt;&gt;"",TRIM(AE123)&lt;&gt;"",TRIM(T123)&lt;&gt;""),"N/A – JUSTIFIED","INVALID – N/A needs justification, PIC and verifier")),IF(OR(TRIM(U123)="Pass",TRIM(U123)="Pass after CA"),IF(NOT(ISNUMBER(AD123)),"INVALID – completion time missing",IF(TRIM(T123)="","INVALID – PIC missing",IF(TRIM(Z123)="","INVALID – evidence missing",IF(TRIM(AE123)="","INVALID – verifier missing",IF(AND(AQ123=1,TRIM(W123)=""),"INVALID – batch ID missing",IF(AND(AR123=1,OR(NOT(ISNUMBER(X123)),NOT(ISNUMBER(Y123)))),"INVALID – expected/actual qty missing",IF(IF(AND(TRIM(U123)="Pass",ISNUMBER(AF123)),IF(AF123&lt;&gt;0,"INVALID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recorded/closed","")&lt;&gt;"",IF(AND(TRIM(U123)="Pass",ISNUMBER(AF123)),IF(AF123&lt;&gt;0,"INVALID – qty variance: use Fail or Pass after CA",""),"")&amp;IF(AND(TRIM(U123)="Pass",AB123="Open"),"INVALID – corrective action still open: use Fail, then Pass after CA","")&amp;IF(AND(TRIM(U123)="Pass after CA",OR(TRIM(AA123)="",AB123&lt;&gt;"Closed")),"INVALID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window"),IF(AG123&gt;Flights!$AA$8,"INVALID – completed after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f>
        <v/>
      </c>
      <c r="AI123" s="67">
        <f>IF(OR(AH123="N/A – RULE",AH123="N/A – JUSTIFIED"),0,1)</f>
        <v/>
      </c>
      <c r="AJ123" s="67">
        <f>IF(LEFT(AH123,8)="COMPLETE",1,0)</f>
        <v/>
      </c>
      <c r="AK123" s="67">
        <f>IF(AND(AI123=1,AJ123=0,AsOfUTC&gt;Q123),1,0)</f>
        <v/>
      </c>
      <c r="AL123" s="67">
        <f>IF(AND(AI123=1,OR(TRIM(U123)="Fail",AB123="Open",AND(ISNUMBER(AF123),AF123&lt;&gt;0,TRIM(U123)&lt;&gt;"Pass after CA"))),1,0)</f>
        <v/>
      </c>
      <c r="AM123" s="67">
        <f>IF(LEFT(AH123,7)="INVALID",1,0)</f>
        <v/>
      </c>
      <c r="AN123" s="67">
        <f>IF(AND(N123="Clarification required",AI123=1,AJ123=0),1,0)</f>
        <v/>
      </c>
      <c r="AO123" s="67">
        <f>IF(AK123=1,SUM(AK$5:AK123),"")</f>
        <v/>
      </c>
      <c r="AP123" s="67">
        <f>IF(AL123=1,SUM(AL$5:AL123),"")</f>
        <v/>
      </c>
      <c r="AQ123" s="67" t="n">
        <v>0</v>
      </c>
      <c r="AR123" s="67" t="n">
        <v>0</v>
      </c>
      <c r="AS123" s="67" t="n">
        <v>0</v>
      </c>
      <c r="AT123" s="67" t="n">
        <v>1</v>
      </c>
    </row>
    <row r="124" ht="40" customHeight="1">
      <c r="A124" s="63" t="inlineStr">
        <is>
          <t>F04-UPL-04</t>
        </is>
      </c>
      <c r="B124" s="63" t="inlineStr">
        <is>
          <t>F04</t>
        </is>
      </c>
      <c r="C124" s="63">
        <f>Flights!$F$8</f>
        <v/>
      </c>
      <c r="D124" s="64">
        <f>Flights!$D$8</f>
        <v/>
      </c>
      <c r="E124" s="63">
        <f>Flights!$G$8&amp;"-"&amp;Flights!$H$8</f>
        <v/>
      </c>
      <c r="F124" s="63">
        <f>Flights!$K$8</f>
        <v/>
      </c>
      <c r="G124" s="63" t="inlineStr">
        <is>
          <t>UPLIFT</t>
        </is>
      </c>
      <c r="H124" s="63" t="inlineStr">
        <is>
          <t>Physical uplift</t>
        </is>
      </c>
      <c r="I124" s="63" t="inlineStr">
        <is>
          <t>Amenities</t>
        </is>
      </c>
      <c r="J124" s="63" t="inlineStr">
        <is>
          <t>Slippers (BS/BC) - on board</t>
        </is>
      </c>
      <c r="K124" s="73" t="inlineStr">
        <is>
          <t>Available (ticked in reference)</t>
        </is>
      </c>
      <c r="L124" s="73" t="inlineStr">
        <is>
          <t>STD UPLIFT INFORMATION.xlsx &gt; AMENITIES!G23 / H23</t>
        </is>
      </c>
      <c r="M124" s="73" t="inlineStr">
        <is>
          <t>KUL</t>
        </is>
      </c>
      <c r="N124" s="73" t="inlineStr">
        <is>
          <t>Required</t>
        </is>
      </c>
      <c r="O124" s="73" t="inlineStr"/>
      <c r="P124" s="63" t="inlineStr">
        <is>
          <t>KUL</t>
        </is>
      </c>
      <c r="Q124" s="65">
        <f>Flights!$AF$8</f>
        <v/>
      </c>
      <c r="R124" s="65">
        <f>Q124+(IF(AND(INDEX(TZ_DSTS,MATCH(P124,TZ_STN,0))&lt;&gt;"",Q124&gt;=INDEX(TZ_DSTS,MATCH(P124,TZ_STN,0)),Q124&lt;INDEX(TZ_DSTE,MATCH(P124,TZ_STN,0))),INDEX(TZ_DST,MATCH(P124,TZ_STN,0)),INDEX(TZ_STD,MATCH(P124,TZ_STN,0))))/24</f>
        <v/>
      </c>
      <c r="S124" s="65">
        <f>Q124-UpliftWindowH/24</f>
        <v/>
      </c>
      <c r="T124" s="66" t="n"/>
      <c r="U124" s="66" t="n"/>
      <c r="V124" s="66" t="n"/>
      <c r="W124" s="67" t="n"/>
      <c r="X124" s="66" t="n"/>
      <c r="Y124" s="66" t="n"/>
      <c r="Z124" s="66" t="n"/>
      <c r="AA124" s="66" t="n"/>
      <c r="AB124" s="66" t="n"/>
      <c r="AC124" s="66" t="n"/>
      <c r="AD124" s="72" t="n"/>
      <c r="AE124" s="66" t="n"/>
      <c r="AF124" s="67">
        <f>IF(AND(ISNUMBER(X124),ISNUMBER(Y124)),Y124-X124,"")</f>
        <v/>
      </c>
      <c r="AG124" s="68">
        <f>IF(ISNUMBER(AD124),AD124-(IF(AND(INDEX(TZ_DSTS,MATCH(P124,TZ_STN,0))&lt;&gt;"",(AD124-INDEX(TZ_STD,MATCH(P124,TZ_STN,0))/24)&gt;=INDEX(TZ_DSTS,MATCH(P124,TZ_STN,0)),(AD124-INDEX(TZ_STD,MATCH(P124,TZ_STN,0))/24)&lt;INDEX(TZ_DSTE,MATCH(P124,TZ_STN,0))),INDEX(TZ_DST,MATCH(P124,TZ_STN,0)),INDEX(TZ_STD,MATCH(P124,TZ_STN,0))))/24,"")</f>
        <v/>
      </c>
      <c r="AH124" s="71">
        <f>IF(N124="N/A – rule","N/A – RULE",IF(TRIM(U124)="N/A",IF(AT124=0,"INVALID – N/A not permitted for this mandatory check",IF(AND(TRIM(AC124)&lt;&gt;"",TRIM(AE124)&lt;&gt;"",TRIM(T124)&lt;&gt;""),"N/A – JUSTIFIED","INVALID – N/A needs justification, PIC and verifier")),IF(OR(TRIM(U124)="Pass",TRIM(U124)="Pass after CA"),IF(NOT(ISNUMBER(AD124)),"INVALID – completion time missing",IF(TRIM(T124)="","INVALID – PIC missing",IF(TRIM(Z124)="","INVALID – evidence missing",IF(TRIM(AE124)="","INVALID – verifier missing",IF(AND(AQ124=1,TRIM(W124)=""),"INVALID – batch ID missing",IF(AND(AR124=1,OR(NOT(ISNUMBER(X124)),NOT(ISNUMBER(Y124)))),"INVALID – expected/actual qty missing",IF(IF(AND(TRIM(U124)="Pass",ISNUMBER(AF124)),IF(AF124&lt;&gt;0,"INVALID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recorded/closed","")&lt;&gt;"",IF(AND(TRIM(U124)="Pass",ISNUMBER(AF124)),IF(AF124&lt;&gt;0,"INVALID – qty variance: use Fail or Pass after CA",""),"")&amp;IF(AND(TRIM(U124)="Pass",AB124="Open"),"INVALID – corrective action still open: use Fail, then Pass after CA","")&amp;IF(AND(TRIM(U124)="Pass after CA",OR(TRIM(AA124)="",AB124&lt;&gt;"Closed")),"INVALID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window"),IF(AG124&gt;Flights!$AA$8,"INVALID – completed after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f>
        <v/>
      </c>
      <c r="AI124" s="67">
        <f>IF(OR(AH124="N/A – RULE",AH124="N/A – JUSTIFIED"),0,1)</f>
        <v/>
      </c>
      <c r="AJ124" s="67">
        <f>IF(LEFT(AH124,8)="COMPLETE",1,0)</f>
        <v/>
      </c>
      <c r="AK124" s="67">
        <f>IF(AND(AI124=1,AJ124=0,AsOfUTC&gt;Q124),1,0)</f>
        <v/>
      </c>
      <c r="AL124" s="67">
        <f>IF(AND(AI124=1,OR(TRIM(U124)="Fail",AB124="Open",AND(ISNUMBER(AF124),AF124&lt;&gt;0,TRIM(U124)&lt;&gt;"Pass after CA"))),1,0)</f>
        <v/>
      </c>
      <c r="AM124" s="67">
        <f>IF(LEFT(AH124,7)="INVALID",1,0)</f>
        <v/>
      </c>
      <c r="AN124" s="67">
        <f>IF(AND(N124="Clarification required",AI124=1,AJ124=0),1,0)</f>
        <v/>
      </c>
      <c r="AO124" s="67">
        <f>IF(AK124=1,SUM(AK$5:AK124),"")</f>
        <v/>
      </c>
      <c r="AP124" s="67">
        <f>IF(AL124=1,SUM(AL$5:AL124),"")</f>
        <v/>
      </c>
      <c r="AQ124" s="67" t="n">
        <v>0</v>
      </c>
      <c r="AR124" s="67" t="n">
        <v>0</v>
      </c>
      <c r="AS124" s="67" t="n">
        <v>0</v>
      </c>
      <c r="AT124" s="67" t="n">
        <v>1</v>
      </c>
    </row>
    <row r="125" ht="40" customHeight="1">
      <c r="A125" s="63" t="inlineStr">
        <is>
          <t>F04-UPL-05</t>
        </is>
      </c>
      <c r="B125" s="63" t="inlineStr">
        <is>
          <t>F04</t>
        </is>
      </c>
      <c r="C125" s="63">
        <f>Flights!$F$8</f>
        <v/>
      </c>
      <c r="D125" s="64">
        <f>Flights!$D$8</f>
        <v/>
      </c>
      <c r="E125" s="63">
        <f>Flights!$G$8&amp;"-"&amp;Flights!$H$8</f>
        <v/>
      </c>
      <c r="F125" s="63">
        <f>Flights!$K$8</f>
        <v/>
      </c>
      <c r="G125" s="63" t="inlineStr">
        <is>
          <t>UPLIFT</t>
        </is>
      </c>
      <c r="H125" s="63" t="inlineStr">
        <is>
          <t>Physical uplift</t>
        </is>
      </c>
      <c r="I125" s="63" t="inlineStr">
        <is>
          <t>F&amp;B Linen</t>
        </is>
      </c>
      <c r="J125" s="63" t="inlineStr">
        <is>
          <t>Towel - on board</t>
        </is>
      </c>
      <c r="K125" s="73" t="inlineStr">
        <is>
          <t>Available (ticked in reference)</t>
        </is>
      </c>
      <c r="L125" s="73" t="inlineStr">
        <is>
          <t>STD UPLIFT INFORMATION.xlsx &gt; F&amp;B LINEN!D14</t>
        </is>
      </c>
      <c r="M125" s="73" t="inlineStr">
        <is>
          <t>Not stated in reference</t>
        </is>
      </c>
      <c r="N125" s="73" t="inlineStr">
        <is>
          <t>Required</t>
        </is>
      </c>
      <c r="O125" s="73" t="inlineStr"/>
      <c r="P125" s="63" t="inlineStr">
        <is>
          <t>KUL</t>
        </is>
      </c>
      <c r="Q125" s="65">
        <f>Flights!$AF$8</f>
        <v/>
      </c>
      <c r="R125" s="65">
        <f>Q125+(IF(AND(INDEX(TZ_DSTS,MATCH(P125,TZ_STN,0))&lt;&gt;"",Q125&gt;=INDEX(TZ_DSTS,MATCH(P125,TZ_STN,0)),Q125&lt;INDEX(TZ_DSTE,MATCH(P125,TZ_STN,0))),INDEX(TZ_DST,MATCH(P125,TZ_STN,0)),INDEX(TZ_STD,MATCH(P125,TZ_STN,0))))/24</f>
        <v/>
      </c>
      <c r="S125" s="65">
        <f>Q125-UpliftWindowH/24</f>
        <v/>
      </c>
      <c r="T125" s="66" t="n"/>
      <c r="U125" s="66" t="n"/>
      <c r="V125" s="66" t="n"/>
      <c r="W125" s="67" t="n"/>
      <c r="X125" s="66" t="n"/>
      <c r="Y125" s="66" t="n"/>
      <c r="Z125" s="66" t="n"/>
      <c r="AA125" s="66" t="n"/>
      <c r="AB125" s="66" t="n"/>
      <c r="AC125" s="66" t="n"/>
      <c r="AD125" s="72" t="n"/>
      <c r="AE125" s="66" t="n"/>
      <c r="AF125" s="67">
        <f>IF(AND(ISNUMBER(X125),ISNUMBER(Y125)),Y125-X125,"")</f>
        <v/>
      </c>
      <c r="AG125" s="68">
        <f>IF(ISNUMBER(AD125),AD125-(IF(AND(INDEX(TZ_DSTS,MATCH(P125,TZ_STN,0))&lt;&gt;"",(AD125-INDEX(TZ_STD,MATCH(P125,TZ_STN,0))/24)&gt;=INDEX(TZ_DSTS,MATCH(P125,TZ_STN,0)),(AD125-INDEX(TZ_STD,MATCH(P125,TZ_STN,0))/24)&lt;INDEX(TZ_DSTE,MATCH(P125,TZ_STN,0))),INDEX(TZ_DST,MATCH(P125,TZ_STN,0)),INDEX(TZ_STD,MATCH(P125,TZ_STN,0))))/24,"")</f>
        <v/>
      </c>
      <c r="AH125" s="71">
        <f>IF(N125="N/A – rule","N/A – RULE",IF(TRIM(U125)="N/A",IF(AT125=0,"INVALID – N/A not permitted for this mandatory check",IF(AND(TRIM(AC125)&lt;&gt;"",TRIM(AE125)&lt;&gt;"",TRIM(T125)&lt;&gt;""),"N/A – JUSTIFIED","INVALID – N/A needs justification, PIC and verifier")),IF(OR(TRIM(U125)="Pass",TRIM(U125)="Pass after CA"),IF(NOT(ISNUMBER(AD125)),"INVALID – completion time missing",IF(TRIM(T125)="","INVALID – PIC missing",IF(TRIM(Z125)="","INVALID – evidence missing",IF(TRIM(AE125)="","INVALID – verifier missing",IF(AND(AQ125=1,TRIM(W125)=""),"INVALID – batch ID missing",IF(AND(AR125=1,OR(NOT(ISNUMBER(X125)),NOT(ISNUMBER(Y125)))),"INVALID – expected/actual qty missing",IF(IF(AND(TRIM(U125)="Pass",ISNUMBER(AF125)),IF(AF125&lt;&gt;0,"INVALID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recorded/closed","")&lt;&gt;"",IF(AND(TRIM(U125)="Pass",ISNUMBER(AF125)),IF(AF125&lt;&gt;0,"INVALID – qty variance: use Fail or Pass after CA",""),"")&amp;IF(AND(TRIM(U125)="Pass",AB125="Open"),"INVALID – corrective action still open: use Fail, then Pass after CA","")&amp;IF(AND(TRIM(U125)="Pass after CA",OR(TRIM(AA125)="",AB125&lt;&gt;"Closed")),"INVALID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window"),IF(AG125&gt;Flights!$AA$8,"INVALID – completed after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f>
        <v/>
      </c>
      <c r="AI125" s="67">
        <f>IF(OR(AH125="N/A – RULE",AH125="N/A – JUSTIFIED"),0,1)</f>
        <v/>
      </c>
      <c r="AJ125" s="67">
        <f>IF(LEFT(AH125,8)="COMPLETE",1,0)</f>
        <v/>
      </c>
      <c r="AK125" s="67">
        <f>IF(AND(AI125=1,AJ125=0,AsOfUTC&gt;Q125),1,0)</f>
        <v/>
      </c>
      <c r="AL125" s="67">
        <f>IF(AND(AI125=1,OR(TRIM(U125)="Fail",AB125="Open",AND(ISNUMBER(AF125),AF125&lt;&gt;0,TRIM(U125)&lt;&gt;"Pass after CA"))),1,0)</f>
        <v/>
      </c>
      <c r="AM125" s="67">
        <f>IF(LEFT(AH125,7)="INVALID",1,0)</f>
        <v/>
      </c>
      <c r="AN125" s="67">
        <f>IF(AND(N125="Clarification required",AI125=1,AJ125=0),1,0)</f>
        <v/>
      </c>
      <c r="AO125" s="67">
        <f>IF(AK125=1,SUM(AK$5:AK125),"")</f>
        <v/>
      </c>
      <c r="AP125" s="67">
        <f>IF(AL125=1,SUM(AL$5:AL125),"")</f>
        <v/>
      </c>
      <c r="AQ125" s="67" t="n">
        <v>0</v>
      </c>
      <c r="AR125" s="67" t="n">
        <v>0</v>
      </c>
      <c r="AS125" s="67" t="n">
        <v>0</v>
      </c>
      <c r="AT125" s="67" t="n">
        <v>1</v>
      </c>
    </row>
    <row r="126" ht="40" customHeight="1">
      <c r="A126" s="63" t="inlineStr">
        <is>
          <t>F04-UPL-06</t>
        </is>
      </c>
      <c r="B126" s="63" t="inlineStr">
        <is>
          <t>F04</t>
        </is>
      </c>
      <c r="C126" s="63">
        <f>Flights!$F$8</f>
        <v/>
      </c>
      <c r="D126" s="64">
        <f>Flights!$D$8</f>
        <v/>
      </c>
      <c r="E126" s="63">
        <f>Flights!$G$8&amp;"-"&amp;Flights!$H$8</f>
        <v/>
      </c>
      <c r="F126" s="63">
        <f>Flights!$K$8</f>
        <v/>
      </c>
      <c r="G126" s="63" t="inlineStr">
        <is>
          <t>UPLIFT</t>
        </is>
      </c>
      <c r="H126" s="63" t="inlineStr">
        <is>
          <t>Physical uplift</t>
        </is>
      </c>
      <c r="I126" s="63" t="inlineStr">
        <is>
          <t>F&amp;B Linen</t>
        </is>
      </c>
      <c r="J126" s="63" t="inlineStr">
        <is>
          <t>Tray cloth - on board</t>
        </is>
      </c>
      <c r="K126" s="73" t="inlineStr">
        <is>
          <t>Available (ticked in reference)</t>
        </is>
      </c>
      <c r="L126" s="73" t="inlineStr">
        <is>
          <t>STD UPLIFT INFORMATION.xlsx &gt; F&amp;B LINEN!E14</t>
        </is>
      </c>
      <c r="M126" s="73" t="inlineStr">
        <is>
          <t>Not stated in reference</t>
        </is>
      </c>
      <c r="N126" s="73" t="inlineStr">
        <is>
          <t>Required</t>
        </is>
      </c>
      <c r="O126" s="73" t="inlineStr"/>
      <c r="P126" s="63" t="inlineStr">
        <is>
          <t>KUL</t>
        </is>
      </c>
      <c r="Q126" s="65">
        <f>Flights!$AF$8</f>
        <v/>
      </c>
      <c r="R126" s="65">
        <f>Q126+(IF(AND(INDEX(TZ_DSTS,MATCH(P126,TZ_STN,0))&lt;&gt;"",Q126&gt;=INDEX(TZ_DSTS,MATCH(P126,TZ_STN,0)),Q126&lt;INDEX(TZ_DSTE,MATCH(P126,TZ_STN,0))),INDEX(TZ_DST,MATCH(P126,TZ_STN,0)),INDEX(TZ_STD,MATCH(P126,TZ_STN,0))))/24</f>
        <v/>
      </c>
      <c r="S126" s="65">
        <f>Q126-UpliftWindowH/24</f>
        <v/>
      </c>
      <c r="T126" s="66" t="n"/>
      <c r="U126" s="66" t="n"/>
      <c r="V126" s="66" t="n"/>
      <c r="W126" s="67" t="n"/>
      <c r="X126" s="66" t="n"/>
      <c r="Y126" s="66" t="n"/>
      <c r="Z126" s="66" t="n"/>
      <c r="AA126" s="66" t="n"/>
      <c r="AB126" s="66" t="n"/>
      <c r="AC126" s="66" t="n"/>
      <c r="AD126" s="72" t="n"/>
      <c r="AE126" s="66" t="n"/>
      <c r="AF126" s="67">
        <f>IF(AND(ISNUMBER(X126),ISNUMBER(Y126)),Y126-X126,"")</f>
        <v/>
      </c>
      <c r="AG126" s="68">
        <f>IF(ISNUMBER(AD126),AD126-(IF(AND(INDEX(TZ_DSTS,MATCH(P126,TZ_STN,0))&lt;&gt;"",(AD126-INDEX(TZ_STD,MATCH(P126,TZ_STN,0))/24)&gt;=INDEX(TZ_DSTS,MATCH(P126,TZ_STN,0)),(AD126-INDEX(TZ_STD,MATCH(P126,TZ_STN,0))/24)&lt;INDEX(TZ_DSTE,MATCH(P126,TZ_STN,0))),INDEX(TZ_DST,MATCH(P126,TZ_STN,0)),INDEX(TZ_STD,MATCH(P126,TZ_STN,0))))/24,"")</f>
        <v/>
      </c>
      <c r="AH126" s="71">
        <f>IF(N126="N/A – rule","N/A – RULE",IF(TRIM(U126)="N/A",IF(AT126=0,"INVALID – N/A not permitted for this mandatory check",IF(AND(TRIM(AC126)&lt;&gt;"",TRIM(AE126)&lt;&gt;"",TRIM(T126)&lt;&gt;""),"N/A – JUSTIFIED","INVALID – N/A needs justification, PIC and verifier")),IF(OR(TRIM(U126)="Pass",TRIM(U126)="Pass after CA"),IF(NOT(ISNUMBER(AD126)),"INVALID – completion time missing",IF(TRIM(T126)="","INVALID – PIC missing",IF(TRIM(Z126)="","INVALID – evidence missing",IF(TRIM(AE126)="","INVALID – verifier missing",IF(AND(AQ126=1,TRIM(W126)=""),"INVALID – batch ID missing",IF(AND(AR126=1,OR(NOT(ISNUMBER(X126)),NOT(ISNUMBER(Y126)))),"INVALID – expected/actual qty missing",IF(IF(AND(TRIM(U126)="Pass",ISNUMBER(AF126)),IF(AF126&lt;&gt;0,"INVALID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recorded/closed","")&lt;&gt;"",IF(AND(TRIM(U126)="Pass",ISNUMBER(AF126)),IF(AF126&lt;&gt;0,"INVALID – qty variance: use Fail or Pass after CA",""),"")&amp;IF(AND(TRIM(U126)="Pass",AB126="Open"),"INVALID – corrective action still open: use Fail, then Pass after CA","")&amp;IF(AND(TRIM(U126)="Pass after CA",OR(TRIM(AA126)="",AB126&lt;&gt;"Closed")),"INVALID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window"),IF(AG126&gt;Flights!$AA$8,"INVALID – completed after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f>
        <v/>
      </c>
      <c r="AI126" s="67">
        <f>IF(OR(AH126="N/A – RULE",AH126="N/A – JUSTIFIED"),0,1)</f>
        <v/>
      </c>
      <c r="AJ126" s="67">
        <f>IF(LEFT(AH126,8)="COMPLETE",1,0)</f>
        <v/>
      </c>
      <c r="AK126" s="67">
        <f>IF(AND(AI126=1,AJ126=0,AsOfUTC&gt;Q126),1,0)</f>
        <v/>
      </c>
      <c r="AL126" s="67">
        <f>IF(AND(AI126=1,OR(TRIM(U126)="Fail",AB126="Open",AND(ISNUMBER(AF126),AF126&lt;&gt;0,TRIM(U126)&lt;&gt;"Pass after CA"))),1,0)</f>
        <v/>
      </c>
      <c r="AM126" s="67">
        <f>IF(LEFT(AH126,7)="INVALID",1,0)</f>
        <v/>
      </c>
      <c r="AN126" s="67">
        <f>IF(AND(N126="Clarification required",AI126=1,AJ126=0),1,0)</f>
        <v/>
      </c>
      <c r="AO126" s="67">
        <f>IF(AK126=1,SUM(AK$5:AK126),"")</f>
        <v/>
      </c>
      <c r="AP126" s="67">
        <f>IF(AL126=1,SUM(AL$5:AL126),"")</f>
        <v/>
      </c>
      <c r="AQ126" s="67" t="n">
        <v>0</v>
      </c>
      <c r="AR126" s="67" t="n">
        <v>0</v>
      </c>
      <c r="AS126" s="67" t="n">
        <v>0</v>
      </c>
      <c r="AT126" s="67" t="n">
        <v>1</v>
      </c>
    </row>
    <row r="127" ht="40" customHeight="1">
      <c r="A127" s="63" t="inlineStr">
        <is>
          <t>F04-UPL-07</t>
        </is>
      </c>
      <c r="B127" s="63" t="inlineStr">
        <is>
          <t>F04</t>
        </is>
      </c>
      <c r="C127" s="63">
        <f>Flights!$F$8</f>
        <v/>
      </c>
      <c r="D127" s="64">
        <f>Flights!$D$8</f>
        <v/>
      </c>
      <c r="E127" s="63">
        <f>Flights!$G$8&amp;"-"&amp;Flights!$H$8</f>
        <v/>
      </c>
      <c r="F127" s="63">
        <f>Flights!$K$8</f>
        <v/>
      </c>
      <c r="G127" s="63" t="inlineStr">
        <is>
          <t>UPLIFT</t>
        </is>
      </c>
      <c r="H127" s="63" t="inlineStr">
        <is>
          <t>Physical uplift</t>
        </is>
      </c>
      <c r="I127" s="63" t="inlineStr">
        <is>
          <t>F&amp;B Linen</t>
        </is>
      </c>
      <c r="J127" s="63" t="inlineStr">
        <is>
          <t>Napkin - on board</t>
        </is>
      </c>
      <c r="K127" s="73" t="inlineStr">
        <is>
          <t>Available (ticked in reference)</t>
        </is>
      </c>
      <c r="L127" s="73" t="inlineStr">
        <is>
          <t>STD UPLIFT INFORMATION.xlsx &gt; F&amp;B LINEN!F14</t>
        </is>
      </c>
      <c r="M127" s="73" t="inlineStr">
        <is>
          <t>Not stated in reference</t>
        </is>
      </c>
      <c r="N127" s="73" t="inlineStr">
        <is>
          <t>Required</t>
        </is>
      </c>
      <c r="O127" s="73" t="inlineStr"/>
      <c r="P127" s="63" t="inlineStr">
        <is>
          <t>KUL</t>
        </is>
      </c>
      <c r="Q127" s="65">
        <f>Flights!$AF$8</f>
        <v/>
      </c>
      <c r="R127" s="65">
        <f>Q127+(IF(AND(INDEX(TZ_DSTS,MATCH(P127,TZ_STN,0))&lt;&gt;"",Q127&gt;=INDEX(TZ_DSTS,MATCH(P127,TZ_STN,0)),Q127&lt;INDEX(TZ_DSTE,MATCH(P127,TZ_STN,0))),INDEX(TZ_DST,MATCH(P127,TZ_STN,0)),INDEX(TZ_STD,MATCH(P127,TZ_STN,0))))/24</f>
        <v/>
      </c>
      <c r="S127" s="65">
        <f>Q127-UpliftWindowH/24</f>
        <v/>
      </c>
      <c r="T127" s="66" t="n"/>
      <c r="U127" s="66" t="n"/>
      <c r="V127" s="66" t="n"/>
      <c r="W127" s="67" t="n"/>
      <c r="X127" s="66" t="n"/>
      <c r="Y127" s="66" t="n"/>
      <c r="Z127" s="66" t="n"/>
      <c r="AA127" s="66" t="n"/>
      <c r="AB127" s="66" t="n"/>
      <c r="AC127" s="66" t="n"/>
      <c r="AD127" s="72" t="n"/>
      <c r="AE127" s="66" t="n"/>
      <c r="AF127" s="67">
        <f>IF(AND(ISNUMBER(X127),ISNUMBER(Y127)),Y127-X127,"")</f>
        <v/>
      </c>
      <c r="AG127" s="68">
        <f>IF(ISNUMBER(AD127),AD127-(IF(AND(INDEX(TZ_DSTS,MATCH(P127,TZ_STN,0))&lt;&gt;"",(AD127-INDEX(TZ_STD,MATCH(P127,TZ_STN,0))/24)&gt;=INDEX(TZ_DSTS,MATCH(P127,TZ_STN,0)),(AD127-INDEX(TZ_STD,MATCH(P127,TZ_STN,0))/24)&lt;INDEX(TZ_DSTE,MATCH(P127,TZ_STN,0))),INDEX(TZ_DST,MATCH(P127,TZ_STN,0)),INDEX(TZ_STD,MATCH(P127,TZ_STN,0))))/24,"")</f>
        <v/>
      </c>
      <c r="AH127" s="71">
        <f>IF(N127="N/A – rule","N/A – RULE",IF(TRIM(U127)="N/A",IF(AT127=0,"INVALID – N/A not permitted for this mandatory check",IF(AND(TRIM(AC127)&lt;&gt;"",TRIM(AE127)&lt;&gt;"",TRIM(T127)&lt;&gt;""),"N/A – JUSTIFIED","INVALID – N/A needs justification, PIC and verifier")),IF(OR(TRIM(U127)="Pass",TRIM(U127)="Pass after CA"),IF(NOT(ISNUMBER(AD127)),"INVALID – completion time missing",IF(TRIM(T127)="","INVALID – PIC missing",IF(TRIM(Z127)="","INVALID – evidence missing",IF(TRIM(AE127)="","INVALID – verifier missing",IF(AND(AQ127=1,TRIM(W127)=""),"INVALID – batch ID missing",IF(AND(AR127=1,OR(NOT(ISNUMBER(X127)),NOT(ISNUMBER(Y127)))),"INVALID – expected/actual qty missing",IF(IF(AND(TRIM(U127)="Pass",ISNUMBER(AF127)),IF(AF127&lt;&gt;0,"INVALID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recorded/closed","")&lt;&gt;"",IF(AND(TRIM(U127)="Pass",ISNUMBER(AF127)),IF(AF127&lt;&gt;0,"INVALID – qty variance: use Fail or Pass after CA",""),"")&amp;IF(AND(TRIM(U127)="Pass",AB127="Open"),"INVALID – corrective action still open: use Fail, then Pass after CA","")&amp;IF(AND(TRIM(U127)="Pass after CA",OR(TRIM(AA127)="",AB127&lt;&gt;"Closed")),"INVALID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window"),IF(AG127&gt;Flights!$AA$8,"INVALID – completed after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f>
        <v/>
      </c>
      <c r="AI127" s="67">
        <f>IF(OR(AH127="N/A – RULE",AH127="N/A – JUSTIFIED"),0,1)</f>
        <v/>
      </c>
      <c r="AJ127" s="67">
        <f>IF(LEFT(AH127,8)="COMPLETE",1,0)</f>
        <v/>
      </c>
      <c r="AK127" s="67">
        <f>IF(AND(AI127=1,AJ127=0,AsOfUTC&gt;Q127),1,0)</f>
        <v/>
      </c>
      <c r="AL127" s="67">
        <f>IF(AND(AI127=1,OR(TRIM(U127)="Fail",AB127="Open",AND(ISNUMBER(AF127),AF127&lt;&gt;0,TRIM(U127)&lt;&gt;"Pass after CA"))),1,0)</f>
        <v/>
      </c>
      <c r="AM127" s="67">
        <f>IF(LEFT(AH127,7)="INVALID",1,0)</f>
        <v/>
      </c>
      <c r="AN127" s="67">
        <f>IF(AND(N127="Clarification required",AI127=1,AJ127=0),1,0)</f>
        <v/>
      </c>
      <c r="AO127" s="67">
        <f>IF(AK127=1,SUM(AK$5:AK127),"")</f>
        <v/>
      </c>
      <c r="AP127" s="67">
        <f>IF(AL127=1,SUM(AL$5:AL127),"")</f>
        <v/>
      </c>
      <c r="AQ127" s="67" t="n">
        <v>0</v>
      </c>
      <c r="AR127" s="67" t="n">
        <v>0</v>
      </c>
      <c r="AS127" s="67" t="n">
        <v>0</v>
      </c>
      <c r="AT127" s="67" t="n">
        <v>1</v>
      </c>
    </row>
    <row r="128" ht="40" customHeight="1">
      <c r="A128" s="63" t="inlineStr">
        <is>
          <t>F04-UPL-08</t>
        </is>
      </c>
      <c r="B128" s="63" t="inlineStr">
        <is>
          <t>F04</t>
        </is>
      </c>
      <c r="C128" s="63">
        <f>Flights!$F$8</f>
        <v/>
      </c>
      <c r="D128" s="64">
        <f>Flights!$D$8</f>
        <v/>
      </c>
      <c r="E128" s="63">
        <f>Flights!$G$8&amp;"-"&amp;Flights!$H$8</f>
        <v/>
      </c>
      <c r="F128" s="63">
        <f>Flights!$K$8</f>
        <v/>
      </c>
      <c r="G128" s="63" t="inlineStr">
        <is>
          <t>UPLIFT</t>
        </is>
      </c>
      <c r="H128" s="63" t="inlineStr">
        <is>
          <t>Physical uplift</t>
        </is>
      </c>
      <c r="I128" s="63" t="inlineStr">
        <is>
          <t>F&amp;B Linen</t>
        </is>
      </c>
      <c r="J128" s="63" t="inlineStr">
        <is>
          <t>Table cloth - on board</t>
        </is>
      </c>
      <c r="K128" s="73" t="inlineStr">
        <is>
          <t>Available (ticked in reference)</t>
        </is>
      </c>
      <c r="L128" s="73" t="inlineStr">
        <is>
          <t>STD UPLIFT INFORMATION.xlsx &gt; F&amp;B LINEN!G14</t>
        </is>
      </c>
      <c r="M128" s="73" t="inlineStr">
        <is>
          <t>Not stated in reference</t>
        </is>
      </c>
      <c r="N128" s="73" t="inlineStr">
        <is>
          <t>Required</t>
        </is>
      </c>
      <c r="O128" s="73" t="inlineStr"/>
      <c r="P128" s="63" t="inlineStr">
        <is>
          <t>KUL</t>
        </is>
      </c>
      <c r="Q128" s="65">
        <f>Flights!$AF$8</f>
        <v/>
      </c>
      <c r="R128" s="65">
        <f>Q128+(IF(AND(INDEX(TZ_DSTS,MATCH(P128,TZ_STN,0))&lt;&gt;"",Q128&gt;=INDEX(TZ_DSTS,MATCH(P128,TZ_STN,0)),Q128&lt;INDEX(TZ_DSTE,MATCH(P128,TZ_STN,0))),INDEX(TZ_DST,MATCH(P128,TZ_STN,0)),INDEX(TZ_STD,MATCH(P128,TZ_STN,0))))/24</f>
        <v/>
      </c>
      <c r="S128" s="65">
        <f>Q128-UpliftWindowH/24</f>
        <v/>
      </c>
      <c r="T128" s="66" t="n"/>
      <c r="U128" s="66" t="n"/>
      <c r="V128" s="66" t="n"/>
      <c r="W128" s="67" t="n"/>
      <c r="X128" s="66" t="n"/>
      <c r="Y128" s="66" t="n"/>
      <c r="Z128" s="66" t="n"/>
      <c r="AA128" s="66" t="n"/>
      <c r="AB128" s="66" t="n"/>
      <c r="AC128" s="66" t="n"/>
      <c r="AD128" s="72" t="n"/>
      <c r="AE128" s="66" t="n"/>
      <c r="AF128" s="67">
        <f>IF(AND(ISNUMBER(X128),ISNUMBER(Y128)),Y128-X128,"")</f>
        <v/>
      </c>
      <c r="AG128" s="68">
        <f>IF(ISNUMBER(AD128),AD128-(IF(AND(INDEX(TZ_DSTS,MATCH(P128,TZ_STN,0))&lt;&gt;"",(AD128-INDEX(TZ_STD,MATCH(P128,TZ_STN,0))/24)&gt;=INDEX(TZ_DSTS,MATCH(P128,TZ_STN,0)),(AD128-INDEX(TZ_STD,MATCH(P128,TZ_STN,0))/24)&lt;INDEX(TZ_DSTE,MATCH(P128,TZ_STN,0))),INDEX(TZ_DST,MATCH(P128,TZ_STN,0)),INDEX(TZ_STD,MATCH(P128,TZ_STN,0))))/24,"")</f>
        <v/>
      </c>
      <c r="AH128" s="71">
        <f>IF(N128="N/A – rule","N/A – RULE",IF(TRIM(U128)="N/A",IF(AT128=0,"INVALID – N/A not permitted for this mandatory check",IF(AND(TRIM(AC128)&lt;&gt;"",TRIM(AE128)&lt;&gt;"",TRIM(T128)&lt;&gt;""),"N/A – JUSTIFIED","INVALID – N/A needs justification, PIC and verifier")),IF(OR(TRIM(U128)="Pass",TRIM(U128)="Pass after CA"),IF(NOT(ISNUMBER(AD128)),"INVALID – completion time missing",IF(TRIM(T128)="","INVALID – PIC missing",IF(TRIM(Z128)="","INVALID – evidence missing",IF(TRIM(AE128)="","INVALID – verifier missing",IF(AND(AQ128=1,TRIM(W128)=""),"INVALID – batch ID missing",IF(AND(AR128=1,OR(NOT(ISNUMBER(X128)),NOT(ISNUMBER(Y128)))),"INVALID – expected/actual qty missing",IF(IF(AND(TRIM(U128)="Pass",ISNUMBER(AF128)),IF(AF128&lt;&gt;0,"INVALID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recorded/closed","")&lt;&gt;"",IF(AND(TRIM(U128)="Pass",ISNUMBER(AF128)),IF(AF128&lt;&gt;0,"INVALID – qty variance: use Fail or Pass after CA",""),"")&amp;IF(AND(TRIM(U128)="Pass",AB128="Open"),"INVALID – corrective action still open: use Fail, then Pass after CA","")&amp;IF(AND(TRIM(U128)="Pass after CA",OR(TRIM(AA128)="",AB128&lt;&gt;"Closed")),"INVALID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window"),IF(AG128&gt;Flights!$AA$8,"INVALID – completed after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f>
        <v/>
      </c>
      <c r="AI128" s="67">
        <f>IF(OR(AH128="N/A – RULE",AH128="N/A – JUSTIFIED"),0,1)</f>
        <v/>
      </c>
      <c r="AJ128" s="67">
        <f>IF(LEFT(AH128,8)="COMPLETE",1,0)</f>
        <v/>
      </c>
      <c r="AK128" s="67">
        <f>IF(AND(AI128=1,AJ128=0,AsOfUTC&gt;Q128),1,0)</f>
        <v/>
      </c>
      <c r="AL128" s="67">
        <f>IF(AND(AI128=1,OR(TRIM(U128)="Fail",AB128="Open",AND(ISNUMBER(AF128),AF128&lt;&gt;0,TRIM(U128)&lt;&gt;"Pass after CA"))),1,0)</f>
        <v/>
      </c>
      <c r="AM128" s="67">
        <f>IF(LEFT(AH128,7)="INVALID",1,0)</f>
        <v/>
      </c>
      <c r="AN128" s="67">
        <f>IF(AND(N128="Clarification required",AI128=1,AJ128=0),1,0)</f>
        <v/>
      </c>
      <c r="AO128" s="67">
        <f>IF(AK128=1,SUM(AK$5:AK128),"")</f>
        <v/>
      </c>
      <c r="AP128" s="67">
        <f>IF(AL128=1,SUM(AL$5:AL128),"")</f>
        <v/>
      </c>
      <c r="AQ128" s="67" t="n">
        <v>0</v>
      </c>
      <c r="AR128" s="67" t="n">
        <v>0</v>
      </c>
      <c r="AS128" s="67" t="n">
        <v>0</v>
      </c>
      <c r="AT128" s="67" t="n">
        <v>1</v>
      </c>
    </row>
    <row r="129" ht="40" customHeight="1">
      <c r="A129" s="63" t="inlineStr">
        <is>
          <t>F04-UPL-09</t>
        </is>
      </c>
      <c r="B129" s="63" t="inlineStr">
        <is>
          <t>F04</t>
        </is>
      </c>
      <c r="C129" s="63">
        <f>Flights!$F$8</f>
        <v/>
      </c>
      <c r="D129" s="64">
        <f>Flights!$D$8</f>
        <v/>
      </c>
      <c r="E129" s="63">
        <f>Flights!$G$8&amp;"-"&amp;Flights!$H$8</f>
        <v/>
      </c>
      <c r="F129" s="63">
        <f>Flights!$K$8</f>
        <v/>
      </c>
      <c r="G129" s="63" t="inlineStr">
        <is>
          <t>UPLIFT</t>
        </is>
      </c>
      <c r="H129" s="63" t="inlineStr">
        <is>
          <t>Physical uplift</t>
        </is>
      </c>
      <c r="I129" s="63" t="inlineStr">
        <is>
          <t>F&amp;B Linen</t>
        </is>
      </c>
      <c r="J129" s="63" t="inlineStr">
        <is>
          <t>Bread linen (using table cloth) - on board</t>
        </is>
      </c>
      <c r="K129" s="73" t="inlineStr">
        <is>
          <t>Available (ticked in reference)</t>
        </is>
      </c>
      <c r="L129" s="73" t="inlineStr">
        <is>
          <t>STD UPLIFT INFORMATION.xlsx &gt; F&amp;B LINEN!H14</t>
        </is>
      </c>
      <c r="M129" s="73" t="inlineStr">
        <is>
          <t>Not stated in reference</t>
        </is>
      </c>
      <c r="N129" s="73" t="inlineStr">
        <is>
          <t>Required</t>
        </is>
      </c>
      <c r="O129" s="73" t="inlineStr"/>
      <c r="P129" s="63" t="inlineStr">
        <is>
          <t>KUL</t>
        </is>
      </c>
      <c r="Q129" s="65">
        <f>Flights!$AF$8</f>
        <v/>
      </c>
      <c r="R129" s="65">
        <f>Q129+(IF(AND(INDEX(TZ_DSTS,MATCH(P129,TZ_STN,0))&lt;&gt;"",Q129&gt;=INDEX(TZ_DSTS,MATCH(P129,TZ_STN,0)),Q129&lt;INDEX(TZ_DSTE,MATCH(P129,TZ_STN,0))),INDEX(TZ_DST,MATCH(P129,TZ_STN,0)),INDEX(TZ_STD,MATCH(P129,TZ_STN,0))))/24</f>
        <v/>
      </c>
      <c r="S129" s="65">
        <f>Q129-UpliftWindowH/24</f>
        <v/>
      </c>
      <c r="T129" s="66" t="n"/>
      <c r="U129" s="66" t="n"/>
      <c r="V129" s="66" t="n"/>
      <c r="W129" s="67" t="n"/>
      <c r="X129" s="66" t="n"/>
      <c r="Y129" s="66" t="n"/>
      <c r="Z129" s="66" t="n"/>
      <c r="AA129" s="66" t="n"/>
      <c r="AB129" s="66" t="n"/>
      <c r="AC129" s="66" t="n"/>
      <c r="AD129" s="72" t="n"/>
      <c r="AE129" s="66" t="n"/>
      <c r="AF129" s="67">
        <f>IF(AND(ISNUMBER(X129),ISNUMBER(Y129)),Y129-X129,"")</f>
        <v/>
      </c>
      <c r="AG129" s="68">
        <f>IF(ISNUMBER(AD129),AD129-(IF(AND(INDEX(TZ_DSTS,MATCH(P129,TZ_STN,0))&lt;&gt;"",(AD129-INDEX(TZ_STD,MATCH(P129,TZ_STN,0))/24)&gt;=INDEX(TZ_DSTS,MATCH(P129,TZ_STN,0)),(AD129-INDEX(TZ_STD,MATCH(P129,TZ_STN,0))/24)&lt;INDEX(TZ_DSTE,MATCH(P129,TZ_STN,0))),INDEX(TZ_DST,MATCH(P129,TZ_STN,0)),INDEX(TZ_STD,MATCH(P129,TZ_STN,0))))/24,"")</f>
        <v/>
      </c>
      <c r="AH129" s="71">
        <f>IF(N129="N/A – rule","N/A – RULE",IF(TRIM(U129)="N/A",IF(AT129=0,"INVALID – N/A not permitted for this mandatory check",IF(AND(TRIM(AC129)&lt;&gt;"",TRIM(AE129)&lt;&gt;"",TRIM(T129)&lt;&gt;""),"N/A – JUSTIFIED","INVALID – N/A needs justification, PIC and verifier")),IF(OR(TRIM(U129)="Pass",TRIM(U129)="Pass after CA"),IF(NOT(ISNUMBER(AD129)),"INVALID – completion time missing",IF(TRIM(T129)="","INVALID – PIC missing",IF(TRIM(Z129)="","INVALID – evidence missing",IF(TRIM(AE129)="","INVALID – verifier missing",IF(AND(AQ129=1,TRIM(W129)=""),"INVALID – batch ID missing",IF(AND(AR129=1,OR(NOT(ISNUMBER(X129)),NOT(ISNUMBER(Y129)))),"INVALID – expected/actual qty missing",IF(IF(AND(TRIM(U129)="Pass",ISNUMBER(AF129)),IF(AF129&lt;&gt;0,"INVALID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recorded/closed","")&lt;&gt;"",IF(AND(TRIM(U129)="Pass",ISNUMBER(AF129)),IF(AF129&lt;&gt;0,"INVALID – qty variance: use Fail or Pass after CA",""),"")&amp;IF(AND(TRIM(U129)="Pass",AB129="Open"),"INVALID – corrective action still open: use Fail, then Pass after CA","")&amp;IF(AND(TRIM(U129)="Pass after CA",OR(TRIM(AA129)="",AB129&lt;&gt;"Closed")),"INVALID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window"),IF(AG129&gt;Flights!$AA$8,"INVALID – completed after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f>
        <v/>
      </c>
      <c r="AI129" s="67">
        <f>IF(OR(AH129="N/A – RULE",AH129="N/A – JUSTIFIED"),0,1)</f>
        <v/>
      </c>
      <c r="AJ129" s="67">
        <f>IF(LEFT(AH129,8)="COMPLETE",1,0)</f>
        <v/>
      </c>
      <c r="AK129" s="67">
        <f>IF(AND(AI129=1,AJ129=0,AsOfUTC&gt;Q129),1,0)</f>
        <v/>
      </c>
      <c r="AL129" s="67">
        <f>IF(AND(AI129=1,OR(TRIM(U129)="Fail",AB129="Open",AND(ISNUMBER(AF129),AF129&lt;&gt;0,TRIM(U129)&lt;&gt;"Pass after CA"))),1,0)</f>
        <v/>
      </c>
      <c r="AM129" s="67">
        <f>IF(LEFT(AH129,7)="INVALID",1,0)</f>
        <v/>
      </c>
      <c r="AN129" s="67">
        <f>IF(AND(N129="Clarification required",AI129=1,AJ129=0),1,0)</f>
        <v/>
      </c>
      <c r="AO129" s="67">
        <f>IF(AK129=1,SUM(AK$5:AK129),"")</f>
        <v/>
      </c>
      <c r="AP129" s="67">
        <f>IF(AL129=1,SUM(AL$5:AL129),"")</f>
        <v/>
      </c>
      <c r="AQ129" s="67" t="n">
        <v>0</v>
      </c>
      <c r="AR129" s="67" t="n">
        <v>0</v>
      </c>
      <c r="AS129" s="67" t="n">
        <v>0</v>
      </c>
      <c r="AT129" s="67" t="n">
        <v>1</v>
      </c>
    </row>
    <row r="130" ht="40" customHeight="1">
      <c r="A130" s="63" t="inlineStr">
        <is>
          <t>F04-UPL-10</t>
        </is>
      </c>
      <c r="B130" s="63" t="inlineStr">
        <is>
          <t>F04</t>
        </is>
      </c>
      <c r="C130" s="63">
        <f>Flights!$F$8</f>
        <v/>
      </c>
      <c r="D130" s="64">
        <f>Flights!$D$8</f>
        <v/>
      </c>
      <c r="E130" s="63">
        <f>Flights!$G$8&amp;"-"&amp;Flights!$H$8</f>
        <v/>
      </c>
      <c r="F130" s="63">
        <f>Flights!$K$8</f>
        <v/>
      </c>
      <c r="G130" s="63" t="inlineStr">
        <is>
          <t>UPLIFT</t>
        </is>
      </c>
      <c r="H130" s="63" t="inlineStr">
        <is>
          <t>Physical uplift</t>
        </is>
      </c>
      <c r="I130" s="63" t="inlineStr">
        <is>
          <t>F&amp;B Linen</t>
        </is>
      </c>
      <c r="J130" s="63" t="inlineStr">
        <is>
          <t>Trolley cloth - on board</t>
        </is>
      </c>
      <c r="K130" s="73" t="inlineStr">
        <is>
          <t>Wide body: Top/Middle &amp; Bottom</t>
        </is>
      </c>
      <c r="L130" s="73" t="inlineStr">
        <is>
          <t>STD UPLIFT INFORMATION.xlsx &gt; F&amp;B LINEN!I14</t>
        </is>
      </c>
      <c r="M130" s="73" t="inlineStr">
        <is>
          <t>Not stated in reference</t>
        </is>
      </c>
      <c r="N130" s="73" t="inlineStr">
        <is>
          <t>Required</t>
        </is>
      </c>
      <c r="O130" s="73" t="inlineStr">
        <is>
          <t>Per note F&amp;B LINEN!B79:C80.</t>
        </is>
      </c>
      <c r="P130" s="63" t="inlineStr">
        <is>
          <t>KUL</t>
        </is>
      </c>
      <c r="Q130" s="65">
        <f>Flights!$AF$8</f>
        <v/>
      </c>
      <c r="R130" s="65">
        <f>Q130+(IF(AND(INDEX(TZ_DSTS,MATCH(P130,TZ_STN,0))&lt;&gt;"",Q130&gt;=INDEX(TZ_DSTS,MATCH(P130,TZ_STN,0)),Q130&lt;INDEX(TZ_DSTE,MATCH(P130,TZ_STN,0))),INDEX(TZ_DST,MATCH(P130,TZ_STN,0)),INDEX(TZ_STD,MATCH(P130,TZ_STN,0))))/24</f>
        <v/>
      </c>
      <c r="S130" s="65">
        <f>Q130-UpliftWindowH/24</f>
        <v/>
      </c>
      <c r="T130" s="66" t="n"/>
      <c r="U130" s="66" t="n"/>
      <c r="V130" s="66" t="n"/>
      <c r="W130" s="67" t="n"/>
      <c r="X130" s="66" t="n"/>
      <c r="Y130" s="66" t="n"/>
      <c r="Z130" s="66" t="n"/>
      <c r="AA130" s="66" t="n"/>
      <c r="AB130" s="66" t="n"/>
      <c r="AC130" s="66" t="n"/>
      <c r="AD130" s="72" t="n"/>
      <c r="AE130" s="66" t="n"/>
      <c r="AF130" s="67">
        <f>IF(AND(ISNUMBER(X130),ISNUMBER(Y130)),Y130-X130,"")</f>
        <v/>
      </c>
      <c r="AG130" s="68">
        <f>IF(ISNUMBER(AD130),AD130-(IF(AND(INDEX(TZ_DSTS,MATCH(P130,TZ_STN,0))&lt;&gt;"",(AD130-INDEX(TZ_STD,MATCH(P130,TZ_STN,0))/24)&gt;=INDEX(TZ_DSTS,MATCH(P130,TZ_STN,0)),(AD130-INDEX(TZ_STD,MATCH(P130,TZ_STN,0))/24)&lt;INDEX(TZ_DSTE,MATCH(P130,TZ_STN,0))),INDEX(TZ_DST,MATCH(P130,TZ_STN,0)),INDEX(TZ_STD,MATCH(P130,TZ_STN,0))))/24,"")</f>
        <v/>
      </c>
      <c r="AH130" s="71">
        <f>IF(N130="N/A – rule","N/A – RULE",IF(TRIM(U130)="N/A",IF(AT130=0,"INVALID – N/A not permitted for this mandatory check",IF(AND(TRIM(AC130)&lt;&gt;"",TRIM(AE130)&lt;&gt;"",TRIM(T130)&lt;&gt;""),"N/A – JUSTIFIED","INVALID – N/A needs justification, PIC and verifier")),IF(OR(TRIM(U130)="Pass",TRIM(U130)="Pass after CA"),IF(NOT(ISNUMBER(AD130)),"INVALID – completion time missing",IF(TRIM(T130)="","INVALID – PIC missing",IF(TRIM(Z130)="","INVALID – evidence missing",IF(TRIM(AE130)="","INVALID – verifier missing",IF(AND(AQ130=1,TRIM(W130)=""),"INVALID – batch ID missing",IF(AND(AR130=1,OR(NOT(ISNUMBER(X130)),NOT(ISNUMBER(Y130)))),"INVALID – expected/actual qty missing",IF(IF(AND(TRIM(U130)="Pass",ISNUMBER(AF130)),IF(AF130&lt;&gt;0,"INVALID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recorded/closed","")&lt;&gt;"",IF(AND(TRIM(U130)="Pass",ISNUMBER(AF130)),IF(AF130&lt;&gt;0,"INVALID – qty variance: use Fail or Pass after CA",""),"")&amp;IF(AND(TRIM(U130)="Pass",AB130="Open"),"INVALID – corrective action still open: use Fail, then Pass after CA","")&amp;IF(AND(TRIM(U130)="Pass after CA",OR(TRIM(AA130)="",AB130&lt;&gt;"Closed")),"INVALID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window"),IF(AG130&gt;Flights!$AA$8,"INVALID – completed after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f>
        <v/>
      </c>
      <c r="AI130" s="67">
        <f>IF(OR(AH130="N/A – RULE",AH130="N/A – JUSTIFIED"),0,1)</f>
        <v/>
      </c>
      <c r="AJ130" s="67">
        <f>IF(LEFT(AH130,8)="COMPLETE",1,0)</f>
        <v/>
      </c>
      <c r="AK130" s="67">
        <f>IF(AND(AI130=1,AJ130=0,AsOfUTC&gt;Q130),1,0)</f>
        <v/>
      </c>
      <c r="AL130" s="67">
        <f>IF(AND(AI130=1,OR(TRIM(U130)="Fail",AB130="Open",AND(ISNUMBER(AF130),AF130&lt;&gt;0,TRIM(U130)&lt;&gt;"Pass after CA"))),1,0)</f>
        <v/>
      </c>
      <c r="AM130" s="67">
        <f>IF(LEFT(AH130,7)="INVALID",1,0)</f>
        <v/>
      </c>
      <c r="AN130" s="67">
        <f>IF(AND(N130="Clarification required",AI130=1,AJ130=0),1,0)</f>
        <v/>
      </c>
      <c r="AO130" s="67">
        <f>IF(AK130=1,SUM(AK$5:AK130),"")</f>
        <v/>
      </c>
      <c r="AP130" s="67">
        <f>IF(AL130=1,SUM(AL$5:AL130),"")</f>
        <v/>
      </c>
      <c r="AQ130" s="67" t="n">
        <v>0</v>
      </c>
      <c r="AR130" s="67" t="n">
        <v>0</v>
      </c>
      <c r="AS130" s="67" t="n">
        <v>0</v>
      </c>
      <c r="AT130" s="67" t="n">
        <v>1</v>
      </c>
    </row>
    <row r="131" ht="40" customHeight="1">
      <c r="A131" s="63" t="inlineStr">
        <is>
          <t>F04-UPL-11</t>
        </is>
      </c>
      <c r="B131" s="63" t="inlineStr">
        <is>
          <t>F04</t>
        </is>
      </c>
      <c r="C131" s="63">
        <f>Flights!$F$8</f>
        <v/>
      </c>
      <c r="D131" s="64">
        <f>Flights!$D$8</f>
        <v/>
      </c>
      <c r="E131" s="63">
        <f>Flights!$G$8&amp;"-"&amp;Flights!$H$8</f>
        <v/>
      </c>
      <c r="F131" s="63">
        <f>Flights!$K$8</f>
        <v/>
      </c>
      <c r="G131" s="63" t="inlineStr">
        <is>
          <t>UPLIFT</t>
        </is>
      </c>
      <c r="H131" s="63" t="inlineStr">
        <is>
          <t>Physical uplift</t>
        </is>
      </c>
      <c r="I131" s="63" t="inlineStr">
        <is>
          <t>F&amp;B Linen</t>
        </is>
      </c>
      <c r="J131" s="63" t="inlineStr">
        <is>
          <t>Linen bag - on board</t>
        </is>
      </c>
      <c r="K131" s="73" t="inlineStr">
        <is>
          <t>Available (ticked in reference)</t>
        </is>
      </c>
      <c r="L131" s="73" t="inlineStr">
        <is>
          <t>STD UPLIFT INFORMATION.xlsx &gt; F&amp;B LINEN!J14</t>
        </is>
      </c>
      <c r="M131" s="73" t="inlineStr">
        <is>
          <t>Not stated in reference</t>
        </is>
      </c>
      <c r="N131" s="73" t="inlineStr">
        <is>
          <t>Required</t>
        </is>
      </c>
      <c r="O131" s="73" t="inlineStr"/>
      <c r="P131" s="63" t="inlineStr">
        <is>
          <t>KUL</t>
        </is>
      </c>
      <c r="Q131" s="65">
        <f>Flights!$AF$8</f>
        <v/>
      </c>
      <c r="R131" s="65">
        <f>Q131+(IF(AND(INDEX(TZ_DSTS,MATCH(P131,TZ_STN,0))&lt;&gt;"",Q131&gt;=INDEX(TZ_DSTS,MATCH(P131,TZ_STN,0)),Q131&lt;INDEX(TZ_DSTE,MATCH(P131,TZ_STN,0))),INDEX(TZ_DST,MATCH(P131,TZ_STN,0)),INDEX(TZ_STD,MATCH(P131,TZ_STN,0))))/24</f>
        <v/>
      </c>
      <c r="S131" s="65">
        <f>Q131-UpliftWindowH/24</f>
        <v/>
      </c>
      <c r="T131" s="66" t="n"/>
      <c r="U131" s="66" t="n"/>
      <c r="V131" s="66" t="n"/>
      <c r="W131" s="67" t="n"/>
      <c r="X131" s="66" t="n"/>
      <c r="Y131" s="66" t="n"/>
      <c r="Z131" s="66" t="n"/>
      <c r="AA131" s="66" t="n"/>
      <c r="AB131" s="66" t="n"/>
      <c r="AC131" s="66" t="n"/>
      <c r="AD131" s="72" t="n"/>
      <c r="AE131" s="66" t="n"/>
      <c r="AF131" s="67">
        <f>IF(AND(ISNUMBER(X131),ISNUMBER(Y131)),Y131-X131,"")</f>
        <v/>
      </c>
      <c r="AG131" s="68">
        <f>IF(ISNUMBER(AD131),AD131-(IF(AND(INDEX(TZ_DSTS,MATCH(P131,TZ_STN,0))&lt;&gt;"",(AD131-INDEX(TZ_STD,MATCH(P131,TZ_STN,0))/24)&gt;=INDEX(TZ_DSTS,MATCH(P131,TZ_STN,0)),(AD131-INDEX(TZ_STD,MATCH(P131,TZ_STN,0))/24)&lt;INDEX(TZ_DSTE,MATCH(P131,TZ_STN,0))),INDEX(TZ_DST,MATCH(P131,TZ_STN,0)),INDEX(TZ_STD,MATCH(P131,TZ_STN,0))))/24,"")</f>
        <v/>
      </c>
      <c r="AH131" s="71">
        <f>IF(N131="N/A – rule","N/A – RULE",IF(TRIM(U131)="N/A",IF(AT131=0,"INVALID – N/A not permitted for this mandatory check",IF(AND(TRIM(AC131)&lt;&gt;"",TRIM(AE131)&lt;&gt;"",TRIM(T131)&lt;&gt;""),"N/A – JUSTIFIED","INVALID – N/A needs justification, PIC and verifier")),IF(OR(TRIM(U131)="Pass",TRIM(U131)="Pass after CA"),IF(NOT(ISNUMBER(AD131)),"INVALID – completion time missing",IF(TRIM(T131)="","INVALID – PIC missing",IF(TRIM(Z131)="","INVALID – evidence missing",IF(TRIM(AE131)="","INVALID – verifier missing",IF(AND(AQ131=1,TRIM(W131)=""),"INVALID – batch ID missing",IF(AND(AR131=1,OR(NOT(ISNUMBER(X131)),NOT(ISNUMBER(Y131)))),"INVALID – expected/actual qty missing",IF(IF(AND(TRIM(U131)="Pass",ISNUMBER(AF131)),IF(AF131&lt;&gt;0,"INVALID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recorded/closed","")&lt;&gt;"",IF(AND(TRIM(U131)="Pass",ISNUMBER(AF131)),IF(AF131&lt;&gt;0,"INVALID – qty variance: use Fail or Pass after CA",""),"")&amp;IF(AND(TRIM(U131)="Pass",AB131="Open"),"INVALID – corrective action still open: use Fail, then Pass after CA","")&amp;IF(AND(TRIM(U131)="Pass after CA",OR(TRIM(AA131)="",AB131&lt;&gt;"Closed")),"INVALID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window"),IF(AG131&gt;Flights!$AA$8,"INVALID – completed after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f>
        <v/>
      </c>
      <c r="AI131" s="67">
        <f>IF(OR(AH131="N/A – RULE",AH131="N/A – JUSTIFIED"),0,1)</f>
        <v/>
      </c>
      <c r="AJ131" s="67">
        <f>IF(LEFT(AH131,8)="COMPLETE",1,0)</f>
        <v/>
      </c>
      <c r="AK131" s="67">
        <f>IF(AND(AI131=1,AJ131=0,AsOfUTC&gt;Q131),1,0)</f>
        <v/>
      </c>
      <c r="AL131" s="67">
        <f>IF(AND(AI131=1,OR(TRIM(U131)="Fail",AB131="Open",AND(ISNUMBER(AF131),AF131&lt;&gt;0,TRIM(U131)&lt;&gt;"Pass after CA"))),1,0)</f>
        <v/>
      </c>
      <c r="AM131" s="67">
        <f>IF(LEFT(AH131,7)="INVALID",1,0)</f>
        <v/>
      </c>
      <c r="AN131" s="67">
        <f>IF(AND(N131="Clarification required",AI131=1,AJ131=0),1,0)</f>
        <v/>
      </c>
      <c r="AO131" s="67">
        <f>IF(AK131=1,SUM(AK$5:AK131),"")</f>
        <v/>
      </c>
      <c r="AP131" s="67">
        <f>IF(AL131=1,SUM(AL$5:AL131),"")</f>
        <v/>
      </c>
      <c r="AQ131" s="67" t="n">
        <v>0</v>
      </c>
      <c r="AR131" s="67" t="n">
        <v>0</v>
      </c>
      <c r="AS131" s="67" t="n">
        <v>0</v>
      </c>
      <c r="AT131" s="67" t="n">
        <v>1</v>
      </c>
    </row>
    <row r="132" ht="40" customHeight="1">
      <c r="A132" s="63" t="inlineStr">
        <is>
          <t>F04-UPL-12</t>
        </is>
      </c>
      <c r="B132" s="63" t="inlineStr">
        <is>
          <t>F04</t>
        </is>
      </c>
      <c r="C132" s="63">
        <f>Flights!$F$8</f>
        <v/>
      </c>
      <c r="D132" s="64">
        <f>Flights!$D$8</f>
        <v/>
      </c>
      <c r="E132" s="63">
        <f>Flights!$G$8&amp;"-"&amp;Flights!$H$8</f>
        <v/>
      </c>
      <c r="F132" s="63">
        <f>Flights!$K$8</f>
        <v/>
      </c>
      <c r="G132" s="63" t="inlineStr">
        <is>
          <t>UPLIFT</t>
        </is>
      </c>
      <c r="H132" s="63" t="inlineStr">
        <is>
          <t>Physical uplift</t>
        </is>
      </c>
      <c r="I132" s="63" t="inlineStr">
        <is>
          <t>Seat Linen</t>
        </is>
      </c>
      <c r="J132" s="63" t="inlineStr">
        <is>
          <t>Seat pillow (BS &amp; BC) - on board</t>
        </is>
      </c>
      <c r="K132" s="73" t="inlineStr">
        <is>
          <t>Available 100% (ticked in reference)</t>
        </is>
      </c>
      <c r="L132" s="73" t="inlineStr">
        <is>
          <t>STD UPLIFT INFORMATION.xlsx &gt; SEAT LINEN!E14</t>
        </is>
      </c>
      <c r="M132" s="73" t="inlineStr">
        <is>
          <t>Not stated in reference</t>
        </is>
      </c>
      <c r="N132" s="73" t="inlineStr">
        <is>
          <t>Required</t>
        </is>
      </c>
      <c r="O132" s="73" t="inlineStr"/>
      <c r="P132" s="63" t="inlineStr">
        <is>
          <t>KUL</t>
        </is>
      </c>
      <c r="Q132" s="65">
        <f>Flights!$AF$8</f>
        <v/>
      </c>
      <c r="R132" s="65">
        <f>Q132+(IF(AND(INDEX(TZ_DSTS,MATCH(P132,TZ_STN,0))&lt;&gt;"",Q132&gt;=INDEX(TZ_DSTS,MATCH(P132,TZ_STN,0)),Q132&lt;INDEX(TZ_DSTE,MATCH(P132,TZ_STN,0))),INDEX(TZ_DST,MATCH(P132,TZ_STN,0)),INDEX(TZ_STD,MATCH(P132,TZ_STN,0))))/24</f>
        <v/>
      </c>
      <c r="S132" s="65">
        <f>Q132-UpliftWindowH/24</f>
        <v/>
      </c>
      <c r="T132" s="66" t="n"/>
      <c r="U132" s="66" t="n"/>
      <c r="V132" s="66" t="n"/>
      <c r="W132" s="67" t="n"/>
      <c r="X132" s="66" t="n"/>
      <c r="Y132" s="66" t="n"/>
      <c r="Z132" s="66" t="n"/>
      <c r="AA132" s="66" t="n"/>
      <c r="AB132" s="66" t="n"/>
      <c r="AC132" s="66" t="n"/>
      <c r="AD132" s="72" t="n"/>
      <c r="AE132" s="66" t="n"/>
      <c r="AF132" s="67">
        <f>IF(AND(ISNUMBER(X132),ISNUMBER(Y132)),Y132-X132,"")</f>
        <v/>
      </c>
      <c r="AG132" s="68">
        <f>IF(ISNUMBER(AD132),AD132-(IF(AND(INDEX(TZ_DSTS,MATCH(P132,TZ_STN,0))&lt;&gt;"",(AD132-INDEX(TZ_STD,MATCH(P132,TZ_STN,0))/24)&gt;=INDEX(TZ_DSTS,MATCH(P132,TZ_STN,0)),(AD132-INDEX(TZ_STD,MATCH(P132,TZ_STN,0))/24)&lt;INDEX(TZ_DSTE,MATCH(P132,TZ_STN,0))),INDEX(TZ_DST,MATCH(P132,TZ_STN,0)),INDEX(TZ_STD,MATCH(P132,TZ_STN,0))))/24,"")</f>
        <v/>
      </c>
      <c r="AH132" s="71">
        <f>IF(N132="N/A – rule","N/A – RULE",IF(TRIM(U132)="N/A",IF(AT132=0,"INVALID – N/A not permitted for this mandatory check",IF(AND(TRIM(AC132)&lt;&gt;"",TRIM(AE132)&lt;&gt;"",TRIM(T132)&lt;&gt;""),"N/A – JUSTIFIED","INVALID – N/A needs justification, PIC and verifier")),IF(OR(TRIM(U132)="Pass",TRIM(U132)="Pass after CA"),IF(NOT(ISNUMBER(AD132)),"INVALID – completion time missing",IF(TRIM(T132)="","INVALID – PIC missing",IF(TRIM(Z132)="","INVALID – evidence missing",IF(TRIM(AE132)="","INVALID – verifier missing",IF(AND(AQ132=1,TRIM(W132)=""),"INVALID – batch ID missing",IF(AND(AR132=1,OR(NOT(ISNUMBER(X132)),NOT(ISNUMBER(Y132)))),"INVALID – expected/actual qty missing",IF(IF(AND(TRIM(U132)="Pass",ISNUMBER(AF132)),IF(AF132&lt;&gt;0,"INVALID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recorded/closed","")&lt;&gt;"",IF(AND(TRIM(U132)="Pass",ISNUMBER(AF132)),IF(AF132&lt;&gt;0,"INVALID – qty variance: use Fail or Pass after CA",""),"")&amp;IF(AND(TRIM(U132)="Pass",AB132="Open"),"INVALID – corrective action still open: use Fail, then Pass after CA","")&amp;IF(AND(TRIM(U132)="Pass after CA",OR(TRIM(AA132)="",AB132&lt;&gt;"Closed")),"INVALID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window"),IF(AG132&gt;Flights!$AA$8,"INVALID – completed after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f>
        <v/>
      </c>
      <c r="AI132" s="67">
        <f>IF(OR(AH132="N/A – RULE",AH132="N/A – JUSTIFIED"),0,1)</f>
        <v/>
      </c>
      <c r="AJ132" s="67">
        <f>IF(LEFT(AH132,8)="COMPLETE",1,0)</f>
        <v/>
      </c>
      <c r="AK132" s="67">
        <f>IF(AND(AI132=1,AJ132=0,AsOfUTC&gt;Q132),1,0)</f>
        <v/>
      </c>
      <c r="AL132" s="67">
        <f>IF(AND(AI132=1,OR(TRIM(U132)="Fail",AB132="Open",AND(ISNUMBER(AF132),AF132&lt;&gt;0,TRIM(U132)&lt;&gt;"Pass after CA"))),1,0)</f>
        <v/>
      </c>
      <c r="AM132" s="67">
        <f>IF(LEFT(AH132,7)="INVALID",1,0)</f>
        <v/>
      </c>
      <c r="AN132" s="67">
        <f>IF(AND(N132="Clarification required",AI132=1,AJ132=0),1,0)</f>
        <v/>
      </c>
      <c r="AO132" s="67">
        <f>IF(AK132=1,SUM(AK$5:AK132),"")</f>
        <v/>
      </c>
      <c r="AP132" s="67">
        <f>IF(AL132=1,SUM(AL$5:AL132),"")</f>
        <v/>
      </c>
      <c r="AQ132" s="67" t="n">
        <v>0</v>
      </c>
      <c r="AR132" s="67" t="n">
        <v>0</v>
      </c>
      <c r="AS132" s="67" t="n">
        <v>0</v>
      </c>
      <c r="AT132" s="67" t="n">
        <v>1</v>
      </c>
    </row>
    <row r="133" ht="40" customHeight="1">
      <c r="A133" s="63" t="inlineStr">
        <is>
          <t>F04-UPL-13</t>
        </is>
      </c>
      <c r="B133" s="63" t="inlineStr">
        <is>
          <t>F04</t>
        </is>
      </c>
      <c r="C133" s="63">
        <f>Flights!$F$8</f>
        <v/>
      </c>
      <c r="D133" s="64">
        <f>Flights!$D$8</f>
        <v/>
      </c>
      <c r="E133" s="63">
        <f>Flights!$G$8&amp;"-"&amp;Flights!$H$8</f>
        <v/>
      </c>
      <c r="F133" s="63">
        <f>Flights!$K$8</f>
        <v/>
      </c>
      <c r="G133" s="63" t="inlineStr">
        <is>
          <t>UPLIFT</t>
        </is>
      </c>
      <c r="H133" s="63" t="inlineStr">
        <is>
          <t>Physical uplift</t>
        </is>
      </c>
      <c r="I133" s="63" t="inlineStr">
        <is>
          <t>Seat Linen</t>
        </is>
      </c>
      <c r="J133" s="63" t="inlineStr">
        <is>
          <t>Duvet (BS &amp; BC) - on board</t>
        </is>
      </c>
      <c r="K133" s="73" t="inlineStr">
        <is>
          <t>Available 100% (ticked in reference)</t>
        </is>
      </c>
      <c r="L133" s="73" t="inlineStr">
        <is>
          <t>STD UPLIFT INFORMATION.xlsx &gt; SEAT LINEN!F14</t>
        </is>
      </c>
      <c r="M133" s="73" t="inlineStr">
        <is>
          <t>Not stated in reference</t>
        </is>
      </c>
      <c r="N133" s="73" t="inlineStr">
        <is>
          <t>Required</t>
        </is>
      </c>
      <c r="O133" s="73" t="inlineStr"/>
      <c r="P133" s="63" t="inlineStr">
        <is>
          <t>KUL</t>
        </is>
      </c>
      <c r="Q133" s="65">
        <f>Flights!$AF$8</f>
        <v/>
      </c>
      <c r="R133" s="65">
        <f>Q133+(IF(AND(INDEX(TZ_DSTS,MATCH(P133,TZ_STN,0))&lt;&gt;"",Q133&gt;=INDEX(TZ_DSTS,MATCH(P133,TZ_STN,0)),Q133&lt;INDEX(TZ_DSTE,MATCH(P133,TZ_STN,0))),INDEX(TZ_DST,MATCH(P133,TZ_STN,0)),INDEX(TZ_STD,MATCH(P133,TZ_STN,0))))/24</f>
        <v/>
      </c>
      <c r="S133" s="65">
        <f>Q133-UpliftWindowH/24</f>
        <v/>
      </c>
      <c r="T133" s="66" t="n"/>
      <c r="U133" s="66" t="n"/>
      <c r="V133" s="66" t="n"/>
      <c r="W133" s="67" t="n"/>
      <c r="X133" s="66" t="n"/>
      <c r="Y133" s="66" t="n"/>
      <c r="Z133" s="66" t="n"/>
      <c r="AA133" s="66" t="n"/>
      <c r="AB133" s="66" t="n"/>
      <c r="AC133" s="66" t="n"/>
      <c r="AD133" s="72" t="n"/>
      <c r="AE133" s="66" t="n"/>
      <c r="AF133" s="67">
        <f>IF(AND(ISNUMBER(X133),ISNUMBER(Y133)),Y133-X133,"")</f>
        <v/>
      </c>
      <c r="AG133" s="68">
        <f>IF(ISNUMBER(AD133),AD133-(IF(AND(INDEX(TZ_DSTS,MATCH(P133,TZ_STN,0))&lt;&gt;"",(AD133-INDEX(TZ_STD,MATCH(P133,TZ_STN,0))/24)&gt;=INDEX(TZ_DSTS,MATCH(P133,TZ_STN,0)),(AD133-INDEX(TZ_STD,MATCH(P133,TZ_STN,0))/24)&lt;INDEX(TZ_DSTE,MATCH(P133,TZ_STN,0))),INDEX(TZ_DST,MATCH(P133,TZ_STN,0)),INDEX(TZ_STD,MATCH(P133,TZ_STN,0))))/24,"")</f>
        <v/>
      </c>
      <c r="AH133" s="71">
        <f>IF(N133="N/A – rule","N/A – RULE",IF(TRIM(U133)="N/A",IF(AT133=0,"INVALID – N/A not permitted for this mandatory check",IF(AND(TRIM(AC133)&lt;&gt;"",TRIM(AE133)&lt;&gt;"",TRIM(T133)&lt;&gt;""),"N/A – JUSTIFIED","INVALID – N/A needs justification, PIC and verifier")),IF(OR(TRIM(U133)="Pass",TRIM(U133)="Pass after CA"),IF(NOT(ISNUMBER(AD133)),"INVALID – completion time missing",IF(TRIM(T133)="","INVALID – PIC missing",IF(TRIM(Z133)="","INVALID – evidence missing",IF(TRIM(AE133)="","INVALID – verifier missing",IF(AND(AQ133=1,TRIM(W133)=""),"INVALID – batch ID missing",IF(AND(AR133=1,OR(NOT(ISNUMBER(X133)),NOT(ISNUMBER(Y133)))),"INVALID – expected/actual qty missing",IF(IF(AND(TRIM(U133)="Pass",ISNUMBER(AF133)),IF(AF133&lt;&gt;0,"INVALID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recorded/closed","")&lt;&gt;"",IF(AND(TRIM(U133)="Pass",ISNUMBER(AF133)),IF(AF133&lt;&gt;0,"INVALID – qty variance: use Fail or Pass after CA",""),"")&amp;IF(AND(TRIM(U133)="Pass",AB133="Open"),"INVALID – corrective action still open: use Fail, then Pass after CA","")&amp;IF(AND(TRIM(U133)="Pass after CA",OR(TRIM(AA133)="",AB133&lt;&gt;"Closed")),"INVALID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window"),IF(AG133&gt;Flights!$AA$8,"INVALID – completed after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f>
        <v/>
      </c>
      <c r="AI133" s="67">
        <f>IF(OR(AH133="N/A – RULE",AH133="N/A – JUSTIFIED"),0,1)</f>
        <v/>
      </c>
      <c r="AJ133" s="67">
        <f>IF(LEFT(AH133,8)="COMPLETE",1,0)</f>
        <v/>
      </c>
      <c r="AK133" s="67">
        <f>IF(AND(AI133=1,AJ133=0,AsOfUTC&gt;Q133),1,0)</f>
        <v/>
      </c>
      <c r="AL133" s="67">
        <f>IF(AND(AI133=1,OR(TRIM(U133)="Fail",AB133="Open",AND(ISNUMBER(AF133),AF133&lt;&gt;0,TRIM(U133)&lt;&gt;"Pass after CA"))),1,0)</f>
        <v/>
      </c>
      <c r="AM133" s="67">
        <f>IF(LEFT(AH133,7)="INVALID",1,0)</f>
        <v/>
      </c>
      <c r="AN133" s="67">
        <f>IF(AND(N133="Clarification required",AI133=1,AJ133=0),1,0)</f>
        <v/>
      </c>
      <c r="AO133" s="67">
        <f>IF(AK133=1,SUM(AK$5:AK133),"")</f>
        <v/>
      </c>
      <c r="AP133" s="67">
        <f>IF(AL133=1,SUM(AL$5:AL133),"")</f>
        <v/>
      </c>
      <c r="AQ133" s="67" t="n">
        <v>0</v>
      </c>
      <c r="AR133" s="67" t="n">
        <v>0</v>
      </c>
      <c r="AS133" s="67" t="n">
        <v>0</v>
      </c>
      <c r="AT133" s="67" t="n">
        <v>1</v>
      </c>
    </row>
    <row r="134" ht="40" customHeight="1">
      <c r="A134" s="63" t="inlineStr">
        <is>
          <t>F04-UPL-14</t>
        </is>
      </c>
      <c r="B134" s="63" t="inlineStr">
        <is>
          <t>F04</t>
        </is>
      </c>
      <c r="C134" s="63">
        <f>Flights!$F$8</f>
        <v/>
      </c>
      <c r="D134" s="64">
        <f>Flights!$D$8</f>
        <v/>
      </c>
      <c r="E134" s="63">
        <f>Flights!$G$8&amp;"-"&amp;Flights!$H$8</f>
        <v/>
      </c>
      <c r="F134" s="63">
        <f>Flights!$K$8</f>
        <v/>
      </c>
      <c r="G134" s="63" t="inlineStr">
        <is>
          <t>UPLIFT</t>
        </is>
      </c>
      <c r="H134" s="63" t="inlineStr">
        <is>
          <t>Physical uplift</t>
        </is>
      </c>
      <c r="I134" s="63" t="inlineStr">
        <is>
          <t>Seat Linen</t>
        </is>
      </c>
      <c r="J134" s="63" t="inlineStr">
        <is>
          <t>Mattress (BS &amp; BC) - on board</t>
        </is>
      </c>
      <c r="K134" s="73" t="inlineStr">
        <is>
          <t>Available 100% (ticked in reference)</t>
        </is>
      </c>
      <c r="L134" s="73" t="inlineStr">
        <is>
          <t>STD UPLIFT INFORMATION.xlsx &gt; SEAT LINEN!G14</t>
        </is>
      </c>
      <c r="M134" s="73" t="inlineStr">
        <is>
          <t>Not stated in reference</t>
        </is>
      </c>
      <c r="N134" s="73" t="inlineStr">
        <is>
          <t>Required</t>
        </is>
      </c>
      <c r="O134" s="73" t="inlineStr"/>
      <c r="P134" s="63" t="inlineStr">
        <is>
          <t>KUL</t>
        </is>
      </c>
      <c r="Q134" s="65">
        <f>Flights!$AF$8</f>
        <v/>
      </c>
      <c r="R134" s="65">
        <f>Q134+(IF(AND(INDEX(TZ_DSTS,MATCH(P134,TZ_STN,0))&lt;&gt;"",Q134&gt;=INDEX(TZ_DSTS,MATCH(P134,TZ_STN,0)),Q134&lt;INDEX(TZ_DSTE,MATCH(P134,TZ_STN,0))),INDEX(TZ_DST,MATCH(P134,TZ_STN,0)),INDEX(TZ_STD,MATCH(P134,TZ_STN,0))))/24</f>
        <v/>
      </c>
      <c r="S134" s="65">
        <f>Q134-UpliftWindowH/24</f>
        <v/>
      </c>
      <c r="T134" s="66" t="n"/>
      <c r="U134" s="66" t="n"/>
      <c r="V134" s="66" t="n"/>
      <c r="W134" s="67" t="n"/>
      <c r="X134" s="66" t="n"/>
      <c r="Y134" s="66" t="n"/>
      <c r="Z134" s="66" t="n"/>
      <c r="AA134" s="66" t="n"/>
      <c r="AB134" s="66" t="n"/>
      <c r="AC134" s="66" t="n"/>
      <c r="AD134" s="72" t="n"/>
      <c r="AE134" s="66" t="n"/>
      <c r="AF134" s="67">
        <f>IF(AND(ISNUMBER(X134),ISNUMBER(Y134)),Y134-X134,"")</f>
        <v/>
      </c>
      <c r="AG134" s="68">
        <f>IF(ISNUMBER(AD134),AD134-(IF(AND(INDEX(TZ_DSTS,MATCH(P134,TZ_STN,0))&lt;&gt;"",(AD134-INDEX(TZ_STD,MATCH(P134,TZ_STN,0))/24)&gt;=INDEX(TZ_DSTS,MATCH(P134,TZ_STN,0)),(AD134-INDEX(TZ_STD,MATCH(P134,TZ_STN,0))/24)&lt;INDEX(TZ_DSTE,MATCH(P134,TZ_STN,0))),INDEX(TZ_DST,MATCH(P134,TZ_STN,0)),INDEX(TZ_STD,MATCH(P134,TZ_STN,0))))/24,"")</f>
        <v/>
      </c>
      <c r="AH134" s="71">
        <f>IF(N134="N/A – rule","N/A – RULE",IF(TRIM(U134)="N/A",IF(AT134=0,"INVALID – N/A not permitted for this mandatory check",IF(AND(TRIM(AC134)&lt;&gt;"",TRIM(AE134)&lt;&gt;"",TRIM(T134)&lt;&gt;""),"N/A – JUSTIFIED","INVALID – N/A needs justification, PIC and verifier")),IF(OR(TRIM(U134)="Pass",TRIM(U134)="Pass after CA"),IF(NOT(ISNUMBER(AD134)),"INVALID – completion time missing",IF(TRIM(T134)="","INVALID – PIC missing",IF(TRIM(Z134)="","INVALID – evidence missing",IF(TRIM(AE134)="","INVALID – verifier missing",IF(AND(AQ134=1,TRIM(W134)=""),"INVALID – batch ID missing",IF(AND(AR134=1,OR(NOT(ISNUMBER(X134)),NOT(ISNUMBER(Y134)))),"INVALID – expected/actual qty missing",IF(IF(AND(TRIM(U134)="Pass",ISNUMBER(AF134)),IF(AF134&lt;&gt;0,"INVALID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recorded/closed","")&lt;&gt;"",IF(AND(TRIM(U134)="Pass",ISNUMBER(AF134)),IF(AF134&lt;&gt;0,"INVALID – qty variance: use Fail or Pass after CA",""),"")&amp;IF(AND(TRIM(U134)="Pass",AB134="Open"),"INVALID – corrective action still open: use Fail, then Pass after CA","")&amp;IF(AND(TRIM(U134)="Pass after CA",OR(TRIM(AA134)="",AB134&lt;&gt;"Closed")),"INVALID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window"),IF(AG134&gt;Flights!$AA$8,"INVALID – completed after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f>
        <v/>
      </c>
      <c r="AI134" s="67">
        <f>IF(OR(AH134="N/A – RULE",AH134="N/A – JUSTIFIED"),0,1)</f>
        <v/>
      </c>
      <c r="AJ134" s="67">
        <f>IF(LEFT(AH134,8)="COMPLETE",1,0)</f>
        <v/>
      </c>
      <c r="AK134" s="67">
        <f>IF(AND(AI134=1,AJ134=0,AsOfUTC&gt;Q134),1,0)</f>
        <v/>
      </c>
      <c r="AL134" s="67">
        <f>IF(AND(AI134=1,OR(TRIM(U134)="Fail",AB134="Open",AND(ISNUMBER(AF134),AF134&lt;&gt;0,TRIM(U134)&lt;&gt;"Pass after CA"))),1,0)</f>
        <v/>
      </c>
      <c r="AM134" s="67">
        <f>IF(LEFT(AH134,7)="INVALID",1,0)</f>
        <v/>
      </c>
      <c r="AN134" s="67">
        <f>IF(AND(N134="Clarification required",AI134=1,AJ134=0),1,0)</f>
        <v/>
      </c>
      <c r="AO134" s="67">
        <f>IF(AK134=1,SUM(AK$5:AK134),"")</f>
        <v/>
      </c>
      <c r="AP134" s="67">
        <f>IF(AL134=1,SUM(AL$5:AL134),"")</f>
        <v/>
      </c>
      <c r="AQ134" s="67" t="n">
        <v>0</v>
      </c>
      <c r="AR134" s="67" t="n">
        <v>0</v>
      </c>
      <c r="AS134" s="67" t="n">
        <v>0</v>
      </c>
      <c r="AT134" s="67" t="n">
        <v>1</v>
      </c>
    </row>
    <row r="135" ht="40" customHeight="1">
      <c r="A135" s="63" t="inlineStr">
        <is>
          <t>F04-UPL-15</t>
        </is>
      </c>
      <c r="B135" s="63" t="inlineStr">
        <is>
          <t>F04</t>
        </is>
      </c>
      <c r="C135" s="63">
        <f>Flights!$F$8</f>
        <v/>
      </c>
      <c r="D135" s="64">
        <f>Flights!$D$8</f>
        <v/>
      </c>
      <c r="E135" s="63">
        <f>Flights!$G$8&amp;"-"&amp;Flights!$H$8</f>
        <v/>
      </c>
      <c r="F135" s="63">
        <f>Flights!$K$8</f>
        <v/>
      </c>
      <c r="G135" s="63" t="inlineStr">
        <is>
          <t>UPLIFT</t>
        </is>
      </c>
      <c r="H135" s="63" t="inlineStr">
        <is>
          <t>Physical uplift</t>
        </is>
      </c>
      <c r="I135" s="63" t="inlineStr">
        <is>
          <t>Signature Drinks</t>
        </is>
      </c>
      <c r="J135" s="63" t="inlineStr">
        <is>
          <t>Signature drink &amp; garnish (BC) - on board</t>
        </is>
      </c>
      <c r="K135" s="73" t="inlineStr">
        <is>
          <t>Available (ticked in reference)</t>
        </is>
      </c>
      <c r="L135" s="73" t="inlineStr">
        <is>
          <t>STD UPLIFT INFORMATION.xlsx &gt; Signature Drinks!F14 / G14 / D79</t>
        </is>
      </c>
      <c r="M135" s="73" t="inlineStr">
        <is>
          <t>KUL</t>
        </is>
      </c>
      <c r="N135" s="73" t="inlineStr">
        <is>
          <t>Required</t>
        </is>
      </c>
      <c r="O135" s="73" t="inlineStr">
        <is>
          <t>Signature drinks &amp; garnish uplifted from KUL (note D79).</t>
        </is>
      </c>
      <c r="P135" s="63" t="inlineStr">
        <is>
          <t>KUL</t>
        </is>
      </c>
      <c r="Q135" s="65">
        <f>Flights!$AF$8</f>
        <v/>
      </c>
      <c r="R135" s="65">
        <f>Q135+(IF(AND(INDEX(TZ_DSTS,MATCH(P135,TZ_STN,0))&lt;&gt;"",Q135&gt;=INDEX(TZ_DSTS,MATCH(P135,TZ_STN,0)),Q135&lt;INDEX(TZ_DSTE,MATCH(P135,TZ_STN,0))),INDEX(TZ_DST,MATCH(P135,TZ_STN,0)),INDEX(TZ_STD,MATCH(P135,TZ_STN,0))))/24</f>
        <v/>
      </c>
      <c r="S135" s="65">
        <f>Q135-UpliftWindowH/24</f>
        <v/>
      </c>
      <c r="T135" s="66" t="n"/>
      <c r="U135" s="66" t="n"/>
      <c r="V135" s="66" t="n"/>
      <c r="W135" s="67" t="n"/>
      <c r="X135" s="66" t="n"/>
      <c r="Y135" s="66" t="n"/>
      <c r="Z135" s="66" t="n"/>
      <c r="AA135" s="66" t="n"/>
      <c r="AB135" s="66" t="n"/>
      <c r="AC135" s="66" t="n"/>
      <c r="AD135" s="72" t="n"/>
      <c r="AE135" s="66" t="n"/>
      <c r="AF135" s="67">
        <f>IF(AND(ISNUMBER(X135),ISNUMBER(Y135)),Y135-X135,"")</f>
        <v/>
      </c>
      <c r="AG135" s="68">
        <f>IF(ISNUMBER(AD135),AD135-(IF(AND(INDEX(TZ_DSTS,MATCH(P135,TZ_STN,0))&lt;&gt;"",(AD135-INDEX(TZ_STD,MATCH(P135,TZ_STN,0))/24)&gt;=INDEX(TZ_DSTS,MATCH(P135,TZ_STN,0)),(AD135-INDEX(TZ_STD,MATCH(P135,TZ_STN,0))/24)&lt;INDEX(TZ_DSTE,MATCH(P135,TZ_STN,0))),INDEX(TZ_DST,MATCH(P135,TZ_STN,0)),INDEX(TZ_STD,MATCH(P135,TZ_STN,0))))/24,"")</f>
        <v/>
      </c>
      <c r="AH135" s="71">
        <f>IF(N135="N/A – rule","N/A – RULE",IF(TRIM(U135)="N/A",IF(AT135=0,"INVALID – N/A not permitted for this mandatory check",IF(AND(TRIM(AC135)&lt;&gt;"",TRIM(AE135)&lt;&gt;"",TRIM(T135)&lt;&gt;""),"N/A – JUSTIFIED","INVALID – N/A needs justification, PIC and verifier")),IF(OR(TRIM(U135)="Pass",TRIM(U135)="Pass after CA"),IF(NOT(ISNUMBER(AD135)),"INVALID – completion time missing",IF(TRIM(T135)="","INVALID – PIC missing",IF(TRIM(Z135)="","INVALID – evidence missing",IF(TRIM(AE135)="","INVALID – verifier missing",IF(AND(AQ135=1,TRIM(W135)=""),"INVALID – batch ID missing",IF(AND(AR135=1,OR(NOT(ISNUMBER(X135)),NOT(ISNUMBER(Y135)))),"INVALID – expected/actual qty missing",IF(IF(AND(TRIM(U135)="Pass",ISNUMBER(AF135)),IF(AF135&lt;&gt;0,"INVALID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recorded/closed","")&lt;&gt;"",IF(AND(TRIM(U135)="Pass",ISNUMBER(AF135)),IF(AF135&lt;&gt;0,"INVALID – qty variance: use Fail or Pass after CA",""),"")&amp;IF(AND(TRIM(U135)="Pass",AB135="Open"),"INVALID – corrective action still open: use Fail, then Pass after CA","")&amp;IF(AND(TRIM(U135)="Pass after CA",OR(TRIM(AA135)="",AB135&lt;&gt;"Closed")),"INVALID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window"),IF(AG135&gt;Flights!$AA$8,"INVALID – completed after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f>
        <v/>
      </c>
      <c r="AI135" s="67">
        <f>IF(OR(AH135="N/A – RULE",AH135="N/A – JUSTIFIED"),0,1)</f>
        <v/>
      </c>
      <c r="AJ135" s="67">
        <f>IF(LEFT(AH135,8)="COMPLETE",1,0)</f>
        <v/>
      </c>
      <c r="AK135" s="67">
        <f>IF(AND(AI135=1,AJ135=0,AsOfUTC&gt;Q135),1,0)</f>
        <v/>
      </c>
      <c r="AL135" s="67">
        <f>IF(AND(AI135=1,OR(TRIM(U135)="Fail",AB135="Open",AND(ISNUMBER(AF135),AF135&lt;&gt;0,TRIM(U135)&lt;&gt;"Pass after CA"))),1,0)</f>
        <v/>
      </c>
      <c r="AM135" s="67">
        <f>IF(LEFT(AH135,7)="INVALID",1,0)</f>
        <v/>
      </c>
      <c r="AN135" s="67">
        <f>IF(AND(N135="Clarification required",AI135=1,AJ135=0),1,0)</f>
        <v/>
      </c>
      <c r="AO135" s="67">
        <f>IF(AK135=1,SUM(AK$5:AK135),"")</f>
        <v/>
      </c>
      <c r="AP135" s="67">
        <f>IF(AL135=1,SUM(AL$5:AL135),"")</f>
        <v/>
      </c>
      <c r="AQ135" s="67" t="n">
        <v>0</v>
      </c>
      <c r="AR135" s="67" t="n">
        <v>0</v>
      </c>
      <c r="AS135" s="67" t="n">
        <v>0</v>
      </c>
      <c r="AT135" s="67" t="n">
        <v>1</v>
      </c>
    </row>
    <row r="136" ht="41.5" customHeight="1">
      <c r="A136" s="63" t="inlineStr">
        <is>
          <t>F04-UPL-16</t>
        </is>
      </c>
      <c r="B136" s="63" t="inlineStr">
        <is>
          <t>F04</t>
        </is>
      </c>
      <c r="C136" s="63">
        <f>Flights!$F$8</f>
        <v/>
      </c>
      <c r="D136" s="64">
        <f>Flights!$D$8</f>
        <v/>
      </c>
      <c r="E136" s="63">
        <f>Flights!$G$8&amp;"-"&amp;Flights!$H$8</f>
        <v/>
      </c>
      <c r="F136" s="63">
        <f>Flights!$K$8</f>
        <v/>
      </c>
      <c r="G136" s="63" t="inlineStr">
        <is>
          <t>UPLIFT</t>
        </is>
      </c>
      <c r="H136" s="63" t="inlineStr">
        <is>
          <t>Physical uplift</t>
        </is>
      </c>
      <c r="I136" s="63" t="inlineStr">
        <is>
          <t>Sales Cart</t>
        </is>
      </c>
      <c r="J136" s="63" t="inlineStr">
        <is>
          <t>Sales cart (caterer PASB) - on board</t>
        </is>
      </c>
      <c r="K136" s="73" t="inlineStr">
        <is>
          <t>A359: 5R41A &amp; 5R42A (not applicable for LHR) (full cart); 9M-MAH: G4F13A (half cart) - per tail</t>
        </is>
      </c>
      <c r="L136" s="73" t="inlineStr">
        <is>
          <t>STD UPLIFT INFORMATION.xlsx &gt; SALES CART!K7:K14 / L9 / C9 / O8:R12</t>
        </is>
      </c>
      <c r="M136" s="73" t="inlineStr">
        <is>
          <t>Not stated in reference</t>
        </is>
      </c>
      <c r="N136" s="73" t="inlineStr">
        <is>
          <t>Required</t>
        </is>
      </c>
      <c r="O136" s="73" t="inlineStr">
        <is>
          <t>Block 7.17 h &gt;= 4 h. Location depends on tail.</t>
        </is>
      </c>
      <c r="P136" s="63" t="inlineStr">
        <is>
          <t>KUL</t>
        </is>
      </c>
      <c r="Q136" s="65">
        <f>Flights!$AF$8</f>
        <v/>
      </c>
      <c r="R136" s="65">
        <f>Q136+(IF(AND(INDEX(TZ_DSTS,MATCH(P136,TZ_STN,0))&lt;&gt;"",Q136&gt;=INDEX(TZ_DSTS,MATCH(P136,TZ_STN,0)),Q136&lt;INDEX(TZ_DSTE,MATCH(P136,TZ_STN,0))),INDEX(TZ_DST,MATCH(P136,TZ_STN,0)),INDEX(TZ_STD,MATCH(P136,TZ_STN,0))))/24</f>
        <v/>
      </c>
      <c r="S136" s="65">
        <f>Q136-UpliftWindowH/24</f>
        <v/>
      </c>
      <c r="T136" s="66" t="n"/>
      <c r="U136" s="66" t="n"/>
      <c r="V136" s="66" t="n"/>
      <c r="W136" s="67" t="n"/>
      <c r="X136" s="66" t="n"/>
      <c r="Y136" s="66" t="n"/>
      <c r="Z136" s="66" t="n"/>
      <c r="AA136" s="66" t="n"/>
      <c r="AB136" s="66" t="n"/>
      <c r="AC136" s="66" t="n"/>
      <c r="AD136" s="72" t="n"/>
      <c r="AE136" s="66" t="n"/>
      <c r="AF136" s="67">
        <f>IF(AND(ISNUMBER(X136),ISNUMBER(Y136)),Y136-X136,"")</f>
        <v/>
      </c>
      <c r="AG136" s="68">
        <f>IF(ISNUMBER(AD136),AD136-(IF(AND(INDEX(TZ_DSTS,MATCH(P136,TZ_STN,0))&lt;&gt;"",(AD136-INDEX(TZ_STD,MATCH(P136,TZ_STN,0))/24)&gt;=INDEX(TZ_DSTS,MATCH(P136,TZ_STN,0)),(AD136-INDEX(TZ_STD,MATCH(P136,TZ_STN,0))/24)&lt;INDEX(TZ_DSTE,MATCH(P136,TZ_STN,0))),INDEX(TZ_DST,MATCH(P136,TZ_STN,0)),INDEX(TZ_STD,MATCH(P136,TZ_STN,0))))/24,"")</f>
        <v/>
      </c>
      <c r="AH136" s="71">
        <f>IF(N136="N/A – rule","N/A – RULE",IF(TRIM(U136)="N/A",IF(AT136=0,"INVALID – N/A not permitted for this mandatory check",IF(AND(TRIM(AC136)&lt;&gt;"",TRIM(AE136)&lt;&gt;"",TRIM(T136)&lt;&gt;""),"N/A – JUSTIFIED","INVALID – N/A needs justification, PIC and verifier")),IF(OR(TRIM(U136)="Pass",TRIM(U136)="Pass after CA"),IF(NOT(ISNUMBER(AD136)),"INVALID – completion time missing",IF(TRIM(T136)="","INVALID – PIC missing",IF(TRIM(Z136)="","INVALID – evidence missing",IF(TRIM(AE136)="","INVALID – verifier missing",IF(AND(AQ136=1,TRIM(W136)=""),"INVALID – batch ID missing",IF(AND(AR136=1,OR(NOT(ISNUMBER(X136)),NOT(ISNUMBER(Y136)))),"INVALID – expected/actual qty missing",IF(IF(AND(TRIM(U136)="Pass",ISNUMBER(AF136)),IF(AF136&lt;&gt;0,"INVALID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recorded/closed","")&lt;&gt;"",IF(AND(TRIM(U136)="Pass",ISNUMBER(AF136)),IF(AF136&lt;&gt;0,"INVALID – qty variance: use Fail or Pass after CA",""),"")&amp;IF(AND(TRIM(U136)="Pass",AB136="Open"),"INVALID – corrective action still open: use Fail, then Pass after CA","")&amp;IF(AND(TRIM(U136)="Pass after CA",OR(TRIM(AA136)="",AB136&lt;&gt;"Closed")),"INVALID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window"),IF(AG136&gt;Flights!$AA$8,"INVALID – completed after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f>
        <v/>
      </c>
      <c r="AI136" s="67">
        <f>IF(OR(AH136="N/A – RULE",AH136="N/A – JUSTIFIED"),0,1)</f>
        <v/>
      </c>
      <c r="AJ136" s="67">
        <f>IF(LEFT(AH136,8)="COMPLETE",1,0)</f>
        <v/>
      </c>
      <c r="AK136" s="67">
        <f>IF(AND(AI136=1,AJ136=0,AsOfUTC&gt;Q136),1,0)</f>
        <v/>
      </c>
      <c r="AL136" s="67">
        <f>IF(AND(AI136=1,OR(TRIM(U136)="Fail",AB136="Open",AND(ISNUMBER(AF136),AF136&lt;&gt;0,TRIM(U136)&lt;&gt;"Pass after CA"))),1,0)</f>
        <v/>
      </c>
      <c r="AM136" s="67">
        <f>IF(LEFT(AH136,7)="INVALID",1,0)</f>
        <v/>
      </c>
      <c r="AN136" s="67">
        <f>IF(AND(N136="Clarification required",AI136=1,AJ136=0),1,0)</f>
        <v/>
      </c>
      <c r="AO136" s="67">
        <f>IF(AK136=1,SUM(AK$5:AK136),"")</f>
        <v/>
      </c>
      <c r="AP136" s="67">
        <f>IF(AL136=1,SUM(AL$5:AL136),"")</f>
        <v/>
      </c>
      <c r="AQ136" s="67" t="n">
        <v>0</v>
      </c>
      <c r="AR136" s="67" t="n">
        <v>0</v>
      </c>
      <c r="AS136" s="67" t="n">
        <v>0</v>
      </c>
      <c r="AT136" s="67" t="n">
        <v>1</v>
      </c>
    </row>
    <row r="137" ht="40" customHeight="1">
      <c r="A137" s="63" t="inlineStr">
        <is>
          <t>F05-T7-01</t>
        </is>
      </c>
      <c r="B137" s="63" t="inlineStr">
        <is>
          <t>F05</t>
        </is>
      </c>
      <c r="C137" s="63">
        <f>Flights!$F$9</f>
        <v/>
      </c>
      <c r="D137" s="64">
        <f>Flights!$D$9</f>
        <v/>
      </c>
      <c r="E137" s="63">
        <f>Flights!$G$9&amp;"-"&amp;Flights!$H$9</f>
        <v/>
      </c>
      <c r="F137" s="63">
        <f>Flights!$K$9</f>
        <v/>
      </c>
      <c r="G137" s="63" t="inlineStr">
        <is>
          <t>T-7D</t>
        </is>
      </c>
      <c r="H137" s="63" t="inlineStr">
        <is>
          <t>Preparation</t>
        </is>
      </c>
      <c r="I137" s="63" t="inlineStr">
        <is>
          <t>Meal</t>
        </is>
      </c>
      <c r="J137" s="63" t="inlineStr">
        <is>
          <t>Meal sensory testing completed for this flight's menu cycle (assessed class)</t>
        </is>
      </c>
      <c r="K137" s="73" t="inlineStr">
        <is>
          <t>Record panel result / score in Result</t>
        </is>
      </c>
      <c r="L137" s="73" t="inlineStr">
        <is>
          <t>User brief (T-7 days)</t>
        </is>
      </c>
      <c r="M137" s="73" t="inlineStr"/>
      <c r="N137" s="73" t="inlineStr">
        <is>
          <t>Required</t>
        </is>
      </c>
      <c r="O137" s="73" t="inlineStr"/>
      <c r="P137" s="63" t="inlineStr">
        <is>
          <t>NRT</t>
        </is>
      </c>
      <c r="Q137" s="65">
        <f>Flights!$AC$9</f>
        <v/>
      </c>
      <c r="R137" s="65">
        <f>Q137+(IF(AND(INDEX(TZ_DSTS,MATCH(P137,TZ_STN,0))&lt;&gt;"",Q137&gt;=INDEX(TZ_DSTS,MATCH(P137,TZ_STN,0)),Q137&lt;INDEX(TZ_DSTE,MATCH(P137,TZ_STN,0))),INDEX(TZ_DST,MATCH(P137,TZ_STN,0)),INDEX(TZ_STD,MATCH(P137,TZ_STN,0))))/24</f>
        <v/>
      </c>
      <c r="S137" s="65" t="inlineStr"/>
      <c r="T137" s="66" t="n"/>
      <c r="U137" s="66" t="n"/>
      <c r="V137" s="66" t="n"/>
      <c r="W137" s="67" t="n"/>
      <c r="X137" s="66" t="n"/>
      <c r="Y137" s="66" t="n"/>
      <c r="Z137" s="66" t="n"/>
      <c r="AA137" s="66" t="n"/>
      <c r="AB137" s="66" t="n"/>
      <c r="AC137" s="66" t="n"/>
      <c r="AD137" s="72" t="n"/>
      <c r="AE137" s="66" t="n"/>
      <c r="AF137" s="67">
        <f>IF(AND(ISNUMBER(X137),ISNUMBER(Y137)),Y137-X137,"")</f>
        <v/>
      </c>
      <c r="AG137" s="68">
        <f>IF(ISNUMBER(AD137),AD137-(IF(AND(INDEX(TZ_DSTS,MATCH(P137,TZ_STN,0))&lt;&gt;"",(AD137-INDEX(TZ_STD,MATCH(P137,TZ_STN,0))/24)&gt;=INDEX(TZ_DSTS,MATCH(P137,TZ_STN,0)),(AD137-INDEX(TZ_STD,MATCH(P137,TZ_STN,0))/24)&lt;INDEX(TZ_DSTE,MATCH(P137,TZ_STN,0))),INDEX(TZ_DST,MATCH(P137,TZ_STN,0)),INDEX(TZ_STD,MATCH(P137,TZ_STN,0))))/24,"")</f>
        <v/>
      </c>
      <c r="AH137" s="71">
        <f>IF(N137="N/A – rule","N/A – RULE",IF(TRIM(U137)="N/A",IF(AT137=0,"INVALID – N/A not permitted for this mandatory check",IF(AND(TRIM(AC137)&lt;&gt;"",TRIM(AE137)&lt;&gt;"",TRIM(T137)&lt;&gt;""),"N/A – JUSTIFIED","INVALID – N/A needs justification, PIC and verifier")),IF(OR(TRIM(U137)="Pass",TRIM(U137)="Pass after CA"),IF(NOT(ISNUMBER(AD137)),"INVALID – completion time missing",IF(TRIM(T137)="","INVALID – PIC missing",IF(TRIM(Z137)="","INVALID – evidence missing",IF(TRIM(AE137)="","INVALID – verifier missing",IF(AND(AQ137=1,TRIM(W137)=""),"INVALID – batch ID missing",IF(AND(AR137=1,OR(NOT(ISNUMBER(X137)),NOT(ISNUMBER(Y137)))),"INVALID – expected/actual qty missing",IF(IF(AND(TRIM(U137)="Pass",ISNUMBER(AF137)),IF(AF137&lt;&gt;0,"INVALID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recorded/closed","")&lt;&gt;"",IF(AND(TRIM(U137)="Pass",ISNUMBER(AF137)),IF(AF137&lt;&gt;0,"INVALID – qty variance: use Fail or Pass after CA",""),"")&amp;IF(AND(TRIM(U137)="Pass",AB137="Open"),"INVALID – corrective action still open: use Fail, then Pass after CA","")&amp;IF(AND(TRIM(U137)="Pass after CA",OR(TRIM(AA137)="",AB137&lt;&gt;"Closed")),"INVALID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window"),IF(AG137&gt;Flights!$AA$9,"INVALID – completed after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f>
        <v/>
      </c>
      <c r="AI137" s="67">
        <f>IF(OR(AH137="N/A – RULE",AH137="N/A – JUSTIFIED"),0,1)</f>
        <v/>
      </c>
      <c r="AJ137" s="67">
        <f>IF(LEFT(AH137,8)="COMPLETE",1,0)</f>
        <v/>
      </c>
      <c r="AK137" s="67">
        <f>IF(AND(AI137=1,AJ137=0,AsOfUTC&gt;Q137),1,0)</f>
        <v/>
      </c>
      <c r="AL137" s="67">
        <f>IF(AND(AI137=1,OR(TRIM(U137)="Fail",AB137="Open",AND(ISNUMBER(AF137),AF137&lt;&gt;0,TRIM(U137)&lt;&gt;"Pass after CA"))),1,0)</f>
        <v/>
      </c>
      <c r="AM137" s="67">
        <f>IF(LEFT(AH137,7)="INVALID",1,0)</f>
        <v/>
      </c>
      <c r="AN137" s="67">
        <f>IF(AND(N137="Clarification required",AI137=1,AJ137=0),1,0)</f>
        <v/>
      </c>
      <c r="AO137" s="67">
        <f>IF(AK137=1,SUM(AK$5:AK137),"")</f>
        <v/>
      </c>
      <c r="AP137" s="67">
        <f>IF(AL137=1,SUM(AL$5:AL137),"")</f>
        <v/>
      </c>
      <c r="AQ137" s="67" t="n">
        <v>0</v>
      </c>
      <c r="AR137" s="67" t="n">
        <v>0</v>
      </c>
      <c r="AS137" s="67" t="n">
        <v>0</v>
      </c>
      <c r="AT137" s="67" t="n">
        <v>0</v>
      </c>
    </row>
    <row r="138" ht="40" customHeight="1">
      <c r="A138" s="63" t="inlineStr">
        <is>
          <t>F05-T7-02</t>
        </is>
      </c>
      <c r="B138" s="63" t="inlineStr">
        <is>
          <t>F05</t>
        </is>
      </c>
      <c r="C138" s="63">
        <f>Flights!$F$9</f>
        <v/>
      </c>
      <c r="D138" s="64">
        <f>Flights!$D$9</f>
        <v/>
      </c>
      <c r="E138" s="63">
        <f>Flights!$G$9&amp;"-"&amp;Flights!$H$9</f>
        <v/>
      </c>
      <c r="F138" s="63">
        <f>Flights!$K$9</f>
        <v/>
      </c>
      <c r="G138" s="63" t="inlineStr">
        <is>
          <t>T-7D</t>
        </is>
      </c>
      <c r="H138" s="63" t="inlineStr">
        <is>
          <t>Preparation</t>
        </is>
      </c>
      <c r="I138" s="63" t="inlineStr">
        <is>
          <t>Menu</t>
        </is>
      </c>
      <c r="J138" s="63" t="inlineStr">
        <is>
          <t>Printed menu cards confirmed (content, cycle, language, quantity)</t>
        </is>
      </c>
      <c r="K138" s="73" t="inlineStr">
        <is>
          <t>Menu card matches approved menu for this flight</t>
        </is>
      </c>
      <c r="L138" s="73" t="inlineStr">
        <is>
          <t>User brief (T-7 days)</t>
        </is>
      </c>
      <c r="M138" s="73" t="inlineStr"/>
      <c r="N138" s="73" t="inlineStr">
        <is>
          <t>Required</t>
        </is>
      </c>
      <c r="O138" s="73" t="inlineStr"/>
      <c r="P138" s="63" t="inlineStr">
        <is>
          <t>NRT</t>
        </is>
      </c>
      <c r="Q138" s="65">
        <f>Flights!$AC$9</f>
        <v/>
      </c>
      <c r="R138" s="65">
        <f>Q138+(IF(AND(INDEX(TZ_DSTS,MATCH(P138,TZ_STN,0))&lt;&gt;"",Q138&gt;=INDEX(TZ_DSTS,MATCH(P138,TZ_STN,0)),Q138&lt;INDEX(TZ_DSTE,MATCH(P138,TZ_STN,0))),INDEX(TZ_DST,MATCH(P138,TZ_STN,0)),INDEX(TZ_STD,MATCH(P138,TZ_STN,0))))/24</f>
        <v/>
      </c>
      <c r="S138" s="65" t="inlineStr"/>
      <c r="T138" s="66" t="n"/>
      <c r="U138" s="66" t="n"/>
      <c r="V138" s="66" t="n"/>
      <c r="W138" s="67" t="n"/>
      <c r="X138" s="66" t="n"/>
      <c r="Y138" s="66" t="n"/>
      <c r="Z138" s="66" t="n"/>
      <c r="AA138" s="66" t="n"/>
      <c r="AB138" s="66" t="n"/>
      <c r="AC138" s="66" t="n"/>
      <c r="AD138" s="72" t="n"/>
      <c r="AE138" s="66" t="n"/>
      <c r="AF138" s="67">
        <f>IF(AND(ISNUMBER(X138),ISNUMBER(Y138)),Y138-X138,"")</f>
        <v/>
      </c>
      <c r="AG138" s="68">
        <f>IF(ISNUMBER(AD138),AD138-(IF(AND(INDEX(TZ_DSTS,MATCH(P138,TZ_STN,0))&lt;&gt;"",(AD138-INDEX(TZ_STD,MATCH(P138,TZ_STN,0))/24)&gt;=INDEX(TZ_DSTS,MATCH(P138,TZ_STN,0)),(AD138-INDEX(TZ_STD,MATCH(P138,TZ_STN,0))/24)&lt;INDEX(TZ_DSTE,MATCH(P138,TZ_STN,0))),INDEX(TZ_DST,MATCH(P138,TZ_STN,0)),INDEX(TZ_STD,MATCH(P138,TZ_STN,0))))/24,"")</f>
        <v/>
      </c>
      <c r="AH138" s="71">
        <f>IF(N138="N/A – rule","N/A – RULE",IF(TRIM(U138)="N/A",IF(AT138=0,"INVALID – N/A not permitted for this mandatory check",IF(AND(TRIM(AC138)&lt;&gt;"",TRIM(AE138)&lt;&gt;"",TRIM(T138)&lt;&gt;""),"N/A – JUSTIFIED","INVALID – N/A needs justification, PIC and verifier")),IF(OR(TRIM(U138)="Pass",TRIM(U138)="Pass after CA"),IF(NOT(ISNUMBER(AD138)),"INVALID – completion time missing",IF(TRIM(T138)="","INVALID – PIC missing",IF(TRIM(Z138)="","INVALID – evidence missing",IF(TRIM(AE138)="","INVALID – verifier missing",IF(AND(AQ138=1,TRIM(W138)=""),"INVALID – batch ID missing",IF(AND(AR138=1,OR(NOT(ISNUMBER(X138)),NOT(ISNUMBER(Y138)))),"INVALID – expected/actual qty missing",IF(IF(AND(TRIM(U138)="Pass",ISNUMBER(AF138)),IF(AF138&lt;&gt;0,"INVALID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recorded/closed","")&lt;&gt;"",IF(AND(TRIM(U138)="Pass",ISNUMBER(AF138)),IF(AF138&lt;&gt;0,"INVALID – qty variance: use Fail or Pass after CA",""),"")&amp;IF(AND(TRIM(U138)="Pass",AB138="Open"),"INVALID – corrective action still open: use Fail, then Pass after CA","")&amp;IF(AND(TRIM(U138)="Pass after CA",OR(TRIM(AA138)="",AB138&lt;&gt;"Closed")),"INVALID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window"),IF(AG138&gt;Flights!$AA$9,"INVALID – completed after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f>
        <v/>
      </c>
      <c r="AI138" s="67">
        <f>IF(OR(AH138="N/A – RULE",AH138="N/A – JUSTIFIED"),0,1)</f>
        <v/>
      </c>
      <c r="AJ138" s="67">
        <f>IF(LEFT(AH138,8)="COMPLETE",1,0)</f>
        <v/>
      </c>
      <c r="AK138" s="67">
        <f>IF(AND(AI138=1,AJ138=0,AsOfUTC&gt;Q138),1,0)</f>
        <v/>
      </c>
      <c r="AL138" s="67">
        <f>IF(AND(AI138=1,OR(TRIM(U138)="Fail",AB138="Open",AND(ISNUMBER(AF138),AF138&lt;&gt;0,TRIM(U138)&lt;&gt;"Pass after CA"))),1,0)</f>
        <v/>
      </c>
      <c r="AM138" s="67">
        <f>IF(LEFT(AH138,7)="INVALID",1,0)</f>
        <v/>
      </c>
      <c r="AN138" s="67">
        <f>IF(AND(N138="Clarification required",AI138=1,AJ138=0),1,0)</f>
        <v/>
      </c>
      <c r="AO138" s="67">
        <f>IF(AK138=1,SUM(AK$5:AK138),"")</f>
        <v/>
      </c>
      <c r="AP138" s="67">
        <f>IF(AL138=1,SUM(AL$5:AL138),"")</f>
        <v/>
      </c>
      <c r="AQ138" s="67" t="n">
        <v>0</v>
      </c>
      <c r="AR138" s="67" t="n">
        <v>0</v>
      </c>
      <c r="AS138" s="67" t="n">
        <v>0</v>
      </c>
      <c r="AT138" s="67" t="n">
        <v>1</v>
      </c>
    </row>
    <row r="139" ht="41.5" customHeight="1">
      <c r="A139" s="63" t="inlineStr">
        <is>
          <t>F05-T7-03</t>
        </is>
      </c>
      <c r="B139" s="63" t="inlineStr">
        <is>
          <t>F05</t>
        </is>
      </c>
      <c r="C139" s="63">
        <f>Flights!$F$9</f>
        <v/>
      </c>
      <c r="D139" s="64">
        <f>Flights!$D$9</f>
        <v/>
      </c>
      <c r="E139" s="63">
        <f>Flights!$G$9&amp;"-"&amp;Flights!$H$9</f>
        <v/>
      </c>
      <c r="F139" s="63">
        <f>Flights!$K$9</f>
        <v/>
      </c>
      <c r="G139" s="63" t="inlineStr">
        <is>
          <t>T-7D</t>
        </is>
      </c>
      <c r="H139" s="63" t="inlineStr">
        <is>
          <t>Preparation</t>
        </is>
      </c>
      <c r="I139" s="63" t="inlineStr">
        <is>
          <t>IFE</t>
        </is>
      </c>
      <c r="J139" s="63" t="inlineStr">
        <is>
          <t>Digital menu in IFE confirmed (A339 only)</t>
        </is>
      </c>
      <c r="K139" s="73" t="inlineStr">
        <is>
          <t>Applies when fleet = A339</t>
        </is>
      </c>
      <c r="L139" s="73" t="inlineStr">
        <is>
          <t>User brief (T-7 days)</t>
        </is>
      </c>
      <c r="M139" s="73" t="inlineStr"/>
      <c r="N139" s="73">
        <f>IF(TRIM(Flights!$L$9)="A339","Required","N/A – rule")</f>
        <v/>
      </c>
      <c r="O139" s="73" t="inlineStr">
        <is>
          <t>Digital IFE menu applies to A339 only (user brief). Applicability follows the Fleet cell on Flights.</t>
        </is>
      </c>
      <c r="P139" s="63" t="inlineStr">
        <is>
          <t>NRT</t>
        </is>
      </c>
      <c r="Q139" s="65">
        <f>Flights!$AC$9</f>
        <v/>
      </c>
      <c r="R139" s="65">
        <f>Q139+(IF(AND(INDEX(TZ_DSTS,MATCH(P139,TZ_STN,0))&lt;&gt;"",Q139&gt;=INDEX(TZ_DSTS,MATCH(P139,TZ_STN,0)),Q139&lt;INDEX(TZ_DSTE,MATCH(P139,TZ_STN,0))),INDEX(TZ_DST,MATCH(P139,TZ_STN,0)),INDEX(TZ_STD,MATCH(P139,TZ_STN,0))))/24</f>
        <v/>
      </c>
      <c r="S139" s="65" t="inlineStr"/>
      <c r="T139" s="66" t="n"/>
      <c r="U139" s="66" t="n"/>
      <c r="V139" s="66" t="n"/>
      <c r="W139" s="67" t="n"/>
      <c r="X139" s="66" t="n"/>
      <c r="Y139" s="66" t="n"/>
      <c r="Z139" s="66" t="n"/>
      <c r="AA139" s="66" t="n"/>
      <c r="AB139" s="66" t="n"/>
      <c r="AC139" s="66" t="n"/>
      <c r="AD139" s="72" t="n"/>
      <c r="AE139" s="66" t="n"/>
      <c r="AF139" s="67">
        <f>IF(AND(ISNUMBER(X139),ISNUMBER(Y139)),Y139-X139,"")</f>
        <v/>
      </c>
      <c r="AG139" s="68">
        <f>IF(ISNUMBER(AD139),AD139-(IF(AND(INDEX(TZ_DSTS,MATCH(P139,TZ_STN,0))&lt;&gt;"",(AD139-INDEX(TZ_STD,MATCH(P139,TZ_STN,0))/24)&gt;=INDEX(TZ_DSTS,MATCH(P139,TZ_STN,0)),(AD139-INDEX(TZ_STD,MATCH(P139,TZ_STN,0))/24)&lt;INDEX(TZ_DSTE,MATCH(P139,TZ_STN,0))),INDEX(TZ_DST,MATCH(P139,TZ_STN,0)),INDEX(TZ_STD,MATCH(P139,TZ_STN,0))))/24,"")</f>
        <v/>
      </c>
      <c r="AH139" s="71">
        <f>IF(N139="N/A – rule","N/A – RULE",IF(TRIM(U139)="N/A",IF(AT139=0,"INVALID – N/A not permitted for this mandatory check",IF(AND(TRIM(AC139)&lt;&gt;"",TRIM(AE139)&lt;&gt;"",TRIM(T139)&lt;&gt;""),"N/A – JUSTIFIED","INVALID – N/A needs justification, PIC and verifier")),IF(OR(TRIM(U139)="Pass",TRIM(U139)="Pass after CA"),IF(NOT(ISNUMBER(AD139)),"INVALID – completion time missing",IF(TRIM(T139)="","INVALID – PIC missing",IF(TRIM(Z139)="","INVALID – evidence missing",IF(TRIM(AE139)="","INVALID – verifier missing",IF(AND(AQ139=1,TRIM(W139)=""),"INVALID – batch ID missing",IF(AND(AR139=1,OR(NOT(ISNUMBER(X139)),NOT(ISNUMBER(Y139)))),"INVALID – expected/actual qty missing",IF(IF(AND(TRIM(U139)="Pass",ISNUMBER(AF139)),IF(AF139&lt;&gt;0,"INVALID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recorded/closed","")&lt;&gt;"",IF(AND(TRIM(U139)="Pass",ISNUMBER(AF139)),IF(AF139&lt;&gt;0,"INVALID – qty variance: use Fail or Pass after CA",""),"")&amp;IF(AND(TRIM(U139)="Pass",AB139="Open"),"INVALID – corrective action still open: use Fail, then Pass after CA","")&amp;IF(AND(TRIM(U139)="Pass after CA",OR(TRIM(AA139)="",AB139&lt;&gt;"Closed")),"INVALID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window"),IF(AG139&gt;Flights!$AA$9,"INVALID – completed after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f>
        <v/>
      </c>
      <c r="AI139" s="67">
        <f>IF(OR(AH139="N/A – RULE",AH139="N/A – JUSTIFIED"),0,1)</f>
        <v/>
      </c>
      <c r="AJ139" s="67">
        <f>IF(LEFT(AH139,8)="COMPLETE",1,0)</f>
        <v/>
      </c>
      <c r="AK139" s="67">
        <f>IF(AND(AI139=1,AJ139=0,AsOfUTC&gt;Q139),1,0)</f>
        <v/>
      </c>
      <c r="AL139" s="67">
        <f>IF(AND(AI139=1,OR(TRIM(U139)="Fail",AB139="Open",AND(ISNUMBER(AF139),AF139&lt;&gt;0,TRIM(U139)&lt;&gt;"Pass after CA"))),1,0)</f>
        <v/>
      </c>
      <c r="AM139" s="67">
        <f>IF(LEFT(AH139,7)="INVALID",1,0)</f>
        <v/>
      </c>
      <c r="AN139" s="67">
        <f>IF(AND(N139="Clarification required",AI139=1,AJ139=0),1,0)</f>
        <v/>
      </c>
      <c r="AO139" s="67">
        <f>IF(AK139=1,SUM(AK$5:AK139),"")</f>
        <v/>
      </c>
      <c r="AP139" s="67">
        <f>IF(AL139=1,SUM(AL$5:AL139),"")</f>
        <v/>
      </c>
      <c r="AQ139" s="67" t="n">
        <v>0</v>
      </c>
      <c r="AR139" s="67" t="n">
        <v>0</v>
      </c>
      <c r="AS139" s="67" t="n">
        <v>0</v>
      </c>
      <c r="AT139" s="67" t="n">
        <v>0</v>
      </c>
    </row>
    <row r="140" ht="40" customHeight="1">
      <c r="A140" s="63" t="inlineStr">
        <is>
          <t>F05-T7-04</t>
        </is>
      </c>
      <c r="B140" s="63" t="inlineStr">
        <is>
          <t>F05</t>
        </is>
      </c>
      <c r="C140" s="63">
        <f>Flights!$F$9</f>
        <v/>
      </c>
      <c r="D140" s="64">
        <f>Flights!$D$9</f>
        <v/>
      </c>
      <c r="E140" s="63">
        <f>Flights!$G$9&amp;"-"&amp;Flights!$H$9</f>
        <v/>
      </c>
      <c r="F140" s="63">
        <f>Flights!$K$9</f>
        <v/>
      </c>
      <c r="G140" s="63" t="inlineStr">
        <is>
          <t>T-7D</t>
        </is>
      </c>
      <c r="H140" s="63" t="inlineStr">
        <is>
          <t>Preparation</t>
        </is>
      </c>
      <c r="I140" s="63" t="inlineStr">
        <is>
          <t>Staffing</t>
        </is>
      </c>
      <c r="J140" s="63" t="inlineStr">
        <is>
          <t>Experienced catering officer assigned to this flight</t>
        </is>
      </c>
      <c r="K140" s="73" t="inlineStr">
        <is>
          <t>Record officer name in Result</t>
        </is>
      </c>
      <c r="L140" s="73" t="inlineStr">
        <is>
          <t>User brief (T-7 days)</t>
        </is>
      </c>
      <c r="M140" s="73" t="inlineStr"/>
      <c r="N140" s="73" t="inlineStr">
        <is>
          <t>Required</t>
        </is>
      </c>
      <c r="O140" s="73" t="inlineStr"/>
      <c r="P140" s="63" t="inlineStr">
        <is>
          <t>NRT</t>
        </is>
      </c>
      <c r="Q140" s="65">
        <f>Flights!$AC$9</f>
        <v/>
      </c>
      <c r="R140" s="65">
        <f>Q140+(IF(AND(INDEX(TZ_DSTS,MATCH(P140,TZ_STN,0))&lt;&gt;"",Q140&gt;=INDEX(TZ_DSTS,MATCH(P140,TZ_STN,0)),Q140&lt;INDEX(TZ_DSTE,MATCH(P140,TZ_STN,0))),INDEX(TZ_DST,MATCH(P140,TZ_STN,0)),INDEX(TZ_STD,MATCH(P140,TZ_STN,0))))/24</f>
        <v/>
      </c>
      <c r="S140" s="65" t="inlineStr"/>
      <c r="T140" s="66" t="n"/>
      <c r="U140" s="66" t="n"/>
      <c r="V140" s="66" t="n"/>
      <c r="W140" s="67" t="n"/>
      <c r="X140" s="66" t="n"/>
      <c r="Y140" s="66" t="n"/>
      <c r="Z140" s="66" t="n"/>
      <c r="AA140" s="66" t="n"/>
      <c r="AB140" s="66" t="n"/>
      <c r="AC140" s="66" t="n"/>
      <c r="AD140" s="72" t="n"/>
      <c r="AE140" s="66" t="n"/>
      <c r="AF140" s="67">
        <f>IF(AND(ISNUMBER(X140),ISNUMBER(Y140)),Y140-X140,"")</f>
        <v/>
      </c>
      <c r="AG140" s="68">
        <f>IF(ISNUMBER(AD140),AD140-(IF(AND(INDEX(TZ_DSTS,MATCH(P140,TZ_STN,0))&lt;&gt;"",(AD140-INDEX(TZ_STD,MATCH(P140,TZ_STN,0))/24)&gt;=INDEX(TZ_DSTS,MATCH(P140,TZ_STN,0)),(AD140-INDEX(TZ_STD,MATCH(P140,TZ_STN,0))/24)&lt;INDEX(TZ_DSTE,MATCH(P140,TZ_STN,0))),INDEX(TZ_DST,MATCH(P140,TZ_STN,0)),INDEX(TZ_STD,MATCH(P140,TZ_STN,0))))/24,"")</f>
        <v/>
      </c>
      <c r="AH140" s="71">
        <f>IF(N140="N/A – rule","N/A – RULE",IF(TRIM(U140)="N/A",IF(AT140=0,"INVALID – N/A not permitted for this mandatory check",IF(AND(TRIM(AC140)&lt;&gt;"",TRIM(AE140)&lt;&gt;"",TRIM(T140)&lt;&gt;""),"N/A – JUSTIFIED","INVALID – N/A needs justification, PIC and verifier")),IF(OR(TRIM(U140)="Pass",TRIM(U140)="Pass after CA"),IF(NOT(ISNUMBER(AD140)),"INVALID – completion time missing",IF(TRIM(T140)="","INVALID – PIC missing",IF(TRIM(Z140)="","INVALID – evidence missing",IF(TRIM(AE140)="","INVALID – verifier missing",IF(AND(AQ140=1,TRIM(W140)=""),"INVALID – batch ID missing",IF(AND(AR140=1,OR(NOT(ISNUMBER(X140)),NOT(ISNUMBER(Y140)))),"INVALID – expected/actual qty missing",IF(IF(AND(TRIM(U140)="Pass",ISNUMBER(AF140)),IF(AF140&lt;&gt;0,"INVALID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recorded/closed","")&lt;&gt;"",IF(AND(TRIM(U140)="Pass",ISNUMBER(AF140)),IF(AF140&lt;&gt;0,"INVALID – qty variance: use Fail or Pass after CA",""),"")&amp;IF(AND(TRIM(U140)="Pass",AB140="Open"),"INVALID – corrective action still open: use Fail, then Pass after CA","")&amp;IF(AND(TRIM(U140)="Pass after CA",OR(TRIM(AA140)="",AB140&lt;&gt;"Closed")),"INVALID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window"),IF(AG140&gt;Flights!$AA$9,"INVALID – completed after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f>
        <v/>
      </c>
      <c r="AI140" s="67">
        <f>IF(OR(AH140="N/A – RULE",AH140="N/A – JUSTIFIED"),0,1)</f>
        <v/>
      </c>
      <c r="AJ140" s="67">
        <f>IF(LEFT(AH140,8)="COMPLETE",1,0)</f>
        <v/>
      </c>
      <c r="AK140" s="67">
        <f>IF(AND(AI140=1,AJ140=0,AsOfUTC&gt;Q140),1,0)</f>
        <v/>
      </c>
      <c r="AL140" s="67">
        <f>IF(AND(AI140=1,OR(TRIM(U140)="Fail",AB140="Open",AND(ISNUMBER(AF140),AF140&lt;&gt;0,TRIM(U140)&lt;&gt;"Pass after CA"))),1,0)</f>
        <v/>
      </c>
      <c r="AM140" s="67">
        <f>IF(LEFT(AH140,7)="INVALID",1,0)</f>
        <v/>
      </c>
      <c r="AN140" s="67">
        <f>IF(AND(N140="Clarification required",AI140=1,AJ140=0),1,0)</f>
        <v/>
      </c>
      <c r="AO140" s="67">
        <f>IF(AK140=1,SUM(AK$5:AK140),"")</f>
        <v/>
      </c>
      <c r="AP140" s="67">
        <f>IF(AL140=1,SUM(AL$5:AL140),"")</f>
        <v/>
      </c>
      <c r="AQ140" s="67" t="n">
        <v>0</v>
      </c>
      <c r="AR140" s="67" t="n">
        <v>0</v>
      </c>
      <c r="AS140" s="67" t="n">
        <v>0</v>
      </c>
      <c r="AT140" s="67" t="n">
        <v>0</v>
      </c>
    </row>
    <row r="141" ht="40" customHeight="1">
      <c r="A141" s="63" t="inlineStr">
        <is>
          <t>F05-T7-05</t>
        </is>
      </c>
      <c r="B141" s="63" t="inlineStr">
        <is>
          <t>F05</t>
        </is>
      </c>
      <c r="C141" s="63">
        <f>Flights!$F$9</f>
        <v/>
      </c>
      <c r="D141" s="64">
        <f>Flights!$D$9</f>
        <v/>
      </c>
      <c r="E141" s="63">
        <f>Flights!$G$9&amp;"-"&amp;Flights!$H$9</f>
        <v/>
      </c>
      <c r="F141" s="63">
        <f>Flights!$K$9</f>
        <v/>
      </c>
      <c r="G141" s="63" t="inlineStr">
        <is>
          <t>T-7D</t>
        </is>
      </c>
      <c r="H141" s="63" t="inlineStr">
        <is>
          <t>Preparation</t>
        </is>
      </c>
      <c r="I141" s="63" t="inlineStr">
        <is>
          <t>ISOP</t>
        </is>
      </c>
      <c r="J141" s="63" t="inlineStr">
        <is>
          <t>All latest applicable ISOP revisions communicated to caterer</t>
        </is>
      </c>
      <c r="K141" s="73" t="inlineStr">
        <is>
          <t>List revision numbers in Result (see ISOP register)</t>
        </is>
      </c>
      <c r="L141" s="73" t="inlineStr">
        <is>
          <t>User brief (T-7 days)</t>
        </is>
      </c>
      <c r="M141" s="73" t="inlineStr"/>
      <c r="N141" s="73" t="inlineStr">
        <is>
          <t>Required</t>
        </is>
      </c>
      <c r="O141" s="73" t="inlineStr"/>
      <c r="P141" s="63" t="inlineStr">
        <is>
          <t>NRT</t>
        </is>
      </c>
      <c r="Q141" s="65">
        <f>Flights!$AC$9</f>
        <v/>
      </c>
      <c r="R141" s="65">
        <f>Q141+(IF(AND(INDEX(TZ_DSTS,MATCH(P141,TZ_STN,0))&lt;&gt;"",Q141&gt;=INDEX(TZ_DSTS,MATCH(P141,TZ_STN,0)),Q141&lt;INDEX(TZ_DSTE,MATCH(P141,TZ_STN,0))),INDEX(TZ_DST,MATCH(P141,TZ_STN,0)),INDEX(TZ_STD,MATCH(P141,TZ_STN,0))))/24</f>
        <v/>
      </c>
      <c r="S141" s="65" t="inlineStr"/>
      <c r="T141" s="66" t="n"/>
      <c r="U141" s="66" t="n"/>
      <c r="V141" s="66" t="n"/>
      <c r="W141" s="67" t="n"/>
      <c r="X141" s="66" t="n"/>
      <c r="Y141" s="66" t="n"/>
      <c r="Z141" s="66" t="n"/>
      <c r="AA141" s="66" t="n"/>
      <c r="AB141" s="66" t="n"/>
      <c r="AC141" s="66" t="n"/>
      <c r="AD141" s="72" t="n"/>
      <c r="AE141" s="66" t="n"/>
      <c r="AF141" s="67">
        <f>IF(AND(ISNUMBER(X141),ISNUMBER(Y141)),Y141-X141,"")</f>
        <v/>
      </c>
      <c r="AG141" s="68">
        <f>IF(ISNUMBER(AD141),AD141-(IF(AND(INDEX(TZ_DSTS,MATCH(P141,TZ_STN,0))&lt;&gt;"",(AD141-INDEX(TZ_STD,MATCH(P141,TZ_STN,0))/24)&gt;=INDEX(TZ_DSTS,MATCH(P141,TZ_STN,0)),(AD141-INDEX(TZ_STD,MATCH(P141,TZ_STN,0))/24)&lt;INDEX(TZ_DSTE,MATCH(P141,TZ_STN,0))),INDEX(TZ_DST,MATCH(P141,TZ_STN,0)),INDEX(TZ_STD,MATCH(P141,TZ_STN,0))))/24,"")</f>
        <v/>
      </c>
      <c r="AH141" s="71">
        <f>IF(N141="N/A – rule","N/A – RULE",IF(TRIM(U141)="N/A",IF(AT141=0,"INVALID – N/A not permitted for this mandatory check",IF(AND(TRIM(AC141)&lt;&gt;"",TRIM(AE141)&lt;&gt;"",TRIM(T141)&lt;&gt;""),"N/A – JUSTIFIED","INVALID – N/A needs justification, PIC and verifier")),IF(OR(TRIM(U141)="Pass",TRIM(U141)="Pass after CA"),IF(NOT(ISNUMBER(AD141)),"INVALID – completion time missing",IF(TRIM(T141)="","INVALID – PIC missing",IF(TRIM(Z141)="","INVALID – evidence missing",IF(TRIM(AE141)="","INVALID – verifier missing",IF(AND(AQ141=1,TRIM(W141)=""),"INVALID – batch ID missing",IF(AND(AR141=1,OR(NOT(ISNUMBER(X141)),NOT(ISNUMBER(Y141)))),"INVALID – expected/actual qty missing",IF(IF(AND(TRIM(U141)="Pass",ISNUMBER(AF141)),IF(AF141&lt;&gt;0,"INVALID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recorded/closed","")&lt;&gt;"",IF(AND(TRIM(U141)="Pass",ISNUMBER(AF141)),IF(AF141&lt;&gt;0,"INVALID – qty variance: use Fail or Pass after CA",""),"")&amp;IF(AND(TRIM(U141)="Pass",AB141="Open"),"INVALID – corrective action still open: use Fail, then Pass after CA","")&amp;IF(AND(TRIM(U141)="Pass after CA",OR(TRIM(AA141)="",AB141&lt;&gt;"Closed")),"INVALID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window"),IF(AG141&gt;Flights!$AA$9,"INVALID – completed after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f>
        <v/>
      </c>
      <c r="AI141" s="67">
        <f>IF(OR(AH141="N/A – RULE",AH141="N/A – JUSTIFIED"),0,1)</f>
        <v/>
      </c>
      <c r="AJ141" s="67">
        <f>IF(LEFT(AH141,8)="COMPLETE",1,0)</f>
        <v/>
      </c>
      <c r="AK141" s="67">
        <f>IF(AND(AI141=1,AJ141=0,AsOfUTC&gt;Q141),1,0)</f>
        <v/>
      </c>
      <c r="AL141" s="67">
        <f>IF(AND(AI141=1,OR(TRIM(U141)="Fail",AB141="Open",AND(ISNUMBER(AF141),AF141&lt;&gt;0,TRIM(U141)&lt;&gt;"Pass after CA"))),1,0)</f>
        <v/>
      </c>
      <c r="AM141" s="67">
        <f>IF(LEFT(AH141,7)="INVALID",1,0)</f>
        <v/>
      </c>
      <c r="AN141" s="67">
        <f>IF(AND(N141="Clarification required",AI141=1,AJ141=0),1,0)</f>
        <v/>
      </c>
      <c r="AO141" s="67">
        <f>IF(AK141=1,SUM(AK$5:AK141),"")</f>
        <v/>
      </c>
      <c r="AP141" s="67">
        <f>IF(AL141=1,SUM(AL$5:AL141),"")</f>
        <v/>
      </c>
      <c r="AQ141" s="67" t="n">
        <v>0</v>
      </c>
      <c r="AR141" s="67" t="n">
        <v>0</v>
      </c>
      <c r="AS141" s="67" t="n">
        <v>0</v>
      </c>
      <c r="AT141" s="67" t="n">
        <v>0</v>
      </c>
    </row>
    <row r="142" ht="40" customHeight="1">
      <c r="A142" s="63" t="inlineStr">
        <is>
          <t>F05-T7-06</t>
        </is>
      </c>
      <c r="B142" s="63" t="inlineStr">
        <is>
          <t>F05</t>
        </is>
      </c>
      <c r="C142" s="63">
        <f>Flights!$F$9</f>
        <v/>
      </c>
      <c r="D142" s="64">
        <f>Flights!$D$9</f>
        <v/>
      </c>
      <c r="E142" s="63">
        <f>Flights!$G$9&amp;"-"&amp;Flights!$H$9</f>
        <v/>
      </c>
      <c r="F142" s="63">
        <f>Flights!$K$9</f>
        <v/>
      </c>
      <c r="G142" s="63" t="inlineStr">
        <is>
          <t>T-7D</t>
        </is>
      </c>
      <c r="H142" s="63" t="inlineStr">
        <is>
          <t>Preparation</t>
        </is>
      </c>
      <c r="I142" s="63" t="inlineStr">
        <is>
          <t>ISOP</t>
        </is>
      </c>
      <c r="J142" s="63" t="inlineStr">
        <is>
          <t>Caterer acknowledgement of ISOP revisions recorded</t>
        </is>
      </c>
      <c r="K142" s="73" t="inlineStr">
        <is>
          <t>Record acknowledgement ref in Evidence</t>
        </is>
      </c>
      <c r="L142" s="73" t="inlineStr">
        <is>
          <t>User brief (T-7 days)</t>
        </is>
      </c>
      <c r="M142" s="73" t="inlineStr"/>
      <c r="N142" s="73" t="inlineStr">
        <is>
          <t>Required</t>
        </is>
      </c>
      <c r="O142" s="73" t="inlineStr"/>
      <c r="P142" s="63" t="inlineStr">
        <is>
          <t>NRT</t>
        </is>
      </c>
      <c r="Q142" s="65">
        <f>Flights!$AC$9</f>
        <v/>
      </c>
      <c r="R142" s="65">
        <f>Q142+(IF(AND(INDEX(TZ_DSTS,MATCH(P142,TZ_STN,0))&lt;&gt;"",Q142&gt;=INDEX(TZ_DSTS,MATCH(P142,TZ_STN,0)),Q142&lt;INDEX(TZ_DSTE,MATCH(P142,TZ_STN,0))),INDEX(TZ_DST,MATCH(P142,TZ_STN,0)),INDEX(TZ_STD,MATCH(P142,TZ_STN,0))))/24</f>
        <v/>
      </c>
      <c r="S142" s="65" t="inlineStr"/>
      <c r="T142" s="66" t="n"/>
      <c r="U142" s="66" t="n"/>
      <c r="V142" s="66" t="n"/>
      <c r="W142" s="67" t="n"/>
      <c r="X142" s="66" t="n"/>
      <c r="Y142" s="66" t="n"/>
      <c r="Z142" s="66" t="n"/>
      <c r="AA142" s="66" t="n"/>
      <c r="AB142" s="66" t="n"/>
      <c r="AC142" s="66" t="n"/>
      <c r="AD142" s="72" t="n"/>
      <c r="AE142" s="66" t="n"/>
      <c r="AF142" s="67">
        <f>IF(AND(ISNUMBER(X142),ISNUMBER(Y142)),Y142-X142,"")</f>
        <v/>
      </c>
      <c r="AG142" s="68">
        <f>IF(ISNUMBER(AD142),AD142-(IF(AND(INDEX(TZ_DSTS,MATCH(P142,TZ_STN,0))&lt;&gt;"",(AD142-INDEX(TZ_STD,MATCH(P142,TZ_STN,0))/24)&gt;=INDEX(TZ_DSTS,MATCH(P142,TZ_STN,0)),(AD142-INDEX(TZ_STD,MATCH(P142,TZ_STN,0))/24)&lt;INDEX(TZ_DSTE,MATCH(P142,TZ_STN,0))),INDEX(TZ_DST,MATCH(P142,TZ_STN,0)),INDEX(TZ_STD,MATCH(P142,TZ_STN,0))))/24,"")</f>
        <v/>
      </c>
      <c r="AH142" s="71">
        <f>IF(N142="N/A – rule","N/A – RULE",IF(TRIM(U142)="N/A",IF(AT142=0,"INVALID – N/A not permitted for this mandatory check",IF(AND(TRIM(AC142)&lt;&gt;"",TRIM(AE142)&lt;&gt;"",TRIM(T142)&lt;&gt;""),"N/A – JUSTIFIED","INVALID – N/A needs justification, PIC and verifier")),IF(OR(TRIM(U142)="Pass",TRIM(U142)="Pass after CA"),IF(NOT(ISNUMBER(AD142)),"INVALID – completion time missing",IF(TRIM(T142)="","INVALID – PIC missing",IF(TRIM(Z142)="","INVALID – evidence missing",IF(TRIM(AE142)="","INVALID – verifier missing",IF(AND(AQ142=1,TRIM(W142)=""),"INVALID – batch ID missing",IF(AND(AR142=1,OR(NOT(ISNUMBER(X142)),NOT(ISNUMBER(Y142)))),"INVALID – expected/actual qty missing",IF(IF(AND(TRIM(U142)="Pass",ISNUMBER(AF142)),IF(AF142&lt;&gt;0,"INVALID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recorded/closed","")&lt;&gt;"",IF(AND(TRIM(U142)="Pass",ISNUMBER(AF142)),IF(AF142&lt;&gt;0,"INVALID – qty variance: use Fail or Pass after CA",""),"")&amp;IF(AND(TRIM(U142)="Pass",AB142="Open"),"INVALID – corrective action still open: use Fail, then Pass after CA","")&amp;IF(AND(TRIM(U142)="Pass after CA",OR(TRIM(AA142)="",AB142&lt;&gt;"Closed")),"INVALID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window"),IF(AG142&gt;Flights!$AA$9,"INVALID – completed after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f>
        <v/>
      </c>
      <c r="AI142" s="67">
        <f>IF(OR(AH142="N/A – RULE",AH142="N/A – JUSTIFIED"),0,1)</f>
        <v/>
      </c>
      <c r="AJ142" s="67">
        <f>IF(LEFT(AH142,8)="COMPLETE",1,0)</f>
        <v/>
      </c>
      <c r="AK142" s="67">
        <f>IF(AND(AI142=1,AJ142=0,AsOfUTC&gt;Q142),1,0)</f>
        <v/>
      </c>
      <c r="AL142" s="67">
        <f>IF(AND(AI142=1,OR(TRIM(U142)="Fail",AB142="Open",AND(ISNUMBER(AF142),AF142&lt;&gt;0,TRIM(U142)&lt;&gt;"Pass after CA"))),1,0)</f>
        <v/>
      </c>
      <c r="AM142" s="67">
        <f>IF(LEFT(AH142,7)="INVALID",1,0)</f>
        <v/>
      </c>
      <c r="AN142" s="67">
        <f>IF(AND(N142="Clarification required",AI142=1,AJ142=0),1,0)</f>
        <v/>
      </c>
      <c r="AO142" s="67">
        <f>IF(AK142=1,SUM(AK$5:AK142),"")</f>
        <v/>
      </c>
      <c r="AP142" s="67">
        <f>IF(AL142=1,SUM(AL$5:AL142),"")</f>
        <v/>
      </c>
      <c r="AQ142" s="67" t="n">
        <v>0</v>
      </c>
      <c r="AR142" s="67" t="n">
        <v>0</v>
      </c>
      <c r="AS142" s="67" t="n">
        <v>0</v>
      </c>
      <c r="AT142" s="67" t="n">
        <v>0</v>
      </c>
    </row>
    <row r="143" ht="40" customHeight="1">
      <c r="A143" s="63" t="inlineStr">
        <is>
          <t>F05-T7-07</t>
        </is>
      </c>
      <c r="B143" s="63" t="inlineStr">
        <is>
          <t>F05</t>
        </is>
      </c>
      <c r="C143" s="63">
        <f>Flights!$F$9</f>
        <v/>
      </c>
      <c r="D143" s="64">
        <f>Flights!$D$9</f>
        <v/>
      </c>
      <c r="E143" s="63">
        <f>Flights!$G$9&amp;"-"&amp;Flights!$H$9</f>
        <v/>
      </c>
      <c r="F143" s="63">
        <f>Flights!$K$9</f>
        <v/>
      </c>
      <c r="G143" s="63" t="inlineStr">
        <is>
          <t>T-7D</t>
        </is>
      </c>
      <c r="H143" s="63" t="inlineStr">
        <is>
          <t>Preparation</t>
        </is>
      </c>
      <c r="I143" s="63" t="inlineStr">
        <is>
          <t>Documents</t>
        </is>
      </c>
      <c r="J143" s="63" t="inlineStr">
        <is>
          <t>Galley loading diagram (GLD) received, revision recorded &amp; attached</t>
        </is>
      </c>
      <c r="K143" s="73" t="inlineStr">
        <is>
          <t>Documents sheet row complete</t>
        </is>
      </c>
      <c r="L143" s="73" t="inlineStr">
        <is>
          <t>User brief (T-7 days)</t>
        </is>
      </c>
      <c r="M143" s="73" t="inlineStr"/>
      <c r="N143" s="73" t="inlineStr">
        <is>
          <t>Required</t>
        </is>
      </c>
      <c r="O143" s="73" t="inlineStr"/>
      <c r="P143" s="63" t="inlineStr">
        <is>
          <t>NRT</t>
        </is>
      </c>
      <c r="Q143" s="65">
        <f>Flights!$AC$9</f>
        <v/>
      </c>
      <c r="R143" s="65">
        <f>Q143+(IF(AND(INDEX(TZ_DSTS,MATCH(P143,TZ_STN,0))&lt;&gt;"",Q143&gt;=INDEX(TZ_DSTS,MATCH(P143,TZ_STN,0)),Q143&lt;INDEX(TZ_DSTE,MATCH(P143,TZ_STN,0))),INDEX(TZ_DST,MATCH(P143,TZ_STN,0)),INDEX(TZ_STD,MATCH(P143,TZ_STN,0))))/24</f>
        <v/>
      </c>
      <c r="S143" s="65" t="inlineStr"/>
      <c r="T143" s="66" t="n"/>
      <c r="U143" s="66" t="n"/>
      <c r="V143" s="66" t="n"/>
      <c r="W143" s="67" t="n"/>
      <c r="X143" s="66" t="n"/>
      <c r="Y143" s="66" t="n"/>
      <c r="Z143" s="66" t="n"/>
      <c r="AA143" s="66" t="n"/>
      <c r="AB143" s="66" t="n"/>
      <c r="AC143" s="66" t="n"/>
      <c r="AD143" s="72" t="n"/>
      <c r="AE143" s="66" t="n"/>
      <c r="AF143" s="67">
        <f>IF(AND(ISNUMBER(X143),ISNUMBER(Y143)),Y143-X143,"")</f>
        <v/>
      </c>
      <c r="AG143" s="68">
        <f>IF(ISNUMBER(AD143),AD143-(IF(AND(INDEX(TZ_DSTS,MATCH(P143,TZ_STN,0))&lt;&gt;"",(AD143-INDEX(TZ_STD,MATCH(P143,TZ_STN,0))/24)&gt;=INDEX(TZ_DSTS,MATCH(P143,TZ_STN,0)),(AD143-INDEX(TZ_STD,MATCH(P143,TZ_STN,0))/24)&lt;INDEX(TZ_DSTE,MATCH(P143,TZ_STN,0))),INDEX(TZ_DST,MATCH(P143,TZ_STN,0)),INDEX(TZ_STD,MATCH(P143,TZ_STN,0))))/24,"")</f>
        <v/>
      </c>
      <c r="AH143" s="71">
        <f>IF(N143="N/A – rule","N/A – RULE",IF(TRIM(U143)="N/A",IF(AT143=0,"INVALID – N/A not permitted for this mandatory check",IF(AND(TRIM(AC143)&lt;&gt;"",TRIM(AE143)&lt;&gt;"",TRIM(T143)&lt;&gt;""),"N/A – JUSTIFIED","INVALID – N/A needs justification, PIC and verifier")),IF(OR(TRIM(U143)="Pass",TRIM(U143)="Pass after CA"),IF(NOT(ISNUMBER(AD143)),"INVALID – completion time missing",IF(TRIM(T143)="","INVALID – PIC missing",IF(TRIM(Z143)="","INVALID – evidence missing",IF(TRIM(AE143)="","INVALID – verifier missing",IF(AND(AQ143=1,TRIM(W143)=""),"INVALID – batch ID missing",IF(AND(AR143=1,OR(NOT(ISNUMBER(X143)),NOT(ISNUMBER(Y143)))),"INVALID – expected/actual qty missing",IF(IF(AND(TRIM(U143)="Pass",ISNUMBER(AF143)),IF(AF143&lt;&gt;0,"INVALID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recorded/closed","")&lt;&gt;"",IF(AND(TRIM(U143)="Pass",ISNUMBER(AF143)),IF(AF143&lt;&gt;0,"INVALID – qty variance: use Fail or Pass after CA",""),"")&amp;IF(AND(TRIM(U143)="Pass",AB143="Open"),"INVALID – corrective action still open: use Fail, then Pass after CA","")&amp;IF(AND(TRIM(U143)="Pass after CA",OR(TRIM(AA143)="",AB143&lt;&gt;"Closed")),"INVALID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window"),IF(AG143&gt;Flights!$AA$9,"INVALID – completed after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f>
        <v/>
      </c>
      <c r="AI143" s="67">
        <f>IF(OR(AH143="N/A – RULE",AH143="N/A – JUSTIFIED"),0,1)</f>
        <v/>
      </c>
      <c r="AJ143" s="67">
        <f>IF(LEFT(AH143,8)="COMPLETE",1,0)</f>
        <v/>
      </c>
      <c r="AK143" s="67">
        <f>IF(AND(AI143=1,AJ143=0,AsOfUTC&gt;Q143),1,0)</f>
        <v/>
      </c>
      <c r="AL143" s="67">
        <f>IF(AND(AI143=1,OR(TRIM(U143)="Fail",AB143="Open",AND(ISNUMBER(AF143),AF143&lt;&gt;0,TRIM(U143)&lt;&gt;"Pass after CA"))),1,0)</f>
        <v/>
      </c>
      <c r="AM143" s="67">
        <f>IF(LEFT(AH143,7)="INVALID",1,0)</f>
        <v/>
      </c>
      <c r="AN143" s="67">
        <f>IF(AND(N143="Clarification required",AI143=1,AJ143=0),1,0)</f>
        <v/>
      </c>
      <c r="AO143" s="67">
        <f>IF(AK143=1,SUM(AK$5:AK143),"")</f>
        <v/>
      </c>
      <c r="AP143" s="67">
        <f>IF(AL143=1,SUM(AL$5:AL143),"")</f>
        <v/>
      </c>
      <c r="AQ143" s="67" t="n">
        <v>0</v>
      </c>
      <c r="AR143" s="67" t="n">
        <v>0</v>
      </c>
      <c r="AS143" s="67" t="n">
        <v>1</v>
      </c>
      <c r="AT143" s="67" t="n">
        <v>0</v>
      </c>
    </row>
    <row r="144" ht="40" customHeight="1">
      <c r="A144" s="63" t="inlineStr">
        <is>
          <t>F05-T7-08</t>
        </is>
      </c>
      <c r="B144" s="63" t="inlineStr">
        <is>
          <t>F05</t>
        </is>
      </c>
      <c r="C144" s="63">
        <f>Flights!$F$9</f>
        <v/>
      </c>
      <c r="D144" s="64">
        <f>Flights!$D$9</f>
        <v/>
      </c>
      <c r="E144" s="63">
        <f>Flights!$G$9&amp;"-"&amp;Flights!$H$9</f>
        <v/>
      </c>
      <c r="F144" s="63">
        <f>Flights!$K$9</f>
        <v/>
      </c>
      <c r="G144" s="63" t="inlineStr">
        <is>
          <t>T-7D</t>
        </is>
      </c>
      <c r="H144" s="63" t="inlineStr">
        <is>
          <t>Preparation</t>
        </is>
      </c>
      <c r="I144" s="63" t="inlineStr">
        <is>
          <t>Documents</t>
        </is>
      </c>
      <c r="J144" s="63" t="inlineStr">
        <is>
          <t>Menu checklist received, revision recorded &amp; attached</t>
        </is>
      </c>
      <c r="K144" s="73" t="inlineStr">
        <is>
          <t>Documents sheet row complete</t>
        </is>
      </c>
      <c r="L144" s="73" t="inlineStr">
        <is>
          <t>User brief (T-7 days)</t>
        </is>
      </c>
      <c r="M144" s="73" t="inlineStr"/>
      <c r="N144" s="73" t="inlineStr">
        <is>
          <t>Required</t>
        </is>
      </c>
      <c r="O144" s="73" t="inlineStr"/>
      <c r="P144" s="63" t="inlineStr">
        <is>
          <t>NRT</t>
        </is>
      </c>
      <c r="Q144" s="65">
        <f>Flights!$AC$9</f>
        <v/>
      </c>
      <c r="R144" s="65">
        <f>Q144+(IF(AND(INDEX(TZ_DSTS,MATCH(P144,TZ_STN,0))&lt;&gt;"",Q144&gt;=INDEX(TZ_DSTS,MATCH(P144,TZ_STN,0)),Q144&lt;INDEX(TZ_DSTE,MATCH(P144,TZ_STN,0))),INDEX(TZ_DST,MATCH(P144,TZ_STN,0)),INDEX(TZ_STD,MATCH(P144,TZ_STN,0))))/24</f>
        <v/>
      </c>
      <c r="S144" s="65" t="inlineStr"/>
      <c r="T144" s="66" t="n"/>
      <c r="U144" s="66" t="n"/>
      <c r="V144" s="66" t="n"/>
      <c r="W144" s="67" t="n"/>
      <c r="X144" s="66" t="n"/>
      <c r="Y144" s="66" t="n"/>
      <c r="Z144" s="66" t="n"/>
      <c r="AA144" s="66" t="n"/>
      <c r="AB144" s="66" t="n"/>
      <c r="AC144" s="66" t="n"/>
      <c r="AD144" s="72" t="n"/>
      <c r="AE144" s="66" t="n"/>
      <c r="AF144" s="67">
        <f>IF(AND(ISNUMBER(X144),ISNUMBER(Y144)),Y144-X144,"")</f>
        <v/>
      </c>
      <c r="AG144" s="68">
        <f>IF(ISNUMBER(AD144),AD144-(IF(AND(INDEX(TZ_DSTS,MATCH(P144,TZ_STN,0))&lt;&gt;"",(AD144-INDEX(TZ_STD,MATCH(P144,TZ_STN,0))/24)&gt;=INDEX(TZ_DSTS,MATCH(P144,TZ_STN,0)),(AD144-INDEX(TZ_STD,MATCH(P144,TZ_STN,0))/24)&lt;INDEX(TZ_DSTE,MATCH(P144,TZ_STN,0))),INDEX(TZ_DST,MATCH(P144,TZ_STN,0)),INDEX(TZ_STD,MATCH(P144,TZ_STN,0))))/24,"")</f>
        <v/>
      </c>
      <c r="AH144" s="71">
        <f>IF(N144="N/A – rule","N/A – RULE",IF(TRIM(U144)="N/A",IF(AT144=0,"INVALID – N/A not permitted for this mandatory check",IF(AND(TRIM(AC144)&lt;&gt;"",TRIM(AE144)&lt;&gt;"",TRIM(T144)&lt;&gt;""),"N/A – JUSTIFIED","INVALID – N/A needs justification, PIC and verifier")),IF(OR(TRIM(U144)="Pass",TRIM(U144)="Pass after CA"),IF(NOT(ISNUMBER(AD144)),"INVALID – completion time missing",IF(TRIM(T144)="","INVALID – PIC missing",IF(TRIM(Z144)="","INVALID – evidence missing",IF(TRIM(AE144)="","INVALID – verifier missing",IF(AND(AQ144=1,TRIM(W144)=""),"INVALID – batch ID missing",IF(AND(AR144=1,OR(NOT(ISNUMBER(X144)),NOT(ISNUMBER(Y144)))),"INVALID – expected/actual qty missing",IF(IF(AND(TRIM(U144)="Pass",ISNUMBER(AF144)),IF(AF144&lt;&gt;0,"INVALID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recorded/closed","")&lt;&gt;"",IF(AND(TRIM(U144)="Pass",ISNUMBER(AF144)),IF(AF144&lt;&gt;0,"INVALID – qty variance: use Fail or Pass after CA",""),"")&amp;IF(AND(TRIM(U144)="Pass",AB144="Open"),"INVALID – corrective action still open: use Fail, then Pass after CA","")&amp;IF(AND(TRIM(U144)="Pass after CA",OR(TRIM(AA144)="",AB144&lt;&gt;"Closed")),"INVALID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window"),IF(AG144&gt;Flights!$AA$9,"INVALID – completed after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f>
        <v/>
      </c>
      <c r="AI144" s="67">
        <f>IF(OR(AH144="N/A – RULE",AH144="N/A – JUSTIFIED"),0,1)</f>
        <v/>
      </c>
      <c r="AJ144" s="67">
        <f>IF(LEFT(AH144,8)="COMPLETE",1,0)</f>
        <v/>
      </c>
      <c r="AK144" s="67">
        <f>IF(AND(AI144=1,AJ144=0,AsOfUTC&gt;Q144),1,0)</f>
        <v/>
      </c>
      <c r="AL144" s="67">
        <f>IF(AND(AI144=1,OR(TRIM(U144)="Fail",AB144="Open",AND(ISNUMBER(AF144),AF144&lt;&gt;0,TRIM(U144)&lt;&gt;"Pass after CA"))),1,0)</f>
        <v/>
      </c>
      <c r="AM144" s="67">
        <f>IF(LEFT(AH144,7)="INVALID",1,0)</f>
        <v/>
      </c>
      <c r="AN144" s="67">
        <f>IF(AND(N144="Clarification required",AI144=1,AJ144=0),1,0)</f>
        <v/>
      </c>
      <c r="AO144" s="67">
        <f>IF(AK144=1,SUM(AK$5:AK144),"")</f>
        <v/>
      </c>
      <c r="AP144" s="67">
        <f>IF(AL144=1,SUM(AL$5:AL144),"")</f>
        <v/>
      </c>
      <c r="AQ144" s="67" t="n">
        <v>0</v>
      </c>
      <c r="AR144" s="67" t="n">
        <v>0</v>
      </c>
      <c r="AS144" s="67" t="n">
        <v>2</v>
      </c>
      <c r="AT144" s="67" t="n">
        <v>0</v>
      </c>
    </row>
    <row r="145" ht="40" customHeight="1">
      <c r="A145" s="63" t="inlineStr">
        <is>
          <t>F05-T7-09</t>
        </is>
      </c>
      <c r="B145" s="63" t="inlineStr">
        <is>
          <t>F05</t>
        </is>
      </c>
      <c r="C145" s="63">
        <f>Flights!$F$9</f>
        <v/>
      </c>
      <c r="D145" s="64">
        <f>Flights!$D$9</f>
        <v/>
      </c>
      <c r="E145" s="63">
        <f>Flights!$G$9&amp;"-"&amp;Flights!$H$9</f>
        <v/>
      </c>
      <c r="F145" s="63">
        <f>Flights!$K$9</f>
        <v/>
      </c>
      <c r="G145" s="63" t="inlineStr">
        <is>
          <t>T-7D</t>
        </is>
      </c>
      <c r="H145" s="63" t="inlineStr">
        <is>
          <t>Preparation</t>
        </is>
      </c>
      <c r="I145" s="63" t="inlineStr">
        <is>
          <t>Uplift plan</t>
        </is>
      </c>
      <c r="J145" s="63" t="inlineStr">
        <is>
          <t>Uplift plan confirmed with caterer vs STD Uplift Information</t>
        </is>
      </c>
      <c r="K145" s="73" t="inlineStr">
        <is>
          <t>Service: 1.5 Meal (Meal); meal uplift stn NRT (ref lists KUL/NRT)</t>
        </is>
      </c>
      <c r="L145" s="73" t="inlineStr">
        <is>
          <t>STD UPLIFT INFORMATION.xlsx &gt; CATERING UPLIFT STN!C16:G16</t>
        </is>
      </c>
      <c r="M145" s="73" t="inlineStr"/>
      <c r="N145" s="73" t="inlineStr">
        <is>
          <t>Required</t>
        </is>
      </c>
      <c r="O145" s="73" t="inlineStr"/>
      <c r="P145" s="63" t="inlineStr">
        <is>
          <t>NRT</t>
        </is>
      </c>
      <c r="Q145" s="65">
        <f>Flights!$AC$9</f>
        <v/>
      </c>
      <c r="R145" s="65">
        <f>Q145+(IF(AND(INDEX(TZ_DSTS,MATCH(P145,TZ_STN,0))&lt;&gt;"",Q145&gt;=INDEX(TZ_DSTS,MATCH(P145,TZ_STN,0)),Q145&lt;INDEX(TZ_DSTE,MATCH(P145,TZ_STN,0))),INDEX(TZ_DST,MATCH(P145,TZ_STN,0)),INDEX(TZ_STD,MATCH(P145,TZ_STN,0))))/24</f>
        <v/>
      </c>
      <c r="S145" s="65" t="inlineStr"/>
      <c r="T145" s="66" t="n"/>
      <c r="U145" s="66" t="n"/>
      <c r="V145" s="66" t="n"/>
      <c r="W145" s="67" t="n"/>
      <c r="X145" s="66" t="n"/>
      <c r="Y145" s="66" t="n"/>
      <c r="Z145" s="66" t="n"/>
      <c r="AA145" s="66" t="n"/>
      <c r="AB145" s="66" t="n"/>
      <c r="AC145" s="66" t="n"/>
      <c r="AD145" s="72" t="n"/>
      <c r="AE145" s="66" t="n"/>
      <c r="AF145" s="67">
        <f>IF(AND(ISNUMBER(X145),ISNUMBER(Y145)),Y145-X145,"")</f>
        <v/>
      </c>
      <c r="AG145" s="68">
        <f>IF(ISNUMBER(AD145),AD145-(IF(AND(INDEX(TZ_DSTS,MATCH(P145,TZ_STN,0))&lt;&gt;"",(AD145-INDEX(TZ_STD,MATCH(P145,TZ_STN,0))/24)&gt;=INDEX(TZ_DSTS,MATCH(P145,TZ_STN,0)),(AD145-INDEX(TZ_STD,MATCH(P145,TZ_STN,0))/24)&lt;INDEX(TZ_DSTE,MATCH(P145,TZ_STN,0))),INDEX(TZ_DST,MATCH(P145,TZ_STN,0)),INDEX(TZ_STD,MATCH(P145,TZ_STN,0))))/24,"")</f>
        <v/>
      </c>
      <c r="AH145" s="71">
        <f>IF(N145="N/A – rule","N/A – RULE",IF(TRIM(U145)="N/A",IF(AT145=0,"INVALID – N/A not permitted for this mandatory check",IF(AND(TRIM(AC145)&lt;&gt;"",TRIM(AE145)&lt;&gt;"",TRIM(T145)&lt;&gt;""),"N/A – JUSTIFIED","INVALID – N/A needs justification, PIC and verifier")),IF(OR(TRIM(U145)="Pass",TRIM(U145)="Pass after CA"),IF(NOT(ISNUMBER(AD145)),"INVALID – completion time missing",IF(TRIM(T145)="","INVALID – PIC missing",IF(TRIM(Z145)="","INVALID – evidence missing",IF(TRIM(AE145)="","INVALID – verifier missing",IF(AND(AQ145=1,TRIM(W145)=""),"INVALID – batch ID missing",IF(AND(AR145=1,OR(NOT(ISNUMBER(X145)),NOT(ISNUMBER(Y145)))),"INVALID – expected/actual qty missing",IF(IF(AND(TRIM(U145)="Pass",ISNUMBER(AF145)),IF(AF145&lt;&gt;0,"INVALID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recorded/closed","")&lt;&gt;"",IF(AND(TRIM(U145)="Pass",ISNUMBER(AF145)),IF(AF145&lt;&gt;0,"INVALID – qty variance: use Fail or Pass after CA",""),"")&amp;IF(AND(TRIM(U145)="Pass",AB145="Open"),"INVALID – corrective action still open: use Fail, then Pass after CA","")&amp;IF(AND(TRIM(U145)="Pass after CA",OR(TRIM(AA145)="",AB145&lt;&gt;"Closed")),"INVALID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window"),IF(AG145&gt;Flights!$AA$9,"INVALID – completed after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f>
        <v/>
      </c>
      <c r="AI145" s="67">
        <f>IF(OR(AH145="N/A – RULE",AH145="N/A – JUSTIFIED"),0,1)</f>
        <v/>
      </c>
      <c r="AJ145" s="67">
        <f>IF(LEFT(AH145,8)="COMPLETE",1,0)</f>
        <v/>
      </c>
      <c r="AK145" s="67">
        <f>IF(AND(AI145=1,AJ145=0,AsOfUTC&gt;Q145),1,0)</f>
        <v/>
      </c>
      <c r="AL145" s="67">
        <f>IF(AND(AI145=1,OR(TRIM(U145)="Fail",AB145="Open",AND(ISNUMBER(AF145),AF145&lt;&gt;0,TRIM(U145)&lt;&gt;"Pass after CA"))),1,0)</f>
        <v/>
      </c>
      <c r="AM145" s="67">
        <f>IF(LEFT(AH145,7)="INVALID",1,0)</f>
        <v/>
      </c>
      <c r="AN145" s="67">
        <f>IF(AND(N145="Clarification required",AI145=1,AJ145=0),1,0)</f>
        <v/>
      </c>
      <c r="AO145" s="67">
        <f>IF(AK145=1,SUM(AK$5:AK145),"")</f>
        <v/>
      </c>
      <c r="AP145" s="67">
        <f>IF(AL145=1,SUM(AL$5:AL145),"")</f>
        <v/>
      </c>
      <c r="AQ145" s="67" t="n">
        <v>0</v>
      </c>
      <c r="AR145" s="67" t="n">
        <v>0</v>
      </c>
      <c r="AS145" s="67" t="n">
        <v>0</v>
      </c>
      <c r="AT145" s="67" t="n">
        <v>0</v>
      </c>
    </row>
    <row r="146" ht="79" customHeight="1">
      <c r="A146" s="63" t="inlineStr">
        <is>
          <t>F05-T7-10</t>
        </is>
      </c>
      <c r="B146" s="63" t="inlineStr">
        <is>
          <t>F05</t>
        </is>
      </c>
      <c r="C146" s="63">
        <f>Flights!$F$9</f>
        <v/>
      </c>
      <c r="D146" s="64">
        <f>Flights!$D$9</f>
        <v/>
      </c>
      <c r="E146" s="63">
        <f>Flights!$G$9&amp;"-"&amp;Flights!$H$9</f>
        <v/>
      </c>
      <c r="F146" s="63">
        <f>Flights!$K$9</f>
        <v/>
      </c>
      <c r="G146" s="63" t="inlineStr">
        <is>
          <t>T-7D</t>
        </is>
      </c>
      <c r="H146" s="63" t="inlineStr">
        <is>
          <t>Preparation</t>
        </is>
      </c>
      <c r="I146" s="63" t="inlineStr">
        <is>
          <t>Uplift plan</t>
        </is>
      </c>
      <c r="J146" s="63" t="inlineStr">
        <is>
          <t>Inbound KUL-NRT flight carrying KUL-sourced items identified and its KUL departure (UTC) entered on Flights col AX</t>
        </is>
      </c>
      <c r="K146" s="73" t="inlineStr">
        <is>
          <t>KUL-sourced items (Toiletry kits) travel on the inbound KUL-NRT sector</t>
        </is>
      </c>
      <c r="L146" s="73" t="inlineStr">
        <is>
          <t>STD UPLIFT INFORMATION.xlsx &gt; item uplift stn columns (see Requirements)</t>
        </is>
      </c>
      <c r="M146" s="73" t="inlineStr"/>
      <c r="N146" s="73" t="inlineStr">
        <is>
          <t>Clarification required</t>
        </is>
      </c>
      <c r="O146" s="73" t="inlineStr">
        <is>
          <t>Cannot be passed until Flights AX holds the carrying flight's KUL departure. Until then, the prep and KUL-loading dues use the latest possible time: STD minus the shortest agenda KUL-NRT block (MH0088 10-Oct (F04)) minus the uplift window.</t>
        </is>
      </c>
      <c r="P146" s="63" t="inlineStr">
        <is>
          <t>KUL</t>
        </is>
      </c>
      <c r="Q146" s="65">
        <f>Flights!$AC$9</f>
        <v/>
      </c>
      <c r="R146" s="65">
        <f>Q146+(IF(AND(INDEX(TZ_DSTS,MATCH(P146,TZ_STN,0))&lt;&gt;"",Q146&gt;=INDEX(TZ_DSTS,MATCH(P146,TZ_STN,0)),Q146&lt;INDEX(TZ_DSTE,MATCH(P146,TZ_STN,0))),INDEX(TZ_DST,MATCH(P146,TZ_STN,0)),INDEX(TZ_STD,MATCH(P146,TZ_STN,0))))/24</f>
        <v/>
      </c>
      <c r="S146" s="65" t="inlineStr"/>
      <c r="T146" s="66" t="n"/>
      <c r="U146" s="66" t="n"/>
      <c r="V146" s="66" t="n"/>
      <c r="W146" s="67" t="n"/>
      <c r="X146" s="66" t="n"/>
      <c r="Y146" s="66" t="n"/>
      <c r="Z146" s="66" t="n"/>
      <c r="AA146" s="66" t="n"/>
      <c r="AB146" s="66" t="n"/>
      <c r="AC146" s="66" t="n"/>
      <c r="AD146" s="72" t="n"/>
      <c r="AE146" s="66" t="n"/>
      <c r="AF146" s="67">
        <f>IF(AND(ISNUMBER(X146),ISNUMBER(Y146)),Y146-X146,"")</f>
        <v/>
      </c>
      <c r="AG146" s="68">
        <f>IF(ISNUMBER(AD146),AD146-(IF(AND(INDEX(TZ_DSTS,MATCH(P146,TZ_STN,0))&lt;&gt;"",(AD146-INDEX(TZ_STD,MATCH(P146,TZ_STN,0))/24)&gt;=INDEX(TZ_DSTS,MATCH(P146,TZ_STN,0)),(AD146-INDEX(TZ_STD,MATCH(P146,TZ_STN,0))/24)&lt;INDEX(TZ_DSTE,MATCH(P146,TZ_STN,0))),INDEX(TZ_DST,MATCH(P146,TZ_STN,0)),INDEX(TZ_STD,MATCH(P146,TZ_STN,0))))/24,"")</f>
        <v/>
      </c>
      <c r="AH146" s="71">
        <f>IF(N146="N/A – rule","N/A – RULE",IF(TRIM(U146)="N/A",IF(AT146=0,"INVALID – N/A not permitted for this mandatory check",IF(AND(TRIM(AC146)&lt;&gt;"",TRIM(AE146)&lt;&gt;"",TRIM(T146)&lt;&gt;""),"N/A – JUSTIFIED","INVALID – N/A needs justification, PIC and verifier")),IF(OR(TRIM(U146)="Pass",TRIM(U146)="Pass after CA"),IF(NOT(ISNUMBER(AD146)),"INVALID – completion time missing",IF(TRIM(T146)="","INVALID – PIC missing",IF(TRIM(Z146)="","INVALID – evidence missing",IF(TRIM(AE146)="","INVALID – verifier missing",IF(AND(AQ146=1,TRIM(W146)=""),"INVALID – batch ID missing",IF(AND(AR146=1,OR(NOT(ISNUMBER(X146)),NOT(ISNUMBER(Y146)))),"INVALID – expected/actual qty missing",IF(IF(AND(TRIM(U146)="Pass",ISNUMBER(AF146)),IF(AF146&lt;&gt;0,"INVALID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recorded/closed","")&lt;&gt;"",IF(AND(TRIM(U146)="Pass",ISNUMBER(AF146)),IF(AF146&lt;&gt;0,"INVALID – qty variance: use Fail or Pass after CA",""),"")&amp;IF(AND(TRIM(U146)="Pass",AB146="Open"),"INVALID – corrective action still open: use Fail, then Pass after CA","")&amp;IF(AND(TRIM(U146)="Pass after CA",OR(TRIM(AA146)="",AB146&lt;&gt;"Closed")),"INVALID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window"),IF(AG146&gt;Flights!$AA$9,"INVALID – completed after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f>
        <v/>
      </c>
      <c r="AI146" s="67">
        <f>IF(OR(AH146="N/A – RULE",AH146="N/A – JUSTIFIED"),0,1)</f>
        <v/>
      </c>
      <c r="AJ146" s="67">
        <f>IF(LEFT(AH146,8)="COMPLETE",1,0)</f>
        <v/>
      </c>
      <c r="AK146" s="67">
        <f>IF(AND(AI146=1,AJ146=0,AsOfUTC&gt;Q146),1,0)</f>
        <v/>
      </c>
      <c r="AL146" s="67">
        <f>IF(AND(AI146=1,OR(TRIM(U146)="Fail",AB146="Open",AND(ISNUMBER(AF146),AF146&lt;&gt;0,TRIM(U146)&lt;&gt;"Pass after CA"))),1,0)</f>
        <v/>
      </c>
      <c r="AM146" s="67">
        <f>IF(LEFT(AH146,7)="INVALID",1,0)</f>
        <v/>
      </c>
      <c r="AN146" s="67">
        <f>IF(AND(N146="Clarification required",AI146=1,AJ146=0),1,0)</f>
        <v/>
      </c>
      <c r="AO146" s="67">
        <f>IF(AK146=1,SUM(AK$5:AK146),"")</f>
        <v/>
      </c>
      <c r="AP146" s="67">
        <f>IF(AL146=1,SUM(AL$5:AL146),"")</f>
        <v/>
      </c>
      <c r="AQ146" s="67" t="n">
        <v>0</v>
      </c>
      <c r="AR146" s="67" t="n">
        <v>0</v>
      </c>
      <c r="AS146" s="67" t="n">
        <v>3</v>
      </c>
      <c r="AT146" s="67" t="n">
        <v>1</v>
      </c>
    </row>
    <row r="147" ht="40" customHeight="1">
      <c r="A147" s="63" t="inlineStr">
        <is>
          <t>F05-T24-01</t>
        </is>
      </c>
      <c r="B147" s="63" t="inlineStr">
        <is>
          <t>F05</t>
        </is>
      </c>
      <c r="C147" s="63">
        <f>Flights!$F$9</f>
        <v/>
      </c>
      <c r="D147" s="64">
        <f>Flights!$D$9</f>
        <v/>
      </c>
      <c r="E147" s="63">
        <f>Flights!$G$9&amp;"-"&amp;Flights!$H$9</f>
        <v/>
      </c>
      <c r="F147" s="63">
        <f>Flights!$K$9</f>
        <v/>
      </c>
      <c r="G147" s="63" t="inlineStr">
        <is>
          <t>T-24H</t>
        </is>
      </c>
      <c r="H147" s="63" t="inlineStr">
        <is>
          <t>Preparation</t>
        </is>
      </c>
      <c r="I147" s="63" t="inlineStr">
        <is>
          <t>Meal</t>
        </is>
      </c>
      <c r="J147" s="63" t="inlineStr">
        <is>
          <t>Sensory test repeated on ACTUAL production batch for this flight</t>
        </is>
      </c>
      <c r="K147" s="73" t="inlineStr">
        <is>
          <t>Batch ID, result, CA and acceptance mandatory</t>
        </is>
      </c>
      <c r="L147" s="73" t="inlineStr">
        <is>
          <t>User brief (T-24 hours)</t>
        </is>
      </c>
      <c r="M147" s="73" t="inlineStr"/>
      <c r="N147" s="73" t="inlineStr">
        <is>
          <t>Required</t>
        </is>
      </c>
      <c r="O147" s="73" t="inlineStr"/>
      <c r="P147" s="63" t="inlineStr">
        <is>
          <t>NRT</t>
        </is>
      </c>
      <c r="Q147" s="65">
        <f>Flights!$AD$9</f>
        <v/>
      </c>
      <c r="R147" s="65">
        <f>Q147+(IF(AND(INDEX(TZ_DSTS,MATCH(P147,TZ_STN,0))&lt;&gt;"",Q147&gt;=INDEX(TZ_DSTS,MATCH(P147,TZ_STN,0)),Q147&lt;INDEX(TZ_DSTE,MATCH(P147,TZ_STN,0))),INDEX(TZ_DST,MATCH(P147,TZ_STN,0)),INDEX(TZ_STD,MATCH(P147,TZ_STN,0))))/24</f>
        <v/>
      </c>
      <c r="S147" s="65">
        <f>Q147-T24EarlyH/24</f>
        <v/>
      </c>
      <c r="T147" s="66" t="n"/>
      <c r="U147" s="66" t="n"/>
      <c r="V147" s="66" t="n"/>
      <c r="W147" s="66" t="n"/>
      <c r="X147" s="66" t="n"/>
      <c r="Y147" s="66" t="n"/>
      <c r="Z147" s="66" t="n"/>
      <c r="AA147" s="66" t="n"/>
      <c r="AB147" s="66" t="n"/>
      <c r="AC147" s="66" t="n"/>
      <c r="AD147" s="72" t="n"/>
      <c r="AE147" s="66" t="n"/>
      <c r="AF147" s="67">
        <f>IF(AND(ISNUMBER(X147),ISNUMBER(Y147)),Y147-X147,"")</f>
        <v/>
      </c>
      <c r="AG147" s="68">
        <f>IF(ISNUMBER(AD147),AD147-(IF(AND(INDEX(TZ_DSTS,MATCH(P147,TZ_STN,0))&lt;&gt;"",(AD147-INDEX(TZ_STD,MATCH(P147,TZ_STN,0))/24)&gt;=INDEX(TZ_DSTS,MATCH(P147,TZ_STN,0)),(AD147-INDEX(TZ_STD,MATCH(P147,TZ_STN,0))/24)&lt;INDEX(TZ_DSTE,MATCH(P147,TZ_STN,0))),INDEX(TZ_DST,MATCH(P147,TZ_STN,0)),INDEX(TZ_STD,MATCH(P147,TZ_STN,0))))/24,"")</f>
        <v/>
      </c>
      <c r="AH147" s="71">
        <f>IF(N147="N/A – rule","N/A – RULE",IF(TRIM(U147)="N/A",IF(AT147=0,"INVALID – N/A not permitted for this mandatory check",IF(AND(TRIM(AC147)&lt;&gt;"",TRIM(AE147)&lt;&gt;"",TRIM(T147)&lt;&gt;""),"N/A – JUSTIFIED","INVALID – N/A needs justification, PIC and verifier")),IF(OR(TRIM(U147)="Pass",TRIM(U147)="Pass after CA"),IF(NOT(ISNUMBER(AD147)),"INVALID – completion time missing",IF(TRIM(T147)="","INVALID – PIC missing",IF(TRIM(Z147)="","INVALID – evidence missing",IF(TRIM(AE147)="","INVALID – verifier missing",IF(AND(AQ147=1,TRIM(W147)=""),"INVALID – batch ID missing",IF(AND(AR147=1,OR(NOT(ISNUMBER(X147)),NOT(ISNUMBER(Y147)))),"INVALID – expected/actual qty missing",IF(IF(AND(TRIM(U147)="Pass",ISNUMBER(AF147)),IF(AF147&lt;&gt;0,"INVALID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recorded/closed","")&lt;&gt;"",IF(AND(TRIM(U147)="Pass",ISNUMBER(AF147)),IF(AF147&lt;&gt;0,"INVALID – qty variance: use Fail or Pass after CA",""),"")&amp;IF(AND(TRIM(U147)="Pass",AB147="Open"),"INVALID – corrective action still open: use Fail, then Pass after CA","")&amp;IF(AND(TRIM(U147)="Pass after CA",OR(TRIM(AA147)="",AB147&lt;&gt;"Closed")),"INVALID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window"),IF(AG147&gt;Flights!$AA$9,"INVALID – completed after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f>
        <v/>
      </c>
      <c r="AI147" s="67">
        <f>IF(OR(AH147="N/A – RULE",AH147="N/A – JUSTIFIED"),0,1)</f>
        <v/>
      </c>
      <c r="AJ147" s="67">
        <f>IF(LEFT(AH147,8)="COMPLETE",1,0)</f>
        <v/>
      </c>
      <c r="AK147" s="67">
        <f>IF(AND(AI147=1,AJ147=0,AsOfUTC&gt;Q147),1,0)</f>
        <v/>
      </c>
      <c r="AL147" s="67">
        <f>IF(AND(AI147=1,OR(TRIM(U147)="Fail",AB147="Open",AND(ISNUMBER(AF147),AF147&lt;&gt;0,TRIM(U147)&lt;&gt;"Pass after CA"))),1,0)</f>
        <v/>
      </c>
      <c r="AM147" s="67">
        <f>IF(LEFT(AH147,7)="INVALID",1,0)</f>
        <v/>
      </c>
      <c r="AN147" s="67">
        <f>IF(AND(N147="Clarification required",AI147=1,AJ147=0),1,0)</f>
        <v/>
      </c>
      <c r="AO147" s="67">
        <f>IF(AK147=1,SUM(AK$5:AK147),"")</f>
        <v/>
      </c>
      <c r="AP147" s="67">
        <f>IF(AL147=1,SUM(AL$5:AL147),"")</f>
        <v/>
      </c>
      <c r="AQ147" s="67" t="n">
        <v>1</v>
      </c>
      <c r="AR147" s="67" t="n">
        <v>0</v>
      </c>
      <c r="AS147" s="67" t="n">
        <v>0</v>
      </c>
      <c r="AT147" s="67" t="n">
        <v>0</v>
      </c>
    </row>
    <row r="148" ht="40" customHeight="1">
      <c r="A148" s="63" t="inlineStr">
        <is>
          <t>F05-T12-01</t>
        </is>
      </c>
      <c r="B148" s="63" t="inlineStr">
        <is>
          <t>F05</t>
        </is>
      </c>
      <c r="C148" s="63">
        <f>Flights!$F$9</f>
        <v/>
      </c>
      <c r="D148" s="64">
        <f>Flights!$D$9</f>
        <v/>
      </c>
      <c r="E148" s="63">
        <f>Flights!$G$9&amp;"-"&amp;Flights!$H$9</f>
        <v/>
      </c>
      <c r="F148" s="63">
        <f>Flights!$K$9</f>
        <v/>
      </c>
      <c r="G148" s="63" t="inlineStr">
        <is>
          <t>T-12H PREP</t>
        </is>
      </c>
      <c r="H148" s="63" t="inlineStr">
        <is>
          <t>Preparation</t>
        </is>
      </c>
      <c r="I148" s="63" t="inlineStr">
        <is>
          <t>Meal</t>
        </is>
      </c>
      <c r="J148" s="63" t="inlineStr">
        <is>
          <t>Meal quality vs menu checklist</t>
        </is>
      </c>
      <c r="K148" s="73" t="inlineStr"/>
      <c r="L148" s="73" t="inlineStr">
        <is>
          <t>User brief (T-12 hours)</t>
        </is>
      </c>
      <c r="M148" s="73" t="inlineStr"/>
      <c r="N148" s="73" t="inlineStr">
        <is>
          <t>Required</t>
        </is>
      </c>
      <c r="O148" s="73" t="inlineStr">
        <is>
          <t>Preparation check at caterer - does NOT confirm loading.</t>
        </is>
      </c>
      <c r="P148" s="63" t="inlineStr">
        <is>
          <t>NRT</t>
        </is>
      </c>
      <c r="Q148" s="65">
        <f>Flights!$AE$9</f>
        <v/>
      </c>
      <c r="R148" s="65">
        <f>Q148+(IF(AND(INDEX(TZ_DSTS,MATCH(P148,TZ_STN,0))&lt;&gt;"",Q148&gt;=INDEX(TZ_DSTS,MATCH(P148,TZ_STN,0)),Q148&lt;INDEX(TZ_DSTE,MATCH(P148,TZ_STN,0))),INDEX(TZ_DST,MATCH(P148,TZ_STN,0)),INDEX(TZ_STD,MATCH(P148,TZ_STN,0))))/24</f>
        <v/>
      </c>
      <c r="S148" s="65">
        <f>Q148-T12EarlyH/24</f>
        <v/>
      </c>
      <c r="T148" s="66" t="n"/>
      <c r="U148" s="66" t="n"/>
      <c r="V148" s="66" t="n"/>
      <c r="W148" s="67" t="n"/>
      <c r="X148" s="66" t="n"/>
      <c r="Y148" s="66" t="n"/>
      <c r="Z148" s="66" t="n"/>
      <c r="AA148" s="66" t="n"/>
      <c r="AB148" s="66" t="n"/>
      <c r="AC148" s="66" t="n"/>
      <c r="AD148" s="72" t="n"/>
      <c r="AE148" s="66" t="n"/>
      <c r="AF148" s="67">
        <f>IF(AND(ISNUMBER(X148),ISNUMBER(Y148)),Y148-X148,"")</f>
        <v/>
      </c>
      <c r="AG148" s="68">
        <f>IF(ISNUMBER(AD148),AD148-(IF(AND(INDEX(TZ_DSTS,MATCH(P148,TZ_STN,0))&lt;&gt;"",(AD148-INDEX(TZ_STD,MATCH(P148,TZ_STN,0))/24)&gt;=INDEX(TZ_DSTS,MATCH(P148,TZ_STN,0)),(AD148-INDEX(TZ_STD,MATCH(P148,TZ_STN,0))/24)&lt;INDEX(TZ_DSTE,MATCH(P148,TZ_STN,0))),INDEX(TZ_DST,MATCH(P148,TZ_STN,0)),INDEX(TZ_STD,MATCH(P148,TZ_STN,0))))/24,"")</f>
        <v/>
      </c>
      <c r="AH148" s="71">
        <f>IF(N148="N/A – rule","N/A – RULE",IF(TRIM(U148)="N/A",IF(AT148=0,"INVALID – N/A not permitted for this mandatory check",IF(AND(TRIM(AC148)&lt;&gt;"",TRIM(AE148)&lt;&gt;"",TRIM(T148)&lt;&gt;""),"N/A – JUSTIFIED","INVALID – N/A needs justification, PIC and verifier")),IF(OR(TRIM(U148)="Pass",TRIM(U148)="Pass after CA"),IF(NOT(ISNUMBER(AD148)),"INVALID – completion time missing",IF(TRIM(T148)="","INVALID – PIC missing",IF(TRIM(Z148)="","INVALID – evidence missing",IF(TRIM(AE148)="","INVALID – verifier missing",IF(AND(AQ148=1,TRIM(W148)=""),"INVALID – batch ID missing",IF(AND(AR148=1,OR(NOT(ISNUMBER(X148)),NOT(ISNUMBER(Y148)))),"INVALID – expected/actual qty missing",IF(IF(AND(TRIM(U148)="Pass",ISNUMBER(AF148)),IF(AF148&lt;&gt;0,"INVALID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recorded/closed","")&lt;&gt;"",IF(AND(TRIM(U148)="Pass",ISNUMBER(AF148)),IF(AF148&lt;&gt;0,"INVALID – qty variance: use Fail or Pass after CA",""),"")&amp;IF(AND(TRIM(U148)="Pass",AB148="Open"),"INVALID – corrective action still open: use Fail, then Pass after CA","")&amp;IF(AND(TRIM(U148)="Pass after CA",OR(TRIM(AA148)="",AB148&lt;&gt;"Closed")),"INVALID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window"),IF(AG148&gt;Flights!$AA$9,"INVALID – completed after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f>
        <v/>
      </c>
      <c r="AI148" s="67">
        <f>IF(OR(AH148="N/A – RULE",AH148="N/A – JUSTIFIED"),0,1)</f>
        <v/>
      </c>
      <c r="AJ148" s="67">
        <f>IF(LEFT(AH148,8)="COMPLETE",1,0)</f>
        <v/>
      </c>
      <c r="AK148" s="67">
        <f>IF(AND(AI148=1,AJ148=0,AsOfUTC&gt;Q148),1,0)</f>
        <v/>
      </c>
      <c r="AL148" s="67">
        <f>IF(AND(AI148=1,OR(TRIM(U148)="Fail",AB148="Open",AND(ISNUMBER(AF148),AF148&lt;&gt;0,TRIM(U148)&lt;&gt;"Pass after CA"))),1,0)</f>
        <v/>
      </c>
      <c r="AM148" s="67">
        <f>IF(LEFT(AH148,7)="INVALID",1,0)</f>
        <v/>
      </c>
      <c r="AN148" s="67">
        <f>IF(AND(N148="Clarification required",AI148=1,AJ148=0),1,0)</f>
        <v/>
      </c>
      <c r="AO148" s="67">
        <f>IF(AK148=1,SUM(AK$5:AK148),"")</f>
        <v/>
      </c>
      <c r="AP148" s="67">
        <f>IF(AL148=1,SUM(AL$5:AL148),"")</f>
        <v/>
      </c>
      <c r="AQ148" s="67" t="n">
        <v>0</v>
      </c>
      <c r="AR148" s="67" t="n">
        <v>0</v>
      </c>
      <c r="AS148" s="67" t="n">
        <v>0</v>
      </c>
      <c r="AT148" s="67" t="n">
        <v>0</v>
      </c>
    </row>
    <row r="149" ht="40" customHeight="1">
      <c r="A149" s="63" t="inlineStr">
        <is>
          <t>F05-T12-02</t>
        </is>
      </c>
      <c r="B149" s="63" t="inlineStr">
        <is>
          <t>F05</t>
        </is>
      </c>
      <c r="C149" s="63">
        <f>Flights!$F$9</f>
        <v/>
      </c>
      <c r="D149" s="64">
        <f>Flights!$D$9</f>
        <v/>
      </c>
      <c r="E149" s="63">
        <f>Flights!$G$9&amp;"-"&amp;Flights!$H$9</f>
        <v/>
      </c>
      <c r="F149" s="63">
        <f>Flights!$K$9</f>
        <v/>
      </c>
      <c r="G149" s="63" t="inlineStr">
        <is>
          <t>T-12H PREP</t>
        </is>
      </c>
      <c r="H149" s="63" t="inlineStr">
        <is>
          <t>Preparation</t>
        </is>
      </c>
      <c r="I149" s="63" t="inlineStr">
        <is>
          <t>Meal</t>
        </is>
      </c>
      <c r="J149" s="63" t="inlineStr">
        <is>
          <t>Meal quantities vs menu checklist</t>
        </is>
      </c>
      <c r="K149" s="73" t="inlineStr">
        <is>
          <t>Enter expected &amp; actual</t>
        </is>
      </c>
      <c r="L149" s="73" t="inlineStr">
        <is>
          <t>User brief (T-12 hours)</t>
        </is>
      </c>
      <c r="M149" s="73" t="inlineStr"/>
      <c r="N149" s="73" t="inlineStr">
        <is>
          <t>Required</t>
        </is>
      </c>
      <c r="O149" s="73" t="inlineStr">
        <is>
          <t>Preparation check at caterer - does NOT confirm loading.</t>
        </is>
      </c>
      <c r="P149" s="63" t="inlineStr">
        <is>
          <t>NRT</t>
        </is>
      </c>
      <c r="Q149" s="65">
        <f>Flights!$AE$9</f>
        <v/>
      </c>
      <c r="R149" s="65">
        <f>Q149+(IF(AND(INDEX(TZ_DSTS,MATCH(P149,TZ_STN,0))&lt;&gt;"",Q149&gt;=INDEX(TZ_DSTS,MATCH(P149,TZ_STN,0)),Q149&lt;INDEX(TZ_DSTE,MATCH(P149,TZ_STN,0))),INDEX(TZ_DST,MATCH(P149,TZ_STN,0)),INDEX(TZ_STD,MATCH(P149,TZ_STN,0))))/24</f>
        <v/>
      </c>
      <c r="S149" s="65">
        <f>Q149-T12EarlyH/24</f>
        <v/>
      </c>
      <c r="T149" s="66" t="n"/>
      <c r="U149" s="66" t="n"/>
      <c r="V149" s="66" t="n"/>
      <c r="W149" s="67" t="n"/>
      <c r="X149" s="66" t="n"/>
      <c r="Y149" s="66" t="n"/>
      <c r="Z149" s="66" t="n"/>
      <c r="AA149" s="66" t="n"/>
      <c r="AB149" s="66" t="n"/>
      <c r="AC149" s="66" t="n"/>
      <c r="AD149" s="72" t="n"/>
      <c r="AE149" s="66" t="n"/>
      <c r="AF149" s="67">
        <f>IF(AND(ISNUMBER(X149),ISNUMBER(Y149)),Y149-X149,"")</f>
        <v/>
      </c>
      <c r="AG149" s="68">
        <f>IF(ISNUMBER(AD149),AD149-(IF(AND(INDEX(TZ_DSTS,MATCH(P149,TZ_STN,0))&lt;&gt;"",(AD149-INDEX(TZ_STD,MATCH(P149,TZ_STN,0))/24)&gt;=INDEX(TZ_DSTS,MATCH(P149,TZ_STN,0)),(AD149-INDEX(TZ_STD,MATCH(P149,TZ_STN,0))/24)&lt;INDEX(TZ_DSTE,MATCH(P149,TZ_STN,0))),INDEX(TZ_DST,MATCH(P149,TZ_STN,0)),INDEX(TZ_STD,MATCH(P149,TZ_STN,0))))/24,"")</f>
        <v/>
      </c>
      <c r="AH149" s="71">
        <f>IF(N149="N/A – rule","N/A – RULE",IF(TRIM(U149)="N/A",IF(AT149=0,"INVALID – N/A not permitted for this mandatory check",IF(AND(TRIM(AC149)&lt;&gt;"",TRIM(AE149)&lt;&gt;"",TRIM(T149)&lt;&gt;""),"N/A – JUSTIFIED","INVALID – N/A needs justification, PIC and verifier")),IF(OR(TRIM(U149)="Pass",TRIM(U149)="Pass after CA"),IF(NOT(ISNUMBER(AD149)),"INVALID – completion time missing",IF(TRIM(T149)="","INVALID – PIC missing",IF(TRIM(Z149)="","INVALID – evidence missing",IF(TRIM(AE149)="","INVALID – verifier missing",IF(AND(AQ149=1,TRIM(W149)=""),"INVALID – batch ID missing",IF(AND(AR149=1,OR(NOT(ISNUMBER(X149)),NOT(ISNUMBER(Y149)))),"INVALID – expected/actual qty missing",IF(IF(AND(TRIM(U149)="Pass",ISNUMBER(AF149)),IF(AF149&lt;&gt;0,"INVALID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recorded/closed","")&lt;&gt;"",IF(AND(TRIM(U149)="Pass",ISNUMBER(AF149)),IF(AF149&lt;&gt;0,"INVALID – qty variance: use Fail or Pass after CA",""),"")&amp;IF(AND(TRIM(U149)="Pass",AB149="Open"),"INVALID – corrective action still open: use Fail, then Pass after CA","")&amp;IF(AND(TRIM(U149)="Pass after CA",OR(TRIM(AA149)="",AB149&lt;&gt;"Closed")),"INVALID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window"),IF(AG149&gt;Flights!$AA$9,"INVALID – completed after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f>
        <v/>
      </c>
      <c r="AI149" s="67">
        <f>IF(OR(AH149="N/A – RULE",AH149="N/A – JUSTIFIED"),0,1)</f>
        <v/>
      </c>
      <c r="AJ149" s="67">
        <f>IF(LEFT(AH149,8)="COMPLETE",1,0)</f>
        <v/>
      </c>
      <c r="AK149" s="67">
        <f>IF(AND(AI149=1,AJ149=0,AsOfUTC&gt;Q149),1,0)</f>
        <v/>
      </c>
      <c r="AL149" s="67">
        <f>IF(AND(AI149=1,OR(TRIM(U149)="Fail",AB149="Open",AND(ISNUMBER(AF149),AF149&lt;&gt;0,TRIM(U149)&lt;&gt;"Pass after CA"))),1,0)</f>
        <v/>
      </c>
      <c r="AM149" s="67">
        <f>IF(LEFT(AH149,7)="INVALID",1,0)</f>
        <v/>
      </c>
      <c r="AN149" s="67">
        <f>IF(AND(N149="Clarification required",AI149=1,AJ149=0),1,0)</f>
        <v/>
      </c>
      <c r="AO149" s="67">
        <f>IF(AK149=1,SUM(AK$5:AK149),"")</f>
        <v/>
      </c>
      <c r="AP149" s="67">
        <f>IF(AL149=1,SUM(AL$5:AL149),"")</f>
        <v/>
      </c>
      <c r="AQ149" s="67" t="n">
        <v>0</v>
      </c>
      <c r="AR149" s="67" t="n">
        <v>1</v>
      </c>
      <c r="AS149" s="67" t="n">
        <v>0</v>
      </c>
      <c r="AT149" s="67" t="n">
        <v>0</v>
      </c>
    </row>
    <row r="150" ht="40" customHeight="1">
      <c r="A150" s="63" t="inlineStr">
        <is>
          <t>F05-T12-03</t>
        </is>
      </c>
      <c r="B150" s="63" t="inlineStr">
        <is>
          <t>F05</t>
        </is>
      </c>
      <c r="C150" s="63">
        <f>Flights!$F$9</f>
        <v/>
      </c>
      <c r="D150" s="64">
        <f>Flights!$D$9</f>
        <v/>
      </c>
      <c r="E150" s="63">
        <f>Flights!$G$9&amp;"-"&amp;Flights!$H$9</f>
        <v/>
      </c>
      <c r="F150" s="63">
        <f>Flights!$K$9</f>
        <v/>
      </c>
      <c r="G150" s="63" t="inlineStr">
        <is>
          <t>T-12H PREP</t>
        </is>
      </c>
      <c r="H150" s="63" t="inlineStr">
        <is>
          <t>Preparation</t>
        </is>
      </c>
      <c r="I150" s="63" t="inlineStr">
        <is>
          <t>Equipment</t>
        </is>
      </c>
      <c r="J150" s="63" t="inlineStr">
        <is>
          <t>Equipment cleanliness vs GLD</t>
        </is>
      </c>
      <c r="K150" s="73" t="inlineStr"/>
      <c r="L150" s="73" t="inlineStr">
        <is>
          <t>User brief (T-12 hours)</t>
        </is>
      </c>
      <c r="M150" s="73" t="inlineStr"/>
      <c r="N150" s="73" t="inlineStr">
        <is>
          <t>Required</t>
        </is>
      </c>
      <c r="O150" s="73" t="inlineStr">
        <is>
          <t>Preparation check at caterer - does NOT confirm loading.</t>
        </is>
      </c>
      <c r="P150" s="63" t="inlineStr">
        <is>
          <t>NRT</t>
        </is>
      </c>
      <c r="Q150" s="65">
        <f>Flights!$AE$9</f>
        <v/>
      </c>
      <c r="R150" s="65">
        <f>Q150+(IF(AND(INDEX(TZ_DSTS,MATCH(P150,TZ_STN,0))&lt;&gt;"",Q150&gt;=INDEX(TZ_DSTS,MATCH(P150,TZ_STN,0)),Q150&lt;INDEX(TZ_DSTE,MATCH(P150,TZ_STN,0))),INDEX(TZ_DST,MATCH(P150,TZ_STN,0)),INDEX(TZ_STD,MATCH(P150,TZ_STN,0))))/24</f>
        <v/>
      </c>
      <c r="S150" s="65">
        <f>Q150-T12EarlyH/24</f>
        <v/>
      </c>
      <c r="T150" s="66" t="n"/>
      <c r="U150" s="66" t="n"/>
      <c r="V150" s="66" t="n"/>
      <c r="W150" s="67" t="n"/>
      <c r="X150" s="66" t="n"/>
      <c r="Y150" s="66" t="n"/>
      <c r="Z150" s="66" t="n"/>
      <c r="AA150" s="66" t="n"/>
      <c r="AB150" s="66" t="n"/>
      <c r="AC150" s="66" t="n"/>
      <c r="AD150" s="72" t="n"/>
      <c r="AE150" s="66" t="n"/>
      <c r="AF150" s="67">
        <f>IF(AND(ISNUMBER(X150),ISNUMBER(Y150)),Y150-X150,"")</f>
        <v/>
      </c>
      <c r="AG150" s="68">
        <f>IF(ISNUMBER(AD150),AD150-(IF(AND(INDEX(TZ_DSTS,MATCH(P150,TZ_STN,0))&lt;&gt;"",(AD150-INDEX(TZ_STD,MATCH(P150,TZ_STN,0))/24)&gt;=INDEX(TZ_DSTS,MATCH(P150,TZ_STN,0)),(AD150-INDEX(TZ_STD,MATCH(P150,TZ_STN,0))/24)&lt;INDEX(TZ_DSTE,MATCH(P150,TZ_STN,0))),INDEX(TZ_DST,MATCH(P150,TZ_STN,0)),INDEX(TZ_STD,MATCH(P150,TZ_STN,0))))/24,"")</f>
        <v/>
      </c>
      <c r="AH150" s="71">
        <f>IF(N150="N/A – rule","N/A – RULE",IF(TRIM(U150)="N/A",IF(AT150=0,"INVALID – N/A not permitted for this mandatory check",IF(AND(TRIM(AC150)&lt;&gt;"",TRIM(AE150)&lt;&gt;"",TRIM(T150)&lt;&gt;""),"N/A – JUSTIFIED","INVALID – N/A needs justification, PIC and verifier")),IF(OR(TRIM(U150)="Pass",TRIM(U150)="Pass after CA"),IF(NOT(ISNUMBER(AD150)),"INVALID – completion time missing",IF(TRIM(T150)="","INVALID – PIC missing",IF(TRIM(Z150)="","INVALID – evidence missing",IF(TRIM(AE150)="","INVALID – verifier missing",IF(AND(AQ150=1,TRIM(W150)=""),"INVALID – batch ID missing",IF(AND(AR150=1,OR(NOT(ISNUMBER(X150)),NOT(ISNUMBER(Y150)))),"INVALID – expected/actual qty missing",IF(IF(AND(TRIM(U150)="Pass",ISNUMBER(AF150)),IF(AF150&lt;&gt;0,"INVALID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recorded/closed","")&lt;&gt;"",IF(AND(TRIM(U150)="Pass",ISNUMBER(AF150)),IF(AF150&lt;&gt;0,"INVALID – qty variance: use Fail or Pass after CA",""),"")&amp;IF(AND(TRIM(U150)="Pass",AB150="Open"),"INVALID – corrective action still open: use Fail, then Pass after CA","")&amp;IF(AND(TRIM(U150)="Pass after CA",OR(TRIM(AA150)="",AB150&lt;&gt;"Closed")),"INVALID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window"),IF(AG150&gt;Flights!$AA$9,"INVALID – completed after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f>
        <v/>
      </c>
      <c r="AI150" s="67">
        <f>IF(OR(AH150="N/A – RULE",AH150="N/A – JUSTIFIED"),0,1)</f>
        <v/>
      </c>
      <c r="AJ150" s="67">
        <f>IF(LEFT(AH150,8)="COMPLETE",1,0)</f>
        <v/>
      </c>
      <c r="AK150" s="67">
        <f>IF(AND(AI150=1,AJ150=0,AsOfUTC&gt;Q150),1,0)</f>
        <v/>
      </c>
      <c r="AL150" s="67">
        <f>IF(AND(AI150=1,OR(TRIM(U150)="Fail",AB150="Open",AND(ISNUMBER(AF150),AF150&lt;&gt;0,TRIM(U150)&lt;&gt;"Pass after CA"))),1,0)</f>
        <v/>
      </c>
      <c r="AM150" s="67">
        <f>IF(LEFT(AH150,7)="INVALID",1,0)</f>
        <v/>
      </c>
      <c r="AN150" s="67">
        <f>IF(AND(N150="Clarification required",AI150=1,AJ150=0),1,0)</f>
        <v/>
      </c>
      <c r="AO150" s="67">
        <f>IF(AK150=1,SUM(AK$5:AK150),"")</f>
        <v/>
      </c>
      <c r="AP150" s="67">
        <f>IF(AL150=1,SUM(AL$5:AL150),"")</f>
        <v/>
      </c>
      <c r="AQ150" s="67" t="n">
        <v>0</v>
      </c>
      <c r="AR150" s="67" t="n">
        <v>0</v>
      </c>
      <c r="AS150" s="67" t="n">
        <v>0</v>
      </c>
      <c r="AT150" s="67" t="n">
        <v>0</v>
      </c>
    </row>
    <row r="151" ht="40" customHeight="1">
      <c r="A151" s="63" t="inlineStr">
        <is>
          <t>F05-T12-04</t>
        </is>
      </c>
      <c r="B151" s="63" t="inlineStr">
        <is>
          <t>F05</t>
        </is>
      </c>
      <c r="C151" s="63">
        <f>Flights!$F$9</f>
        <v/>
      </c>
      <c r="D151" s="64">
        <f>Flights!$D$9</f>
        <v/>
      </c>
      <c r="E151" s="63">
        <f>Flights!$G$9&amp;"-"&amp;Flights!$H$9</f>
        <v/>
      </c>
      <c r="F151" s="63">
        <f>Flights!$K$9</f>
        <v/>
      </c>
      <c r="G151" s="63" t="inlineStr">
        <is>
          <t>T-12H PREP</t>
        </is>
      </c>
      <c r="H151" s="63" t="inlineStr">
        <is>
          <t>Preparation</t>
        </is>
      </c>
      <c r="I151" s="63" t="inlineStr">
        <is>
          <t>Equipment</t>
        </is>
      </c>
      <c r="J151" s="63" t="inlineStr">
        <is>
          <t>Equipment presentation vs GLD</t>
        </is>
      </c>
      <c r="K151" s="73" t="inlineStr"/>
      <c r="L151" s="73" t="inlineStr">
        <is>
          <t>User brief (T-12 hours)</t>
        </is>
      </c>
      <c r="M151" s="73" t="inlineStr"/>
      <c r="N151" s="73" t="inlineStr">
        <is>
          <t>Required</t>
        </is>
      </c>
      <c r="O151" s="73" t="inlineStr">
        <is>
          <t>Preparation check at caterer - does NOT confirm loading.</t>
        </is>
      </c>
      <c r="P151" s="63" t="inlineStr">
        <is>
          <t>NRT</t>
        </is>
      </c>
      <c r="Q151" s="65">
        <f>Flights!$AE$9</f>
        <v/>
      </c>
      <c r="R151" s="65">
        <f>Q151+(IF(AND(INDEX(TZ_DSTS,MATCH(P151,TZ_STN,0))&lt;&gt;"",Q151&gt;=INDEX(TZ_DSTS,MATCH(P151,TZ_STN,0)),Q151&lt;INDEX(TZ_DSTE,MATCH(P151,TZ_STN,0))),INDEX(TZ_DST,MATCH(P151,TZ_STN,0)),INDEX(TZ_STD,MATCH(P151,TZ_STN,0))))/24</f>
        <v/>
      </c>
      <c r="S151" s="65">
        <f>Q151-T12EarlyH/24</f>
        <v/>
      </c>
      <c r="T151" s="66" t="n"/>
      <c r="U151" s="66" t="n"/>
      <c r="V151" s="66" t="n"/>
      <c r="W151" s="67" t="n"/>
      <c r="X151" s="66" t="n"/>
      <c r="Y151" s="66" t="n"/>
      <c r="Z151" s="66" t="n"/>
      <c r="AA151" s="66" t="n"/>
      <c r="AB151" s="66" t="n"/>
      <c r="AC151" s="66" t="n"/>
      <c r="AD151" s="72" t="n"/>
      <c r="AE151" s="66" t="n"/>
      <c r="AF151" s="67">
        <f>IF(AND(ISNUMBER(X151),ISNUMBER(Y151)),Y151-X151,"")</f>
        <v/>
      </c>
      <c r="AG151" s="68">
        <f>IF(ISNUMBER(AD151),AD151-(IF(AND(INDEX(TZ_DSTS,MATCH(P151,TZ_STN,0))&lt;&gt;"",(AD151-INDEX(TZ_STD,MATCH(P151,TZ_STN,0))/24)&gt;=INDEX(TZ_DSTS,MATCH(P151,TZ_STN,0)),(AD151-INDEX(TZ_STD,MATCH(P151,TZ_STN,0))/24)&lt;INDEX(TZ_DSTE,MATCH(P151,TZ_STN,0))),INDEX(TZ_DST,MATCH(P151,TZ_STN,0)),INDEX(TZ_STD,MATCH(P151,TZ_STN,0))))/24,"")</f>
        <v/>
      </c>
      <c r="AH151" s="71">
        <f>IF(N151="N/A – rule","N/A – RULE",IF(TRIM(U151)="N/A",IF(AT151=0,"INVALID – N/A not permitted for this mandatory check",IF(AND(TRIM(AC151)&lt;&gt;"",TRIM(AE151)&lt;&gt;"",TRIM(T151)&lt;&gt;""),"N/A – JUSTIFIED","INVALID – N/A needs justification, PIC and verifier")),IF(OR(TRIM(U151)="Pass",TRIM(U151)="Pass after CA"),IF(NOT(ISNUMBER(AD151)),"INVALID – completion time missing",IF(TRIM(T151)="","INVALID – PIC missing",IF(TRIM(Z151)="","INVALID – evidence missing",IF(TRIM(AE151)="","INVALID – verifier missing",IF(AND(AQ151=1,TRIM(W151)=""),"INVALID – batch ID missing",IF(AND(AR151=1,OR(NOT(ISNUMBER(X151)),NOT(ISNUMBER(Y151)))),"INVALID – expected/actual qty missing",IF(IF(AND(TRIM(U151)="Pass",ISNUMBER(AF151)),IF(AF151&lt;&gt;0,"INVALID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recorded/closed","")&lt;&gt;"",IF(AND(TRIM(U151)="Pass",ISNUMBER(AF151)),IF(AF151&lt;&gt;0,"INVALID – qty variance: use Fail or Pass after CA",""),"")&amp;IF(AND(TRIM(U151)="Pass",AB151="Open"),"INVALID – corrective action still open: use Fail, then Pass after CA","")&amp;IF(AND(TRIM(U151)="Pass after CA",OR(TRIM(AA151)="",AB151&lt;&gt;"Closed")),"INVALID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window"),IF(AG151&gt;Flights!$AA$9,"INVALID – completed after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f>
        <v/>
      </c>
      <c r="AI151" s="67">
        <f>IF(OR(AH151="N/A – RULE",AH151="N/A – JUSTIFIED"),0,1)</f>
        <v/>
      </c>
      <c r="AJ151" s="67">
        <f>IF(LEFT(AH151,8)="COMPLETE",1,0)</f>
        <v/>
      </c>
      <c r="AK151" s="67">
        <f>IF(AND(AI151=1,AJ151=0,AsOfUTC&gt;Q151),1,0)</f>
        <v/>
      </c>
      <c r="AL151" s="67">
        <f>IF(AND(AI151=1,OR(TRIM(U151)="Fail",AB151="Open",AND(ISNUMBER(AF151),AF151&lt;&gt;0,TRIM(U151)&lt;&gt;"Pass after CA"))),1,0)</f>
        <v/>
      </c>
      <c r="AM151" s="67">
        <f>IF(LEFT(AH151,7)="INVALID",1,0)</f>
        <v/>
      </c>
      <c r="AN151" s="67">
        <f>IF(AND(N151="Clarification required",AI151=1,AJ151=0),1,0)</f>
        <v/>
      </c>
      <c r="AO151" s="67">
        <f>IF(AK151=1,SUM(AK$5:AK151),"")</f>
        <v/>
      </c>
      <c r="AP151" s="67">
        <f>IF(AL151=1,SUM(AL$5:AL151),"")</f>
        <v/>
      </c>
      <c r="AQ151" s="67" t="n">
        <v>0</v>
      </c>
      <c r="AR151" s="67" t="n">
        <v>0</v>
      </c>
      <c r="AS151" s="67" t="n">
        <v>0</v>
      </c>
      <c r="AT151" s="67" t="n">
        <v>0</v>
      </c>
    </row>
    <row r="152" ht="40" customHeight="1">
      <c r="A152" s="63" t="inlineStr">
        <is>
          <t>F05-T12-05</t>
        </is>
      </c>
      <c r="B152" s="63" t="inlineStr">
        <is>
          <t>F05</t>
        </is>
      </c>
      <c r="C152" s="63">
        <f>Flights!$F$9</f>
        <v/>
      </c>
      <c r="D152" s="64">
        <f>Flights!$D$9</f>
        <v/>
      </c>
      <c r="E152" s="63">
        <f>Flights!$G$9&amp;"-"&amp;Flights!$H$9</f>
        <v/>
      </c>
      <c r="F152" s="63">
        <f>Flights!$K$9</f>
        <v/>
      </c>
      <c r="G152" s="63" t="inlineStr">
        <is>
          <t>T-12H PREP</t>
        </is>
      </c>
      <c r="H152" s="63" t="inlineStr">
        <is>
          <t>Preparation</t>
        </is>
      </c>
      <c r="I152" s="63" t="inlineStr">
        <is>
          <t>Equipment</t>
        </is>
      </c>
      <c r="J152" s="63" t="inlineStr">
        <is>
          <t>Equipment serviceability vs GLD</t>
        </is>
      </c>
      <c r="K152" s="73" t="inlineStr"/>
      <c r="L152" s="73" t="inlineStr">
        <is>
          <t>User brief (T-12 hours)</t>
        </is>
      </c>
      <c r="M152" s="73" t="inlineStr"/>
      <c r="N152" s="73" t="inlineStr">
        <is>
          <t>Required</t>
        </is>
      </c>
      <c r="O152" s="73" t="inlineStr">
        <is>
          <t>Preparation check at caterer - does NOT confirm loading.</t>
        </is>
      </c>
      <c r="P152" s="63" t="inlineStr">
        <is>
          <t>NRT</t>
        </is>
      </c>
      <c r="Q152" s="65">
        <f>Flights!$AE$9</f>
        <v/>
      </c>
      <c r="R152" s="65">
        <f>Q152+(IF(AND(INDEX(TZ_DSTS,MATCH(P152,TZ_STN,0))&lt;&gt;"",Q152&gt;=INDEX(TZ_DSTS,MATCH(P152,TZ_STN,0)),Q152&lt;INDEX(TZ_DSTE,MATCH(P152,TZ_STN,0))),INDEX(TZ_DST,MATCH(P152,TZ_STN,0)),INDEX(TZ_STD,MATCH(P152,TZ_STN,0))))/24</f>
        <v/>
      </c>
      <c r="S152" s="65">
        <f>Q152-T12EarlyH/24</f>
        <v/>
      </c>
      <c r="T152" s="66" t="n"/>
      <c r="U152" s="66" t="n"/>
      <c r="V152" s="66" t="n"/>
      <c r="W152" s="67" t="n"/>
      <c r="X152" s="66" t="n"/>
      <c r="Y152" s="66" t="n"/>
      <c r="Z152" s="66" t="n"/>
      <c r="AA152" s="66" t="n"/>
      <c r="AB152" s="66" t="n"/>
      <c r="AC152" s="66" t="n"/>
      <c r="AD152" s="72" t="n"/>
      <c r="AE152" s="66" t="n"/>
      <c r="AF152" s="67">
        <f>IF(AND(ISNUMBER(X152),ISNUMBER(Y152)),Y152-X152,"")</f>
        <v/>
      </c>
      <c r="AG152" s="68">
        <f>IF(ISNUMBER(AD152),AD152-(IF(AND(INDEX(TZ_DSTS,MATCH(P152,TZ_STN,0))&lt;&gt;"",(AD152-INDEX(TZ_STD,MATCH(P152,TZ_STN,0))/24)&gt;=INDEX(TZ_DSTS,MATCH(P152,TZ_STN,0)),(AD152-INDEX(TZ_STD,MATCH(P152,TZ_STN,0))/24)&lt;INDEX(TZ_DSTE,MATCH(P152,TZ_STN,0))),INDEX(TZ_DST,MATCH(P152,TZ_STN,0)),INDEX(TZ_STD,MATCH(P152,TZ_STN,0))))/24,"")</f>
        <v/>
      </c>
      <c r="AH152" s="71">
        <f>IF(N152="N/A – rule","N/A – RULE",IF(TRIM(U152)="N/A",IF(AT152=0,"INVALID – N/A not permitted for this mandatory check",IF(AND(TRIM(AC152)&lt;&gt;"",TRIM(AE152)&lt;&gt;"",TRIM(T152)&lt;&gt;""),"N/A – JUSTIFIED","INVALID – N/A needs justification, PIC and verifier")),IF(OR(TRIM(U152)="Pass",TRIM(U152)="Pass after CA"),IF(NOT(ISNUMBER(AD152)),"INVALID – completion time missing",IF(TRIM(T152)="","INVALID – PIC missing",IF(TRIM(Z152)="","INVALID – evidence missing",IF(TRIM(AE152)="","INVALID – verifier missing",IF(AND(AQ152=1,TRIM(W152)=""),"INVALID – batch ID missing",IF(AND(AR152=1,OR(NOT(ISNUMBER(X152)),NOT(ISNUMBER(Y152)))),"INVALID – expected/actual qty missing",IF(IF(AND(TRIM(U152)="Pass",ISNUMBER(AF152)),IF(AF152&lt;&gt;0,"INVALID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recorded/closed","")&lt;&gt;"",IF(AND(TRIM(U152)="Pass",ISNUMBER(AF152)),IF(AF152&lt;&gt;0,"INVALID – qty variance: use Fail or Pass after CA",""),"")&amp;IF(AND(TRIM(U152)="Pass",AB152="Open"),"INVALID – corrective action still open: use Fail, then Pass after CA","")&amp;IF(AND(TRIM(U152)="Pass after CA",OR(TRIM(AA152)="",AB152&lt;&gt;"Closed")),"INVALID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window"),IF(AG152&gt;Flights!$AA$9,"INVALID – completed after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f>
        <v/>
      </c>
      <c r="AI152" s="67">
        <f>IF(OR(AH152="N/A – RULE",AH152="N/A – JUSTIFIED"),0,1)</f>
        <v/>
      </c>
      <c r="AJ152" s="67">
        <f>IF(LEFT(AH152,8)="COMPLETE",1,0)</f>
        <v/>
      </c>
      <c r="AK152" s="67">
        <f>IF(AND(AI152=1,AJ152=0,AsOfUTC&gt;Q152),1,0)</f>
        <v/>
      </c>
      <c r="AL152" s="67">
        <f>IF(AND(AI152=1,OR(TRIM(U152)="Fail",AB152="Open",AND(ISNUMBER(AF152),AF152&lt;&gt;0,TRIM(U152)&lt;&gt;"Pass after CA"))),1,0)</f>
        <v/>
      </c>
      <c r="AM152" s="67">
        <f>IF(LEFT(AH152,7)="INVALID",1,0)</f>
        <v/>
      </c>
      <c r="AN152" s="67">
        <f>IF(AND(N152="Clarification required",AI152=1,AJ152=0),1,0)</f>
        <v/>
      </c>
      <c r="AO152" s="67">
        <f>IF(AK152=1,SUM(AK$5:AK152),"")</f>
        <v/>
      </c>
      <c r="AP152" s="67">
        <f>IF(AL152=1,SUM(AL$5:AL152),"")</f>
        <v/>
      </c>
      <c r="AQ152" s="67" t="n">
        <v>0</v>
      </c>
      <c r="AR152" s="67" t="n">
        <v>0</v>
      </c>
      <c r="AS152" s="67" t="n">
        <v>0</v>
      </c>
      <c r="AT152" s="67" t="n">
        <v>0</v>
      </c>
    </row>
    <row r="153" ht="141.5" customHeight="1">
      <c r="A153" s="63" t="inlineStr">
        <is>
          <t>F05-T12-06</t>
        </is>
      </c>
      <c r="B153" s="63" t="inlineStr">
        <is>
          <t>F05</t>
        </is>
      </c>
      <c r="C153" s="63">
        <f>Flights!$F$9</f>
        <v/>
      </c>
      <c r="D153" s="64">
        <f>Flights!$D$9</f>
        <v/>
      </c>
      <c r="E153" s="63">
        <f>Flights!$G$9&amp;"-"&amp;Flights!$H$9</f>
        <v/>
      </c>
      <c r="F153" s="63">
        <f>Flights!$K$9</f>
        <v/>
      </c>
      <c r="G153" s="63" t="inlineStr">
        <is>
          <t>T-12H PREP</t>
        </is>
      </c>
      <c r="H153" s="63" t="inlineStr">
        <is>
          <t>Preparation</t>
        </is>
      </c>
      <c r="I153" s="63" t="inlineStr">
        <is>
          <t>Equipment</t>
        </is>
      </c>
      <c r="J153" s="63" t="inlineStr">
        <is>
          <t>Equipment quantities vs GLD</t>
        </is>
      </c>
      <c r="K153"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153" s="73" t="inlineStr">
        <is>
          <t>User brief (T-12 hours)</t>
        </is>
      </c>
      <c r="M153" s="73" t="inlineStr"/>
      <c r="N153" s="73" t="inlineStr">
        <is>
          <t>Required</t>
        </is>
      </c>
      <c r="O153" s="73" t="inlineStr">
        <is>
          <t>Preparation check at caterer - does NOT confirm loading.</t>
        </is>
      </c>
      <c r="P153" s="63" t="inlineStr">
        <is>
          <t>NRT</t>
        </is>
      </c>
      <c r="Q153" s="65">
        <f>Flights!$AE$9</f>
        <v/>
      </c>
      <c r="R153" s="65">
        <f>Q153+(IF(AND(INDEX(TZ_DSTS,MATCH(P153,TZ_STN,0))&lt;&gt;"",Q153&gt;=INDEX(TZ_DSTS,MATCH(P153,TZ_STN,0)),Q153&lt;INDEX(TZ_DSTE,MATCH(P153,TZ_STN,0))),INDEX(TZ_DST,MATCH(P153,TZ_STN,0)),INDEX(TZ_STD,MATCH(P153,TZ_STN,0))))/24</f>
        <v/>
      </c>
      <c r="S153" s="65">
        <f>Q153-T12EarlyH/24</f>
        <v/>
      </c>
      <c r="T153" s="66" t="n"/>
      <c r="U153" s="66" t="n"/>
      <c r="V153" s="66" t="n"/>
      <c r="W153" s="67" t="n"/>
      <c r="X153" s="66" t="n"/>
      <c r="Y153" s="66" t="n"/>
      <c r="Z153" s="66" t="n"/>
      <c r="AA153" s="66" t="n"/>
      <c r="AB153" s="66" t="n"/>
      <c r="AC153" s="66" t="n"/>
      <c r="AD153" s="72" t="n"/>
      <c r="AE153" s="66" t="n"/>
      <c r="AF153" s="67">
        <f>IF(AND(ISNUMBER(X153),ISNUMBER(Y153)),Y153-X153,"")</f>
        <v/>
      </c>
      <c r="AG153" s="68">
        <f>IF(ISNUMBER(AD153),AD153-(IF(AND(INDEX(TZ_DSTS,MATCH(P153,TZ_STN,0))&lt;&gt;"",(AD153-INDEX(TZ_STD,MATCH(P153,TZ_STN,0))/24)&gt;=INDEX(TZ_DSTS,MATCH(P153,TZ_STN,0)),(AD153-INDEX(TZ_STD,MATCH(P153,TZ_STN,0))/24)&lt;INDEX(TZ_DSTE,MATCH(P153,TZ_STN,0))),INDEX(TZ_DST,MATCH(P153,TZ_STN,0)),INDEX(TZ_STD,MATCH(P153,TZ_STN,0))))/24,"")</f>
        <v/>
      </c>
      <c r="AH153" s="71">
        <f>IF(N153="N/A – rule","N/A – RULE",IF(TRIM(U153)="N/A",IF(AT153=0,"INVALID – N/A not permitted for this mandatory check",IF(AND(TRIM(AC153)&lt;&gt;"",TRIM(AE153)&lt;&gt;"",TRIM(T153)&lt;&gt;""),"N/A – JUSTIFIED","INVALID – N/A needs justification, PIC and verifier")),IF(OR(TRIM(U153)="Pass",TRIM(U153)="Pass after CA"),IF(NOT(ISNUMBER(AD153)),"INVALID – completion time missing",IF(TRIM(T153)="","INVALID – PIC missing",IF(TRIM(Z153)="","INVALID – evidence missing",IF(TRIM(AE153)="","INVALID – verifier missing",IF(AND(AQ153=1,TRIM(W153)=""),"INVALID – batch ID missing",IF(AND(AR153=1,OR(NOT(ISNUMBER(X153)),NOT(ISNUMBER(Y153)))),"INVALID – expected/actual qty missing",IF(IF(AND(TRIM(U153)="Pass",ISNUMBER(AF153)),IF(AF153&lt;&gt;0,"INVALID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recorded/closed","")&lt;&gt;"",IF(AND(TRIM(U153)="Pass",ISNUMBER(AF153)),IF(AF153&lt;&gt;0,"INVALID – qty variance: use Fail or Pass after CA",""),"")&amp;IF(AND(TRIM(U153)="Pass",AB153="Open"),"INVALID – corrective action still open: use Fail, then Pass after CA","")&amp;IF(AND(TRIM(U153)="Pass after CA",OR(TRIM(AA153)="",AB153&lt;&gt;"Closed")),"INVALID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window"),IF(AG153&gt;Flights!$AA$9,"INVALID – completed after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f>
        <v/>
      </c>
      <c r="AI153" s="67">
        <f>IF(OR(AH153="N/A – RULE",AH153="N/A – JUSTIFIED"),0,1)</f>
        <v/>
      </c>
      <c r="AJ153" s="67">
        <f>IF(LEFT(AH153,8)="COMPLETE",1,0)</f>
        <v/>
      </c>
      <c r="AK153" s="67">
        <f>IF(AND(AI153=1,AJ153=0,AsOfUTC&gt;Q153),1,0)</f>
        <v/>
      </c>
      <c r="AL153" s="67">
        <f>IF(AND(AI153=1,OR(TRIM(U153)="Fail",AB153="Open",AND(ISNUMBER(AF153),AF153&lt;&gt;0,TRIM(U153)&lt;&gt;"Pass after CA"))),1,0)</f>
        <v/>
      </c>
      <c r="AM153" s="67">
        <f>IF(LEFT(AH153,7)="INVALID",1,0)</f>
        <v/>
      </c>
      <c r="AN153" s="67">
        <f>IF(AND(N153="Clarification required",AI153=1,AJ153=0),1,0)</f>
        <v/>
      </c>
      <c r="AO153" s="67">
        <f>IF(AK153=1,SUM(AK$5:AK153),"")</f>
        <v/>
      </c>
      <c r="AP153" s="67">
        <f>IF(AL153=1,SUM(AL$5:AL153),"")</f>
        <v/>
      </c>
      <c r="AQ153" s="67" t="n">
        <v>0</v>
      </c>
      <c r="AR153" s="67" t="n">
        <v>1</v>
      </c>
      <c r="AS153" s="67" t="n">
        <v>0</v>
      </c>
      <c r="AT153" s="67" t="n">
        <v>0</v>
      </c>
    </row>
    <row r="154" ht="40" customHeight="1">
      <c r="A154" s="63" t="inlineStr">
        <is>
          <t>F05-T12-07</t>
        </is>
      </c>
      <c r="B154" s="63" t="inlineStr">
        <is>
          <t>F05</t>
        </is>
      </c>
      <c r="C154" s="63">
        <f>Flights!$F$9</f>
        <v/>
      </c>
      <c r="D154" s="64">
        <f>Flights!$D$9</f>
        <v/>
      </c>
      <c r="E154" s="63">
        <f>Flights!$G$9&amp;"-"&amp;Flights!$H$9</f>
        <v/>
      </c>
      <c r="F154" s="63">
        <f>Flights!$K$9</f>
        <v/>
      </c>
      <c r="G154" s="63" t="inlineStr">
        <is>
          <t>T-12H PREP</t>
        </is>
      </c>
      <c r="H154" s="63" t="inlineStr">
        <is>
          <t>Preparation</t>
        </is>
      </c>
      <c r="I154" s="63" t="inlineStr">
        <is>
          <t>Equipment</t>
        </is>
      </c>
      <c r="J154" s="63" t="inlineStr">
        <is>
          <t>Loading positions planned vs GLD</t>
        </is>
      </c>
      <c r="K154" s="73" t="inlineStr"/>
      <c r="L154" s="73" t="inlineStr">
        <is>
          <t>User brief (T-12 hours)</t>
        </is>
      </c>
      <c r="M154" s="73" t="inlineStr"/>
      <c r="N154" s="73" t="inlineStr">
        <is>
          <t>Required</t>
        </is>
      </c>
      <c r="O154" s="73" t="inlineStr">
        <is>
          <t>Preparation check at caterer - does NOT confirm loading.</t>
        </is>
      </c>
      <c r="P154" s="63" t="inlineStr">
        <is>
          <t>NRT</t>
        </is>
      </c>
      <c r="Q154" s="65">
        <f>Flights!$AE$9</f>
        <v/>
      </c>
      <c r="R154" s="65">
        <f>Q154+(IF(AND(INDEX(TZ_DSTS,MATCH(P154,TZ_STN,0))&lt;&gt;"",Q154&gt;=INDEX(TZ_DSTS,MATCH(P154,TZ_STN,0)),Q154&lt;INDEX(TZ_DSTE,MATCH(P154,TZ_STN,0))),INDEX(TZ_DST,MATCH(P154,TZ_STN,0)),INDEX(TZ_STD,MATCH(P154,TZ_STN,0))))/24</f>
        <v/>
      </c>
      <c r="S154" s="65">
        <f>Q154-T12EarlyH/24</f>
        <v/>
      </c>
      <c r="T154" s="66" t="n"/>
      <c r="U154" s="66" t="n"/>
      <c r="V154" s="66" t="n"/>
      <c r="W154" s="67" t="n"/>
      <c r="X154" s="66" t="n"/>
      <c r="Y154" s="66" t="n"/>
      <c r="Z154" s="66" t="n"/>
      <c r="AA154" s="66" t="n"/>
      <c r="AB154" s="66" t="n"/>
      <c r="AC154" s="66" t="n"/>
      <c r="AD154" s="72" t="n"/>
      <c r="AE154" s="66" t="n"/>
      <c r="AF154" s="67">
        <f>IF(AND(ISNUMBER(X154),ISNUMBER(Y154)),Y154-X154,"")</f>
        <v/>
      </c>
      <c r="AG154" s="68">
        <f>IF(ISNUMBER(AD154),AD154-(IF(AND(INDEX(TZ_DSTS,MATCH(P154,TZ_STN,0))&lt;&gt;"",(AD154-INDEX(TZ_STD,MATCH(P154,TZ_STN,0))/24)&gt;=INDEX(TZ_DSTS,MATCH(P154,TZ_STN,0)),(AD154-INDEX(TZ_STD,MATCH(P154,TZ_STN,0))/24)&lt;INDEX(TZ_DSTE,MATCH(P154,TZ_STN,0))),INDEX(TZ_DST,MATCH(P154,TZ_STN,0)),INDEX(TZ_STD,MATCH(P154,TZ_STN,0))))/24,"")</f>
        <v/>
      </c>
      <c r="AH154" s="71">
        <f>IF(N154="N/A – rule","N/A – RULE",IF(TRIM(U154)="N/A",IF(AT154=0,"INVALID – N/A not permitted for this mandatory check",IF(AND(TRIM(AC154)&lt;&gt;"",TRIM(AE154)&lt;&gt;"",TRIM(T154)&lt;&gt;""),"N/A – JUSTIFIED","INVALID – N/A needs justification, PIC and verifier")),IF(OR(TRIM(U154)="Pass",TRIM(U154)="Pass after CA"),IF(NOT(ISNUMBER(AD154)),"INVALID – completion time missing",IF(TRIM(T154)="","INVALID – PIC missing",IF(TRIM(Z154)="","INVALID – evidence missing",IF(TRIM(AE154)="","INVALID – verifier missing",IF(AND(AQ154=1,TRIM(W154)=""),"INVALID – batch ID missing",IF(AND(AR154=1,OR(NOT(ISNUMBER(X154)),NOT(ISNUMBER(Y154)))),"INVALID – expected/actual qty missing",IF(IF(AND(TRIM(U154)="Pass",ISNUMBER(AF154)),IF(AF154&lt;&gt;0,"INVALID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recorded/closed","")&lt;&gt;"",IF(AND(TRIM(U154)="Pass",ISNUMBER(AF154)),IF(AF154&lt;&gt;0,"INVALID – qty variance: use Fail or Pass after CA",""),"")&amp;IF(AND(TRIM(U154)="Pass",AB154="Open"),"INVALID – corrective action still open: use Fail, then Pass after CA","")&amp;IF(AND(TRIM(U154)="Pass after CA",OR(TRIM(AA154)="",AB154&lt;&gt;"Closed")),"INVALID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window"),IF(AG154&gt;Flights!$AA$9,"INVALID – completed after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f>
        <v/>
      </c>
      <c r="AI154" s="67">
        <f>IF(OR(AH154="N/A – RULE",AH154="N/A – JUSTIFIED"),0,1)</f>
        <v/>
      </c>
      <c r="AJ154" s="67">
        <f>IF(LEFT(AH154,8)="COMPLETE",1,0)</f>
        <v/>
      </c>
      <c r="AK154" s="67">
        <f>IF(AND(AI154=1,AJ154=0,AsOfUTC&gt;Q154),1,0)</f>
        <v/>
      </c>
      <c r="AL154" s="67">
        <f>IF(AND(AI154=1,OR(TRIM(U154)="Fail",AB154="Open",AND(ISNUMBER(AF154),AF154&lt;&gt;0,TRIM(U154)&lt;&gt;"Pass after CA"))),1,0)</f>
        <v/>
      </c>
      <c r="AM154" s="67">
        <f>IF(LEFT(AH154,7)="INVALID",1,0)</f>
        <v/>
      </c>
      <c r="AN154" s="67">
        <f>IF(AND(N154="Clarification required",AI154=1,AJ154=0),1,0)</f>
        <v/>
      </c>
      <c r="AO154" s="67">
        <f>IF(AK154=1,SUM(AK$5:AK154),"")</f>
        <v/>
      </c>
      <c r="AP154" s="67">
        <f>IF(AL154=1,SUM(AL$5:AL154),"")</f>
        <v/>
      </c>
      <c r="AQ154" s="67" t="n">
        <v>0</v>
      </c>
      <c r="AR154" s="67" t="n">
        <v>0</v>
      </c>
      <c r="AS154" s="67" t="n">
        <v>0</v>
      </c>
      <c r="AT154" s="67" t="n">
        <v>0</v>
      </c>
    </row>
    <row r="155" ht="79" customHeight="1">
      <c r="A155" s="63" t="inlineStr">
        <is>
          <t>F05-T12-08</t>
        </is>
      </c>
      <c r="B155" s="63" t="inlineStr">
        <is>
          <t>F05</t>
        </is>
      </c>
      <c r="C155" s="63">
        <f>Flights!$F$9</f>
        <v/>
      </c>
      <c r="D155" s="64">
        <f>Flights!$D$9</f>
        <v/>
      </c>
      <c r="E155" s="63">
        <f>Flights!$G$9&amp;"-"&amp;Flights!$H$9</f>
        <v/>
      </c>
      <c r="F155" s="63">
        <f>Flights!$K$9</f>
        <v/>
      </c>
      <c r="G155" s="63" t="inlineStr">
        <is>
          <t>T-12H PREP</t>
        </is>
      </c>
      <c r="H155" s="63" t="inlineStr">
        <is>
          <t>Preparation</t>
        </is>
      </c>
      <c r="I155" s="63" t="inlineStr">
        <is>
          <t>Amenities</t>
        </is>
      </c>
      <c r="J155" s="63" t="inlineStr">
        <is>
          <t>Toiletry kits - prepared</t>
        </is>
      </c>
      <c r="K155" s="73" t="inlineStr">
        <is>
          <t>Available for sector (ticked in reference)</t>
        </is>
      </c>
      <c r="L155" s="73" t="inlineStr">
        <is>
          <t>STD UPLIFT INFORMATION.xlsx &gt; AMENITIES!D23 / H23</t>
        </is>
      </c>
      <c r="M155" s="73" t="inlineStr">
        <is>
          <t>KUL</t>
        </is>
      </c>
      <c r="N155" s="73" t="inlineStr">
        <is>
          <t>Clarification required</t>
        </is>
      </c>
      <c r="O155" s="73" t="inlineStr">
        <is>
          <t>Reference does not state the cabin class for toiletry kits. Confirm whether EY receives them; if not, mark N/A with the confirmation as justification. Loaded at KUL on the inbound KUL-NRT flight: due = that flight's KUL departure (Flights AX) minus the uplift window.</t>
        </is>
      </c>
      <c r="P155" s="63" t="inlineStr">
        <is>
          <t>KUL</t>
        </is>
      </c>
      <c r="Q155" s="65">
        <f>MIN(Flights!$AE$9,Flights!$AY$9)</f>
        <v/>
      </c>
      <c r="R155" s="65">
        <f>Q155+(IF(AND(INDEX(TZ_DSTS,MATCH(P155,TZ_STN,0))&lt;&gt;"",Q155&gt;=INDEX(TZ_DSTS,MATCH(P155,TZ_STN,0)),Q155&lt;INDEX(TZ_DSTE,MATCH(P155,TZ_STN,0))),INDEX(TZ_DST,MATCH(P155,TZ_STN,0)),INDEX(TZ_STD,MATCH(P155,TZ_STN,0))))/24</f>
        <v/>
      </c>
      <c r="S155" s="65">
        <f>Q155-T12EarlyH/24</f>
        <v/>
      </c>
      <c r="T155" s="66" t="n"/>
      <c r="U155" s="66" t="n"/>
      <c r="V155" s="66" t="n"/>
      <c r="W155" s="67" t="n"/>
      <c r="X155" s="66" t="n"/>
      <c r="Y155" s="66" t="n"/>
      <c r="Z155" s="66" t="n"/>
      <c r="AA155" s="66" t="n"/>
      <c r="AB155" s="66" t="n"/>
      <c r="AC155" s="66" t="n"/>
      <c r="AD155" s="72" t="n"/>
      <c r="AE155" s="66" t="n"/>
      <c r="AF155" s="67">
        <f>IF(AND(ISNUMBER(X155),ISNUMBER(Y155)),Y155-X155,"")</f>
        <v/>
      </c>
      <c r="AG155" s="68">
        <f>IF(ISNUMBER(AD155),AD155-(IF(AND(INDEX(TZ_DSTS,MATCH(P155,TZ_STN,0))&lt;&gt;"",(AD155-INDEX(TZ_STD,MATCH(P155,TZ_STN,0))/24)&gt;=INDEX(TZ_DSTS,MATCH(P155,TZ_STN,0)),(AD155-INDEX(TZ_STD,MATCH(P155,TZ_STN,0))/24)&lt;INDEX(TZ_DSTE,MATCH(P155,TZ_STN,0))),INDEX(TZ_DST,MATCH(P155,TZ_STN,0)),INDEX(TZ_STD,MATCH(P155,TZ_STN,0))))/24,"")</f>
        <v/>
      </c>
      <c r="AH155" s="71">
        <f>IF(N155="N/A – rule","N/A – RULE",IF(TRIM(U155)="N/A",IF(AT155=0,"INVALID – N/A not permitted for this mandatory check",IF(AND(TRIM(AC155)&lt;&gt;"",TRIM(AE155)&lt;&gt;"",TRIM(T155)&lt;&gt;""),"N/A – JUSTIFIED","INVALID – N/A needs justification, PIC and verifier")),IF(OR(TRIM(U155)="Pass",TRIM(U155)="Pass after CA"),IF(NOT(ISNUMBER(AD155)),"INVALID – completion time missing",IF(TRIM(T155)="","INVALID – PIC missing",IF(TRIM(Z155)="","INVALID – evidence missing",IF(TRIM(AE155)="","INVALID – verifier missing",IF(AND(AQ155=1,TRIM(W155)=""),"INVALID – batch ID missing",IF(AND(AR155=1,OR(NOT(ISNUMBER(X155)),NOT(ISNUMBER(Y155)))),"INVALID – expected/actual qty missing",IF(IF(AND(TRIM(U155)="Pass",ISNUMBER(AF155)),IF(AF155&lt;&gt;0,"INVALID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recorded/closed","")&lt;&gt;"",IF(AND(TRIM(U155)="Pass",ISNUMBER(AF155)),IF(AF155&lt;&gt;0,"INVALID – qty variance: use Fail or Pass after CA",""),"")&amp;IF(AND(TRIM(U155)="Pass",AB155="Open"),"INVALID – corrective action still open: use Fail, then Pass after CA","")&amp;IF(AND(TRIM(U155)="Pass after CA",OR(TRIM(AA155)="",AB155&lt;&gt;"Closed")),"INVALID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window"),IF(AG155&gt;Flights!$AA$9,"INVALID – completed after departure (cannot establish readiness)",IF(AND(H155="Physical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f>
        <v/>
      </c>
      <c r="AI155" s="67">
        <f>IF(OR(AH155="N/A – RULE",AH155="N/A – JUSTIFIED"),0,1)</f>
        <v/>
      </c>
      <c r="AJ155" s="67">
        <f>IF(LEFT(AH155,8)="COMPLETE",1,0)</f>
        <v/>
      </c>
      <c r="AK155" s="67">
        <f>IF(AND(AI155=1,AJ155=0,AsOfUTC&gt;Q155),1,0)</f>
        <v/>
      </c>
      <c r="AL155" s="67">
        <f>IF(AND(AI155=1,OR(TRIM(U155)="Fail",AB155="Open",AND(ISNUMBER(AF155),AF155&lt;&gt;0,TRIM(U155)&lt;&gt;"Pass after CA"))),1,0)</f>
        <v/>
      </c>
      <c r="AM155" s="67">
        <f>IF(LEFT(AH155,7)="INVALID",1,0)</f>
        <v/>
      </c>
      <c r="AN155" s="67">
        <f>IF(AND(N155="Clarification required",AI155=1,AJ155=0),1,0)</f>
        <v/>
      </c>
      <c r="AO155" s="67">
        <f>IF(AK155=1,SUM(AK$5:AK155),"")</f>
        <v/>
      </c>
      <c r="AP155" s="67">
        <f>IF(AL155=1,SUM(AL$5:AL155),"")</f>
        <v/>
      </c>
      <c r="AQ155" s="67" t="n">
        <v>0</v>
      </c>
      <c r="AR155" s="67" t="n">
        <v>0</v>
      </c>
      <c r="AS155" s="67" t="n">
        <v>0</v>
      </c>
      <c r="AT155" s="67" t="n">
        <v>1</v>
      </c>
    </row>
    <row r="156" ht="41.5" customHeight="1">
      <c r="A156" s="63" t="inlineStr">
        <is>
          <t>F05-T12-09</t>
        </is>
      </c>
      <c r="B156" s="63" t="inlineStr">
        <is>
          <t>F05</t>
        </is>
      </c>
      <c r="C156" s="63">
        <f>Flights!$F$9</f>
        <v/>
      </c>
      <c r="D156" s="64">
        <f>Flights!$D$9</f>
        <v/>
      </c>
      <c r="E156" s="63">
        <f>Flights!$G$9&amp;"-"&amp;Flights!$H$9</f>
        <v/>
      </c>
      <c r="F156" s="63">
        <f>Flights!$K$9</f>
        <v/>
      </c>
      <c r="G156" s="63" t="inlineStr">
        <is>
          <t>T-12H PREP</t>
        </is>
      </c>
      <c r="H156" s="63" t="inlineStr">
        <is>
          <t>Preparation</t>
        </is>
      </c>
      <c r="I156" s="63" t="inlineStr">
        <is>
          <t>Seat Linen</t>
        </is>
      </c>
      <c r="J156" s="63" t="inlineStr">
        <is>
          <t>Seat pillow (EY) - prepared</t>
        </is>
      </c>
      <c r="K156" s="73" t="inlineStr">
        <is>
          <t>Available 100% (ticked in reference)</t>
        </is>
      </c>
      <c r="L156" s="73" t="inlineStr">
        <is>
          <t>STD UPLIFT INFORMATION.xlsx &gt; SEAT LINEN!I14</t>
        </is>
      </c>
      <c r="M156" s="73" t="inlineStr">
        <is>
          <t>Not stated in reference</t>
        </is>
      </c>
      <c r="N156" s="73" t="inlineStr">
        <is>
          <t>Required</t>
        </is>
      </c>
      <c r="O156" s="73" t="inlineStr">
        <is>
          <t>Reference gives no uplift stn for this item: preparation checked at the meal uplift stn (NRT) - confirm with caterer.</t>
        </is>
      </c>
      <c r="P156" s="63" t="inlineStr">
        <is>
          <t>NRT</t>
        </is>
      </c>
      <c r="Q156" s="65">
        <f>Flights!$AE$9</f>
        <v/>
      </c>
      <c r="R156" s="65">
        <f>Q156+(IF(AND(INDEX(TZ_DSTS,MATCH(P156,TZ_STN,0))&lt;&gt;"",Q156&gt;=INDEX(TZ_DSTS,MATCH(P156,TZ_STN,0)),Q156&lt;INDEX(TZ_DSTE,MATCH(P156,TZ_STN,0))),INDEX(TZ_DST,MATCH(P156,TZ_STN,0)),INDEX(TZ_STD,MATCH(P156,TZ_STN,0))))/24</f>
        <v/>
      </c>
      <c r="S156" s="65">
        <f>Q156-T12EarlyH/24</f>
        <v/>
      </c>
      <c r="T156" s="66" t="n"/>
      <c r="U156" s="66" t="n"/>
      <c r="V156" s="66" t="n"/>
      <c r="W156" s="67" t="n"/>
      <c r="X156" s="66" t="n"/>
      <c r="Y156" s="66" t="n"/>
      <c r="Z156" s="66" t="n"/>
      <c r="AA156" s="66" t="n"/>
      <c r="AB156" s="66" t="n"/>
      <c r="AC156" s="66" t="n"/>
      <c r="AD156" s="72" t="n"/>
      <c r="AE156" s="66" t="n"/>
      <c r="AF156" s="67">
        <f>IF(AND(ISNUMBER(X156),ISNUMBER(Y156)),Y156-X156,"")</f>
        <v/>
      </c>
      <c r="AG156" s="68">
        <f>IF(ISNUMBER(AD156),AD156-(IF(AND(INDEX(TZ_DSTS,MATCH(P156,TZ_STN,0))&lt;&gt;"",(AD156-INDEX(TZ_STD,MATCH(P156,TZ_STN,0))/24)&gt;=INDEX(TZ_DSTS,MATCH(P156,TZ_STN,0)),(AD156-INDEX(TZ_STD,MATCH(P156,TZ_STN,0))/24)&lt;INDEX(TZ_DSTE,MATCH(P156,TZ_STN,0))),INDEX(TZ_DST,MATCH(P156,TZ_STN,0)),INDEX(TZ_STD,MATCH(P156,TZ_STN,0))))/24,"")</f>
        <v/>
      </c>
      <c r="AH156" s="71">
        <f>IF(N156="N/A – rule","N/A – RULE",IF(TRIM(U156)="N/A",IF(AT156=0,"INVALID – N/A not permitted for this mandatory check",IF(AND(TRIM(AC156)&lt;&gt;"",TRIM(AE156)&lt;&gt;"",TRIM(T156)&lt;&gt;""),"N/A – JUSTIFIED","INVALID – N/A needs justification, PIC and verifier")),IF(OR(TRIM(U156)="Pass",TRIM(U156)="Pass after CA"),IF(NOT(ISNUMBER(AD156)),"INVALID – completion time missing",IF(TRIM(T156)="","INVALID – PIC missing",IF(TRIM(Z156)="","INVALID – evidence missing",IF(TRIM(AE156)="","INVALID – verifier missing",IF(AND(AQ156=1,TRIM(W156)=""),"INVALID – batch ID missing",IF(AND(AR156=1,OR(NOT(ISNUMBER(X156)),NOT(ISNUMBER(Y156)))),"INVALID – expected/actual qty missing",IF(IF(AND(TRIM(U156)="Pass",ISNUMBER(AF156)),IF(AF156&lt;&gt;0,"INVALID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recorded/closed","")&lt;&gt;"",IF(AND(TRIM(U156)="Pass",ISNUMBER(AF156)),IF(AF156&lt;&gt;0,"INVALID – qty variance: use Fail or Pass after CA",""),"")&amp;IF(AND(TRIM(U156)="Pass",AB156="Open"),"INVALID – corrective action still open: use Fail, then Pass after CA","")&amp;IF(AND(TRIM(U156)="Pass after CA",OR(TRIM(AA156)="",AB156&lt;&gt;"Closed")),"INVALID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window"),IF(AG156&gt;Flights!$AA$9,"INVALID – completed after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f>
        <v/>
      </c>
      <c r="AI156" s="67">
        <f>IF(OR(AH156="N/A – RULE",AH156="N/A – JUSTIFIED"),0,1)</f>
        <v/>
      </c>
      <c r="AJ156" s="67">
        <f>IF(LEFT(AH156,8)="COMPLETE",1,0)</f>
        <v/>
      </c>
      <c r="AK156" s="67">
        <f>IF(AND(AI156=1,AJ156=0,AsOfUTC&gt;Q156),1,0)</f>
        <v/>
      </c>
      <c r="AL156" s="67">
        <f>IF(AND(AI156=1,OR(TRIM(U156)="Fail",AB156="Open",AND(ISNUMBER(AF156),AF156&lt;&gt;0,TRIM(U156)&lt;&gt;"Pass after CA"))),1,0)</f>
        <v/>
      </c>
      <c r="AM156" s="67">
        <f>IF(LEFT(AH156,7)="INVALID",1,0)</f>
        <v/>
      </c>
      <c r="AN156" s="67">
        <f>IF(AND(N156="Clarification required",AI156=1,AJ156=0),1,0)</f>
        <v/>
      </c>
      <c r="AO156" s="67">
        <f>IF(AK156=1,SUM(AK$5:AK156),"")</f>
        <v/>
      </c>
      <c r="AP156" s="67">
        <f>IF(AL156=1,SUM(AL$5:AL156),"")</f>
        <v/>
      </c>
      <c r="AQ156" s="67" t="n">
        <v>0</v>
      </c>
      <c r="AR156" s="67" t="n">
        <v>0</v>
      </c>
      <c r="AS156" s="67" t="n">
        <v>0</v>
      </c>
      <c r="AT156" s="67" t="n">
        <v>1</v>
      </c>
    </row>
    <row r="157" ht="91.5" customHeight="1">
      <c r="A157" s="63" t="inlineStr">
        <is>
          <t>F05-T12-10</t>
        </is>
      </c>
      <c r="B157" s="63" t="inlineStr">
        <is>
          <t>F05</t>
        </is>
      </c>
      <c r="C157" s="63">
        <f>Flights!$F$9</f>
        <v/>
      </c>
      <c r="D157" s="64">
        <f>Flights!$D$9</f>
        <v/>
      </c>
      <c r="E157" s="63">
        <f>Flights!$G$9&amp;"-"&amp;Flights!$H$9</f>
        <v/>
      </c>
      <c r="F157" s="63">
        <f>Flights!$K$9</f>
        <v/>
      </c>
      <c r="G157" s="63" t="inlineStr">
        <is>
          <t>T-12H PREP</t>
        </is>
      </c>
      <c r="H157" s="63" t="inlineStr">
        <is>
          <t>Preparation</t>
        </is>
      </c>
      <c r="I157" s="63" t="inlineStr">
        <is>
          <t>Seat Linen</t>
        </is>
      </c>
      <c r="J157" s="63" t="inlineStr">
        <is>
          <t>Blanket (EY) - prepared</t>
        </is>
      </c>
      <c r="K157" s="73" t="inlineStr">
        <is>
          <t>Available 100% (ticked in reference); qty 280 (A350 9M-MAH) / 260 (A359) - per tail</t>
        </is>
      </c>
      <c r="L157" s="73" t="inlineStr">
        <is>
          <t>STD UPLIFT INFORMATION.xlsx &gt; SEAT LINEN!J14</t>
        </is>
      </c>
      <c r="M157" s="73" t="inlineStr">
        <is>
          <t>Not stated in reference</t>
        </is>
      </c>
      <c r="N157" s="73" t="inlineStr">
        <is>
          <t>Required</t>
        </is>
      </c>
      <c r="O157" s="73" t="inlineStr">
        <is>
          <t>EY blanket: flight above 3 hours excl. Regional (SEAT LINEN!B74:C74); block 7.67 h. Qty per tail: A350 280 pcs (SEAT LINEN!B76:C76), A359 260 pcs (SEAT LINEN!B77:C77). Reference gives no uplift stn for this item: preparation checked at the meal uplift stn (NRT) - confirm with caterer.</t>
        </is>
      </c>
      <c r="P157" s="63" t="inlineStr">
        <is>
          <t>NRT</t>
        </is>
      </c>
      <c r="Q157" s="65">
        <f>Flights!$AE$9</f>
        <v/>
      </c>
      <c r="R157" s="65">
        <f>Q157+(IF(AND(INDEX(TZ_DSTS,MATCH(P157,TZ_STN,0))&lt;&gt;"",Q157&gt;=INDEX(TZ_DSTS,MATCH(P157,TZ_STN,0)),Q157&lt;INDEX(TZ_DSTE,MATCH(P157,TZ_STN,0))),INDEX(TZ_DST,MATCH(P157,TZ_STN,0)),INDEX(TZ_STD,MATCH(P157,TZ_STN,0))))/24</f>
        <v/>
      </c>
      <c r="S157" s="65">
        <f>Q157-T12EarlyH/24</f>
        <v/>
      </c>
      <c r="T157" s="66" t="n"/>
      <c r="U157" s="66" t="n"/>
      <c r="V157" s="66" t="n"/>
      <c r="W157" s="67" t="n"/>
      <c r="X157" s="74">
        <f>IF(TRIM(Flights!$N$9)="","",IF(ISNUMBER(SEARCH("MAH",Flights!$N$9)),280,260))</f>
        <v/>
      </c>
      <c r="Y157" s="66" t="n"/>
      <c r="Z157" s="66" t="n"/>
      <c r="AA157" s="66" t="n"/>
      <c r="AB157" s="66" t="n"/>
      <c r="AC157" s="66" t="n"/>
      <c r="AD157" s="72" t="n"/>
      <c r="AE157" s="66" t="n"/>
      <c r="AF157" s="67">
        <f>IF(AND(ISNUMBER(X157),ISNUMBER(Y157)),Y157-X157,"")</f>
        <v/>
      </c>
      <c r="AG157" s="68">
        <f>IF(ISNUMBER(AD157),AD157-(IF(AND(INDEX(TZ_DSTS,MATCH(P157,TZ_STN,0))&lt;&gt;"",(AD157-INDEX(TZ_STD,MATCH(P157,TZ_STN,0))/24)&gt;=INDEX(TZ_DSTS,MATCH(P157,TZ_STN,0)),(AD157-INDEX(TZ_STD,MATCH(P157,TZ_STN,0))/24)&lt;INDEX(TZ_DSTE,MATCH(P157,TZ_STN,0))),INDEX(TZ_DST,MATCH(P157,TZ_STN,0)),INDEX(TZ_STD,MATCH(P157,TZ_STN,0))))/24,"")</f>
        <v/>
      </c>
      <c r="AH157" s="71">
        <f>IF(N157="N/A – rule","N/A – RULE",IF(TRIM(U157)="N/A",IF(AT157=0,"INVALID – N/A not permitted for this mandatory check",IF(AND(TRIM(AC157)&lt;&gt;"",TRIM(AE157)&lt;&gt;"",TRIM(T157)&lt;&gt;""),"N/A – JUSTIFIED","INVALID – N/A needs justification, PIC and verifier")),IF(OR(TRIM(U157)="Pass",TRIM(U157)="Pass after CA"),IF(NOT(ISNUMBER(AD157)),"INVALID – completion time missing",IF(TRIM(T157)="","INVALID – PIC missing",IF(TRIM(Z157)="","INVALID – evidence missing",IF(TRIM(AE157)="","INVALID – verifier missing",IF(AND(AQ157=1,TRIM(W157)=""),"INVALID – batch ID missing",IF(AND(AR157=1,OR(NOT(ISNUMBER(X157)),NOT(ISNUMBER(Y157)))),"INVALID – expected/actual qty missing",IF(IF(AND(TRIM(U157)="Pass",ISNUMBER(AF157)),IF(AF157&lt;&gt;0,"INVALID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recorded/closed","")&lt;&gt;"",IF(AND(TRIM(U157)="Pass",ISNUMBER(AF157)),IF(AF157&lt;&gt;0,"INVALID – qty variance: use Fail or Pass after CA",""),"")&amp;IF(AND(TRIM(U157)="Pass",AB157="Open"),"INVALID – corrective action still open: use Fail, then Pass after CA","")&amp;IF(AND(TRIM(U157)="Pass after CA",OR(TRIM(AA157)="",AB157&lt;&gt;"Closed")),"INVALID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window"),IF(AG157&gt;Flights!$AA$9,"INVALID – completed after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f>
        <v/>
      </c>
      <c r="AI157" s="67">
        <f>IF(OR(AH157="N/A – RULE",AH157="N/A – JUSTIFIED"),0,1)</f>
        <v/>
      </c>
      <c r="AJ157" s="67">
        <f>IF(LEFT(AH157,8)="COMPLETE",1,0)</f>
        <v/>
      </c>
      <c r="AK157" s="67">
        <f>IF(AND(AI157=1,AJ157=0,AsOfUTC&gt;Q157),1,0)</f>
        <v/>
      </c>
      <c r="AL157" s="67">
        <f>IF(AND(AI157=1,OR(TRIM(U157)="Fail",AB157="Open",AND(ISNUMBER(AF157),AF157&lt;&gt;0,TRIM(U157)&lt;&gt;"Pass after CA"))),1,0)</f>
        <v/>
      </c>
      <c r="AM157" s="67">
        <f>IF(LEFT(AH157,7)="INVALID",1,0)</f>
        <v/>
      </c>
      <c r="AN157" s="67">
        <f>IF(AND(N157="Clarification required",AI157=1,AJ157=0),1,0)</f>
        <v/>
      </c>
      <c r="AO157" s="67">
        <f>IF(AK157=1,SUM(AK$5:AK157),"")</f>
        <v/>
      </c>
      <c r="AP157" s="67">
        <f>IF(AL157=1,SUM(AL$5:AL157),"")</f>
        <v/>
      </c>
      <c r="AQ157" s="67" t="n">
        <v>0</v>
      </c>
      <c r="AR157" s="67" t="n">
        <v>1</v>
      </c>
      <c r="AS157" s="67" t="n">
        <v>0</v>
      </c>
      <c r="AT157" s="67" t="n">
        <v>1</v>
      </c>
    </row>
    <row r="158" ht="104" customHeight="1">
      <c r="A158" s="63" t="inlineStr">
        <is>
          <t>F05-T12-11</t>
        </is>
      </c>
      <c r="B158" s="63" t="inlineStr">
        <is>
          <t>F05</t>
        </is>
      </c>
      <c r="C158" s="63">
        <f>Flights!$F$9</f>
        <v/>
      </c>
      <c r="D158" s="64">
        <f>Flights!$D$9</f>
        <v/>
      </c>
      <c r="E158" s="63">
        <f>Flights!$G$9&amp;"-"&amp;Flights!$H$9</f>
        <v/>
      </c>
      <c r="F158" s="63">
        <f>Flights!$K$9</f>
        <v/>
      </c>
      <c r="G158" s="63" t="inlineStr">
        <is>
          <t>T-12H PREP</t>
        </is>
      </c>
      <c r="H158" s="63" t="inlineStr">
        <is>
          <t>Preparation</t>
        </is>
      </c>
      <c r="I158" s="63" t="inlineStr">
        <is>
          <t>Sales Cart</t>
        </is>
      </c>
      <c r="J158" s="63" t="inlineStr">
        <is>
          <t>Sales cart (caterer PASB) - prepared</t>
        </is>
      </c>
      <c r="K158" s="73" t="inlineStr">
        <is>
          <t>A359: 5R41A &amp; 5R42A (not applicable for LHR) (full cart); 9M-MAH: G4F13A (half cart) - per tail</t>
        </is>
      </c>
      <c r="L158" s="73" t="inlineStr">
        <is>
          <t>STD UPLIFT INFORMATION.xlsx &gt; SALES CART!K7:K14 / L9 / C9 / O8:R12</t>
        </is>
      </c>
      <c r="M158" s="73" t="inlineStr">
        <is>
          <t>Not stated in reference</t>
        </is>
      </c>
      <c r="N158" s="73" t="inlineStr">
        <is>
          <t>Clarification required</t>
        </is>
      </c>
      <c r="O158" s="73" t="inlineStr">
        <is>
          <t>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is>
      </c>
      <c r="P158" s="63" t="inlineStr">
        <is>
          <t>NRT</t>
        </is>
      </c>
      <c r="Q158" s="65">
        <f>Flights!$AE$9</f>
        <v/>
      </c>
      <c r="R158" s="65">
        <f>Q158+(IF(AND(INDEX(TZ_DSTS,MATCH(P158,TZ_STN,0))&lt;&gt;"",Q158&gt;=INDEX(TZ_DSTS,MATCH(P158,TZ_STN,0)),Q158&lt;INDEX(TZ_DSTE,MATCH(P158,TZ_STN,0))),INDEX(TZ_DST,MATCH(P158,TZ_STN,0)),INDEX(TZ_STD,MATCH(P158,TZ_STN,0))))/24</f>
        <v/>
      </c>
      <c r="S158" s="65">
        <f>Q158-T12EarlyH/24</f>
        <v/>
      </c>
      <c r="T158" s="66" t="n"/>
      <c r="U158" s="66" t="n"/>
      <c r="V158" s="66" t="n"/>
      <c r="W158" s="67" t="n"/>
      <c r="X158" s="66" t="n"/>
      <c r="Y158" s="66" t="n"/>
      <c r="Z158" s="66" t="n"/>
      <c r="AA158" s="66" t="n"/>
      <c r="AB158" s="66" t="n"/>
      <c r="AC158" s="66" t="n"/>
      <c r="AD158" s="72" t="n"/>
      <c r="AE158" s="66" t="n"/>
      <c r="AF158" s="67">
        <f>IF(AND(ISNUMBER(X158),ISNUMBER(Y158)),Y158-X158,"")</f>
        <v/>
      </c>
      <c r="AG158" s="68">
        <f>IF(ISNUMBER(AD158),AD158-(IF(AND(INDEX(TZ_DSTS,MATCH(P158,TZ_STN,0))&lt;&gt;"",(AD158-INDEX(TZ_STD,MATCH(P158,TZ_STN,0))/24)&gt;=INDEX(TZ_DSTS,MATCH(P158,TZ_STN,0)),(AD158-INDEX(TZ_STD,MATCH(P158,TZ_STN,0))/24)&lt;INDEX(TZ_DSTE,MATCH(P158,TZ_STN,0))),INDEX(TZ_DST,MATCH(P158,TZ_STN,0)),INDEX(TZ_STD,MATCH(P158,TZ_STN,0))))/24,"")</f>
        <v/>
      </c>
      <c r="AH158" s="71">
        <f>IF(N158="N/A – rule","N/A – RULE",IF(TRIM(U158)="N/A",IF(AT158=0,"INVALID – N/A not permitted for this mandatory check",IF(AND(TRIM(AC158)&lt;&gt;"",TRIM(AE158)&lt;&gt;"",TRIM(T158)&lt;&gt;""),"N/A – JUSTIFIED","INVALID – N/A needs justification, PIC and verifier")),IF(OR(TRIM(U158)="Pass",TRIM(U158)="Pass after CA"),IF(NOT(ISNUMBER(AD158)),"INVALID – completion time missing",IF(TRIM(T158)="","INVALID – PIC missing",IF(TRIM(Z158)="","INVALID – evidence missing",IF(TRIM(AE158)="","INVALID – verifier missing",IF(AND(AQ158=1,TRIM(W158)=""),"INVALID – batch ID missing",IF(AND(AR158=1,OR(NOT(ISNUMBER(X158)),NOT(ISNUMBER(Y158)))),"INVALID – expected/actual qty missing",IF(IF(AND(TRIM(U158)="Pass",ISNUMBER(AF158)),IF(AF158&lt;&gt;0,"INVALID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recorded/closed","")&lt;&gt;"",IF(AND(TRIM(U158)="Pass",ISNUMBER(AF158)),IF(AF158&lt;&gt;0,"INVALID – qty variance: use Fail or Pass after CA",""),"")&amp;IF(AND(TRIM(U158)="Pass",AB158="Open"),"INVALID – corrective action still open: use Fail, then Pass after CA","")&amp;IF(AND(TRIM(U158)="Pass after CA",OR(TRIM(AA158)="",AB158&lt;&gt;"Closed")),"INVALID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window"),IF(AG158&gt;Flights!$AA$9,"INVALID – completed after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f>
        <v/>
      </c>
      <c r="AI158" s="67">
        <f>IF(OR(AH158="N/A – RULE",AH158="N/A – JUSTIFIED"),0,1)</f>
        <v/>
      </c>
      <c r="AJ158" s="67">
        <f>IF(LEFT(AH158,8)="COMPLETE",1,0)</f>
        <v/>
      </c>
      <c r="AK158" s="67">
        <f>IF(AND(AI158=1,AJ158=0,AsOfUTC&gt;Q158),1,0)</f>
        <v/>
      </c>
      <c r="AL158" s="67">
        <f>IF(AND(AI158=1,OR(TRIM(U158)="Fail",AB158="Open",AND(ISNUMBER(AF158),AF158&lt;&gt;0,TRIM(U158)&lt;&gt;"Pass after CA"))),1,0)</f>
        <v/>
      </c>
      <c r="AM158" s="67">
        <f>IF(LEFT(AH158,7)="INVALID",1,0)</f>
        <v/>
      </c>
      <c r="AN158" s="67">
        <f>IF(AND(N158="Clarification required",AI158=1,AJ158=0),1,0)</f>
        <v/>
      </c>
      <c r="AO158" s="67">
        <f>IF(AK158=1,SUM(AK$5:AK158),"")</f>
        <v/>
      </c>
      <c r="AP158" s="67">
        <f>IF(AL158=1,SUM(AL$5:AL158),"")</f>
        <v/>
      </c>
      <c r="AQ158" s="67" t="n">
        <v>0</v>
      </c>
      <c r="AR158" s="67" t="n">
        <v>0</v>
      </c>
      <c r="AS158" s="67" t="n">
        <v>0</v>
      </c>
      <c r="AT158" s="67" t="n">
        <v>1</v>
      </c>
    </row>
    <row r="159" ht="40" customHeight="1">
      <c r="A159" s="63" t="inlineStr">
        <is>
          <t>F05-UPL-01</t>
        </is>
      </c>
      <c r="B159" s="63" t="inlineStr">
        <is>
          <t>F05</t>
        </is>
      </c>
      <c r="C159" s="63">
        <f>Flights!$F$9</f>
        <v/>
      </c>
      <c r="D159" s="64">
        <f>Flights!$D$9</f>
        <v/>
      </c>
      <c r="E159" s="63">
        <f>Flights!$G$9&amp;"-"&amp;Flights!$H$9</f>
        <v/>
      </c>
      <c r="F159" s="63">
        <f>Flights!$K$9</f>
        <v/>
      </c>
      <c r="G159" s="63" t="inlineStr">
        <is>
          <t>UPLIFT</t>
        </is>
      </c>
      <c r="H159" s="63" t="inlineStr">
        <is>
          <t>Physical uplift</t>
        </is>
      </c>
      <c r="I159" s="63" t="inlineStr">
        <is>
          <t>Meal</t>
        </is>
      </c>
      <c r="J159" s="63" t="inlineStr">
        <is>
          <t>Meals physically uplifted on board - quantity vs menu checklist</t>
        </is>
      </c>
      <c r="K159" s="73" t="inlineStr">
        <is>
          <t>Enter expected &amp; actual</t>
        </is>
      </c>
      <c r="L159" s="73" t="inlineStr">
        <is>
          <t>User brief (T-12 hours - physical uplift)</t>
        </is>
      </c>
      <c r="M159" s="73" t="inlineStr"/>
      <c r="N159" s="73" t="inlineStr">
        <is>
          <t>Required</t>
        </is>
      </c>
      <c r="O159" s="73" t="inlineStr">
        <is>
          <t>Confirm on board before departure; completion time must fall inside the uplift window.</t>
        </is>
      </c>
      <c r="P159" s="63" t="inlineStr">
        <is>
          <t>NRT</t>
        </is>
      </c>
      <c r="Q159" s="65">
        <f>Flights!$AF$9</f>
        <v/>
      </c>
      <c r="R159" s="65">
        <f>Q159+(IF(AND(INDEX(TZ_DSTS,MATCH(P159,TZ_STN,0))&lt;&gt;"",Q159&gt;=INDEX(TZ_DSTS,MATCH(P159,TZ_STN,0)),Q159&lt;INDEX(TZ_DSTE,MATCH(P159,TZ_STN,0))),INDEX(TZ_DST,MATCH(P159,TZ_STN,0)),INDEX(TZ_STD,MATCH(P159,TZ_STN,0))))/24</f>
        <v/>
      </c>
      <c r="S159" s="65">
        <f>Q159-UpliftWindowH/24</f>
        <v/>
      </c>
      <c r="T159" s="66" t="n"/>
      <c r="U159" s="66" t="n"/>
      <c r="V159" s="66" t="n"/>
      <c r="W159" s="67" t="n"/>
      <c r="X159" s="66" t="n"/>
      <c r="Y159" s="66" t="n"/>
      <c r="Z159" s="66" t="n"/>
      <c r="AA159" s="66" t="n"/>
      <c r="AB159" s="66" t="n"/>
      <c r="AC159" s="66" t="n"/>
      <c r="AD159" s="72" t="n"/>
      <c r="AE159" s="66" t="n"/>
      <c r="AF159" s="67">
        <f>IF(AND(ISNUMBER(X159),ISNUMBER(Y159)),Y159-X159,"")</f>
        <v/>
      </c>
      <c r="AG159" s="68">
        <f>IF(ISNUMBER(AD159),AD159-(IF(AND(INDEX(TZ_DSTS,MATCH(P159,TZ_STN,0))&lt;&gt;"",(AD159-INDEX(TZ_STD,MATCH(P159,TZ_STN,0))/24)&gt;=INDEX(TZ_DSTS,MATCH(P159,TZ_STN,0)),(AD159-INDEX(TZ_STD,MATCH(P159,TZ_STN,0))/24)&lt;INDEX(TZ_DSTE,MATCH(P159,TZ_STN,0))),INDEX(TZ_DST,MATCH(P159,TZ_STN,0)),INDEX(TZ_STD,MATCH(P159,TZ_STN,0))))/24,"")</f>
        <v/>
      </c>
      <c r="AH159" s="71">
        <f>IF(N159="N/A – rule","N/A – RULE",IF(TRIM(U159)="N/A",IF(AT159=0,"INVALID – N/A not permitted for this mandatory check",IF(AND(TRIM(AC159)&lt;&gt;"",TRIM(AE159)&lt;&gt;"",TRIM(T159)&lt;&gt;""),"N/A – JUSTIFIED","INVALID – N/A needs justification, PIC and verifier")),IF(OR(TRIM(U159)="Pass",TRIM(U159)="Pass after CA"),IF(NOT(ISNUMBER(AD159)),"INVALID – completion time missing",IF(TRIM(T159)="","INVALID – PIC missing",IF(TRIM(Z159)="","INVALID – evidence missing",IF(TRIM(AE159)="","INVALID – verifier missing",IF(AND(AQ159=1,TRIM(W159)=""),"INVALID – batch ID missing",IF(AND(AR159=1,OR(NOT(ISNUMBER(X159)),NOT(ISNUMBER(Y159)))),"INVALID – expected/actual qty missing",IF(IF(AND(TRIM(U159)="Pass",ISNUMBER(AF159)),IF(AF159&lt;&gt;0,"INVALID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recorded/closed","")&lt;&gt;"",IF(AND(TRIM(U159)="Pass",ISNUMBER(AF159)),IF(AF159&lt;&gt;0,"INVALID – qty variance: use Fail or Pass after CA",""),"")&amp;IF(AND(TRIM(U159)="Pass",AB159="Open"),"INVALID – corrective action still open: use Fail, then Pass after CA","")&amp;IF(AND(TRIM(U159)="Pass after CA",OR(TRIM(AA159)="",AB159&lt;&gt;"Closed")),"INVALID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window"),IF(AG159&gt;Flights!$AA$9,"INVALID – completed after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f>
        <v/>
      </c>
      <c r="AI159" s="67">
        <f>IF(OR(AH159="N/A – RULE",AH159="N/A – JUSTIFIED"),0,1)</f>
        <v/>
      </c>
      <c r="AJ159" s="67">
        <f>IF(LEFT(AH159,8)="COMPLETE",1,0)</f>
        <v/>
      </c>
      <c r="AK159" s="67">
        <f>IF(AND(AI159=1,AJ159=0,AsOfUTC&gt;Q159),1,0)</f>
        <v/>
      </c>
      <c r="AL159" s="67">
        <f>IF(AND(AI159=1,OR(TRIM(U159)="Fail",AB159="Open",AND(ISNUMBER(AF159),AF159&lt;&gt;0,TRIM(U159)&lt;&gt;"Pass after CA"))),1,0)</f>
        <v/>
      </c>
      <c r="AM159" s="67">
        <f>IF(LEFT(AH159,7)="INVALID",1,0)</f>
        <v/>
      </c>
      <c r="AN159" s="67">
        <f>IF(AND(N159="Clarification required",AI159=1,AJ159=0),1,0)</f>
        <v/>
      </c>
      <c r="AO159" s="67">
        <f>IF(AK159=1,SUM(AK$5:AK159),"")</f>
        <v/>
      </c>
      <c r="AP159" s="67">
        <f>IF(AL159=1,SUM(AL$5:AL159),"")</f>
        <v/>
      </c>
      <c r="AQ159" s="67" t="n">
        <v>0</v>
      </c>
      <c r="AR159" s="67" t="n">
        <v>1</v>
      </c>
      <c r="AS159" s="67" t="n">
        <v>0</v>
      </c>
      <c r="AT159" s="67" t="n">
        <v>0</v>
      </c>
    </row>
    <row r="160" ht="40" customHeight="1">
      <c r="A160" s="63" t="inlineStr">
        <is>
          <t>F05-UPL-02</t>
        </is>
      </c>
      <c r="B160" s="63" t="inlineStr">
        <is>
          <t>F05</t>
        </is>
      </c>
      <c r="C160" s="63">
        <f>Flights!$F$9</f>
        <v/>
      </c>
      <c r="D160" s="64">
        <f>Flights!$D$9</f>
        <v/>
      </c>
      <c r="E160" s="63">
        <f>Flights!$G$9&amp;"-"&amp;Flights!$H$9</f>
        <v/>
      </c>
      <c r="F160" s="63">
        <f>Flights!$K$9</f>
        <v/>
      </c>
      <c r="G160" s="63" t="inlineStr">
        <is>
          <t>UPLIFT</t>
        </is>
      </c>
      <c r="H160" s="63" t="inlineStr">
        <is>
          <t>Physical uplift</t>
        </is>
      </c>
      <c r="I160" s="63" t="inlineStr">
        <is>
          <t>Equipment</t>
        </is>
      </c>
      <c r="J160" s="63" t="inlineStr">
        <is>
          <t>Equipment physically loaded at GLD positions - quantity &amp; positions</t>
        </is>
      </c>
      <c r="K160" s="73" t="inlineStr">
        <is>
          <t>Enter expected &amp; actual</t>
        </is>
      </c>
      <c r="L160" s="73" t="inlineStr">
        <is>
          <t>User brief (T-12 hours - physical uplift)</t>
        </is>
      </c>
      <c r="M160" s="73" t="inlineStr"/>
      <c r="N160" s="73" t="inlineStr">
        <is>
          <t>Required</t>
        </is>
      </c>
      <c r="O160" s="73" t="inlineStr">
        <is>
          <t>Confirm on board before departure; completion time must fall inside the uplift window.</t>
        </is>
      </c>
      <c r="P160" s="63" t="inlineStr">
        <is>
          <t>NRT</t>
        </is>
      </c>
      <c r="Q160" s="65">
        <f>Flights!$AF$9</f>
        <v/>
      </c>
      <c r="R160" s="65">
        <f>Q160+(IF(AND(INDEX(TZ_DSTS,MATCH(P160,TZ_STN,0))&lt;&gt;"",Q160&gt;=INDEX(TZ_DSTS,MATCH(P160,TZ_STN,0)),Q160&lt;INDEX(TZ_DSTE,MATCH(P160,TZ_STN,0))),INDEX(TZ_DST,MATCH(P160,TZ_STN,0)),INDEX(TZ_STD,MATCH(P160,TZ_STN,0))))/24</f>
        <v/>
      </c>
      <c r="S160" s="65">
        <f>Q160-UpliftWindowH/24</f>
        <v/>
      </c>
      <c r="T160" s="66" t="n"/>
      <c r="U160" s="66" t="n"/>
      <c r="V160" s="66" t="n"/>
      <c r="W160" s="67" t="n"/>
      <c r="X160" s="66" t="n"/>
      <c r="Y160" s="66" t="n"/>
      <c r="Z160" s="66" t="n"/>
      <c r="AA160" s="66" t="n"/>
      <c r="AB160" s="66" t="n"/>
      <c r="AC160" s="66" t="n"/>
      <c r="AD160" s="72" t="n"/>
      <c r="AE160" s="66" t="n"/>
      <c r="AF160" s="67">
        <f>IF(AND(ISNUMBER(X160),ISNUMBER(Y160)),Y160-X160,"")</f>
        <v/>
      </c>
      <c r="AG160" s="68">
        <f>IF(ISNUMBER(AD160),AD160-(IF(AND(INDEX(TZ_DSTS,MATCH(P160,TZ_STN,0))&lt;&gt;"",(AD160-INDEX(TZ_STD,MATCH(P160,TZ_STN,0))/24)&gt;=INDEX(TZ_DSTS,MATCH(P160,TZ_STN,0)),(AD160-INDEX(TZ_STD,MATCH(P160,TZ_STN,0))/24)&lt;INDEX(TZ_DSTE,MATCH(P160,TZ_STN,0))),INDEX(TZ_DST,MATCH(P160,TZ_STN,0)),INDEX(TZ_STD,MATCH(P160,TZ_STN,0))))/24,"")</f>
        <v/>
      </c>
      <c r="AH160" s="71">
        <f>IF(N160="N/A – rule","N/A – RULE",IF(TRIM(U160)="N/A",IF(AT160=0,"INVALID – N/A not permitted for this mandatory check",IF(AND(TRIM(AC160)&lt;&gt;"",TRIM(AE160)&lt;&gt;"",TRIM(T160)&lt;&gt;""),"N/A – JUSTIFIED","INVALID – N/A needs justification, PIC and verifier")),IF(OR(TRIM(U160)="Pass",TRIM(U160)="Pass after CA"),IF(NOT(ISNUMBER(AD160)),"INVALID – completion time missing",IF(TRIM(T160)="","INVALID – PIC missing",IF(TRIM(Z160)="","INVALID – evidence missing",IF(TRIM(AE160)="","INVALID – verifier missing",IF(AND(AQ160=1,TRIM(W160)=""),"INVALID – batch ID missing",IF(AND(AR160=1,OR(NOT(ISNUMBER(X160)),NOT(ISNUMBER(Y160)))),"INVALID – expected/actual qty missing",IF(IF(AND(TRIM(U160)="Pass",ISNUMBER(AF160)),IF(AF160&lt;&gt;0,"INVALID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recorded/closed","")&lt;&gt;"",IF(AND(TRIM(U160)="Pass",ISNUMBER(AF160)),IF(AF160&lt;&gt;0,"INVALID – qty variance: use Fail or Pass after CA",""),"")&amp;IF(AND(TRIM(U160)="Pass",AB160="Open"),"INVALID – corrective action still open: use Fail, then Pass after CA","")&amp;IF(AND(TRIM(U160)="Pass after CA",OR(TRIM(AA160)="",AB160&lt;&gt;"Closed")),"INVALID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window"),IF(AG160&gt;Flights!$AA$9,"INVALID – completed after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f>
        <v/>
      </c>
      <c r="AI160" s="67">
        <f>IF(OR(AH160="N/A – RULE",AH160="N/A – JUSTIFIED"),0,1)</f>
        <v/>
      </c>
      <c r="AJ160" s="67">
        <f>IF(LEFT(AH160,8)="COMPLETE",1,0)</f>
        <v/>
      </c>
      <c r="AK160" s="67">
        <f>IF(AND(AI160=1,AJ160=0,AsOfUTC&gt;Q160),1,0)</f>
        <v/>
      </c>
      <c r="AL160" s="67">
        <f>IF(AND(AI160=1,OR(TRIM(U160)="Fail",AB160="Open",AND(ISNUMBER(AF160),AF160&lt;&gt;0,TRIM(U160)&lt;&gt;"Pass after CA"))),1,0)</f>
        <v/>
      </c>
      <c r="AM160" s="67">
        <f>IF(LEFT(AH160,7)="INVALID",1,0)</f>
        <v/>
      </c>
      <c r="AN160" s="67">
        <f>IF(AND(N160="Clarification required",AI160=1,AJ160=0),1,0)</f>
        <v/>
      </c>
      <c r="AO160" s="67">
        <f>IF(AK160=1,SUM(AK$5:AK160),"")</f>
        <v/>
      </c>
      <c r="AP160" s="67">
        <f>IF(AL160=1,SUM(AL$5:AL160),"")</f>
        <v/>
      </c>
      <c r="AQ160" s="67" t="n">
        <v>0</v>
      </c>
      <c r="AR160" s="67" t="n">
        <v>1</v>
      </c>
      <c r="AS160" s="67" t="n">
        <v>0</v>
      </c>
      <c r="AT160" s="67" t="n">
        <v>0</v>
      </c>
    </row>
    <row r="161" ht="41.5" customHeight="1">
      <c r="A161" s="63" t="inlineStr">
        <is>
          <t>F05-UPL-03</t>
        </is>
      </c>
      <c r="B161" s="63" t="inlineStr">
        <is>
          <t>F05</t>
        </is>
      </c>
      <c r="C161" s="63">
        <f>Flights!$F$9</f>
        <v/>
      </c>
      <c r="D161" s="64">
        <f>Flights!$D$9</f>
        <v/>
      </c>
      <c r="E161" s="63">
        <f>Flights!$G$9&amp;"-"&amp;Flights!$H$9</f>
        <v/>
      </c>
      <c r="F161" s="63">
        <f>Flights!$K$9</f>
        <v/>
      </c>
      <c r="G161" s="63" t="inlineStr">
        <is>
          <t>UPLIFT</t>
        </is>
      </c>
      <c r="H161" s="63" t="inlineStr">
        <is>
          <t>Physical uplift</t>
        </is>
      </c>
      <c r="I161" s="63" t="inlineStr">
        <is>
          <t>Uplift plan</t>
        </is>
      </c>
      <c r="J161" s="63" t="inlineStr">
        <is>
          <t>KUL-sourced items physically loaded at KUL on the inbound KUL-NRT flight</t>
        </is>
      </c>
      <c r="K161" s="73" t="inlineStr">
        <is>
          <t>Items: Toiletry kits. Quantities as per Requirements</t>
        </is>
      </c>
      <c r="L161" s="73" t="inlineStr">
        <is>
          <t>STD UPLIFT INFORMATION.xlsx &gt; item uplift stn columns</t>
        </is>
      </c>
      <c r="M161" s="73" t="inlineStr"/>
      <c r="N161" s="73" t="inlineStr">
        <is>
          <t>Required</t>
        </is>
      </c>
      <c r="O161" s="73" t="inlineStr">
        <is>
          <t>Confirmed at KUL inside the uplift window before the carrying flight's KUL departure (Flights AX).</t>
        </is>
      </c>
      <c r="P161" s="63" t="inlineStr">
        <is>
          <t>KUL</t>
        </is>
      </c>
      <c r="Q161" s="65">
        <f>Flights!$AY$9+UpliftWindowH/24</f>
        <v/>
      </c>
      <c r="R161" s="65">
        <f>Q161+(IF(AND(INDEX(TZ_DSTS,MATCH(P161,TZ_STN,0))&lt;&gt;"",Q161&gt;=INDEX(TZ_DSTS,MATCH(P161,TZ_STN,0)),Q161&lt;INDEX(TZ_DSTE,MATCH(P161,TZ_STN,0))),INDEX(TZ_DST,MATCH(P161,TZ_STN,0)),INDEX(TZ_STD,MATCH(P161,TZ_STN,0))))/24</f>
        <v/>
      </c>
      <c r="S161" s="65">
        <f>Q161-UpliftWindowH/24</f>
        <v/>
      </c>
      <c r="T161" s="66" t="n"/>
      <c r="U161" s="66" t="n"/>
      <c r="V161" s="66" t="n"/>
      <c r="W161" s="67" t="n"/>
      <c r="X161" s="66" t="n"/>
      <c r="Y161" s="66" t="n"/>
      <c r="Z161" s="66" t="n"/>
      <c r="AA161" s="66" t="n"/>
      <c r="AB161" s="66" t="n"/>
      <c r="AC161" s="66" t="n"/>
      <c r="AD161" s="72" t="n"/>
      <c r="AE161" s="66" t="n"/>
      <c r="AF161" s="67">
        <f>IF(AND(ISNUMBER(X161),ISNUMBER(Y161)),Y161-X161,"")</f>
        <v/>
      </c>
      <c r="AG161" s="68">
        <f>IF(ISNUMBER(AD161),AD161-(IF(AND(INDEX(TZ_DSTS,MATCH(P161,TZ_STN,0))&lt;&gt;"",(AD161-INDEX(TZ_STD,MATCH(P161,TZ_STN,0))/24)&gt;=INDEX(TZ_DSTS,MATCH(P161,TZ_STN,0)),(AD161-INDEX(TZ_STD,MATCH(P161,TZ_STN,0))/24)&lt;INDEX(TZ_DSTE,MATCH(P161,TZ_STN,0))),INDEX(TZ_DST,MATCH(P161,TZ_STN,0)),INDEX(TZ_STD,MATCH(P161,TZ_STN,0))))/24,"")</f>
        <v/>
      </c>
      <c r="AH161" s="71">
        <f>IF(N161="N/A – rule","N/A – RULE",IF(TRIM(U161)="N/A",IF(AT161=0,"INVALID – N/A not permitted for this mandatory check",IF(AND(TRIM(AC161)&lt;&gt;"",TRIM(AE161)&lt;&gt;"",TRIM(T161)&lt;&gt;""),"N/A – JUSTIFIED","INVALID – N/A needs justification, PIC and verifier")),IF(OR(TRIM(U161)="Pass",TRIM(U161)="Pass after CA"),IF(NOT(ISNUMBER(AD161)),"INVALID – completion time missing",IF(TRIM(T161)="","INVALID – PIC missing",IF(TRIM(Z161)="","INVALID – evidence missing",IF(TRIM(AE161)="","INVALID – verifier missing",IF(AND(AQ161=1,TRIM(W161)=""),"INVALID – batch ID missing",IF(AND(AR161=1,OR(NOT(ISNUMBER(X161)),NOT(ISNUMBER(Y161)))),"INVALID – expected/actual qty missing",IF(IF(AND(TRIM(U161)="Pass",ISNUMBER(AF161)),IF(AF161&lt;&gt;0,"INVALID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recorded/closed","")&lt;&gt;"",IF(AND(TRIM(U161)="Pass",ISNUMBER(AF161)),IF(AF161&lt;&gt;0,"INVALID – qty variance: use Fail or Pass after CA",""),"")&amp;IF(AND(TRIM(U161)="Pass",AB161="Open"),"INVALID – corrective action still open: use Fail, then Pass after CA","")&amp;IF(AND(TRIM(U161)="Pass after CA",OR(TRIM(AA161)="",AB161&lt;&gt;"Closed")),"INVALID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window"),IF(AG161&gt;Flights!$AA$9,"INVALID – completed after departure (cannot establish readiness)",IF(AND(H161="Physical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f>
        <v/>
      </c>
      <c r="AI161" s="67">
        <f>IF(OR(AH161="N/A – RULE",AH161="N/A – JUSTIFIED"),0,1)</f>
        <v/>
      </c>
      <c r="AJ161" s="67">
        <f>IF(LEFT(AH161,8)="COMPLETE",1,0)</f>
        <v/>
      </c>
      <c r="AK161" s="67">
        <f>IF(AND(AI161=1,AJ161=0,AsOfUTC&gt;Q161),1,0)</f>
        <v/>
      </c>
      <c r="AL161" s="67">
        <f>IF(AND(AI161=1,OR(TRIM(U161)="Fail",AB161="Open",AND(ISNUMBER(AF161),AF161&lt;&gt;0,TRIM(U161)&lt;&gt;"Pass after CA"))),1,0)</f>
        <v/>
      </c>
      <c r="AM161" s="67">
        <f>IF(LEFT(AH161,7)="INVALID",1,0)</f>
        <v/>
      </c>
      <c r="AN161" s="67">
        <f>IF(AND(N161="Clarification required",AI161=1,AJ161=0),1,0)</f>
        <v/>
      </c>
      <c r="AO161" s="67">
        <f>IF(AK161=1,SUM(AK$5:AK161),"")</f>
        <v/>
      </c>
      <c r="AP161" s="67">
        <f>IF(AL161=1,SUM(AL$5:AL161),"")</f>
        <v/>
      </c>
      <c r="AQ161" s="67" t="n">
        <v>0</v>
      </c>
      <c r="AR161" s="67" t="n">
        <v>0</v>
      </c>
      <c r="AS161" s="67" t="n">
        <v>0</v>
      </c>
      <c r="AT161" s="67" t="n">
        <v>0</v>
      </c>
    </row>
    <row r="162" ht="54" customHeight="1">
      <c r="A162" s="63" t="inlineStr">
        <is>
          <t>F05-UPL-04</t>
        </is>
      </c>
      <c r="B162" s="63" t="inlineStr">
        <is>
          <t>F05</t>
        </is>
      </c>
      <c r="C162" s="63">
        <f>Flights!$F$9</f>
        <v/>
      </c>
      <c r="D162" s="64">
        <f>Flights!$D$9</f>
        <v/>
      </c>
      <c r="E162" s="63">
        <f>Flights!$G$9&amp;"-"&amp;Flights!$H$9</f>
        <v/>
      </c>
      <c r="F162" s="63">
        <f>Flights!$K$9</f>
        <v/>
      </c>
      <c r="G162" s="63" t="inlineStr">
        <is>
          <t>UPLIFT</t>
        </is>
      </c>
      <c r="H162" s="63" t="inlineStr">
        <is>
          <t>Physical uplift</t>
        </is>
      </c>
      <c r="I162" s="63" t="inlineStr">
        <is>
          <t>Amenities</t>
        </is>
      </c>
      <c r="J162" s="63" t="inlineStr">
        <is>
          <t>Toiletry kits - on board</t>
        </is>
      </c>
      <c r="K162" s="73" t="inlineStr">
        <is>
          <t>Available for sector (ticked in reference)</t>
        </is>
      </c>
      <c r="L162" s="73" t="inlineStr">
        <is>
          <t>STD UPLIFT INFORMATION.xlsx &gt; AMENITIES!D23 / H23</t>
        </is>
      </c>
      <c r="M162" s="73" t="inlineStr">
        <is>
          <t>KUL</t>
        </is>
      </c>
      <c r="N162" s="73" t="inlineStr">
        <is>
          <t>Clarification required</t>
        </is>
      </c>
      <c r="O162" s="73" t="inlineStr">
        <is>
          <t>Reference does not state the cabin class for toiletry kits. Confirm whether EY receives them; if not, mark N/A with the confirmation as justification.</t>
        </is>
      </c>
      <c r="P162" s="63" t="inlineStr">
        <is>
          <t>NRT</t>
        </is>
      </c>
      <c r="Q162" s="65">
        <f>Flights!$AF$9</f>
        <v/>
      </c>
      <c r="R162" s="65">
        <f>Q162+(IF(AND(INDEX(TZ_DSTS,MATCH(P162,TZ_STN,0))&lt;&gt;"",Q162&gt;=INDEX(TZ_DSTS,MATCH(P162,TZ_STN,0)),Q162&lt;INDEX(TZ_DSTE,MATCH(P162,TZ_STN,0))),INDEX(TZ_DST,MATCH(P162,TZ_STN,0)),INDEX(TZ_STD,MATCH(P162,TZ_STN,0))))/24</f>
        <v/>
      </c>
      <c r="S162" s="65">
        <f>Q162-UpliftWindowH/24</f>
        <v/>
      </c>
      <c r="T162" s="66" t="n"/>
      <c r="U162" s="66" t="n"/>
      <c r="V162" s="66" t="n"/>
      <c r="W162" s="67" t="n"/>
      <c r="X162" s="66" t="n"/>
      <c r="Y162" s="66" t="n"/>
      <c r="Z162" s="66" t="n"/>
      <c r="AA162" s="66" t="n"/>
      <c r="AB162" s="66" t="n"/>
      <c r="AC162" s="66" t="n"/>
      <c r="AD162" s="72" t="n"/>
      <c r="AE162" s="66" t="n"/>
      <c r="AF162" s="67">
        <f>IF(AND(ISNUMBER(X162),ISNUMBER(Y162)),Y162-X162,"")</f>
        <v/>
      </c>
      <c r="AG162" s="68">
        <f>IF(ISNUMBER(AD162),AD162-(IF(AND(INDEX(TZ_DSTS,MATCH(P162,TZ_STN,0))&lt;&gt;"",(AD162-INDEX(TZ_STD,MATCH(P162,TZ_STN,0))/24)&gt;=INDEX(TZ_DSTS,MATCH(P162,TZ_STN,0)),(AD162-INDEX(TZ_STD,MATCH(P162,TZ_STN,0))/24)&lt;INDEX(TZ_DSTE,MATCH(P162,TZ_STN,0))),INDEX(TZ_DST,MATCH(P162,TZ_STN,0)),INDEX(TZ_STD,MATCH(P162,TZ_STN,0))))/24,"")</f>
        <v/>
      </c>
      <c r="AH162" s="71">
        <f>IF(N162="N/A – rule","N/A – RULE",IF(TRIM(U162)="N/A",IF(AT162=0,"INVALID – N/A not permitted for this mandatory check",IF(AND(TRIM(AC162)&lt;&gt;"",TRIM(AE162)&lt;&gt;"",TRIM(T162)&lt;&gt;""),"N/A – JUSTIFIED","INVALID – N/A needs justification, PIC and verifier")),IF(OR(TRIM(U162)="Pass",TRIM(U162)="Pass after CA"),IF(NOT(ISNUMBER(AD162)),"INVALID – completion time missing",IF(TRIM(T162)="","INVALID – PIC missing",IF(TRIM(Z162)="","INVALID – evidence missing",IF(TRIM(AE162)="","INVALID – verifier missing",IF(AND(AQ162=1,TRIM(W162)=""),"INVALID – batch ID missing",IF(AND(AR162=1,OR(NOT(ISNUMBER(X162)),NOT(ISNUMBER(Y162)))),"INVALID – expected/actual qty missing",IF(IF(AND(TRIM(U162)="Pass",ISNUMBER(AF162)),IF(AF162&lt;&gt;0,"INVALID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recorded/closed","")&lt;&gt;"",IF(AND(TRIM(U162)="Pass",ISNUMBER(AF162)),IF(AF162&lt;&gt;0,"INVALID – qty variance: use Fail or Pass after CA",""),"")&amp;IF(AND(TRIM(U162)="Pass",AB162="Open"),"INVALID – corrective action still open: use Fail, then Pass after CA","")&amp;IF(AND(TRIM(U162)="Pass after CA",OR(TRIM(AA162)="",AB162&lt;&gt;"Closed")),"INVALID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window"),IF(AG162&gt;Flights!$AA$9,"INVALID – completed after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f>
        <v/>
      </c>
      <c r="AI162" s="67">
        <f>IF(OR(AH162="N/A – RULE",AH162="N/A – JUSTIFIED"),0,1)</f>
        <v/>
      </c>
      <c r="AJ162" s="67">
        <f>IF(LEFT(AH162,8)="COMPLETE",1,0)</f>
        <v/>
      </c>
      <c r="AK162" s="67">
        <f>IF(AND(AI162=1,AJ162=0,AsOfUTC&gt;Q162),1,0)</f>
        <v/>
      </c>
      <c r="AL162" s="67">
        <f>IF(AND(AI162=1,OR(TRIM(U162)="Fail",AB162="Open",AND(ISNUMBER(AF162),AF162&lt;&gt;0,TRIM(U162)&lt;&gt;"Pass after CA"))),1,0)</f>
        <v/>
      </c>
      <c r="AM162" s="67">
        <f>IF(LEFT(AH162,7)="INVALID",1,0)</f>
        <v/>
      </c>
      <c r="AN162" s="67">
        <f>IF(AND(N162="Clarification required",AI162=1,AJ162=0),1,0)</f>
        <v/>
      </c>
      <c r="AO162" s="67">
        <f>IF(AK162=1,SUM(AK$5:AK162),"")</f>
        <v/>
      </c>
      <c r="AP162" s="67">
        <f>IF(AL162=1,SUM(AL$5:AL162),"")</f>
        <v/>
      </c>
      <c r="AQ162" s="67" t="n">
        <v>0</v>
      </c>
      <c r="AR162" s="67" t="n">
        <v>0</v>
      </c>
      <c r="AS162" s="67" t="n">
        <v>0</v>
      </c>
      <c r="AT162" s="67" t="n">
        <v>1</v>
      </c>
    </row>
    <row r="163" ht="40" customHeight="1">
      <c r="A163" s="63" t="inlineStr">
        <is>
          <t>F05-UPL-05</t>
        </is>
      </c>
      <c r="B163" s="63" t="inlineStr">
        <is>
          <t>F05</t>
        </is>
      </c>
      <c r="C163" s="63">
        <f>Flights!$F$9</f>
        <v/>
      </c>
      <c r="D163" s="64">
        <f>Flights!$D$9</f>
        <v/>
      </c>
      <c r="E163" s="63">
        <f>Flights!$G$9&amp;"-"&amp;Flights!$H$9</f>
        <v/>
      </c>
      <c r="F163" s="63">
        <f>Flights!$K$9</f>
        <v/>
      </c>
      <c r="G163" s="63" t="inlineStr">
        <is>
          <t>UPLIFT</t>
        </is>
      </c>
      <c r="H163" s="63" t="inlineStr">
        <is>
          <t>Physical uplift</t>
        </is>
      </c>
      <c r="I163" s="63" t="inlineStr">
        <is>
          <t>Seat Linen</t>
        </is>
      </c>
      <c r="J163" s="63" t="inlineStr">
        <is>
          <t>Seat pillow (EY) - on board</t>
        </is>
      </c>
      <c r="K163" s="73" t="inlineStr">
        <is>
          <t>Available 100% (ticked in reference)</t>
        </is>
      </c>
      <c r="L163" s="73" t="inlineStr">
        <is>
          <t>STD UPLIFT INFORMATION.xlsx &gt; SEAT LINEN!I14</t>
        </is>
      </c>
      <c r="M163" s="73" t="inlineStr">
        <is>
          <t>Not stated in reference</t>
        </is>
      </c>
      <c r="N163" s="73" t="inlineStr">
        <is>
          <t>Required</t>
        </is>
      </c>
      <c r="O163" s="73" t="inlineStr"/>
      <c r="P163" s="63" t="inlineStr">
        <is>
          <t>NRT</t>
        </is>
      </c>
      <c r="Q163" s="65">
        <f>Flights!$AF$9</f>
        <v/>
      </c>
      <c r="R163" s="65">
        <f>Q163+(IF(AND(INDEX(TZ_DSTS,MATCH(P163,TZ_STN,0))&lt;&gt;"",Q163&gt;=INDEX(TZ_DSTS,MATCH(P163,TZ_STN,0)),Q163&lt;INDEX(TZ_DSTE,MATCH(P163,TZ_STN,0))),INDEX(TZ_DST,MATCH(P163,TZ_STN,0)),INDEX(TZ_STD,MATCH(P163,TZ_STN,0))))/24</f>
        <v/>
      </c>
      <c r="S163" s="65">
        <f>Q163-UpliftWindowH/24</f>
        <v/>
      </c>
      <c r="T163" s="66" t="n"/>
      <c r="U163" s="66" t="n"/>
      <c r="V163" s="66" t="n"/>
      <c r="W163" s="67" t="n"/>
      <c r="X163" s="66" t="n"/>
      <c r="Y163" s="66" t="n"/>
      <c r="Z163" s="66" t="n"/>
      <c r="AA163" s="66" t="n"/>
      <c r="AB163" s="66" t="n"/>
      <c r="AC163" s="66" t="n"/>
      <c r="AD163" s="72" t="n"/>
      <c r="AE163" s="66" t="n"/>
      <c r="AF163" s="67">
        <f>IF(AND(ISNUMBER(X163),ISNUMBER(Y163)),Y163-X163,"")</f>
        <v/>
      </c>
      <c r="AG163" s="68">
        <f>IF(ISNUMBER(AD163),AD163-(IF(AND(INDEX(TZ_DSTS,MATCH(P163,TZ_STN,0))&lt;&gt;"",(AD163-INDEX(TZ_STD,MATCH(P163,TZ_STN,0))/24)&gt;=INDEX(TZ_DSTS,MATCH(P163,TZ_STN,0)),(AD163-INDEX(TZ_STD,MATCH(P163,TZ_STN,0))/24)&lt;INDEX(TZ_DSTE,MATCH(P163,TZ_STN,0))),INDEX(TZ_DST,MATCH(P163,TZ_STN,0)),INDEX(TZ_STD,MATCH(P163,TZ_STN,0))))/24,"")</f>
        <v/>
      </c>
      <c r="AH163" s="71">
        <f>IF(N163="N/A – rule","N/A – RULE",IF(TRIM(U163)="N/A",IF(AT163=0,"INVALID – N/A not permitted for this mandatory check",IF(AND(TRIM(AC163)&lt;&gt;"",TRIM(AE163)&lt;&gt;"",TRIM(T163)&lt;&gt;""),"N/A – JUSTIFIED","INVALID – N/A needs justification, PIC and verifier")),IF(OR(TRIM(U163)="Pass",TRIM(U163)="Pass after CA"),IF(NOT(ISNUMBER(AD163)),"INVALID – completion time missing",IF(TRIM(T163)="","INVALID – PIC missing",IF(TRIM(Z163)="","INVALID – evidence missing",IF(TRIM(AE163)="","INVALID – verifier missing",IF(AND(AQ163=1,TRIM(W163)=""),"INVALID – batch ID missing",IF(AND(AR163=1,OR(NOT(ISNUMBER(X163)),NOT(ISNUMBER(Y163)))),"INVALID – expected/actual qty missing",IF(IF(AND(TRIM(U163)="Pass",ISNUMBER(AF163)),IF(AF163&lt;&gt;0,"INVALID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recorded/closed","")&lt;&gt;"",IF(AND(TRIM(U163)="Pass",ISNUMBER(AF163)),IF(AF163&lt;&gt;0,"INVALID – qty variance: use Fail or Pass after CA",""),"")&amp;IF(AND(TRIM(U163)="Pass",AB163="Open"),"INVALID – corrective action still open: use Fail, then Pass after CA","")&amp;IF(AND(TRIM(U163)="Pass after CA",OR(TRIM(AA163)="",AB163&lt;&gt;"Closed")),"INVALID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window"),IF(AG163&gt;Flights!$AA$9,"INVALID – completed after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f>
        <v/>
      </c>
      <c r="AI163" s="67">
        <f>IF(OR(AH163="N/A – RULE",AH163="N/A – JUSTIFIED"),0,1)</f>
        <v/>
      </c>
      <c r="AJ163" s="67">
        <f>IF(LEFT(AH163,8)="COMPLETE",1,0)</f>
        <v/>
      </c>
      <c r="AK163" s="67">
        <f>IF(AND(AI163=1,AJ163=0,AsOfUTC&gt;Q163),1,0)</f>
        <v/>
      </c>
      <c r="AL163" s="67">
        <f>IF(AND(AI163=1,OR(TRIM(U163)="Fail",AB163="Open",AND(ISNUMBER(AF163),AF163&lt;&gt;0,TRIM(U163)&lt;&gt;"Pass after CA"))),1,0)</f>
        <v/>
      </c>
      <c r="AM163" s="67">
        <f>IF(LEFT(AH163,7)="INVALID",1,0)</f>
        <v/>
      </c>
      <c r="AN163" s="67">
        <f>IF(AND(N163="Clarification required",AI163=1,AJ163=0),1,0)</f>
        <v/>
      </c>
      <c r="AO163" s="67">
        <f>IF(AK163=1,SUM(AK$5:AK163),"")</f>
        <v/>
      </c>
      <c r="AP163" s="67">
        <f>IF(AL163=1,SUM(AL$5:AL163),"")</f>
        <v/>
      </c>
      <c r="AQ163" s="67" t="n">
        <v>0</v>
      </c>
      <c r="AR163" s="67" t="n">
        <v>0</v>
      </c>
      <c r="AS163" s="67" t="n">
        <v>0</v>
      </c>
      <c r="AT163" s="67" t="n">
        <v>1</v>
      </c>
    </row>
    <row r="164" ht="54" customHeight="1">
      <c r="A164" s="63" t="inlineStr">
        <is>
          <t>F05-UPL-06</t>
        </is>
      </c>
      <c r="B164" s="63" t="inlineStr">
        <is>
          <t>F05</t>
        </is>
      </c>
      <c r="C164" s="63">
        <f>Flights!$F$9</f>
        <v/>
      </c>
      <c r="D164" s="64">
        <f>Flights!$D$9</f>
        <v/>
      </c>
      <c r="E164" s="63">
        <f>Flights!$G$9&amp;"-"&amp;Flights!$H$9</f>
        <v/>
      </c>
      <c r="F164" s="63">
        <f>Flights!$K$9</f>
        <v/>
      </c>
      <c r="G164" s="63" t="inlineStr">
        <is>
          <t>UPLIFT</t>
        </is>
      </c>
      <c r="H164" s="63" t="inlineStr">
        <is>
          <t>Physical uplift</t>
        </is>
      </c>
      <c r="I164" s="63" t="inlineStr">
        <is>
          <t>Seat Linen</t>
        </is>
      </c>
      <c r="J164" s="63" t="inlineStr">
        <is>
          <t>Blanket (EY) - on board</t>
        </is>
      </c>
      <c r="K164" s="73" t="inlineStr">
        <is>
          <t>Available 100% (ticked in reference); qty 280 (A350 9M-MAH) / 260 (A359) - per tail</t>
        </is>
      </c>
      <c r="L164" s="73" t="inlineStr">
        <is>
          <t>STD UPLIFT INFORMATION.xlsx &gt; SEAT LINEN!J14</t>
        </is>
      </c>
      <c r="M164" s="73" t="inlineStr">
        <is>
          <t>Not stated in reference</t>
        </is>
      </c>
      <c r="N164" s="73" t="inlineStr">
        <is>
          <t>Required</t>
        </is>
      </c>
      <c r="O164" s="73" t="inlineStr">
        <is>
          <t>EY blanket: flight above 3 hours excl. Regional (SEAT LINEN!B74:C74); block 7.67 h. Qty per tail: A350 280 pcs (SEAT LINEN!B76:C76), A359 260 pcs (SEAT LINEN!B77:C77).</t>
        </is>
      </c>
      <c r="P164" s="63" t="inlineStr">
        <is>
          <t>NRT</t>
        </is>
      </c>
      <c r="Q164" s="65">
        <f>Flights!$AF$9</f>
        <v/>
      </c>
      <c r="R164" s="65">
        <f>Q164+(IF(AND(INDEX(TZ_DSTS,MATCH(P164,TZ_STN,0))&lt;&gt;"",Q164&gt;=INDEX(TZ_DSTS,MATCH(P164,TZ_STN,0)),Q164&lt;INDEX(TZ_DSTE,MATCH(P164,TZ_STN,0))),INDEX(TZ_DST,MATCH(P164,TZ_STN,0)),INDEX(TZ_STD,MATCH(P164,TZ_STN,0))))/24</f>
        <v/>
      </c>
      <c r="S164" s="65">
        <f>Q164-UpliftWindowH/24</f>
        <v/>
      </c>
      <c r="T164" s="66" t="n"/>
      <c r="U164" s="66" t="n"/>
      <c r="V164" s="66" t="n"/>
      <c r="W164" s="67" t="n"/>
      <c r="X164" s="74">
        <f>IF(TRIM(Flights!$N$9)="","",IF(ISNUMBER(SEARCH("MAH",Flights!$N$9)),280,260))</f>
        <v/>
      </c>
      <c r="Y164" s="66" t="n"/>
      <c r="Z164" s="66" t="n"/>
      <c r="AA164" s="66" t="n"/>
      <c r="AB164" s="66" t="n"/>
      <c r="AC164" s="66" t="n"/>
      <c r="AD164" s="72" t="n"/>
      <c r="AE164" s="66" t="n"/>
      <c r="AF164" s="67">
        <f>IF(AND(ISNUMBER(X164),ISNUMBER(Y164)),Y164-X164,"")</f>
        <v/>
      </c>
      <c r="AG164" s="68">
        <f>IF(ISNUMBER(AD164),AD164-(IF(AND(INDEX(TZ_DSTS,MATCH(P164,TZ_STN,0))&lt;&gt;"",(AD164-INDEX(TZ_STD,MATCH(P164,TZ_STN,0))/24)&gt;=INDEX(TZ_DSTS,MATCH(P164,TZ_STN,0)),(AD164-INDEX(TZ_STD,MATCH(P164,TZ_STN,0))/24)&lt;INDEX(TZ_DSTE,MATCH(P164,TZ_STN,0))),INDEX(TZ_DST,MATCH(P164,TZ_STN,0)),INDEX(TZ_STD,MATCH(P164,TZ_STN,0))))/24,"")</f>
        <v/>
      </c>
      <c r="AH164" s="71">
        <f>IF(N164="N/A – rule","N/A – RULE",IF(TRIM(U164)="N/A",IF(AT164=0,"INVALID – N/A not permitted for this mandatory check",IF(AND(TRIM(AC164)&lt;&gt;"",TRIM(AE164)&lt;&gt;"",TRIM(T164)&lt;&gt;""),"N/A – JUSTIFIED","INVALID – N/A needs justification, PIC and verifier")),IF(OR(TRIM(U164)="Pass",TRIM(U164)="Pass after CA"),IF(NOT(ISNUMBER(AD164)),"INVALID – completion time missing",IF(TRIM(T164)="","INVALID – PIC missing",IF(TRIM(Z164)="","INVALID – evidence missing",IF(TRIM(AE164)="","INVALID – verifier missing",IF(AND(AQ164=1,TRIM(W164)=""),"INVALID – batch ID missing",IF(AND(AR164=1,OR(NOT(ISNUMBER(X164)),NOT(ISNUMBER(Y164)))),"INVALID – expected/actual qty missing",IF(IF(AND(TRIM(U164)="Pass",ISNUMBER(AF164)),IF(AF164&lt;&gt;0,"INVALID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recorded/closed","")&lt;&gt;"",IF(AND(TRIM(U164)="Pass",ISNUMBER(AF164)),IF(AF164&lt;&gt;0,"INVALID – qty variance: use Fail or Pass after CA",""),"")&amp;IF(AND(TRIM(U164)="Pass",AB164="Open"),"INVALID – corrective action still open: use Fail, then Pass after CA","")&amp;IF(AND(TRIM(U164)="Pass after CA",OR(TRIM(AA164)="",AB164&lt;&gt;"Closed")),"INVALID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window"),IF(AG164&gt;Flights!$AA$9,"INVALID – completed after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f>
        <v/>
      </c>
      <c r="AI164" s="67">
        <f>IF(OR(AH164="N/A – RULE",AH164="N/A – JUSTIFIED"),0,1)</f>
        <v/>
      </c>
      <c r="AJ164" s="67">
        <f>IF(LEFT(AH164,8)="COMPLETE",1,0)</f>
        <v/>
      </c>
      <c r="AK164" s="67">
        <f>IF(AND(AI164=1,AJ164=0,AsOfUTC&gt;Q164),1,0)</f>
        <v/>
      </c>
      <c r="AL164" s="67">
        <f>IF(AND(AI164=1,OR(TRIM(U164)="Fail",AB164="Open",AND(ISNUMBER(AF164),AF164&lt;&gt;0,TRIM(U164)&lt;&gt;"Pass after CA"))),1,0)</f>
        <v/>
      </c>
      <c r="AM164" s="67">
        <f>IF(LEFT(AH164,7)="INVALID",1,0)</f>
        <v/>
      </c>
      <c r="AN164" s="67">
        <f>IF(AND(N164="Clarification required",AI164=1,AJ164=0),1,0)</f>
        <v/>
      </c>
      <c r="AO164" s="67">
        <f>IF(AK164=1,SUM(AK$5:AK164),"")</f>
        <v/>
      </c>
      <c r="AP164" s="67">
        <f>IF(AL164=1,SUM(AL$5:AL164),"")</f>
        <v/>
      </c>
      <c r="AQ164" s="67" t="n">
        <v>0</v>
      </c>
      <c r="AR164" s="67" t="n">
        <v>1</v>
      </c>
      <c r="AS164" s="67" t="n">
        <v>0</v>
      </c>
      <c r="AT164" s="67" t="n">
        <v>1</v>
      </c>
    </row>
    <row r="165" ht="66.5" customHeight="1">
      <c r="A165" s="63" t="inlineStr">
        <is>
          <t>F05-UPL-07</t>
        </is>
      </c>
      <c r="B165" s="63" t="inlineStr">
        <is>
          <t>F05</t>
        </is>
      </c>
      <c r="C165" s="63">
        <f>Flights!$F$9</f>
        <v/>
      </c>
      <c r="D165" s="64">
        <f>Flights!$D$9</f>
        <v/>
      </c>
      <c r="E165" s="63">
        <f>Flights!$G$9&amp;"-"&amp;Flights!$H$9</f>
        <v/>
      </c>
      <c r="F165" s="63">
        <f>Flights!$K$9</f>
        <v/>
      </c>
      <c r="G165" s="63" t="inlineStr">
        <is>
          <t>UPLIFT</t>
        </is>
      </c>
      <c r="H165" s="63" t="inlineStr">
        <is>
          <t>Physical uplift</t>
        </is>
      </c>
      <c r="I165" s="63" t="inlineStr">
        <is>
          <t>Sales Cart</t>
        </is>
      </c>
      <c r="J165" s="63" t="inlineStr">
        <is>
          <t>Sales cart (caterer PASB) - on board</t>
        </is>
      </c>
      <c r="K165" s="73" t="inlineStr">
        <is>
          <t>A359: 5R41A &amp; 5R42A (not applicable for LHR) (full cart); 9M-MAH: G4F13A (half cart) - per tail</t>
        </is>
      </c>
      <c r="L165" s="73" t="inlineStr">
        <is>
          <t>STD UPLIFT INFORMATION.xlsx &gt; SALES CART!K7:K14 / L9 / C9 / O8:R12</t>
        </is>
      </c>
      <c r="M165" s="73" t="inlineStr">
        <is>
          <t>Not stated in reference</t>
        </is>
      </c>
      <c r="N165" s="73" t="inlineStr">
        <is>
          <t>Clarification required</t>
        </is>
      </c>
      <c r="O165" s="73" t="inlineStr">
        <is>
          <t>Block 7.67 h &gt;= 4 h. Location depends on tail. Reference names caterer PASB (KUL) for the KUL/NRT/KUL sector but no uplift station: confirm whether the NRT-KUL sales cart is loaded at KUL (round trip) or at NRT.</t>
        </is>
      </c>
      <c r="P165" s="63" t="inlineStr">
        <is>
          <t>NRT</t>
        </is>
      </c>
      <c r="Q165" s="65">
        <f>Flights!$AF$9</f>
        <v/>
      </c>
      <c r="R165" s="65">
        <f>Q165+(IF(AND(INDEX(TZ_DSTS,MATCH(P165,TZ_STN,0))&lt;&gt;"",Q165&gt;=INDEX(TZ_DSTS,MATCH(P165,TZ_STN,0)),Q165&lt;INDEX(TZ_DSTE,MATCH(P165,TZ_STN,0))),INDEX(TZ_DST,MATCH(P165,TZ_STN,0)),INDEX(TZ_STD,MATCH(P165,TZ_STN,0))))/24</f>
        <v/>
      </c>
      <c r="S165" s="65">
        <f>Q165-UpliftWindowH/24</f>
        <v/>
      </c>
      <c r="T165" s="66" t="n"/>
      <c r="U165" s="66" t="n"/>
      <c r="V165" s="66" t="n"/>
      <c r="W165" s="67" t="n"/>
      <c r="X165" s="66" t="n"/>
      <c r="Y165" s="66" t="n"/>
      <c r="Z165" s="66" t="n"/>
      <c r="AA165" s="66" t="n"/>
      <c r="AB165" s="66" t="n"/>
      <c r="AC165" s="66" t="n"/>
      <c r="AD165" s="72" t="n"/>
      <c r="AE165" s="66" t="n"/>
      <c r="AF165" s="67">
        <f>IF(AND(ISNUMBER(X165),ISNUMBER(Y165)),Y165-X165,"")</f>
        <v/>
      </c>
      <c r="AG165" s="68">
        <f>IF(ISNUMBER(AD165),AD165-(IF(AND(INDEX(TZ_DSTS,MATCH(P165,TZ_STN,0))&lt;&gt;"",(AD165-INDEX(TZ_STD,MATCH(P165,TZ_STN,0))/24)&gt;=INDEX(TZ_DSTS,MATCH(P165,TZ_STN,0)),(AD165-INDEX(TZ_STD,MATCH(P165,TZ_STN,0))/24)&lt;INDEX(TZ_DSTE,MATCH(P165,TZ_STN,0))),INDEX(TZ_DST,MATCH(P165,TZ_STN,0)),INDEX(TZ_STD,MATCH(P165,TZ_STN,0))))/24,"")</f>
        <v/>
      </c>
      <c r="AH165" s="71">
        <f>IF(N165="N/A – rule","N/A – RULE",IF(TRIM(U165)="N/A",IF(AT165=0,"INVALID – N/A not permitted for this mandatory check",IF(AND(TRIM(AC165)&lt;&gt;"",TRIM(AE165)&lt;&gt;"",TRIM(T165)&lt;&gt;""),"N/A – JUSTIFIED","INVALID – N/A needs justification, PIC and verifier")),IF(OR(TRIM(U165)="Pass",TRIM(U165)="Pass after CA"),IF(NOT(ISNUMBER(AD165)),"INVALID – completion time missing",IF(TRIM(T165)="","INVALID – PIC missing",IF(TRIM(Z165)="","INVALID – evidence missing",IF(TRIM(AE165)="","INVALID – verifier missing",IF(AND(AQ165=1,TRIM(W165)=""),"INVALID – batch ID missing",IF(AND(AR165=1,OR(NOT(ISNUMBER(X165)),NOT(ISNUMBER(Y165)))),"INVALID – expected/actual qty missing",IF(IF(AND(TRIM(U165)="Pass",ISNUMBER(AF165)),IF(AF165&lt;&gt;0,"INVALID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recorded/closed","")&lt;&gt;"",IF(AND(TRIM(U165)="Pass",ISNUMBER(AF165)),IF(AF165&lt;&gt;0,"INVALID – qty variance: use Fail or Pass after CA",""),"")&amp;IF(AND(TRIM(U165)="Pass",AB165="Open"),"INVALID – corrective action still open: use Fail, then Pass after CA","")&amp;IF(AND(TRIM(U165)="Pass after CA",OR(TRIM(AA165)="",AB165&lt;&gt;"Closed")),"INVALID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window"),IF(AG165&gt;Flights!$AA$9,"INVALID – completed after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f>
        <v/>
      </c>
      <c r="AI165" s="67">
        <f>IF(OR(AH165="N/A – RULE",AH165="N/A – JUSTIFIED"),0,1)</f>
        <v/>
      </c>
      <c r="AJ165" s="67">
        <f>IF(LEFT(AH165,8)="COMPLETE",1,0)</f>
        <v/>
      </c>
      <c r="AK165" s="67">
        <f>IF(AND(AI165=1,AJ165=0,AsOfUTC&gt;Q165),1,0)</f>
        <v/>
      </c>
      <c r="AL165" s="67">
        <f>IF(AND(AI165=1,OR(TRIM(U165)="Fail",AB165="Open",AND(ISNUMBER(AF165),AF165&lt;&gt;0,TRIM(U165)&lt;&gt;"Pass after CA"))),1,0)</f>
        <v/>
      </c>
      <c r="AM165" s="67">
        <f>IF(LEFT(AH165,7)="INVALID",1,0)</f>
        <v/>
      </c>
      <c r="AN165" s="67">
        <f>IF(AND(N165="Clarification required",AI165=1,AJ165=0),1,0)</f>
        <v/>
      </c>
      <c r="AO165" s="67">
        <f>IF(AK165=1,SUM(AK$5:AK165),"")</f>
        <v/>
      </c>
      <c r="AP165" s="67">
        <f>IF(AL165=1,SUM(AL$5:AL165),"")</f>
        <v/>
      </c>
      <c r="AQ165" s="67" t="n">
        <v>0</v>
      </c>
      <c r="AR165" s="67" t="n">
        <v>0</v>
      </c>
      <c r="AS165" s="67" t="n">
        <v>0</v>
      </c>
      <c r="AT165" s="67" t="n">
        <v>1</v>
      </c>
    </row>
    <row r="166" ht="40" customHeight="1">
      <c r="A166" s="63" t="inlineStr">
        <is>
          <t>F06-T7-01</t>
        </is>
      </c>
      <c r="B166" s="63" t="inlineStr">
        <is>
          <t>F06</t>
        </is>
      </c>
      <c r="C166" s="63">
        <f>Flights!$F$10</f>
        <v/>
      </c>
      <c r="D166" s="64">
        <f>Flights!$D$10</f>
        <v/>
      </c>
      <c r="E166" s="63">
        <f>Flights!$G$10&amp;"-"&amp;Flights!$H$10</f>
        <v/>
      </c>
      <c r="F166" s="63">
        <f>Flights!$K$10</f>
        <v/>
      </c>
      <c r="G166" s="63" t="inlineStr">
        <is>
          <t>T-7D</t>
        </is>
      </c>
      <c r="H166" s="63" t="inlineStr">
        <is>
          <t>Preparation</t>
        </is>
      </c>
      <c r="I166" s="63" t="inlineStr">
        <is>
          <t>Meal</t>
        </is>
      </c>
      <c r="J166" s="63" t="inlineStr">
        <is>
          <t>Meal sensory testing completed for this flight's menu cycle (assessed class)</t>
        </is>
      </c>
      <c r="K166" s="73" t="inlineStr">
        <is>
          <t>Record panel result / score in Result</t>
        </is>
      </c>
      <c r="L166" s="73" t="inlineStr">
        <is>
          <t>User brief (T-7 days)</t>
        </is>
      </c>
      <c r="M166" s="73" t="inlineStr"/>
      <c r="N166" s="73" t="inlineStr">
        <is>
          <t>Required</t>
        </is>
      </c>
      <c r="O166" s="73" t="inlineStr"/>
      <c r="P166" s="63" t="inlineStr">
        <is>
          <t>KUL</t>
        </is>
      </c>
      <c r="Q166" s="65">
        <f>Flights!$AC$10</f>
        <v/>
      </c>
      <c r="R166" s="65">
        <f>Q166+(IF(AND(INDEX(TZ_DSTS,MATCH(P166,TZ_STN,0))&lt;&gt;"",Q166&gt;=INDEX(TZ_DSTS,MATCH(P166,TZ_STN,0)),Q166&lt;INDEX(TZ_DSTE,MATCH(P166,TZ_STN,0))),INDEX(TZ_DST,MATCH(P166,TZ_STN,0)),INDEX(TZ_STD,MATCH(P166,TZ_STN,0))))/24</f>
        <v/>
      </c>
      <c r="S166" s="65" t="inlineStr"/>
      <c r="T166" s="66" t="n"/>
      <c r="U166" s="66" t="n"/>
      <c r="V166" s="66" t="n"/>
      <c r="W166" s="67" t="n"/>
      <c r="X166" s="66" t="n"/>
      <c r="Y166" s="66" t="n"/>
      <c r="Z166" s="66" t="n"/>
      <c r="AA166" s="66" t="n"/>
      <c r="AB166" s="66" t="n"/>
      <c r="AC166" s="66" t="n"/>
      <c r="AD166" s="72" t="n"/>
      <c r="AE166" s="66" t="n"/>
      <c r="AF166" s="67">
        <f>IF(AND(ISNUMBER(X166),ISNUMBER(Y166)),Y166-X166,"")</f>
        <v/>
      </c>
      <c r="AG166" s="68">
        <f>IF(ISNUMBER(AD166),AD166-(IF(AND(INDEX(TZ_DSTS,MATCH(P166,TZ_STN,0))&lt;&gt;"",(AD166-INDEX(TZ_STD,MATCH(P166,TZ_STN,0))/24)&gt;=INDEX(TZ_DSTS,MATCH(P166,TZ_STN,0)),(AD166-INDEX(TZ_STD,MATCH(P166,TZ_STN,0))/24)&lt;INDEX(TZ_DSTE,MATCH(P166,TZ_STN,0))),INDEX(TZ_DST,MATCH(P166,TZ_STN,0)),INDEX(TZ_STD,MATCH(P166,TZ_STN,0))))/24,"")</f>
        <v/>
      </c>
      <c r="AH166" s="71">
        <f>IF(N166="N/A – rule","N/A – RULE",IF(TRIM(U166)="N/A",IF(AT166=0,"INVALID – N/A not permitted for this mandatory check",IF(AND(TRIM(AC166)&lt;&gt;"",TRIM(AE166)&lt;&gt;"",TRIM(T166)&lt;&gt;""),"N/A – JUSTIFIED","INVALID – N/A needs justification, PIC and verifier")),IF(OR(TRIM(U166)="Pass",TRIM(U166)="Pass after CA"),IF(NOT(ISNUMBER(AD166)),"INVALID – completion time missing",IF(TRIM(T166)="","INVALID – PIC missing",IF(TRIM(Z166)="","INVALID – evidence missing",IF(TRIM(AE166)="","INVALID – verifier missing",IF(AND(AQ166=1,TRIM(W166)=""),"INVALID – batch ID missing",IF(AND(AR166=1,OR(NOT(ISNUMBER(X166)),NOT(ISNUMBER(Y166)))),"INVALID – expected/actual qty missing",IF(IF(AND(TRIM(U166)="Pass",ISNUMBER(AF166)),IF(AF166&lt;&gt;0,"INVALID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recorded/closed","")&lt;&gt;"",IF(AND(TRIM(U166)="Pass",ISNUMBER(AF166)),IF(AF166&lt;&gt;0,"INVALID – qty variance: use Fail or Pass after CA",""),"")&amp;IF(AND(TRIM(U166)="Pass",AB166="Open"),"INVALID – corrective action still open: use Fail, then Pass after CA","")&amp;IF(AND(TRIM(U166)="Pass after CA",OR(TRIM(AA166)="",AB166&lt;&gt;"Closed")),"INVALID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window"),IF(AG166&gt;Flights!$AA$10,"INVALID – completed after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f>
        <v/>
      </c>
      <c r="AI166" s="67">
        <f>IF(OR(AH166="N/A – RULE",AH166="N/A – JUSTIFIED"),0,1)</f>
        <v/>
      </c>
      <c r="AJ166" s="67">
        <f>IF(LEFT(AH166,8)="COMPLETE",1,0)</f>
        <v/>
      </c>
      <c r="AK166" s="67">
        <f>IF(AND(AI166=1,AJ166=0,AsOfUTC&gt;Q166),1,0)</f>
        <v/>
      </c>
      <c r="AL166" s="67">
        <f>IF(AND(AI166=1,OR(TRIM(U166)="Fail",AB166="Open",AND(ISNUMBER(AF166),AF166&lt;&gt;0,TRIM(U166)&lt;&gt;"Pass after CA"))),1,0)</f>
        <v/>
      </c>
      <c r="AM166" s="67">
        <f>IF(LEFT(AH166,7)="INVALID",1,0)</f>
        <v/>
      </c>
      <c r="AN166" s="67">
        <f>IF(AND(N166="Clarification required",AI166=1,AJ166=0),1,0)</f>
        <v/>
      </c>
      <c r="AO166" s="67">
        <f>IF(AK166=1,SUM(AK$5:AK166),"")</f>
        <v/>
      </c>
      <c r="AP166" s="67">
        <f>IF(AL166=1,SUM(AL$5:AL166),"")</f>
        <v/>
      </c>
      <c r="AQ166" s="67" t="n">
        <v>0</v>
      </c>
      <c r="AR166" s="67" t="n">
        <v>0</v>
      </c>
      <c r="AS166" s="67" t="n">
        <v>0</v>
      </c>
      <c r="AT166" s="67" t="n">
        <v>0</v>
      </c>
    </row>
    <row r="167" ht="40" customHeight="1">
      <c r="A167" s="63" t="inlineStr">
        <is>
          <t>F06-T7-02</t>
        </is>
      </c>
      <c r="B167" s="63" t="inlineStr">
        <is>
          <t>F06</t>
        </is>
      </c>
      <c r="C167" s="63">
        <f>Flights!$F$10</f>
        <v/>
      </c>
      <c r="D167" s="64">
        <f>Flights!$D$10</f>
        <v/>
      </c>
      <c r="E167" s="63">
        <f>Flights!$G$10&amp;"-"&amp;Flights!$H$10</f>
        <v/>
      </c>
      <c r="F167" s="63">
        <f>Flights!$K$10</f>
        <v/>
      </c>
      <c r="G167" s="63" t="inlineStr">
        <is>
          <t>T-7D</t>
        </is>
      </c>
      <c r="H167" s="63" t="inlineStr">
        <is>
          <t>Preparation</t>
        </is>
      </c>
      <c r="I167" s="63" t="inlineStr">
        <is>
          <t>Menu</t>
        </is>
      </c>
      <c r="J167" s="63" t="inlineStr">
        <is>
          <t>Printed menu cards confirmed (content, cycle, language, quantity)</t>
        </is>
      </c>
      <c r="K167" s="73" t="inlineStr">
        <is>
          <t>Menu card matches approved menu for this flight</t>
        </is>
      </c>
      <c r="L167" s="73" t="inlineStr">
        <is>
          <t>User brief (T-7 days)</t>
        </is>
      </c>
      <c r="M167" s="73" t="inlineStr"/>
      <c r="N167" s="73" t="inlineStr">
        <is>
          <t>Required</t>
        </is>
      </c>
      <c r="O167" s="73" t="inlineStr"/>
      <c r="P167" s="63" t="inlineStr">
        <is>
          <t>KUL</t>
        </is>
      </c>
      <c r="Q167" s="65">
        <f>Flights!$AC$10</f>
        <v/>
      </c>
      <c r="R167" s="65">
        <f>Q167+(IF(AND(INDEX(TZ_DSTS,MATCH(P167,TZ_STN,0))&lt;&gt;"",Q167&gt;=INDEX(TZ_DSTS,MATCH(P167,TZ_STN,0)),Q167&lt;INDEX(TZ_DSTE,MATCH(P167,TZ_STN,0))),INDEX(TZ_DST,MATCH(P167,TZ_STN,0)),INDEX(TZ_STD,MATCH(P167,TZ_STN,0))))/24</f>
        <v/>
      </c>
      <c r="S167" s="65" t="inlineStr"/>
      <c r="T167" s="66" t="n"/>
      <c r="U167" s="66" t="n"/>
      <c r="V167" s="66" t="n"/>
      <c r="W167" s="67" t="n"/>
      <c r="X167" s="66" t="n"/>
      <c r="Y167" s="66" t="n"/>
      <c r="Z167" s="66" t="n"/>
      <c r="AA167" s="66" t="n"/>
      <c r="AB167" s="66" t="n"/>
      <c r="AC167" s="66" t="n"/>
      <c r="AD167" s="72" t="n"/>
      <c r="AE167" s="66" t="n"/>
      <c r="AF167" s="67">
        <f>IF(AND(ISNUMBER(X167),ISNUMBER(Y167)),Y167-X167,"")</f>
        <v/>
      </c>
      <c r="AG167" s="68">
        <f>IF(ISNUMBER(AD167),AD167-(IF(AND(INDEX(TZ_DSTS,MATCH(P167,TZ_STN,0))&lt;&gt;"",(AD167-INDEX(TZ_STD,MATCH(P167,TZ_STN,0))/24)&gt;=INDEX(TZ_DSTS,MATCH(P167,TZ_STN,0)),(AD167-INDEX(TZ_STD,MATCH(P167,TZ_STN,0))/24)&lt;INDEX(TZ_DSTE,MATCH(P167,TZ_STN,0))),INDEX(TZ_DST,MATCH(P167,TZ_STN,0)),INDEX(TZ_STD,MATCH(P167,TZ_STN,0))))/24,"")</f>
        <v/>
      </c>
      <c r="AH167" s="71">
        <f>IF(N167="N/A – rule","N/A – RULE",IF(TRIM(U167)="N/A",IF(AT167=0,"INVALID – N/A not permitted for this mandatory check",IF(AND(TRIM(AC167)&lt;&gt;"",TRIM(AE167)&lt;&gt;"",TRIM(T167)&lt;&gt;""),"N/A – JUSTIFIED","INVALID – N/A needs justification, PIC and verifier")),IF(OR(TRIM(U167)="Pass",TRIM(U167)="Pass after CA"),IF(NOT(ISNUMBER(AD167)),"INVALID – completion time missing",IF(TRIM(T167)="","INVALID – PIC missing",IF(TRIM(Z167)="","INVALID – evidence missing",IF(TRIM(AE167)="","INVALID – verifier missing",IF(AND(AQ167=1,TRIM(W167)=""),"INVALID – batch ID missing",IF(AND(AR167=1,OR(NOT(ISNUMBER(X167)),NOT(ISNUMBER(Y167)))),"INVALID – expected/actual qty missing",IF(IF(AND(TRIM(U167)="Pass",ISNUMBER(AF167)),IF(AF167&lt;&gt;0,"INVALID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recorded/closed","")&lt;&gt;"",IF(AND(TRIM(U167)="Pass",ISNUMBER(AF167)),IF(AF167&lt;&gt;0,"INVALID – qty variance: use Fail or Pass after CA",""),"")&amp;IF(AND(TRIM(U167)="Pass",AB167="Open"),"INVALID – corrective action still open: use Fail, then Pass after CA","")&amp;IF(AND(TRIM(U167)="Pass after CA",OR(TRIM(AA167)="",AB167&lt;&gt;"Closed")),"INVALID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window"),IF(AG167&gt;Flights!$AA$10,"INVALID – completed after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f>
        <v/>
      </c>
      <c r="AI167" s="67">
        <f>IF(OR(AH167="N/A – RULE",AH167="N/A – JUSTIFIED"),0,1)</f>
        <v/>
      </c>
      <c r="AJ167" s="67">
        <f>IF(LEFT(AH167,8)="COMPLETE",1,0)</f>
        <v/>
      </c>
      <c r="AK167" s="67">
        <f>IF(AND(AI167=1,AJ167=0,AsOfUTC&gt;Q167),1,0)</f>
        <v/>
      </c>
      <c r="AL167" s="67">
        <f>IF(AND(AI167=1,OR(TRIM(U167)="Fail",AB167="Open",AND(ISNUMBER(AF167),AF167&lt;&gt;0,TRIM(U167)&lt;&gt;"Pass after CA"))),1,0)</f>
        <v/>
      </c>
      <c r="AM167" s="67">
        <f>IF(LEFT(AH167,7)="INVALID",1,0)</f>
        <v/>
      </c>
      <c r="AN167" s="67">
        <f>IF(AND(N167="Clarification required",AI167=1,AJ167=0),1,0)</f>
        <v/>
      </c>
      <c r="AO167" s="67">
        <f>IF(AK167=1,SUM(AK$5:AK167),"")</f>
        <v/>
      </c>
      <c r="AP167" s="67">
        <f>IF(AL167=1,SUM(AL$5:AL167),"")</f>
        <v/>
      </c>
      <c r="AQ167" s="67" t="n">
        <v>0</v>
      </c>
      <c r="AR167" s="67" t="n">
        <v>0</v>
      </c>
      <c r="AS167" s="67" t="n">
        <v>0</v>
      </c>
      <c r="AT167" s="67" t="n">
        <v>1</v>
      </c>
    </row>
    <row r="168" ht="41.5" customHeight="1">
      <c r="A168" s="63" t="inlineStr">
        <is>
          <t>F06-T7-03</t>
        </is>
      </c>
      <c r="B168" s="63" t="inlineStr">
        <is>
          <t>F06</t>
        </is>
      </c>
      <c r="C168" s="63">
        <f>Flights!$F$10</f>
        <v/>
      </c>
      <c r="D168" s="64">
        <f>Flights!$D$10</f>
        <v/>
      </c>
      <c r="E168" s="63">
        <f>Flights!$G$10&amp;"-"&amp;Flights!$H$10</f>
        <v/>
      </c>
      <c r="F168" s="63">
        <f>Flights!$K$10</f>
        <v/>
      </c>
      <c r="G168" s="63" t="inlineStr">
        <is>
          <t>T-7D</t>
        </is>
      </c>
      <c r="H168" s="63" t="inlineStr">
        <is>
          <t>Preparation</t>
        </is>
      </c>
      <c r="I168" s="63" t="inlineStr">
        <is>
          <t>IFE</t>
        </is>
      </c>
      <c r="J168" s="63" t="inlineStr">
        <is>
          <t>Digital menu in IFE confirmed (A339 only)</t>
        </is>
      </c>
      <c r="K168" s="73" t="inlineStr">
        <is>
          <t>Applies when fleet = A339</t>
        </is>
      </c>
      <c r="L168" s="73" t="inlineStr">
        <is>
          <t>User brief (T-7 days)</t>
        </is>
      </c>
      <c r="M168" s="73" t="inlineStr"/>
      <c r="N168" s="73">
        <f>IF(TRIM(Flights!$L$10)="A339","Required","N/A – rule")</f>
        <v/>
      </c>
      <c r="O168" s="73" t="inlineStr">
        <is>
          <t>Digital IFE menu applies to A339 only (user brief). Applicability follows the Fleet cell on Flights.</t>
        </is>
      </c>
      <c r="P168" s="63" t="inlineStr">
        <is>
          <t>KUL</t>
        </is>
      </c>
      <c r="Q168" s="65">
        <f>Flights!$AC$10</f>
        <v/>
      </c>
      <c r="R168" s="65">
        <f>Q168+(IF(AND(INDEX(TZ_DSTS,MATCH(P168,TZ_STN,0))&lt;&gt;"",Q168&gt;=INDEX(TZ_DSTS,MATCH(P168,TZ_STN,0)),Q168&lt;INDEX(TZ_DSTE,MATCH(P168,TZ_STN,0))),INDEX(TZ_DST,MATCH(P168,TZ_STN,0)),INDEX(TZ_STD,MATCH(P168,TZ_STN,0))))/24</f>
        <v/>
      </c>
      <c r="S168" s="65" t="inlineStr"/>
      <c r="T168" s="66" t="n"/>
      <c r="U168" s="66" t="n"/>
      <c r="V168" s="66" t="n"/>
      <c r="W168" s="67" t="n"/>
      <c r="X168" s="66" t="n"/>
      <c r="Y168" s="66" t="n"/>
      <c r="Z168" s="66" t="n"/>
      <c r="AA168" s="66" t="n"/>
      <c r="AB168" s="66" t="n"/>
      <c r="AC168" s="66" t="n"/>
      <c r="AD168" s="72" t="n"/>
      <c r="AE168" s="66" t="n"/>
      <c r="AF168" s="67">
        <f>IF(AND(ISNUMBER(X168),ISNUMBER(Y168)),Y168-X168,"")</f>
        <v/>
      </c>
      <c r="AG168" s="68">
        <f>IF(ISNUMBER(AD168),AD168-(IF(AND(INDEX(TZ_DSTS,MATCH(P168,TZ_STN,0))&lt;&gt;"",(AD168-INDEX(TZ_STD,MATCH(P168,TZ_STN,0))/24)&gt;=INDEX(TZ_DSTS,MATCH(P168,TZ_STN,0)),(AD168-INDEX(TZ_STD,MATCH(P168,TZ_STN,0))/24)&lt;INDEX(TZ_DSTE,MATCH(P168,TZ_STN,0))),INDEX(TZ_DST,MATCH(P168,TZ_STN,0)),INDEX(TZ_STD,MATCH(P168,TZ_STN,0))))/24,"")</f>
        <v/>
      </c>
      <c r="AH168" s="71">
        <f>IF(N168="N/A – rule","N/A – RULE",IF(TRIM(U168)="N/A",IF(AT168=0,"INVALID – N/A not permitted for this mandatory check",IF(AND(TRIM(AC168)&lt;&gt;"",TRIM(AE168)&lt;&gt;"",TRIM(T168)&lt;&gt;""),"N/A – JUSTIFIED","INVALID – N/A needs justification, PIC and verifier")),IF(OR(TRIM(U168)="Pass",TRIM(U168)="Pass after CA"),IF(NOT(ISNUMBER(AD168)),"INVALID – completion time missing",IF(TRIM(T168)="","INVALID – PIC missing",IF(TRIM(Z168)="","INVALID – evidence missing",IF(TRIM(AE168)="","INVALID – verifier missing",IF(AND(AQ168=1,TRIM(W168)=""),"INVALID – batch ID missing",IF(AND(AR168=1,OR(NOT(ISNUMBER(X168)),NOT(ISNUMBER(Y168)))),"INVALID – expected/actual qty missing",IF(IF(AND(TRIM(U168)="Pass",ISNUMBER(AF168)),IF(AF168&lt;&gt;0,"INVALID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recorded/closed","")&lt;&gt;"",IF(AND(TRIM(U168)="Pass",ISNUMBER(AF168)),IF(AF168&lt;&gt;0,"INVALID – qty variance: use Fail or Pass after CA",""),"")&amp;IF(AND(TRIM(U168)="Pass",AB168="Open"),"INVALID – corrective action still open: use Fail, then Pass after CA","")&amp;IF(AND(TRIM(U168)="Pass after CA",OR(TRIM(AA168)="",AB168&lt;&gt;"Closed")),"INVALID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window"),IF(AG168&gt;Flights!$AA$10,"INVALID – completed after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f>
        <v/>
      </c>
      <c r="AI168" s="67">
        <f>IF(OR(AH168="N/A – RULE",AH168="N/A – JUSTIFIED"),0,1)</f>
        <v/>
      </c>
      <c r="AJ168" s="67">
        <f>IF(LEFT(AH168,8)="COMPLETE",1,0)</f>
        <v/>
      </c>
      <c r="AK168" s="67">
        <f>IF(AND(AI168=1,AJ168=0,AsOfUTC&gt;Q168),1,0)</f>
        <v/>
      </c>
      <c r="AL168" s="67">
        <f>IF(AND(AI168=1,OR(TRIM(U168)="Fail",AB168="Open",AND(ISNUMBER(AF168),AF168&lt;&gt;0,TRIM(U168)&lt;&gt;"Pass after CA"))),1,0)</f>
        <v/>
      </c>
      <c r="AM168" s="67">
        <f>IF(LEFT(AH168,7)="INVALID",1,0)</f>
        <v/>
      </c>
      <c r="AN168" s="67">
        <f>IF(AND(N168="Clarification required",AI168=1,AJ168=0),1,0)</f>
        <v/>
      </c>
      <c r="AO168" s="67">
        <f>IF(AK168=1,SUM(AK$5:AK168),"")</f>
        <v/>
      </c>
      <c r="AP168" s="67">
        <f>IF(AL168=1,SUM(AL$5:AL168),"")</f>
        <v/>
      </c>
      <c r="AQ168" s="67" t="n">
        <v>0</v>
      </c>
      <c r="AR168" s="67" t="n">
        <v>0</v>
      </c>
      <c r="AS168" s="67" t="n">
        <v>0</v>
      </c>
      <c r="AT168" s="67" t="n">
        <v>0</v>
      </c>
    </row>
    <row r="169" ht="40" customHeight="1">
      <c r="A169" s="63" t="inlineStr">
        <is>
          <t>F06-T7-04</t>
        </is>
      </c>
      <c r="B169" s="63" t="inlineStr">
        <is>
          <t>F06</t>
        </is>
      </c>
      <c r="C169" s="63">
        <f>Flights!$F$10</f>
        <v/>
      </c>
      <c r="D169" s="64">
        <f>Flights!$D$10</f>
        <v/>
      </c>
      <c r="E169" s="63">
        <f>Flights!$G$10&amp;"-"&amp;Flights!$H$10</f>
        <v/>
      </c>
      <c r="F169" s="63">
        <f>Flights!$K$10</f>
        <v/>
      </c>
      <c r="G169" s="63" t="inlineStr">
        <is>
          <t>T-7D</t>
        </is>
      </c>
      <c r="H169" s="63" t="inlineStr">
        <is>
          <t>Preparation</t>
        </is>
      </c>
      <c r="I169" s="63" t="inlineStr">
        <is>
          <t>Staffing</t>
        </is>
      </c>
      <c r="J169" s="63" t="inlineStr">
        <is>
          <t>Experienced catering officer assigned to this flight</t>
        </is>
      </c>
      <c r="K169" s="73" t="inlineStr">
        <is>
          <t>Record officer name in Result</t>
        </is>
      </c>
      <c r="L169" s="73" t="inlineStr">
        <is>
          <t>User brief (T-7 days)</t>
        </is>
      </c>
      <c r="M169" s="73" t="inlineStr"/>
      <c r="N169" s="73" t="inlineStr">
        <is>
          <t>Required</t>
        </is>
      </c>
      <c r="O169" s="73" t="inlineStr"/>
      <c r="P169" s="63" t="inlineStr">
        <is>
          <t>KUL</t>
        </is>
      </c>
      <c r="Q169" s="65">
        <f>Flights!$AC$10</f>
        <v/>
      </c>
      <c r="R169" s="65">
        <f>Q169+(IF(AND(INDEX(TZ_DSTS,MATCH(P169,TZ_STN,0))&lt;&gt;"",Q169&gt;=INDEX(TZ_DSTS,MATCH(P169,TZ_STN,0)),Q169&lt;INDEX(TZ_DSTE,MATCH(P169,TZ_STN,0))),INDEX(TZ_DST,MATCH(P169,TZ_STN,0)),INDEX(TZ_STD,MATCH(P169,TZ_STN,0))))/24</f>
        <v/>
      </c>
      <c r="S169" s="65" t="inlineStr"/>
      <c r="T169" s="66" t="n"/>
      <c r="U169" s="66" t="n"/>
      <c r="V169" s="66" t="n"/>
      <c r="W169" s="67" t="n"/>
      <c r="X169" s="66" t="n"/>
      <c r="Y169" s="66" t="n"/>
      <c r="Z169" s="66" t="n"/>
      <c r="AA169" s="66" t="n"/>
      <c r="AB169" s="66" t="n"/>
      <c r="AC169" s="66" t="n"/>
      <c r="AD169" s="72" t="n"/>
      <c r="AE169" s="66" t="n"/>
      <c r="AF169" s="67">
        <f>IF(AND(ISNUMBER(X169),ISNUMBER(Y169)),Y169-X169,"")</f>
        <v/>
      </c>
      <c r="AG169" s="68">
        <f>IF(ISNUMBER(AD169),AD169-(IF(AND(INDEX(TZ_DSTS,MATCH(P169,TZ_STN,0))&lt;&gt;"",(AD169-INDEX(TZ_STD,MATCH(P169,TZ_STN,0))/24)&gt;=INDEX(TZ_DSTS,MATCH(P169,TZ_STN,0)),(AD169-INDEX(TZ_STD,MATCH(P169,TZ_STN,0))/24)&lt;INDEX(TZ_DSTE,MATCH(P169,TZ_STN,0))),INDEX(TZ_DST,MATCH(P169,TZ_STN,0)),INDEX(TZ_STD,MATCH(P169,TZ_STN,0))))/24,"")</f>
        <v/>
      </c>
      <c r="AH169" s="71">
        <f>IF(N169="N/A – rule","N/A – RULE",IF(TRIM(U169)="N/A",IF(AT169=0,"INVALID – N/A not permitted for this mandatory check",IF(AND(TRIM(AC169)&lt;&gt;"",TRIM(AE169)&lt;&gt;"",TRIM(T169)&lt;&gt;""),"N/A – JUSTIFIED","INVALID – N/A needs justification, PIC and verifier")),IF(OR(TRIM(U169)="Pass",TRIM(U169)="Pass after CA"),IF(NOT(ISNUMBER(AD169)),"INVALID – completion time missing",IF(TRIM(T169)="","INVALID – PIC missing",IF(TRIM(Z169)="","INVALID – evidence missing",IF(TRIM(AE169)="","INVALID – verifier missing",IF(AND(AQ169=1,TRIM(W169)=""),"INVALID – batch ID missing",IF(AND(AR169=1,OR(NOT(ISNUMBER(X169)),NOT(ISNUMBER(Y169)))),"INVALID – expected/actual qty missing",IF(IF(AND(TRIM(U169)="Pass",ISNUMBER(AF169)),IF(AF169&lt;&gt;0,"INVALID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recorded/closed","")&lt;&gt;"",IF(AND(TRIM(U169)="Pass",ISNUMBER(AF169)),IF(AF169&lt;&gt;0,"INVALID – qty variance: use Fail or Pass after CA",""),"")&amp;IF(AND(TRIM(U169)="Pass",AB169="Open"),"INVALID – corrective action still open: use Fail, then Pass after CA","")&amp;IF(AND(TRIM(U169)="Pass after CA",OR(TRIM(AA169)="",AB169&lt;&gt;"Closed")),"INVALID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window"),IF(AG169&gt;Flights!$AA$10,"INVALID – completed after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f>
        <v/>
      </c>
      <c r="AI169" s="67">
        <f>IF(OR(AH169="N/A – RULE",AH169="N/A – JUSTIFIED"),0,1)</f>
        <v/>
      </c>
      <c r="AJ169" s="67">
        <f>IF(LEFT(AH169,8)="COMPLETE",1,0)</f>
        <v/>
      </c>
      <c r="AK169" s="67">
        <f>IF(AND(AI169=1,AJ169=0,AsOfUTC&gt;Q169),1,0)</f>
        <v/>
      </c>
      <c r="AL169" s="67">
        <f>IF(AND(AI169=1,OR(TRIM(U169)="Fail",AB169="Open",AND(ISNUMBER(AF169),AF169&lt;&gt;0,TRIM(U169)&lt;&gt;"Pass after CA"))),1,0)</f>
        <v/>
      </c>
      <c r="AM169" s="67">
        <f>IF(LEFT(AH169,7)="INVALID",1,0)</f>
        <v/>
      </c>
      <c r="AN169" s="67">
        <f>IF(AND(N169="Clarification required",AI169=1,AJ169=0),1,0)</f>
        <v/>
      </c>
      <c r="AO169" s="67">
        <f>IF(AK169=1,SUM(AK$5:AK169),"")</f>
        <v/>
      </c>
      <c r="AP169" s="67">
        <f>IF(AL169=1,SUM(AL$5:AL169),"")</f>
        <v/>
      </c>
      <c r="AQ169" s="67" t="n">
        <v>0</v>
      </c>
      <c r="AR169" s="67" t="n">
        <v>0</v>
      </c>
      <c r="AS169" s="67" t="n">
        <v>0</v>
      </c>
      <c r="AT169" s="67" t="n">
        <v>0</v>
      </c>
    </row>
    <row r="170" ht="40" customHeight="1">
      <c r="A170" s="63" t="inlineStr">
        <is>
          <t>F06-T7-05</t>
        </is>
      </c>
      <c r="B170" s="63" t="inlineStr">
        <is>
          <t>F06</t>
        </is>
      </c>
      <c r="C170" s="63">
        <f>Flights!$F$10</f>
        <v/>
      </c>
      <c r="D170" s="64">
        <f>Flights!$D$10</f>
        <v/>
      </c>
      <c r="E170" s="63">
        <f>Flights!$G$10&amp;"-"&amp;Flights!$H$10</f>
        <v/>
      </c>
      <c r="F170" s="63">
        <f>Flights!$K$10</f>
        <v/>
      </c>
      <c r="G170" s="63" t="inlineStr">
        <is>
          <t>T-7D</t>
        </is>
      </c>
      <c r="H170" s="63" t="inlineStr">
        <is>
          <t>Preparation</t>
        </is>
      </c>
      <c r="I170" s="63" t="inlineStr">
        <is>
          <t>ISOP</t>
        </is>
      </c>
      <c r="J170" s="63" t="inlineStr">
        <is>
          <t>All latest applicable ISOP revisions communicated to caterer</t>
        </is>
      </c>
      <c r="K170" s="73" t="inlineStr">
        <is>
          <t>List revision numbers in Result (see ISOP register)</t>
        </is>
      </c>
      <c r="L170" s="73" t="inlineStr">
        <is>
          <t>User brief (T-7 days)</t>
        </is>
      </c>
      <c r="M170" s="73" t="inlineStr"/>
      <c r="N170" s="73" t="inlineStr">
        <is>
          <t>Required</t>
        </is>
      </c>
      <c r="O170" s="73" t="inlineStr"/>
      <c r="P170" s="63" t="inlineStr">
        <is>
          <t>KUL</t>
        </is>
      </c>
      <c r="Q170" s="65">
        <f>Flights!$AC$10</f>
        <v/>
      </c>
      <c r="R170" s="65">
        <f>Q170+(IF(AND(INDEX(TZ_DSTS,MATCH(P170,TZ_STN,0))&lt;&gt;"",Q170&gt;=INDEX(TZ_DSTS,MATCH(P170,TZ_STN,0)),Q170&lt;INDEX(TZ_DSTE,MATCH(P170,TZ_STN,0))),INDEX(TZ_DST,MATCH(P170,TZ_STN,0)),INDEX(TZ_STD,MATCH(P170,TZ_STN,0))))/24</f>
        <v/>
      </c>
      <c r="S170" s="65" t="inlineStr"/>
      <c r="T170" s="66" t="n"/>
      <c r="U170" s="66" t="n"/>
      <c r="V170" s="66" t="n"/>
      <c r="W170" s="67" t="n"/>
      <c r="X170" s="66" t="n"/>
      <c r="Y170" s="66" t="n"/>
      <c r="Z170" s="66" t="n"/>
      <c r="AA170" s="66" t="n"/>
      <c r="AB170" s="66" t="n"/>
      <c r="AC170" s="66" t="n"/>
      <c r="AD170" s="72" t="n"/>
      <c r="AE170" s="66" t="n"/>
      <c r="AF170" s="67">
        <f>IF(AND(ISNUMBER(X170),ISNUMBER(Y170)),Y170-X170,"")</f>
        <v/>
      </c>
      <c r="AG170" s="68">
        <f>IF(ISNUMBER(AD170),AD170-(IF(AND(INDEX(TZ_DSTS,MATCH(P170,TZ_STN,0))&lt;&gt;"",(AD170-INDEX(TZ_STD,MATCH(P170,TZ_STN,0))/24)&gt;=INDEX(TZ_DSTS,MATCH(P170,TZ_STN,0)),(AD170-INDEX(TZ_STD,MATCH(P170,TZ_STN,0))/24)&lt;INDEX(TZ_DSTE,MATCH(P170,TZ_STN,0))),INDEX(TZ_DST,MATCH(P170,TZ_STN,0)),INDEX(TZ_STD,MATCH(P170,TZ_STN,0))))/24,"")</f>
        <v/>
      </c>
      <c r="AH170" s="71">
        <f>IF(N170="N/A – rule","N/A – RULE",IF(TRIM(U170)="N/A",IF(AT170=0,"INVALID – N/A not permitted for this mandatory check",IF(AND(TRIM(AC170)&lt;&gt;"",TRIM(AE170)&lt;&gt;"",TRIM(T170)&lt;&gt;""),"N/A – JUSTIFIED","INVALID – N/A needs justification, PIC and verifier")),IF(OR(TRIM(U170)="Pass",TRIM(U170)="Pass after CA"),IF(NOT(ISNUMBER(AD170)),"INVALID – completion time missing",IF(TRIM(T170)="","INVALID – PIC missing",IF(TRIM(Z170)="","INVALID – evidence missing",IF(TRIM(AE170)="","INVALID – verifier missing",IF(AND(AQ170=1,TRIM(W170)=""),"INVALID – batch ID missing",IF(AND(AR170=1,OR(NOT(ISNUMBER(X170)),NOT(ISNUMBER(Y170)))),"INVALID – expected/actual qty missing",IF(IF(AND(TRIM(U170)="Pass",ISNUMBER(AF170)),IF(AF170&lt;&gt;0,"INVALID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recorded/closed","")&lt;&gt;"",IF(AND(TRIM(U170)="Pass",ISNUMBER(AF170)),IF(AF170&lt;&gt;0,"INVALID – qty variance: use Fail or Pass after CA",""),"")&amp;IF(AND(TRIM(U170)="Pass",AB170="Open"),"INVALID – corrective action still open: use Fail, then Pass after CA","")&amp;IF(AND(TRIM(U170)="Pass after CA",OR(TRIM(AA170)="",AB170&lt;&gt;"Closed")),"INVALID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window"),IF(AG170&gt;Flights!$AA$10,"INVALID – completed after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f>
        <v/>
      </c>
      <c r="AI170" s="67">
        <f>IF(OR(AH170="N/A – RULE",AH170="N/A – JUSTIFIED"),0,1)</f>
        <v/>
      </c>
      <c r="AJ170" s="67">
        <f>IF(LEFT(AH170,8)="COMPLETE",1,0)</f>
        <v/>
      </c>
      <c r="AK170" s="67">
        <f>IF(AND(AI170=1,AJ170=0,AsOfUTC&gt;Q170),1,0)</f>
        <v/>
      </c>
      <c r="AL170" s="67">
        <f>IF(AND(AI170=1,OR(TRIM(U170)="Fail",AB170="Open",AND(ISNUMBER(AF170),AF170&lt;&gt;0,TRIM(U170)&lt;&gt;"Pass after CA"))),1,0)</f>
        <v/>
      </c>
      <c r="AM170" s="67">
        <f>IF(LEFT(AH170,7)="INVALID",1,0)</f>
        <v/>
      </c>
      <c r="AN170" s="67">
        <f>IF(AND(N170="Clarification required",AI170=1,AJ170=0),1,0)</f>
        <v/>
      </c>
      <c r="AO170" s="67">
        <f>IF(AK170=1,SUM(AK$5:AK170),"")</f>
        <v/>
      </c>
      <c r="AP170" s="67">
        <f>IF(AL170=1,SUM(AL$5:AL170),"")</f>
        <v/>
      </c>
      <c r="AQ170" s="67" t="n">
        <v>0</v>
      </c>
      <c r="AR170" s="67" t="n">
        <v>0</v>
      </c>
      <c r="AS170" s="67" t="n">
        <v>0</v>
      </c>
      <c r="AT170" s="67" t="n">
        <v>0</v>
      </c>
    </row>
    <row r="171" ht="40" customHeight="1">
      <c r="A171" s="63" t="inlineStr">
        <is>
          <t>F06-T7-06</t>
        </is>
      </c>
      <c r="B171" s="63" t="inlineStr">
        <is>
          <t>F06</t>
        </is>
      </c>
      <c r="C171" s="63">
        <f>Flights!$F$10</f>
        <v/>
      </c>
      <c r="D171" s="64">
        <f>Flights!$D$10</f>
        <v/>
      </c>
      <c r="E171" s="63">
        <f>Flights!$G$10&amp;"-"&amp;Flights!$H$10</f>
        <v/>
      </c>
      <c r="F171" s="63">
        <f>Flights!$K$10</f>
        <v/>
      </c>
      <c r="G171" s="63" t="inlineStr">
        <is>
          <t>T-7D</t>
        </is>
      </c>
      <c r="H171" s="63" t="inlineStr">
        <is>
          <t>Preparation</t>
        </is>
      </c>
      <c r="I171" s="63" t="inlineStr">
        <is>
          <t>ISOP</t>
        </is>
      </c>
      <c r="J171" s="63" t="inlineStr">
        <is>
          <t>Caterer acknowledgement of ISOP revisions recorded</t>
        </is>
      </c>
      <c r="K171" s="73" t="inlineStr">
        <is>
          <t>Record acknowledgement ref in Evidence</t>
        </is>
      </c>
      <c r="L171" s="73" t="inlineStr">
        <is>
          <t>User brief (T-7 days)</t>
        </is>
      </c>
      <c r="M171" s="73" t="inlineStr"/>
      <c r="N171" s="73" t="inlineStr">
        <is>
          <t>Required</t>
        </is>
      </c>
      <c r="O171" s="73" t="inlineStr"/>
      <c r="P171" s="63" t="inlineStr">
        <is>
          <t>KUL</t>
        </is>
      </c>
      <c r="Q171" s="65">
        <f>Flights!$AC$10</f>
        <v/>
      </c>
      <c r="R171" s="65">
        <f>Q171+(IF(AND(INDEX(TZ_DSTS,MATCH(P171,TZ_STN,0))&lt;&gt;"",Q171&gt;=INDEX(TZ_DSTS,MATCH(P171,TZ_STN,0)),Q171&lt;INDEX(TZ_DSTE,MATCH(P171,TZ_STN,0))),INDEX(TZ_DST,MATCH(P171,TZ_STN,0)),INDEX(TZ_STD,MATCH(P171,TZ_STN,0))))/24</f>
        <v/>
      </c>
      <c r="S171" s="65" t="inlineStr"/>
      <c r="T171" s="66" t="n"/>
      <c r="U171" s="66" t="n"/>
      <c r="V171" s="66" t="n"/>
      <c r="W171" s="67" t="n"/>
      <c r="X171" s="66" t="n"/>
      <c r="Y171" s="66" t="n"/>
      <c r="Z171" s="66" t="n"/>
      <c r="AA171" s="66" t="n"/>
      <c r="AB171" s="66" t="n"/>
      <c r="AC171" s="66" t="n"/>
      <c r="AD171" s="72" t="n"/>
      <c r="AE171" s="66" t="n"/>
      <c r="AF171" s="67">
        <f>IF(AND(ISNUMBER(X171),ISNUMBER(Y171)),Y171-X171,"")</f>
        <v/>
      </c>
      <c r="AG171" s="68">
        <f>IF(ISNUMBER(AD171),AD171-(IF(AND(INDEX(TZ_DSTS,MATCH(P171,TZ_STN,0))&lt;&gt;"",(AD171-INDEX(TZ_STD,MATCH(P171,TZ_STN,0))/24)&gt;=INDEX(TZ_DSTS,MATCH(P171,TZ_STN,0)),(AD171-INDEX(TZ_STD,MATCH(P171,TZ_STN,0))/24)&lt;INDEX(TZ_DSTE,MATCH(P171,TZ_STN,0))),INDEX(TZ_DST,MATCH(P171,TZ_STN,0)),INDEX(TZ_STD,MATCH(P171,TZ_STN,0))))/24,"")</f>
        <v/>
      </c>
      <c r="AH171" s="71">
        <f>IF(N171="N/A – rule","N/A – RULE",IF(TRIM(U171)="N/A",IF(AT171=0,"INVALID – N/A not permitted for this mandatory check",IF(AND(TRIM(AC171)&lt;&gt;"",TRIM(AE171)&lt;&gt;"",TRIM(T171)&lt;&gt;""),"N/A – JUSTIFIED","INVALID – N/A needs justification, PIC and verifier")),IF(OR(TRIM(U171)="Pass",TRIM(U171)="Pass after CA"),IF(NOT(ISNUMBER(AD171)),"INVALID – completion time missing",IF(TRIM(T171)="","INVALID – PIC missing",IF(TRIM(Z171)="","INVALID – evidence missing",IF(TRIM(AE171)="","INVALID – verifier missing",IF(AND(AQ171=1,TRIM(W171)=""),"INVALID – batch ID missing",IF(AND(AR171=1,OR(NOT(ISNUMBER(X171)),NOT(ISNUMBER(Y171)))),"INVALID – expected/actual qty missing",IF(IF(AND(TRIM(U171)="Pass",ISNUMBER(AF171)),IF(AF171&lt;&gt;0,"INVALID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recorded/closed","")&lt;&gt;"",IF(AND(TRIM(U171)="Pass",ISNUMBER(AF171)),IF(AF171&lt;&gt;0,"INVALID – qty variance: use Fail or Pass after CA",""),"")&amp;IF(AND(TRIM(U171)="Pass",AB171="Open"),"INVALID – corrective action still open: use Fail, then Pass after CA","")&amp;IF(AND(TRIM(U171)="Pass after CA",OR(TRIM(AA171)="",AB171&lt;&gt;"Closed")),"INVALID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window"),IF(AG171&gt;Flights!$AA$10,"INVALID – completed after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f>
        <v/>
      </c>
      <c r="AI171" s="67">
        <f>IF(OR(AH171="N/A – RULE",AH171="N/A – JUSTIFIED"),0,1)</f>
        <v/>
      </c>
      <c r="AJ171" s="67">
        <f>IF(LEFT(AH171,8)="COMPLETE",1,0)</f>
        <v/>
      </c>
      <c r="AK171" s="67">
        <f>IF(AND(AI171=1,AJ171=0,AsOfUTC&gt;Q171),1,0)</f>
        <v/>
      </c>
      <c r="AL171" s="67">
        <f>IF(AND(AI171=1,OR(TRIM(U171)="Fail",AB171="Open",AND(ISNUMBER(AF171),AF171&lt;&gt;0,TRIM(U171)&lt;&gt;"Pass after CA"))),1,0)</f>
        <v/>
      </c>
      <c r="AM171" s="67">
        <f>IF(LEFT(AH171,7)="INVALID",1,0)</f>
        <v/>
      </c>
      <c r="AN171" s="67">
        <f>IF(AND(N171="Clarification required",AI171=1,AJ171=0),1,0)</f>
        <v/>
      </c>
      <c r="AO171" s="67">
        <f>IF(AK171=1,SUM(AK$5:AK171),"")</f>
        <v/>
      </c>
      <c r="AP171" s="67">
        <f>IF(AL171=1,SUM(AL$5:AL171),"")</f>
        <v/>
      </c>
      <c r="AQ171" s="67" t="n">
        <v>0</v>
      </c>
      <c r="AR171" s="67" t="n">
        <v>0</v>
      </c>
      <c r="AS171" s="67" t="n">
        <v>0</v>
      </c>
      <c r="AT171" s="67" t="n">
        <v>0</v>
      </c>
    </row>
    <row r="172" ht="40" customHeight="1">
      <c r="A172" s="63" t="inlineStr">
        <is>
          <t>F06-T7-07</t>
        </is>
      </c>
      <c r="B172" s="63" t="inlineStr">
        <is>
          <t>F06</t>
        </is>
      </c>
      <c r="C172" s="63">
        <f>Flights!$F$10</f>
        <v/>
      </c>
      <c r="D172" s="64">
        <f>Flights!$D$10</f>
        <v/>
      </c>
      <c r="E172" s="63">
        <f>Flights!$G$10&amp;"-"&amp;Flights!$H$10</f>
        <v/>
      </c>
      <c r="F172" s="63">
        <f>Flights!$K$10</f>
        <v/>
      </c>
      <c r="G172" s="63" t="inlineStr">
        <is>
          <t>T-7D</t>
        </is>
      </c>
      <c r="H172" s="63" t="inlineStr">
        <is>
          <t>Preparation</t>
        </is>
      </c>
      <c r="I172" s="63" t="inlineStr">
        <is>
          <t>Documents</t>
        </is>
      </c>
      <c r="J172" s="63" t="inlineStr">
        <is>
          <t>Galley loading diagram (GLD) received, revision recorded &amp; attached</t>
        </is>
      </c>
      <c r="K172" s="73" t="inlineStr">
        <is>
          <t>Documents sheet row complete</t>
        </is>
      </c>
      <c r="L172" s="73" t="inlineStr">
        <is>
          <t>User brief (T-7 days)</t>
        </is>
      </c>
      <c r="M172" s="73" t="inlineStr"/>
      <c r="N172" s="73" t="inlineStr">
        <is>
          <t>Required</t>
        </is>
      </c>
      <c r="O172" s="73" t="inlineStr"/>
      <c r="P172" s="63" t="inlineStr">
        <is>
          <t>KUL</t>
        </is>
      </c>
      <c r="Q172" s="65">
        <f>Flights!$AC$10</f>
        <v/>
      </c>
      <c r="R172" s="65">
        <f>Q172+(IF(AND(INDEX(TZ_DSTS,MATCH(P172,TZ_STN,0))&lt;&gt;"",Q172&gt;=INDEX(TZ_DSTS,MATCH(P172,TZ_STN,0)),Q172&lt;INDEX(TZ_DSTE,MATCH(P172,TZ_STN,0))),INDEX(TZ_DST,MATCH(P172,TZ_STN,0)),INDEX(TZ_STD,MATCH(P172,TZ_STN,0))))/24</f>
        <v/>
      </c>
      <c r="S172" s="65" t="inlineStr"/>
      <c r="T172" s="66" t="n"/>
      <c r="U172" s="66" t="n"/>
      <c r="V172" s="66" t="n"/>
      <c r="W172" s="67" t="n"/>
      <c r="X172" s="66" t="n"/>
      <c r="Y172" s="66" t="n"/>
      <c r="Z172" s="66" t="n"/>
      <c r="AA172" s="66" t="n"/>
      <c r="AB172" s="66" t="n"/>
      <c r="AC172" s="66" t="n"/>
      <c r="AD172" s="72" t="n"/>
      <c r="AE172" s="66" t="n"/>
      <c r="AF172" s="67">
        <f>IF(AND(ISNUMBER(X172),ISNUMBER(Y172)),Y172-X172,"")</f>
        <v/>
      </c>
      <c r="AG172" s="68">
        <f>IF(ISNUMBER(AD172),AD172-(IF(AND(INDEX(TZ_DSTS,MATCH(P172,TZ_STN,0))&lt;&gt;"",(AD172-INDEX(TZ_STD,MATCH(P172,TZ_STN,0))/24)&gt;=INDEX(TZ_DSTS,MATCH(P172,TZ_STN,0)),(AD172-INDEX(TZ_STD,MATCH(P172,TZ_STN,0))/24)&lt;INDEX(TZ_DSTE,MATCH(P172,TZ_STN,0))),INDEX(TZ_DST,MATCH(P172,TZ_STN,0)),INDEX(TZ_STD,MATCH(P172,TZ_STN,0))))/24,"")</f>
        <v/>
      </c>
      <c r="AH172" s="71">
        <f>IF(N172="N/A – rule","N/A – RULE",IF(TRIM(U172)="N/A",IF(AT172=0,"INVALID – N/A not permitted for this mandatory check",IF(AND(TRIM(AC172)&lt;&gt;"",TRIM(AE172)&lt;&gt;"",TRIM(T172)&lt;&gt;""),"N/A – JUSTIFIED","INVALID – N/A needs justification, PIC and verifier")),IF(OR(TRIM(U172)="Pass",TRIM(U172)="Pass after CA"),IF(NOT(ISNUMBER(AD172)),"INVALID – completion time missing",IF(TRIM(T172)="","INVALID – PIC missing",IF(TRIM(Z172)="","INVALID – evidence missing",IF(TRIM(AE172)="","INVALID – verifier missing",IF(AND(AQ172=1,TRIM(W172)=""),"INVALID – batch ID missing",IF(AND(AR172=1,OR(NOT(ISNUMBER(X172)),NOT(ISNUMBER(Y172)))),"INVALID – expected/actual qty missing",IF(IF(AND(TRIM(U172)="Pass",ISNUMBER(AF172)),IF(AF172&lt;&gt;0,"INVALID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recorded/closed","")&lt;&gt;"",IF(AND(TRIM(U172)="Pass",ISNUMBER(AF172)),IF(AF172&lt;&gt;0,"INVALID – qty variance: use Fail or Pass after CA",""),"")&amp;IF(AND(TRIM(U172)="Pass",AB172="Open"),"INVALID – corrective action still open: use Fail, then Pass after CA","")&amp;IF(AND(TRIM(U172)="Pass after CA",OR(TRIM(AA172)="",AB172&lt;&gt;"Closed")),"INVALID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window"),IF(AG172&gt;Flights!$AA$10,"INVALID – completed after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f>
        <v/>
      </c>
      <c r="AI172" s="67">
        <f>IF(OR(AH172="N/A – RULE",AH172="N/A – JUSTIFIED"),0,1)</f>
        <v/>
      </c>
      <c r="AJ172" s="67">
        <f>IF(LEFT(AH172,8)="COMPLETE",1,0)</f>
        <v/>
      </c>
      <c r="AK172" s="67">
        <f>IF(AND(AI172=1,AJ172=0,AsOfUTC&gt;Q172),1,0)</f>
        <v/>
      </c>
      <c r="AL172" s="67">
        <f>IF(AND(AI172=1,OR(TRIM(U172)="Fail",AB172="Open",AND(ISNUMBER(AF172),AF172&lt;&gt;0,TRIM(U172)&lt;&gt;"Pass after CA"))),1,0)</f>
        <v/>
      </c>
      <c r="AM172" s="67">
        <f>IF(LEFT(AH172,7)="INVALID",1,0)</f>
        <v/>
      </c>
      <c r="AN172" s="67">
        <f>IF(AND(N172="Clarification required",AI172=1,AJ172=0),1,0)</f>
        <v/>
      </c>
      <c r="AO172" s="67">
        <f>IF(AK172=1,SUM(AK$5:AK172),"")</f>
        <v/>
      </c>
      <c r="AP172" s="67">
        <f>IF(AL172=1,SUM(AL$5:AL172),"")</f>
        <v/>
      </c>
      <c r="AQ172" s="67" t="n">
        <v>0</v>
      </c>
      <c r="AR172" s="67" t="n">
        <v>0</v>
      </c>
      <c r="AS172" s="67" t="n">
        <v>1</v>
      </c>
      <c r="AT172" s="67" t="n">
        <v>0</v>
      </c>
    </row>
    <row r="173" ht="40" customHeight="1">
      <c r="A173" s="63" t="inlineStr">
        <is>
          <t>F06-T7-08</t>
        </is>
      </c>
      <c r="B173" s="63" t="inlineStr">
        <is>
          <t>F06</t>
        </is>
      </c>
      <c r="C173" s="63">
        <f>Flights!$F$10</f>
        <v/>
      </c>
      <c r="D173" s="64">
        <f>Flights!$D$10</f>
        <v/>
      </c>
      <c r="E173" s="63">
        <f>Flights!$G$10&amp;"-"&amp;Flights!$H$10</f>
        <v/>
      </c>
      <c r="F173" s="63">
        <f>Flights!$K$10</f>
        <v/>
      </c>
      <c r="G173" s="63" t="inlineStr">
        <is>
          <t>T-7D</t>
        </is>
      </c>
      <c r="H173" s="63" t="inlineStr">
        <is>
          <t>Preparation</t>
        </is>
      </c>
      <c r="I173" s="63" t="inlineStr">
        <is>
          <t>Documents</t>
        </is>
      </c>
      <c r="J173" s="63" t="inlineStr">
        <is>
          <t>Menu checklist received, revision recorded &amp; attached</t>
        </is>
      </c>
      <c r="K173" s="73" t="inlineStr">
        <is>
          <t>Documents sheet row complete</t>
        </is>
      </c>
      <c r="L173" s="73" t="inlineStr">
        <is>
          <t>User brief (T-7 days)</t>
        </is>
      </c>
      <c r="M173" s="73" t="inlineStr"/>
      <c r="N173" s="73" t="inlineStr">
        <is>
          <t>Required</t>
        </is>
      </c>
      <c r="O173" s="73" t="inlineStr"/>
      <c r="P173" s="63" t="inlineStr">
        <is>
          <t>KUL</t>
        </is>
      </c>
      <c r="Q173" s="65">
        <f>Flights!$AC$10</f>
        <v/>
      </c>
      <c r="R173" s="65">
        <f>Q173+(IF(AND(INDEX(TZ_DSTS,MATCH(P173,TZ_STN,0))&lt;&gt;"",Q173&gt;=INDEX(TZ_DSTS,MATCH(P173,TZ_STN,0)),Q173&lt;INDEX(TZ_DSTE,MATCH(P173,TZ_STN,0))),INDEX(TZ_DST,MATCH(P173,TZ_STN,0)),INDEX(TZ_STD,MATCH(P173,TZ_STN,0))))/24</f>
        <v/>
      </c>
      <c r="S173" s="65" t="inlineStr"/>
      <c r="T173" s="66" t="n"/>
      <c r="U173" s="66" t="n"/>
      <c r="V173" s="66" t="n"/>
      <c r="W173" s="67" t="n"/>
      <c r="X173" s="66" t="n"/>
      <c r="Y173" s="66" t="n"/>
      <c r="Z173" s="66" t="n"/>
      <c r="AA173" s="66" t="n"/>
      <c r="AB173" s="66" t="n"/>
      <c r="AC173" s="66" t="n"/>
      <c r="AD173" s="72" t="n"/>
      <c r="AE173" s="66" t="n"/>
      <c r="AF173" s="67">
        <f>IF(AND(ISNUMBER(X173),ISNUMBER(Y173)),Y173-X173,"")</f>
        <v/>
      </c>
      <c r="AG173" s="68">
        <f>IF(ISNUMBER(AD173),AD173-(IF(AND(INDEX(TZ_DSTS,MATCH(P173,TZ_STN,0))&lt;&gt;"",(AD173-INDEX(TZ_STD,MATCH(P173,TZ_STN,0))/24)&gt;=INDEX(TZ_DSTS,MATCH(P173,TZ_STN,0)),(AD173-INDEX(TZ_STD,MATCH(P173,TZ_STN,0))/24)&lt;INDEX(TZ_DSTE,MATCH(P173,TZ_STN,0))),INDEX(TZ_DST,MATCH(P173,TZ_STN,0)),INDEX(TZ_STD,MATCH(P173,TZ_STN,0))))/24,"")</f>
        <v/>
      </c>
      <c r="AH173" s="71">
        <f>IF(N173="N/A – rule","N/A – RULE",IF(TRIM(U173)="N/A",IF(AT173=0,"INVALID – N/A not permitted for this mandatory check",IF(AND(TRIM(AC173)&lt;&gt;"",TRIM(AE173)&lt;&gt;"",TRIM(T173)&lt;&gt;""),"N/A – JUSTIFIED","INVALID – N/A needs justification, PIC and verifier")),IF(OR(TRIM(U173)="Pass",TRIM(U173)="Pass after CA"),IF(NOT(ISNUMBER(AD173)),"INVALID – completion time missing",IF(TRIM(T173)="","INVALID – PIC missing",IF(TRIM(Z173)="","INVALID – evidence missing",IF(TRIM(AE173)="","INVALID – verifier missing",IF(AND(AQ173=1,TRIM(W173)=""),"INVALID – batch ID missing",IF(AND(AR173=1,OR(NOT(ISNUMBER(X173)),NOT(ISNUMBER(Y173)))),"INVALID – expected/actual qty missing",IF(IF(AND(TRIM(U173)="Pass",ISNUMBER(AF173)),IF(AF173&lt;&gt;0,"INVALID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recorded/closed","")&lt;&gt;"",IF(AND(TRIM(U173)="Pass",ISNUMBER(AF173)),IF(AF173&lt;&gt;0,"INVALID – qty variance: use Fail or Pass after CA",""),"")&amp;IF(AND(TRIM(U173)="Pass",AB173="Open"),"INVALID – corrective action still open: use Fail, then Pass after CA","")&amp;IF(AND(TRIM(U173)="Pass after CA",OR(TRIM(AA173)="",AB173&lt;&gt;"Closed")),"INVALID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window"),IF(AG173&gt;Flights!$AA$10,"INVALID – completed after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f>
        <v/>
      </c>
      <c r="AI173" s="67">
        <f>IF(OR(AH173="N/A – RULE",AH173="N/A – JUSTIFIED"),0,1)</f>
        <v/>
      </c>
      <c r="AJ173" s="67">
        <f>IF(LEFT(AH173,8)="COMPLETE",1,0)</f>
        <v/>
      </c>
      <c r="AK173" s="67">
        <f>IF(AND(AI173=1,AJ173=0,AsOfUTC&gt;Q173),1,0)</f>
        <v/>
      </c>
      <c r="AL173" s="67">
        <f>IF(AND(AI173=1,OR(TRIM(U173)="Fail",AB173="Open",AND(ISNUMBER(AF173),AF173&lt;&gt;0,TRIM(U173)&lt;&gt;"Pass after CA"))),1,0)</f>
        <v/>
      </c>
      <c r="AM173" s="67">
        <f>IF(LEFT(AH173,7)="INVALID",1,0)</f>
        <v/>
      </c>
      <c r="AN173" s="67">
        <f>IF(AND(N173="Clarification required",AI173=1,AJ173=0),1,0)</f>
        <v/>
      </c>
      <c r="AO173" s="67">
        <f>IF(AK173=1,SUM(AK$5:AK173),"")</f>
        <v/>
      </c>
      <c r="AP173" s="67">
        <f>IF(AL173=1,SUM(AL$5:AL173),"")</f>
        <v/>
      </c>
      <c r="AQ173" s="67" t="n">
        <v>0</v>
      </c>
      <c r="AR173" s="67" t="n">
        <v>0</v>
      </c>
      <c r="AS173" s="67" t="n">
        <v>2</v>
      </c>
      <c r="AT173" s="67" t="n">
        <v>0</v>
      </c>
    </row>
    <row r="174" ht="40" customHeight="1">
      <c r="A174" s="63" t="inlineStr">
        <is>
          <t>F06-T7-09</t>
        </is>
      </c>
      <c r="B174" s="63" t="inlineStr">
        <is>
          <t>F06</t>
        </is>
      </c>
      <c r="C174" s="63">
        <f>Flights!$F$10</f>
        <v/>
      </c>
      <c r="D174" s="64">
        <f>Flights!$D$10</f>
        <v/>
      </c>
      <c r="E174" s="63">
        <f>Flights!$G$10&amp;"-"&amp;Flights!$H$10</f>
        <v/>
      </c>
      <c r="F174" s="63">
        <f>Flights!$K$10</f>
        <v/>
      </c>
      <c r="G174" s="63" t="inlineStr">
        <is>
          <t>T-7D</t>
        </is>
      </c>
      <c r="H174" s="63" t="inlineStr">
        <is>
          <t>Preparation</t>
        </is>
      </c>
      <c r="I174" s="63" t="inlineStr">
        <is>
          <t>Uplift plan</t>
        </is>
      </c>
      <c r="J174" s="63" t="inlineStr">
        <is>
          <t>Uplift plan confirmed with caterer vs STD Uplift Information</t>
        </is>
      </c>
      <c r="K174" s="73" t="inlineStr">
        <is>
          <t>Service: 2.5 Meal (Meal); meal uplift stn KUL (ref lists KUL/LHR)</t>
        </is>
      </c>
      <c r="L174" s="73" t="inlineStr">
        <is>
          <t>STD UPLIFT INFORMATION.xlsx &gt; CATERING UPLIFT STN!C9:G9</t>
        </is>
      </c>
      <c r="M174" s="73" t="inlineStr"/>
      <c r="N174" s="73" t="inlineStr">
        <is>
          <t>Required</t>
        </is>
      </c>
      <c r="O174" s="73" t="inlineStr"/>
      <c r="P174" s="63" t="inlineStr">
        <is>
          <t>KUL</t>
        </is>
      </c>
      <c r="Q174" s="65">
        <f>Flights!$AC$10</f>
        <v/>
      </c>
      <c r="R174" s="65">
        <f>Q174+(IF(AND(INDEX(TZ_DSTS,MATCH(P174,TZ_STN,0))&lt;&gt;"",Q174&gt;=INDEX(TZ_DSTS,MATCH(P174,TZ_STN,0)),Q174&lt;INDEX(TZ_DSTE,MATCH(P174,TZ_STN,0))),INDEX(TZ_DST,MATCH(P174,TZ_STN,0)),INDEX(TZ_STD,MATCH(P174,TZ_STN,0))))/24</f>
        <v/>
      </c>
      <c r="S174" s="65" t="inlineStr"/>
      <c r="T174" s="66" t="n"/>
      <c r="U174" s="66" t="n"/>
      <c r="V174" s="66" t="n"/>
      <c r="W174" s="67" t="n"/>
      <c r="X174" s="66" t="n"/>
      <c r="Y174" s="66" t="n"/>
      <c r="Z174" s="66" t="n"/>
      <c r="AA174" s="66" t="n"/>
      <c r="AB174" s="66" t="n"/>
      <c r="AC174" s="66" t="n"/>
      <c r="AD174" s="72" t="n"/>
      <c r="AE174" s="66" t="n"/>
      <c r="AF174" s="67">
        <f>IF(AND(ISNUMBER(X174),ISNUMBER(Y174)),Y174-X174,"")</f>
        <v/>
      </c>
      <c r="AG174" s="68">
        <f>IF(ISNUMBER(AD174),AD174-(IF(AND(INDEX(TZ_DSTS,MATCH(P174,TZ_STN,0))&lt;&gt;"",(AD174-INDEX(TZ_STD,MATCH(P174,TZ_STN,0))/24)&gt;=INDEX(TZ_DSTS,MATCH(P174,TZ_STN,0)),(AD174-INDEX(TZ_STD,MATCH(P174,TZ_STN,0))/24)&lt;INDEX(TZ_DSTE,MATCH(P174,TZ_STN,0))),INDEX(TZ_DST,MATCH(P174,TZ_STN,0)),INDEX(TZ_STD,MATCH(P174,TZ_STN,0))))/24,"")</f>
        <v/>
      </c>
      <c r="AH174" s="71">
        <f>IF(N174="N/A – rule","N/A – RULE",IF(TRIM(U174)="N/A",IF(AT174=0,"INVALID – N/A not permitted for this mandatory check",IF(AND(TRIM(AC174)&lt;&gt;"",TRIM(AE174)&lt;&gt;"",TRIM(T174)&lt;&gt;""),"N/A – JUSTIFIED","INVALID – N/A needs justification, PIC and verifier")),IF(OR(TRIM(U174)="Pass",TRIM(U174)="Pass after CA"),IF(NOT(ISNUMBER(AD174)),"INVALID – completion time missing",IF(TRIM(T174)="","INVALID – PIC missing",IF(TRIM(Z174)="","INVALID – evidence missing",IF(TRIM(AE174)="","INVALID – verifier missing",IF(AND(AQ174=1,TRIM(W174)=""),"INVALID – batch ID missing",IF(AND(AR174=1,OR(NOT(ISNUMBER(X174)),NOT(ISNUMBER(Y174)))),"INVALID – expected/actual qty missing",IF(IF(AND(TRIM(U174)="Pass",ISNUMBER(AF174)),IF(AF174&lt;&gt;0,"INVALID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recorded/closed","")&lt;&gt;"",IF(AND(TRIM(U174)="Pass",ISNUMBER(AF174)),IF(AF174&lt;&gt;0,"INVALID – qty variance: use Fail or Pass after CA",""),"")&amp;IF(AND(TRIM(U174)="Pass",AB174="Open"),"INVALID – corrective action still open: use Fail, then Pass after CA","")&amp;IF(AND(TRIM(U174)="Pass after CA",OR(TRIM(AA174)="",AB174&lt;&gt;"Closed")),"INVALID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window"),IF(AG174&gt;Flights!$AA$10,"INVALID – completed after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f>
        <v/>
      </c>
      <c r="AI174" s="67">
        <f>IF(OR(AH174="N/A – RULE",AH174="N/A – JUSTIFIED"),0,1)</f>
        <v/>
      </c>
      <c r="AJ174" s="67">
        <f>IF(LEFT(AH174,8)="COMPLETE",1,0)</f>
        <v/>
      </c>
      <c r="AK174" s="67">
        <f>IF(AND(AI174=1,AJ174=0,AsOfUTC&gt;Q174),1,0)</f>
        <v/>
      </c>
      <c r="AL174" s="67">
        <f>IF(AND(AI174=1,OR(TRIM(U174)="Fail",AB174="Open",AND(ISNUMBER(AF174),AF174&lt;&gt;0,TRIM(U174)&lt;&gt;"Pass after CA"))),1,0)</f>
        <v/>
      </c>
      <c r="AM174" s="67">
        <f>IF(LEFT(AH174,7)="INVALID",1,0)</f>
        <v/>
      </c>
      <c r="AN174" s="67">
        <f>IF(AND(N174="Clarification required",AI174=1,AJ174=0),1,0)</f>
        <v/>
      </c>
      <c r="AO174" s="67">
        <f>IF(AK174=1,SUM(AK$5:AK174),"")</f>
        <v/>
      </c>
      <c r="AP174" s="67">
        <f>IF(AL174=1,SUM(AL$5:AL174),"")</f>
        <v/>
      </c>
      <c r="AQ174" s="67" t="n">
        <v>0</v>
      </c>
      <c r="AR174" s="67" t="n">
        <v>0</v>
      </c>
      <c r="AS174" s="67" t="n">
        <v>0</v>
      </c>
      <c r="AT174" s="67" t="n">
        <v>0</v>
      </c>
    </row>
    <row r="175" ht="40" customHeight="1">
      <c r="A175" s="63" t="inlineStr">
        <is>
          <t>F06-T24-01</t>
        </is>
      </c>
      <c r="B175" s="63" t="inlineStr">
        <is>
          <t>F06</t>
        </is>
      </c>
      <c r="C175" s="63">
        <f>Flights!$F$10</f>
        <v/>
      </c>
      <c r="D175" s="64">
        <f>Flights!$D$10</f>
        <v/>
      </c>
      <c r="E175" s="63">
        <f>Flights!$G$10&amp;"-"&amp;Flights!$H$10</f>
        <v/>
      </c>
      <c r="F175" s="63">
        <f>Flights!$K$10</f>
        <v/>
      </c>
      <c r="G175" s="63" t="inlineStr">
        <is>
          <t>T-24H</t>
        </is>
      </c>
      <c r="H175" s="63" t="inlineStr">
        <is>
          <t>Preparation</t>
        </is>
      </c>
      <c r="I175" s="63" t="inlineStr">
        <is>
          <t>Meal</t>
        </is>
      </c>
      <c r="J175" s="63" t="inlineStr">
        <is>
          <t>Sensory test repeated on ACTUAL production batch for this flight</t>
        </is>
      </c>
      <c r="K175" s="73" t="inlineStr">
        <is>
          <t>Batch ID, result, CA and acceptance mandatory</t>
        </is>
      </c>
      <c r="L175" s="73" t="inlineStr">
        <is>
          <t>User brief (T-24 hours)</t>
        </is>
      </c>
      <c r="M175" s="73" t="inlineStr"/>
      <c r="N175" s="73" t="inlineStr">
        <is>
          <t>Required</t>
        </is>
      </c>
      <c r="O175" s="73" t="inlineStr"/>
      <c r="P175" s="63" t="inlineStr">
        <is>
          <t>KUL</t>
        </is>
      </c>
      <c r="Q175" s="65">
        <f>Flights!$AD$10</f>
        <v/>
      </c>
      <c r="R175" s="65">
        <f>Q175+(IF(AND(INDEX(TZ_DSTS,MATCH(P175,TZ_STN,0))&lt;&gt;"",Q175&gt;=INDEX(TZ_DSTS,MATCH(P175,TZ_STN,0)),Q175&lt;INDEX(TZ_DSTE,MATCH(P175,TZ_STN,0))),INDEX(TZ_DST,MATCH(P175,TZ_STN,0)),INDEX(TZ_STD,MATCH(P175,TZ_STN,0))))/24</f>
        <v/>
      </c>
      <c r="S175" s="65">
        <f>Q175-T24EarlyH/24</f>
        <v/>
      </c>
      <c r="T175" s="66" t="n"/>
      <c r="U175" s="66" t="n"/>
      <c r="V175" s="66" t="n"/>
      <c r="W175" s="66" t="n"/>
      <c r="X175" s="66" t="n"/>
      <c r="Y175" s="66" t="n"/>
      <c r="Z175" s="66" t="n"/>
      <c r="AA175" s="66" t="n"/>
      <c r="AB175" s="66" t="n"/>
      <c r="AC175" s="66" t="n"/>
      <c r="AD175" s="72" t="n"/>
      <c r="AE175" s="66" t="n"/>
      <c r="AF175" s="67">
        <f>IF(AND(ISNUMBER(X175),ISNUMBER(Y175)),Y175-X175,"")</f>
        <v/>
      </c>
      <c r="AG175" s="68">
        <f>IF(ISNUMBER(AD175),AD175-(IF(AND(INDEX(TZ_DSTS,MATCH(P175,TZ_STN,0))&lt;&gt;"",(AD175-INDEX(TZ_STD,MATCH(P175,TZ_STN,0))/24)&gt;=INDEX(TZ_DSTS,MATCH(P175,TZ_STN,0)),(AD175-INDEX(TZ_STD,MATCH(P175,TZ_STN,0))/24)&lt;INDEX(TZ_DSTE,MATCH(P175,TZ_STN,0))),INDEX(TZ_DST,MATCH(P175,TZ_STN,0)),INDEX(TZ_STD,MATCH(P175,TZ_STN,0))))/24,"")</f>
        <v/>
      </c>
      <c r="AH175" s="71">
        <f>IF(N175="N/A – rule","N/A – RULE",IF(TRIM(U175)="N/A",IF(AT175=0,"INVALID – N/A not permitted for this mandatory check",IF(AND(TRIM(AC175)&lt;&gt;"",TRIM(AE175)&lt;&gt;"",TRIM(T175)&lt;&gt;""),"N/A – JUSTIFIED","INVALID – N/A needs justification, PIC and verifier")),IF(OR(TRIM(U175)="Pass",TRIM(U175)="Pass after CA"),IF(NOT(ISNUMBER(AD175)),"INVALID – completion time missing",IF(TRIM(T175)="","INVALID – PIC missing",IF(TRIM(Z175)="","INVALID – evidence missing",IF(TRIM(AE175)="","INVALID – verifier missing",IF(AND(AQ175=1,TRIM(W175)=""),"INVALID – batch ID missing",IF(AND(AR175=1,OR(NOT(ISNUMBER(X175)),NOT(ISNUMBER(Y175)))),"INVALID – expected/actual qty missing",IF(IF(AND(TRIM(U175)="Pass",ISNUMBER(AF175)),IF(AF175&lt;&gt;0,"INVALID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recorded/closed","")&lt;&gt;"",IF(AND(TRIM(U175)="Pass",ISNUMBER(AF175)),IF(AF175&lt;&gt;0,"INVALID – qty variance: use Fail or Pass after CA",""),"")&amp;IF(AND(TRIM(U175)="Pass",AB175="Open"),"INVALID – corrective action still open: use Fail, then Pass after CA","")&amp;IF(AND(TRIM(U175)="Pass after CA",OR(TRIM(AA175)="",AB175&lt;&gt;"Closed")),"INVALID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window"),IF(AG175&gt;Flights!$AA$10,"INVALID – completed after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f>
        <v/>
      </c>
      <c r="AI175" s="67">
        <f>IF(OR(AH175="N/A – RULE",AH175="N/A – JUSTIFIED"),0,1)</f>
        <v/>
      </c>
      <c r="AJ175" s="67">
        <f>IF(LEFT(AH175,8)="COMPLETE",1,0)</f>
        <v/>
      </c>
      <c r="AK175" s="67">
        <f>IF(AND(AI175=1,AJ175=0,AsOfUTC&gt;Q175),1,0)</f>
        <v/>
      </c>
      <c r="AL175" s="67">
        <f>IF(AND(AI175=1,OR(TRIM(U175)="Fail",AB175="Open",AND(ISNUMBER(AF175),AF175&lt;&gt;0,TRIM(U175)&lt;&gt;"Pass after CA"))),1,0)</f>
        <v/>
      </c>
      <c r="AM175" s="67">
        <f>IF(LEFT(AH175,7)="INVALID",1,0)</f>
        <v/>
      </c>
      <c r="AN175" s="67">
        <f>IF(AND(N175="Clarification required",AI175=1,AJ175=0),1,0)</f>
        <v/>
      </c>
      <c r="AO175" s="67">
        <f>IF(AK175=1,SUM(AK$5:AK175),"")</f>
        <v/>
      </c>
      <c r="AP175" s="67">
        <f>IF(AL175=1,SUM(AL$5:AL175),"")</f>
        <v/>
      </c>
      <c r="AQ175" s="67" t="n">
        <v>1</v>
      </c>
      <c r="AR175" s="67" t="n">
        <v>0</v>
      </c>
      <c r="AS175" s="67" t="n">
        <v>0</v>
      </c>
      <c r="AT175" s="67" t="n">
        <v>0</v>
      </c>
    </row>
    <row r="176" ht="40" customHeight="1">
      <c r="A176" s="63" t="inlineStr">
        <is>
          <t>F06-T12-01</t>
        </is>
      </c>
      <c r="B176" s="63" t="inlineStr">
        <is>
          <t>F06</t>
        </is>
      </c>
      <c r="C176" s="63">
        <f>Flights!$F$10</f>
        <v/>
      </c>
      <c r="D176" s="64">
        <f>Flights!$D$10</f>
        <v/>
      </c>
      <c r="E176" s="63">
        <f>Flights!$G$10&amp;"-"&amp;Flights!$H$10</f>
        <v/>
      </c>
      <c r="F176" s="63">
        <f>Flights!$K$10</f>
        <v/>
      </c>
      <c r="G176" s="63" t="inlineStr">
        <is>
          <t>T-12H PREP</t>
        </is>
      </c>
      <c r="H176" s="63" t="inlineStr">
        <is>
          <t>Preparation</t>
        </is>
      </c>
      <c r="I176" s="63" t="inlineStr">
        <is>
          <t>Meal</t>
        </is>
      </c>
      <c r="J176" s="63" t="inlineStr">
        <is>
          <t>Meal quality vs menu checklist</t>
        </is>
      </c>
      <c r="K176" s="73" t="inlineStr"/>
      <c r="L176" s="73" t="inlineStr">
        <is>
          <t>User brief (T-12 hours)</t>
        </is>
      </c>
      <c r="M176" s="73" t="inlineStr"/>
      <c r="N176" s="73" t="inlineStr">
        <is>
          <t>Required</t>
        </is>
      </c>
      <c r="O176" s="73" t="inlineStr">
        <is>
          <t>Preparation check at caterer - does NOT confirm loading.</t>
        </is>
      </c>
      <c r="P176" s="63" t="inlineStr">
        <is>
          <t>KUL</t>
        </is>
      </c>
      <c r="Q176" s="65">
        <f>Flights!$AE$10</f>
        <v/>
      </c>
      <c r="R176" s="65">
        <f>Q176+(IF(AND(INDEX(TZ_DSTS,MATCH(P176,TZ_STN,0))&lt;&gt;"",Q176&gt;=INDEX(TZ_DSTS,MATCH(P176,TZ_STN,0)),Q176&lt;INDEX(TZ_DSTE,MATCH(P176,TZ_STN,0))),INDEX(TZ_DST,MATCH(P176,TZ_STN,0)),INDEX(TZ_STD,MATCH(P176,TZ_STN,0))))/24</f>
        <v/>
      </c>
      <c r="S176" s="65">
        <f>Q176-T12EarlyH/24</f>
        <v/>
      </c>
      <c r="T176" s="66" t="n"/>
      <c r="U176" s="66" t="n"/>
      <c r="V176" s="66" t="n"/>
      <c r="W176" s="67" t="n"/>
      <c r="X176" s="66" t="n"/>
      <c r="Y176" s="66" t="n"/>
      <c r="Z176" s="66" t="n"/>
      <c r="AA176" s="66" t="n"/>
      <c r="AB176" s="66" t="n"/>
      <c r="AC176" s="66" t="n"/>
      <c r="AD176" s="72" t="n"/>
      <c r="AE176" s="66" t="n"/>
      <c r="AF176" s="67">
        <f>IF(AND(ISNUMBER(X176),ISNUMBER(Y176)),Y176-X176,"")</f>
        <v/>
      </c>
      <c r="AG176" s="68">
        <f>IF(ISNUMBER(AD176),AD176-(IF(AND(INDEX(TZ_DSTS,MATCH(P176,TZ_STN,0))&lt;&gt;"",(AD176-INDEX(TZ_STD,MATCH(P176,TZ_STN,0))/24)&gt;=INDEX(TZ_DSTS,MATCH(P176,TZ_STN,0)),(AD176-INDEX(TZ_STD,MATCH(P176,TZ_STN,0))/24)&lt;INDEX(TZ_DSTE,MATCH(P176,TZ_STN,0))),INDEX(TZ_DST,MATCH(P176,TZ_STN,0)),INDEX(TZ_STD,MATCH(P176,TZ_STN,0))))/24,"")</f>
        <v/>
      </c>
      <c r="AH176" s="71">
        <f>IF(N176="N/A – rule","N/A – RULE",IF(TRIM(U176)="N/A",IF(AT176=0,"INVALID – N/A not permitted for this mandatory check",IF(AND(TRIM(AC176)&lt;&gt;"",TRIM(AE176)&lt;&gt;"",TRIM(T176)&lt;&gt;""),"N/A – JUSTIFIED","INVALID – N/A needs justification, PIC and verifier")),IF(OR(TRIM(U176)="Pass",TRIM(U176)="Pass after CA"),IF(NOT(ISNUMBER(AD176)),"INVALID – completion time missing",IF(TRIM(T176)="","INVALID – PIC missing",IF(TRIM(Z176)="","INVALID – evidence missing",IF(TRIM(AE176)="","INVALID – verifier missing",IF(AND(AQ176=1,TRIM(W176)=""),"INVALID – batch ID missing",IF(AND(AR176=1,OR(NOT(ISNUMBER(X176)),NOT(ISNUMBER(Y176)))),"INVALID – expected/actual qty missing",IF(IF(AND(TRIM(U176)="Pass",ISNUMBER(AF176)),IF(AF176&lt;&gt;0,"INVALID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recorded/closed","")&lt;&gt;"",IF(AND(TRIM(U176)="Pass",ISNUMBER(AF176)),IF(AF176&lt;&gt;0,"INVALID – qty variance: use Fail or Pass after CA",""),"")&amp;IF(AND(TRIM(U176)="Pass",AB176="Open"),"INVALID – corrective action still open: use Fail, then Pass after CA","")&amp;IF(AND(TRIM(U176)="Pass after CA",OR(TRIM(AA176)="",AB176&lt;&gt;"Closed")),"INVALID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window"),IF(AG176&gt;Flights!$AA$10,"INVALID – completed after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f>
        <v/>
      </c>
      <c r="AI176" s="67">
        <f>IF(OR(AH176="N/A – RULE",AH176="N/A – JUSTIFIED"),0,1)</f>
        <v/>
      </c>
      <c r="AJ176" s="67">
        <f>IF(LEFT(AH176,8)="COMPLETE",1,0)</f>
        <v/>
      </c>
      <c r="AK176" s="67">
        <f>IF(AND(AI176=1,AJ176=0,AsOfUTC&gt;Q176),1,0)</f>
        <v/>
      </c>
      <c r="AL176" s="67">
        <f>IF(AND(AI176=1,OR(TRIM(U176)="Fail",AB176="Open",AND(ISNUMBER(AF176),AF176&lt;&gt;0,TRIM(U176)&lt;&gt;"Pass after CA"))),1,0)</f>
        <v/>
      </c>
      <c r="AM176" s="67">
        <f>IF(LEFT(AH176,7)="INVALID",1,0)</f>
        <v/>
      </c>
      <c r="AN176" s="67">
        <f>IF(AND(N176="Clarification required",AI176=1,AJ176=0),1,0)</f>
        <v/>
      </c>
      <c r="AO176" s="67">
        <f>IF(AK176=1,SUM(AK$5:AK176),"")</f>
        <v/>
      </c>
      <c r="AP176" s="67">
        <f>IF(AL176=1,SUM(AL$5:AL176),"")</f>
        <v/>
      </c>
      <c r="AQ176" s="67" t="n">
        <v>0</v>
      </c>
      <c r="AR176" s="67" t="n">
        <v>0</v>
      </c>
      <c r="AS176" s="67" t="n">
        <v>0</v>
      </c>
      <c r="AT176" s="67" t="n">
        <v>0</v>
      </c>
    </row>
    <row r="177" ht="40" customHeight="1">
      <c r="A177" s="63" t="inlineStr">
        <is>
          <t>F06-T12-02</t>
        </is>
      </c>
      <c r="B177" s="63" t="inlineStr">
        <is>
          <t>F06</t>
        </is>
      </c>
      <c r="C177" s="63">
        <f>Flights!$F$10</f>
        <v/>
      </c>
      <c r="D177" s="64">
        <f>Flights!$D$10</f>
        <v/>
      </c>
      <c r="E177" s="63">
        <f>Flights!$G$10&amp;"-"&amp;Flights!$H$10</f>
        <v/>
      </c>
      <c r="F177" s="63">
        <f>Flights!$K$10</f>
        <v/>
      </c>
      <c r="G177" s="63" t="inlineStr">
        <is>
          <t>T-12H PREP</t>
        </is>
      </c>
      <c r="H177" s="63" t="inlineStr">
        <is>
          <t>Preparation</t>
        </is>
      </c>
      <c r="I177" s="63" t="inlineStr">
        <is>
          <t>Meal</t>
        </is>
      </c>
      <c r="J177" s="63" t="inlineStr">
        <is>
          <t>Meal quantities vs menu checklist</t>
        </is>
      </c>
      <c r="K177" s="73" t="inlineStr">
        <is>
          <t>Enter expected &amp; actual</t>
        </is>
      </c>
      <c r="L177" s="73" t="inlineStr">
        <is>
          <t>User brief (T-12 hours)</t>
        </is>
      </c>
      <c r="M177" s="73" t="inlineStr"/>
      <c r="N177" s="73" t="inlineStr">
        <is>
          <t>Required</t>
        </is>
      </c>
      <c r="O177" s="73" t="inlineStr">
        <is>
          <t>Preparation check at caterer - does NOT confirm loading.</t>
        </is>
      </c>
      <c r="P177" s="63" t="inlineStr">
        <is>
          <t>KUL</t>
        </is>
      </c>
      <c r="Q177" s="65">
        <f>Flights!$AE$10</f>
        <v/>
      </c>
      <c r="R177" s="65">
        <f>Q177+(IF(AND(INDEX(TZ_DSTS,MATCH(P177,TZ_STN,0))&lt;&gt;"",Q177&gt;=INDEX(TZ_DSTS,MATCH(P177,TZ_STN,0)),Q177&lt;INDEX(TZ_DSTE,MATCH(P177,TZ_STN,0))),INDEX(TZ_DST,MATCH(P177,TZ_STN,0)),INDEX(TZ_STD,MATCH(P177,TZ_STN,0))))/24</f>
        <v/>
      </c>
      <c r="S177" s="65">
        <f>Q177-T12EarlyH/24</f>
        <v/>
      </c>
      <c r="T177" s="66" t="n"/>
      <c r="U177" s="66" t="n"/>
      <c r="V177" s="66" t="n"/>
      <c r="W177" s="67" t="n"/>
      <c r="X177" s="66" t="n"/>
      <c r="Y177" s="66" t="n"/>
      <c r="Z177" s="66" t="n"/>
      <c r="AA177" s="66" t="n"/>
      <c r="AB177" s="66" t="n"/>
      <c r="AC177" s="66" t="n"/>
      <c r="AD177" s="72" t="n"/>
      <c r="AE177" s="66" t="n"/>
      <c r="AF177" s="67">
        <f>IF(AND(ISNUMBER(X177),ISNUMBER(Y177)),Y177-X177,"")</f>
        <v/>
      </c>
      <c r="AG177" s="68">
        <f>IF(ISNUMBER(AD177),AD177-(IF(AND(INDEX(TZ_DSTS,MATCH(P177,TZ_STN,0))&lt;&gt;"",(AD177-INDEX(TZ_STD,MATCH(P177,TZ_STN,0))/24)&gt;=INDEX(TZ_DSTS,MATCH(P177,TZ_STN,0)),(AD177-INDEX(TZ_STD,MATCH(P177,TZ_STN,0))/24)&lt;INDEX(TZ_DSTE,MATCH(P177,TZ_STN,0))),INDEX(TZ_DST,MATCH(P177,TZ_STN,0)),INDEX(TZ_STD,MATCH(P177,TZ_STN,0))))/24,"")</f>
        <v/>
      </c>
      <c r="AH177" s="71">
        <f>IF(N177="N/A – rule","N/A – RULE",IF(TRIM(U177)="N/A",IF(AT177=0,"INVALID – N/A not permitted for this mandatory check",IF(AND(TRIM(AC177)&lt;&gt;"",TRIM(AE177)&lt;&gt;"",TRIM(T177)&lt;&gt;""),"N/A – JUSTIFIED","INVALID – N/A needs justification, PIC and verifier")),IF(OR(TRIM(U177)="Pass",TRIM(U177)="Pass after CA"),IF(NOT(ISNUMBER(AD177)),"INVALID – completion time missing",IF(TRIM(T177)="","INVALID – PIC missing",IF(TRIM(Z177)="","INVALID – evidence missing",IF(TRIM(AE177)="","INVALID – verifier missing",IF(AND(AQ177=1,TRIM(W177)=""),"INVALID – batch ID missing",IF(AND(AR177=1,OR(NOT(ISNUMBER(X177)),NOT(ISNUMBER(Y177)))),"INVALID – expected/actual qty missing",IF(IF(AND(TRIM(U177)="Pass",ISNUMBER(AF177)),IF(AF177&lt;&gt;0,"INVALID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recorded/closed","")&lt;&gt;"",IF(AND(TRIM(U177)="Pass",ISNUMBER(AF177)),IF(AF177&lt;&gt;0,"INVALID – qty variance: use Fail or Pass after CA",""),"")&amp;IF(AND(TRIM(U177)="Pass",AB177="Open"),"INVALID – corrective action still open: use Fail, then Pass after CA","")&amp;IF(AND(TRIM(U177)="Pass after CA",OR(TRIM(AA177)="",AB177&lt;&gt;"Closed")),"INVALID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window"),IF(AG177&gt;Flights!$AA$10,"INVALID – completed after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f>
        <v/>
      </c>
      <c r="AI177" s="67">
        <f>IF(OR(AH177="N/A – RULE",AH177="N/A – JUSTIFIED"),0,1)</f>
        <v/>
      </c>
      <c r="AJ177" s="67">
        <f>IF(LEFT(AH177,8)="COMPLETE",1,0)</f>
        <v/>
      </c>
      <c r="AK177" s="67">
        <f>IF(AND(AI177=1,AJ177=0,AsOfUTC&gt;Q177),1,0)</f>
        <v/>
      </c>
      <c r="AL177" s="67">
        <f>IF(AND(AI177=1,OR(TRIM(U177)="Fail",AB177="Open",AND(ISNUMBER(AF177),AF177&lt;&gt;0,TRIM(U177)&lt;&gt;"Pass after CA"))),1,0)</f>
        <v/>
      </c>
      <c r="AM177" s="67">
        <f>IF(LEFT(AH177,7)="INVALID",1,0)</f>
        <v/>
      </c>
      <c r="AN177" s="67">
        <f>IF(AND(N177="Clarification required",AI177=1,AJ177=0),1,0)</f>
        <v/>
      </c>
      <c r="AO177" s="67">
        <f>IF(AK177=1,SUM(AK$5:AK177),"")</f>
        <v/>
      </c>
      <c r="AP177" s="67">
        <f>IF(AL177=1,SUM(AL$5:AL177),"")</f>
        <v/>
      </c>
      <c r="AQ177" s="67" t="n">
        <v>0</v>
      </c>
      <c r="AR177" s="67" t="n">
        <v>1</v>
      </c>
      <c r="AS177" s="67" t="n">
        <v>0</v>
      </c>
      <c r="AT177" s="67" t="n">
        <v>0</v>
      </c>
    </row>
    <row r="178" ht="40" customHeight="1">
      <c r="A178" s="63" t="inlineStr">
        <is>
          <t>F06-T12-03</t>
        </is>
      </c>
      <c r="B178" s="63" t="inlineStr">
        <is>
          <t>F06</t>
        </is>
      </c>
      <c r="C178" s="63">
        <f>Flights!$F$10</f>
        <v/>
      </c>
      <c r="D178" s="64">
        <f>Flights!$D$10</f>
        <v/>
      </c>
      <c r="E178" s="63">
        <f>Flights!$G$10&amp;"-"&amp;Flights!$H$10</f>
        <v/>
      </c>
      <c r="F178" s="63">
        <f>Flights!$K$10</f>
        <v/>
      </c>
      <c r="G178" s="63" t="inlineStr">
        <is>
          <t>T-12H PREP</t>
        </is>
      </c>
      <c r="H178" s="63" t="inlineStr">
        <is>
          <t>Preparation</t>
        </is>
      </c>
      <c r="I178" s="63" t="inlineStr">
        <is>
          <t>Equipment</t>
        </is>
      </c>
      <c r="J178" s="63" t="inlineStr">
        <is>
          <t>Equipment cleanliness vs GLD</t>
        </is>
      </c>
      <c r="K178" s="73" t="inlineStr"/>
      <c r="L178" s="73" t="inlineStr">
        <is>
          <t>User brief (T-12 hours)</t>
        </is>
      </c>
      <c r="M178" s="73" t="inlineStr"/>
      <c r="N178" s="73" t="inlineStr">
        <is>
          <t>Required</t>
        </is>
      </c>
      <c r="O178" s="73" t="inlineStr">
        <is>
          <t>Preparation check at caterer - does NOT confirm loading.</t>
        </is>
      </c>
      <c r="P178" s="63" t="inlineStr">
        <is>
          <t>KUL</t>
        </is>
      </c>
      <c r="Q178" s="65">
        <f>Flights!$AE$10</f>
        <v/>
      </c>
      <c r="R178" s="65">
        <f>Q178+(IF(AND(INDEX(TZ_DSTS,MATCH(P178,TZ_STN,0))&lt;&gt;"",Q178&gt;=INDEX(TZ_DSTS,MATCH(P178,TZ_STN,0)),Q178&lt;INDEX(TZ_DSTE,MATCH(P178,TZ_STN,0))),INDEX(TZ_DST,MATCH(P178,TZ_STN,0)),INDEX(TZ_STD,MATCH(P178,TZ_STN,0))))/24</f>
        <v/>
      </c>
      <c r="S178" s="65">
        <f>Q178-T12EarlyH/24</f>
        <v/>
      </c>
      <c r="T178" s="66" t="n"/>
      <c r="U178" s="66" t="n"/>
      <c r="V178" s="66" t="n"/>
      <c r="W178" s="67" t="n"/>
      <c r="X178" s="66" t="n"/>
      <c r="Y178" s="66" t="n"/>
      <c r="Z178" s="66" t="n"/>
      <c r="AA178" s="66" t="n"/>
      <c r="AB178" s="66" t="n"/>
      <c r="AC178" s="66" t="n"/>
      <c r="AD178" s="72" t="n"/>
      <c r="AE178" s="66" t="n"/>
      <c r="AF178" s="67">
        <f>IF(AND(ISNUMBER(X178),ISNUMBER(Y178)),Y178-X178,"")</f>
        <v/>
      </c>
      <c r="AG178" s="68">
        <f>IF(ISNUMBER(AD178),AD178-(IF(AND(INDEX(TZ_DSTS,MATCH(P178,TZ_STN,0))&lt;&gt;"",(AD178-INDEX(TZ_STD,MATCH(P178,TZ_STN,0))/24)&gt;=INDEX(TZ_DSTS,MATCH(P178,TZ_STN,0)),(AD178-INDEX(TZ_STD,MATCH(P178,TZ_STN,0))/24)&lt;INDEX(TZ_DSTE,MATCH(P178,TZ_STN,0))),INDEX(TZ_DST,MATCH(P178,TZ_STN,0)),INDEX(TZ_STD,MATCH(P178,TZ_STN,0))))/24,"")</f>
        <v/>
      </c>
      <c r="AH178" s="71">
        <f>IF(N178="N/A – rule","N/A – RULE",IF(TRIM(U178)="N/A",IF(AT178=0,"INVALID – N/A not permitted for this mandatory check",IF(AND(TRIM(AC178)&lt;&gt;"",TRIM(AE178)&lt;&gt;"",TRIM(T178)&lt;&gt;""),"N/A – JUSTIFIED","INVALID – N/A needs justification, PIC and verifier")),IF(OR(TRIM(U178)="Pass",TRIM(U178)="Pass after CA"),IF(NOT(ISNUMBER(AD178)),"INVALID – completion time missing",IF(TRIM(T178)="","INVALID – PIC missing",IF(TRIM(Z178)="","INVALID – evidence missing",IF(TRIM(AE178)="","INVALID – verifier missing",IF(AND(AQ178=1,TRIM(W178)=""),"INVALID – batch ID missing",IF(AND(AR178=1,OR(NOT(ISNUMBER(X178)),NOT(ISNUMBER(Y178)))),"INVALID – expected/actual qty missing",IF(IF(AND(TRIM(U178)="Pass",ISNUMBER(AF178)),IF(AF178&lt;&gt;0,"INVALID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recorded/closed","")&lt;&gt;"",IF(AND(TRIM(U178)="Pass",ISNUMBER(AF178)),IF(AF178&lt;&gt;0,"INVALID – qty variance: use Fail or Pass after CA",""),"")&amp;IF(AND(TRIM(U178)="Pass",AB178="Open"),"INVALID – corrective action still open: use Fail, then Pass after CA","")&amp;IF(AND(TRIM(U178)="Pass after CA",OR(TRIM(AA178)="",AB178&lt;&gt;"Closed")),"INVALID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window"),IF(AG178&gt;Flights!$AA$10,"INVALID – completed after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f>
        <v/>
      </c>
      <c r="AI178" s="67">
        <f>IF(OR(AH178="N/A – RULE",AH178="N/A – JUSTIFIED"),0,1)</f>
        <v/>
      </c>
      <c r="AJ178" s="67">
        <f>IF(LEFT(AH178,8)="COMPLETE",1,0)</f>
        <v/>
      </c>
      <c r="AK178" s="67">
        <f>IF(AND(AI178=1,AJ178=0,AsOfUTC&gt;Q178),1,0)</f>
        <v/>
      </c>
      <c r="AL178" s="67">
        <f>IF(AND(AI178=1,OR(TRIM(U178)="Fail",AB178="Open",AND(ISNUMBER(AF178),AF178&lt;&gt;0,TRIM(U178)&lt;&gt;"Pass after CA"))),1,0)</f>
        <v/>
      </c>
      <c r="AM178" s="67">
        <f>IF(LEFT(AH178,7)="INVALID",1,0)</f>
        <v/>
      </c>
      <c r="AN178" s="67">
        <f>IF(AND(N178="Clarification required",AI178=1,AJ178=0),1,0)</f>
        <v/>
      </c>
      <c r="AO178" s="67">
        <f>IF(AK178=1,SUM(AK$5:AK178),"")</f>
        <v/>
      </c>
      <c r="AP178" s="67">
        <f>IF(AL178=1,SUM(AL$5:AL178),"")</f>
        <v/>
      </c>
      <c r="AQ178" s="67" t="n">
        <v>0</v>
      </c>
      <c r="AR178" s="67" t="n">
        <v>0</v>
      </c>
      <c r="AS178" s="67" t="n">
        <v>0</v>
      </c>
      <c r="AT178" s="67" t="n">
        <v>0</v>
      </c>
    </row>
    <row r="179" ht="40" customHeight="1">
      <c r="A179" s="63" t="inlineStr">
        <is>
          <t>F06-T12-04</t>
        </is>
      </c>
      <c r="B179" s="63" t="inlineStr">
        <is>
          <t>F06</t>
        </is>
      </c>
      <c r="C179" s="63">
        <f>Flights!$F$10</f>
        <v/>
      </c>
      <c r="D179" s="64">
        <f>Flights!$D$10</f>
        <v/>
      </c>
      <c r="E179" s="63">
        <f>Flights!$G$10&amp;"-"&amp;Flights!$H$10</f>
        <v/>
      </c>
      <c r="F179" s="63">
        <f>Flights!$K$10</f>
        <v/>
      </c>
      <c r="G179" s="63" t="inlineStr">
        <is>
          <t>T-12H PREP</t>
        </is>
      </c>
      <c r="H179" s="63" t="inlineStr">
        <is>
          <t>Preparation</t>
        </is>
      </c>
      <c r="I179" s="63" t="inlineStr">
        <is>
          <t>Equipment</t>
        </is>
      </c>
      <c r="J179" s="63" t="inlineStr">
        <is>
          <t>Equipment presentation vs GLD</t>
        </is>
      </c>
      <c r="K179" s="73" t="inlineStr"/>
      <c r="L179" s="73" t="inlineStr">
        <is>
          <t>User brief (T-12 hours)</t>
        </is>
      </c>
      <c r="M179" s="73" t="inlineStr"/>
      <c r="N179" s="73" t="inlineStr">
        <is>
          <t>Required</t>
        </is>
      </c>
      <c r="O179" s="73" t="inlineStr">
        <is>
          <t>Preparation check at caterer - does NOT confirm loading.</t>
        </is>
      </c>
      <c r="P179" s="63" t="inlineStr">
        <is>
          <t>KUL</t>
        </is>
      </c>
      <c r="Q179" s="65">
        <f>Flights!$AE$10</f>
        <v/>
      </c>
      <c r="R179" s="65">
        <f>Q179+(IF(AND(INDEX(TZ_DSTS,MATCH(P179,TZ_STN,0))&lt;&gt;"",Q179&gt;=INDEX(TZ_DSTS,MATCH(P179,TZ_STN,0)),Q179&lt;INDEX(TZ_DSTE,MATCH(P179,TZ_STN,0))),INDEX(TZ_DST,MATCH(P179,TZ_STN,0)),INDEX(TZ_STD,MATCH(P179,TZ_STN,0))))/24</f>
        <v/>
      </c>
      <c r="S179" s="65">
        <f>Q179-T12EarlyH/24</f>
        <v/>
      </c>
      <c r="T179" s="66" t="n"/>
      <c r="U179" s="66" t="n"/>
      <c r="V179" s="66" t="n"/>
      <c r="W179" s="67" t="n"/>
      <c r="X179" s="66" t="n"/>
      <c r="Y179" s="66" t="n"/>
      <c r="Z179" s="66" t="n"/>
      <c r="AA179" s="66" t="n"/>
      <c r="AB179" s="66" t="n"/>
      <c r="AC179" s="66" t="n"/>
      <c r="AD179" s="72" t="n"/>
      <c r="AE179" s="66" t="n"/>
      <c r="AF179" s="67">
        <f>IF(AND(ISNUMBER(X179),ISNUMBER(Y179)),Y179-X179,"")</f>
        <v/>
      </c>
      <c r="AG179" s="68">
        <f>IF(ISNUMBER(AD179),AD179-(IF(AND(INDEX(TZ_DSTS,MATCH(P179,TZ_STN,0))&lt;&gt;"",(AD179-INDEX(TZ_STD,MATCH(P179,TZ_STN,0))/24)&gt;=INDEX(TZ_DSTS,MATCH(P179,TZ_STN,0)),(AD179-INDEX(TZ_STD,MATCH(P179,TZ_STN,0))/24)&lt;INDEX(TZ_DSTE,MATCH(P179,TZ_STN,0))),INDEX(TZ_DST,MATCH(P179,TZ_STN,0)),INDEX(TZ_STD,MATCH(P179,TZ_STN,0))))/24,"")</f>
        <v/>
      </c>
      <c r="AH179" s="71">
        <f>IF(N179="N/A – rule","N/A – RULE",IF(TRIM(U179)="N/A",IF(AT179=0,"INVALID – N/A not permitted for this mandatory check",IF(AND(TRIM(AC179)&lt;&gt;"",TRIM(AE179)&lt;&gt;"",TRIM(T179)&lt;&gt;""),"N/A – JUSTIFIED","INVALID – N/A needs justification, PIC and verifier")),IF(OR(TRIM(U179)="Pass",TRIM(U179)="Pass after CA"),IF(NOT(ISNUMBER(AD179)),"INVALID – completion time missing",IF(TRIM(T179)="","INVALID – PIC missing",IF(TRIM(Z179)="","INVALID – evidence missing",IF(TRIM(AE179)="","INVALID – verifier missing",IF(AND(AQ179=1,TRIM(W179)=""),"INVALID – batch ID missing",IF(AND(AR179=1,OR(NOT(ISNUMBER(X179)),NOT(ISNUMBER(Y179)))),"INVALID – expected/actual qty missing",IF(IF(AND(TRIM(U179)="Pass",ISNUMBER(AF179)),IF(AF179&lt;&gt;0,"INVALID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recorded/closed","")&lt;&gt;"",IF(AND(TRIM(U179)="Pass",ISNUMBER(AF179)),IF(AF179&lt;&gt;0,"INVALID – qty variance: use Fail or Pass after CA",""),"")&amp;IF(AND(TRIM(U179)="Pass",AB179="Open"),"INVALID – corrective action still open: use Fail, then Pass after CA","")&amp;IF(AND(TRIM(U179)="Pass after CA",OR(TRIM(AA179)="",AB179&lt;&gt;"Closed")),"INVALID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window"),IF(AG179&gt;Flights!$AA$10,"INVALID – completed after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f>
        <v/>
      </c>
      <c r="AI179" s="67">
        <f>IF(OR(AH179="N/A – RULE",AH179="N/A – JUSTIFIED"),0,1)</f>
        <v/>
      </c>
      <c r="AJ179" s="67">
        <f>IF(LEFT(AH179,8)="COMPLETE",1,0)</f>
        <v/>
      </c>
      <c r="AK179" s="67">
        <f>IF(AND(AI179=1,AJ179=0,AsOfUTC&gt;Q179),1,0)</f>
        <v/>
      </c>
      <c r="AL179" s="67">
        <f>IF(AND(AI179=1,OR(TRIM(U179)="Fail",AB179="Open",AND(ISNUMBER(AF179),AF179&lt;&gt;0,TRIM(U179)&lt;&gt;"Pass after CA"))),1,0)</f>
        <v/>
      </c>
      <c r="AM179" s="67">
        <f>IF(LEFT(AH179,7)="INVALID",1,0)</f>
        <v/>
      </c>
      <c r="AN179" s="67">
        <f>IF(AND(N179="Clarification required",AI179=1,AJ179=0),1,0)</f>
        <v/>
      </c>
      <c r="AO179" s="67">
        <f>IF(AK179=1,SUM(AK$5:AK179),"")</f>
        <v/>
      </c>
      <c r="AP179" s="67">
        <f>IF(AL179=1,SUM(AL$5:AL179),"")</f>
        <v/>
      </c>
      <c r="AQ179" s="67" t="n">
        <v>0</v>
      </c>
      <c r="AR179" s="67" t="n">
        <v>0</v>
      </c>
      <c r="AS179" s="67" t="n">
        <v>0</v>
      </c>
      <c r="AT179" s="67" t="n">
        <v>0</v>
      </c>
    </row>
    <row r="180" ht="40" customHeight="1">
      <c r="A180" s="63" t="inlineStr">
        <is>
          <t>F06-T12-05</t>
        </is>
      </c>
      <c r="B180" s="63" t="inlineStr">
        <is>
          <t>F06</t>
        </is>
      </c>
      <c r="C180" s="63">
        <f>Flights!$F$10</f>
        <v/>
      </c>
      <c r="D180" s="64">
        <f>Flights!$D$10</f>
        <v/>
      </c>
      <c r="E180" s="63">
        <f>Flights!$G$10&amp;"-"&amp;Flights!$H$10</f>
        <v/>
      </c>
      <c r="F180" s="63">
        <f>Flights!$K$10</f>
        <v/>
      </c>
      <c r="G180" s="63" t="inlineStr">
        <is>
          <t>T-12H PREP</t>
        </is>
      </c>
      <c r="H180" s="63" t="inlineStr">
        <is>
          <t>Preparation</t>
        </is>
      </c>
      <c r="I180" s="63" t="inlineStr">
        <is>
          <t>Equipment</t>
        </is>
      </c>
      <c r="J180" s="63" t="inlineStr">
        <is>
          <t>Equipment serviceability vs GLD</t>
        </is>
      </c>
      <c r="K180" s="73" t="inlineStr"/>
      <c r="L180" s="73" t="inlineStr">
        <is>
          <t>User brief (T-12 hours)</t>
        </is>
      </c>
      <c r="M180" s="73" t="inlineStr"/>
      <c r="N180" s="73" t="inlineStr">
        <is>
          <t>Required</t>
        </is>
      </c>
      <c r="O180" s="73" t="inlineStr">
        <is>
          <t>Preparation check at caterer - does NOT confirm loading.</t>
        </is>
      </c>
      <c r="P180" s="63" t="inlineStr">
        <is>
          <t>KUL</t>
        </is>
      </c>
      <c r="Q180" s="65">
        <f>Flights!$AE$10</f>
        <v/>
      </c>
      <c r="R180" s="65">
        <f>Q180+(IF(AND(INDEX(TZ_DSTS,MATCH(P180,TZ_STN,0))&lt;&gt;"",Q180&gt;=INDEX(TZ_DSTS,MATCH(P180,TZ_STN,0)),Q180&lt;INDEX(TZ_DSTE,MATCH(P180,TZ_STN,0))),INDEX(TZ_DST,MATCH(P180,TZ_STN,0)),INDEX(TZ_STD,MATCH(P180,TZ_STN,0))))/24</f>
        <v/>
      </c>
      <c r="S180" s="65">
        <f>Q180-T12EarlyH/24</f>
        <v/>
      </c>
      <c r="T180" s="66" t="n"/>
      <c r="U180" s="66" t="n"/>
      <c r="V180" s="66" t="n"/>
      <c r="W180" s="67" t="n"/>
      <c r="X180" s="66" t="n"/>
      <c r="Y180" s="66" t="n"/>
      <c r="Z180" s="66" t="n"/>
      <c r="AA180" s="66" t="n"/>
      <c r="AB180" s="66" t="n"/>
      <c r="AC180" s="66" t="n"/>
      <c r="AD180" s="72" t="n"/>
      <c r="AE180" s="66" t="n"/>
      <c r="AF180" s="67">
        <f>IF(AND(ISNUMBER(X180),ISNUMBER(Y180)),Y180-X180,"")</f>
        <v/>
      </c>
      <c r="AG180" s="68">
        <f>IF(ISNUMBER(AD180),AD180-(IF(AND(INDEX(TZ_DSTS,MATCH(P180,TZ_STN,0))&lt;&gt;"",(AD180-INDEX(TZ_STD,MATCH(P180,TZ_STN,0))/24)&gt;=INDEX(TZ_DSTS,MATCH(P180,TZ_STN,0)),(AD180-INDEX(TZ_STD,MATCH(P180,TZ_STN,0))/24)&lt;INDEX(TZ_DSTE,MATCH(P180,TZ_STN,0))),INDEX(TZ_DST,MATCH(P180,TZ_STN,0)),INDEX(TZ_STD,MATCH(P180,TZ_STN,0))))/24,"")</f>
        <v/>
      </c>
      <c r="AH180" s="71">
        <f>IF(N180="N/A – rule","N/A – RULE",IF(TRIM(U180)="N/A",IF(AT180=0,"INVALID – N/A not permitted for this mandatory check",IF(AND(TRIM(AC180)&lt;&gt;"",TRIM(AE180)&lt;&gt;"",TRIM(T180)&lt;&gt;""),"N/A – JUSTIFIED","INVALID – N/A needs justification, PIC and verifier")),IF(OR(TRIM(U180)="Pass",TRIM(U180)="Pass after CA"),IF(NOT(ISNUMBER(AD180)),"INVALID – completion time missing",IF(TRIM(T180)="","INVALID – PIC missing",IF(TRIM(Z180)="","INVALID – evidence missing",IF(TRIM(AE180)="","INVALID – verifier missing",IF(AND(AQ180=1,TRIM(W180)=""),"INVALID – batch ID missing",IF(AND(AR180=1,OR(NOT(ISNUMBER(X180)),NOT(ISNUMBER(Y180)))),"INVALID – expected/actual qty missing",IF(IF(AND(TRIM(U180)="Pass",ISNUMBER(AF180)),IF(AF180&lt;&gt;0,"INVALID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recorded/closed","")&lt;&gt;"",IF(AND(TRIM(U180)="Pass",ISNUMBER(AF180)),IF(AF180&lt;&gt;0,"INVALID – qty variance: use Fail or Pass after CA",""),"")&amp;IF(AND(TRIM(U180)="Pass",AB180="Open"),"INVALID – corrective action still open: use Fail, then Pass after CA","")&amp;IF(AND(TRIM(U180)="Pass after CA",OR(TRIM(AA180)="",AB180&lt;&gt;"Closed")),"INVALID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window"),IF(AG180&gt;Flights!$AA$10,"INVALID – completed after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f>
        <v/>
      </c>
      <c r="AI180" s="67">
        <f>IF(OR(AH180="N/A – RULE",AH180="N/A – JUSTIFIED"),0,1)</f>
        <v/>
      </c>
      <c r="AJ180" s="67">
        <f>IF(LEFT(AH180,8)="COMPLETE",1,0)</f>
        <v/>
      </c>
      <c r="AK180" s="67">
        <f>IF(AND(AI180=1,AJ180=0,AsOfUTC&gt;Q180),1,0)</f>
        <v/>
      </c>
      <c r="AL180" s="67">
        <f>IF(AND(AI180=1,OR(TRIM(U180)="Fail",AB180="Open",AND(ISNUMBER(AF180),AF180&lt;&gt;0,TRIM(U180)&lt;&gt;"Pass after CA"))),1,0)</f>
        <v/>
      </c>
      <c r="AM180" s="67">
        <f>IF(LEFT(AH180,7)="INVALID",1,0)</f>
        <v/>
      </c>
      <c r="AN180" s="67">
        <f>IF(AND(N180="Clarification required",AI180=1,AJ180=0),1,0)</f>
        <v/>
      </c>
      <c r="AO180" s="67">
        <f>IF(AK180=1,SUM(AK$5:AK180),"")</f>
        <v/>
      </c>
      <c r="AP180" s="67">
        <f>IF(AL180=1,SUM(AL$5:AL180),"")</f>
        <v/>
      </c>
      <c r="AQ180" s="67" t="n">
        <v>0</v>
      </c>
      <c r="AR180" s="67" t="n">
        <v>0</v>
      </c>
      <c r="AS180" s="67" t="n">
        <v>0</v>
      </c>
      <c r="AT180" s="67" t="n">
        <v>0</v>
      </c>
    </row>
    <row r="181" ht="141.5" customHeight="1">
      <c r="A181" s="63" t="inlineStr">
        <is>
          <t>F06-T12-06</t>
        </is>
      </c>
      <c r="B181" s="63" t="inlineStr">
        <is>
          <t>F06</t>
        </is>
      </c>
      <c r="C181" s="63">
        <f>Flights!$F$10</f>
        <v/>
      </c>
      <c r="D181" s="64">
        <f>Flights!$D$10</f>
        <v/>
      </c>
      <c r="E181" s="63">
        <f>Flights!$G$10&amp;"-"&amp;Flights!$H$10</f>
        <v/>
      </c>
      <c r="F181" s="63">
        <f>Flights!$K$10</f>
        <v/>
      </c>
      <c r="G181" s="63" t="inlineStr">
        <is>
          <t>T-12H PREP</t>
        </is>
      </c>
      <c r="H181" s="63" t="inlineStr">
        <is>
          <t>Preparation</t>
        </is>
      </c>
      <c r="I181" s="63" t="inlineStr">
        <is>
          <t>Equipment</t>
        </is>
      </c>
      <c r="J181" s="63" t="inlineStr">
        <is>
          <t>Equipment quantities vs GLD</t>
        </is>
      </c>
      <c r="K181"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181" s="73" t="inlineStr">
        <is>
          <t>User brief (T-12 hours)</t>
        </is>
      </c>
      <c r="M181" s="73" t="inlineStr"/>
      <c r="N181" s="73" t="inlineStr">
        <is>
          <t>Required</t>
        </is>
      </c>
      <c r="O181" s="73" t="inlineStr">
        <is>
          <t>Preparation check at caterer - does NOT confirm loading.</t>
        </is>
      </c>
      <c r="P181" s="63" t="inlineStr">
        <is>
          <t>KUL</t>
        </is>
      </c>
      <c r="Q181" s="65">
        <f>Flights!$AE$10</f>
        <v/>
      </c>
      <c r="R181" s="65">
        <f>Q181+(IF(AND(INDEX(TZ_DSTS,MATCH(P181,TZ_STN,0))&lt;&gt;"",Q181&gt;=INDEX(TZ_DSTS,MATCH(P181,TZ_STN,0)),Q181&lt;INDEX(TZ_DSTE,MATCH(P181,TZ_STN,0))),INDEX(TZ_DST,MATCH(P181,TZ_STN,0)),INDEX(TZ_STD,MATCH(P181,TZ_STN,0))))/24</f>
        <v/>
      </c>
      <c r="S181" s="65">
        <f>Q181-T12EarlyH/24</f>
        <v/>
      </c>
      <c r="T181" s="66" t="n"/>
      <c r="U181" s="66" t="n"/>
      <c r="V181" s="66" t="n"/>
      <c r="W181" s="67" t="n"/>
      <c r="X181" s="66" t="n"/>
      <c r="Y181" s="66" t="n"/>
      <c r="Z181" s="66" t="n"/>
      <c r="AA181" s="66" t="n"/>
      <c r="AB181" s="66" t="n"/>
      <c r="AC181" s="66" t="n"/>
      <c r="AD181" s="72" t="n"/>
      <c r="AE181" s="66" t="n"/>
      <c r="AF181" s="67">
        <f>IF(AND(ISNUMBER(X181),ISNUMBER(Y181)),Y181-X181,"")</f>
        <v/>
      </c>
      <c r="AG181" s="68">
        <f>IF(ISNUMBER(AD181),AD181-(IF(AND(INDEX(TZ_DSTS,MATCH(P181,TZ_STN,0))&lt;&gt;"",(AD181-INDEX(TZ_STD,MATCH(P181,TZ_STN,0))/24)&gt;=INDEX(TZ_DSTS,MATCH(P181,TZ_STN,0)),(AD181-INDEX(TZ_STD,MATCH(P181,TZ_STN,0))/24)&lt;INDEX(TZ_DSTE,MATCH(P181,TZ_STN,0))),INDEX(TZ_DST,MATCH(P181,TZ_STN,0)),INDEX(TZ_STD,MATCH(P181,TZ_STN,0))))/24,"")</f>
        <v/>
      </c>
      <c r="AH181" s="71">
        <f>IF(N181="N/A – rule","N/A – RULE",IF(TRIM(U181)="N/A",IF(AT181=0,"INVALID – N/A not permitted for this mandatory check",IF(AND(TRIM(AC181)&lt;&gt;"",TRIM(AE181)&lt;&gt;"",TRIM(T181)&lt;&gt;""),"N/A – JUSTIFIED","INVALID – N/A needs justification, PIC and verifier")),IF(OR(TRIM(U181)="Pass",TRIM(U181)="Pass after CA"),IF(NOT(ISNUMBER(AD181)),"INVALID – completion time missing",IF(TRIM(T181)="","INVALID – PIC missing",IF(TRIM(Z181)="","INVALID – evidence missing",IF(TRIM(AE181)="","INVALID – verifier missing",IF(AND(AQ181=1,TRIM(W181)=""),"INVALID – batch ID missing",IF(AND(AR181=1,OR(NOT(ISNUMBER(X181)),NOT(ISNUMBER(Y181)))),"INVALID – expected/actual qty missing",IF(IF(AND(TRIM(U181)="Pass",ISNUMBER(AF181)),IF(AF181&lt;&gt;0,"INVALID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recorded/closed","")&lt;&gt;"",IF(AND(TRIM(U181)="Pass",ISNUMBER(AF181)),IF(AF181&lt;&gt;0,"INVALID – qty variance: use Fail or Pass after CA",""),"")&amp;IF(AND(TRIM(U181)="Pass",AB181="Open"),"INVALID – corrective action still open: use Fail, then Pass after CA","")&amp;IF(AND(TRIM(U181)="Pass after CA",OR(TRIM(AA181)="",AB181&lt;&gt;"Closed")),"INVALID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window"),IF(AG181&gt;Flights!$AA$10,"INVALID – completed after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f>
        <v/>
      </c>
      <c r="AI181" s="67">
        <f>IF(OR(AH181="N/A – RULE",AH181="N/A – JUSTIFIED"),0,1)</f>
        <v/>
      </c>
      <c r="AJ181" s="67">
        <f>IF(LEFT(AH181,8)="COMPLETE",1,0)</f>
        <v/>
      </c>
      <c r="AK181" s="67">
        <f>IF(AND(AI181=1,AJ181=0,AsOfUTC&gt;Q181),1,0)</f>
        <v/>
      </c>
      <c r="AL181" s="67">
        <f>IF(AND(AI181=1,OR(TRIM(U181)="Fail",AB181="Open",AND(ISNUMBER(AF181),AF181&lt;&gt;0,TRIM(U181)&lt;&gt;"Pass after CA"))),1,0)</f>
        <v/>
      </c>
      <c r="AM181" s="67">
        <f>IF(LEFT(AH181,7)="INVALID",1,0)</f>
        <v/>
      </c>
      <c r="AN181" s="67">
        <f>IF(AND(N181="Clarification required",AI181=1,AJ181=0),1,0)</f>
        <v/>
      </c>
      <c r="AO181" s="67">
        <f>IF(AK181=1,SUM(AK$5:AK181),"")</f>
        <v/>
      </c>
      <c r="AP181" s="67">
        <f>IF(AL181=1,SUM(AL$5:AL181),"")</f>
        <v/>
      </c>
      <c r="AQ181" s="67" t="n">
        <v>0</v>
      </c>
      <c r="AR181" s="67" t="n">
        <v>1</v>
      </c>
      <c r="AS181" s="67" t="n">
        <v>0</v>
      </c>
      <c r="AT181" s="67" t="n">
        <v>0</v>
      </c>
    </row>
    <row r="182" ht="40" customHeight="1">
      <c r="A182" s="63" t="inlineStr">
        <is>
          <t>F06-T12-07</t>
        </is>
      </c>
      <c r="B182" s="63" t="inlineStr">
        <is>
          <t>F06</t>
        </is>
      </c>
      <c r="C182" s="63">
        <f>Flights!$F$10</f>
        <v/>
      </c>
      <c r="D182" s="64">
        <f>Flights!$D$10</f>
        <v/>
      </c>
      <c r="E182" s="63">
        <f>Flights!$G$10&amp;"-"&amp;Flights!$H$10</f>
        <v/>
      </c>
      <c r="F182" s="63">
        <f>Flights!$K$10</f>
        <v/>
      </c>
      <c r="G182" s="63" t="inlineStr">
        <is>
          <t>T-12H PREP</t>
        </is>
      </c>
      <c r="H182" s="63" t="inlineStr">
        <is>
          <t>Preparation</t>
        </is>
      </c>
      <c r="I182" s="63" t="inlineStr">
        <is>
          <t>Equipment</t>
        </is>
      </c>
      <c r="J182" s="63" t="inlineStr">
        <is>
          <t>Loading positions planned vs GLD</t>
        </is>
      </c>
      <c r="K182" s="73" t="inlineStr"/>
      <c r="L182" s="73" t="inlineStr">
        <is>
          <t>User brief (T-12 hours)</t>
        </is>
      </c>
      <c r="M182" s="73" t="inlineStr"/>
      <c r="N182" s="73" t="inlineStr">
        <is>
          <t>Required</t>
        </is>
      </c>
      <c r="O182" s="73" t="inlineStr">
        <is>
          <t>Preparation check at caterer - does NOT confirm loading.</t>
        </is>
      </c>
      <c r="P182" s="63" t="inlineStr">
        <is>
          <t>KUL</t>
        </is>
      </c>
      <c r="Q182" s="65">
        <f>Flights!$AE$10</f>
        <v/>
      </c>
      <c r="R182" s="65">
        <f>Q182+(IF(AND(INDEX(TZ_DSTS,MATCH(P182,TZ_STN,0))&lt;&gt;"",Q182&gt;=INDEX(TZ_DSTS,MATCH(P182,TZ_STN,0)),Q182&lt;INDEX(TZ_DSTE,MATCH(P182,TZ_STN,0))),INDEX(TZ_DST,MATCH(P182,TZ_STN,0)),INDEX(TZ_STD,MATCH(P182,TZ_STN,0))))/24</f>
        <v/>
      </c>
      <c r="S182" s="65">
        <f>Q182-T12EarlyH/24</f>
        <v/>
      </c>
      <c r="T182" s="66" t="n"/>
      <c r="U182" s="66" t="n"/>
      <c r="V182" s="66" t="n"/>
      <c r="W182" s="67" t="n"/>
      <c r="X182" s="66" t="n"/>
      <c r="Y182" s="66" t="n"/>
      <c r="Z182" s="66" t="n"/>
      <c r="AA182" s="66" t="n"/>
      <c r="AB182" s="66" t="n"/>
      <c r="AC182" s="66" t="n"/>
      <c r="AD182" s="72" t="n"/>
      <c r="AE182" s="66" t="n"/>
      <c r="AF182" s="67">
        <f>IF(AND(ISNUMBER(X182),ISNUMBER(Y182)),Y182-X182,"")</f>
        <v/>
      </c>
      <c r="AG182" s="68">
        <f>IF(ISNUMBER(AD182),AD182-(IF(AND(INDEX(TZ_DSTS,MATCH(P182,TZ_STN,0))&lt;&gt;"",(AD182-INDEX(TZ_STD,MATCH(P182,TZ_STN,0))/24)&gt;=INDEX(TZ_DSTS,MATCH(P182,TZ_STN,0)),(AD182-INDEX(TZ_STD,MATCH(P182,TZ_STN,0))/24)&lt;INDEX(TZ_DSTE,MATCH(P182,TZ_STN,0))),INDEX(TZ_DST,MATCH(P182,TZ_STN,0)),INDEX(TZ_STD,MATCH(P182,TZ_STN,0))))/24,"")</f>
        <v/>
      </c>
      <c r="AH182" s="71">
        <f>IF(N182="N/A – rule","N/A – RULE",IF(TRIM(U182)="N/A",IF(AT182=0,"INVALID – N/A not permitted for this mandatory check",IF(AND(TRIM(AC182)&lt;&gt;"",TRIM(AE182)&lt;&gt;"",TRIM(T182)&lt;&gt;""),"N/A – JUSTIFIED","INVALID – N/A needs justification, PIC and verifier")),IF(OR(TRIM(U182)="Pass",TRIM(U182)="Pass after CA"),IF(NOT(ISNUMBER(AD182)),"INVALID – completion time missing",IF(TRIM(T182)="","INVALID – PIC missing",IF(TRIM(Z182)="","INVALID – evidence missing",IF(TRIM(AE182)="","INVALID – verifier missing",IF(AND(AQ182=1,TRIM(W182)=""),"INVALID – batch ID missing",IF(AND(AR182=1,OR(NOT(ISNUMBER(X182)),NOT(ISNUMBER(Y182)))),"INVALID – expected/actual qty missing",IF(IF(AND(TRIM(U182)="Pass",ISNUMBER(AF182)),IF(AF182&lt;&gt;0,"INVALID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recorded/closed","")&lt;&gt;"",IF(AND(TRIM(U182)="Pass",ISNUMBER(AF182)),IF(AF182&lt;&gt;0,"INVALID – qty variance: use Fail or Pass after CA",""),"")&amp;IF(AND(TRIM(U182)="Pass",AB182="Open"),"INVALID – corrective action still open: use Fail, then Pass after CA","")&amp;IF(AND(TRIM(U182)="Pass after CA",OR(TRIM(AA182)="",AB182&lt;&gt;"Closed")),"INVALID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window"),IF(AG182&gt;Flights!$AA$10,"INVALID – completed after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f>
        <v/>
      </c>
      <c r="AI182" s="67">
        <f>IF(OR(AH182="N/A – RULE",AH182="N/A – JUSTIFIED"),0,1)</f>
        <v/>
      </c>
      <c r="AJ182" s="67">
        <f>IF(LEFT(AH182,8)="COMPLETE",1,0)</f>
        <v/>
      </c>
      <c r="AK182" s="67">
        <f>IF(AND(AI182=1,AJ182=0,AsOfUTC&gt;Q182),1,0)</f>
        <v/>
      </c>
      <c r="AL182" s="67">
        <f>IF(AND(AI182=1,OR(TRIM(U182)="Fail",AB182="Open",AND(ISNUMBER(AF182),AF182&lt;&gt;0,TRIM(U182)&lt;&gt;"Pass after CA"))),1,0)</f>
        <v/>
      </c>
      <c r="AM182" s="67">
        <f>IF(LEFT(AH182,7)="INVALID",1,0)</f>
        <v/>
      </c>
      <c r="AN182" s="67">
        <f>IF(AND(N182="Clarification required",AI182=1,AJ182=0),1,0)</f>
        <v/>
      </c>
      <c r="AO182" s="67">
        <f>IF(AK182=1,SUM(AK$5:AK182),"")</f>
        <v/>
      </c>
      <c r="AP182" s="67">
        <f>IF(AL182=1,SUM(AL$5:AL182),"")</f>
        <v/>
      </c>
      <c r="AQ182" s="67" t="n">
        <v>0</v>
      </c>
      <c r="AR182" s="67" t="n">
        <v>0</v>
      </c>
      <c r="AS182" s="67" t="n">
        <v>0</v>
      </c>
      <c r="AT182" s="67" t="n">
        <v>0</v>
      </c>
    </row>
    <row r="183" ht="91.5" customHeight="1">
      <c r="A183" s="63" t="inlineStr">
        <is>
          <t>F06-T12-08</t>
        </is>
      </c>
      <c r="B183" s="63" t="inlineStr">
        <is>
          <t>F06</t>
        </is>
      </c>
      <c r="C183" s="63">
        <f>Flights!$F$10</f>
        <v/>
      </c>
      <c r="D183" s="64">
        <f>Flights!$D$10</f>
        <v/>
      </c>
      <c r="E183" s="63">
        <f>Flights!$G$10&amp;"-"&amp;Flights!$H$10</f>
        <v/>
      </c>
      <c r="F183" s="63">
        <f>Flights!$K$10</f>
        <v/>
      </c>
      <c r="G183" s="63" t="inlineStr">
        <is>
          <t>T-12H PREP</t>
        </is>
      </c>
      <c r="H183" s="63" t="inlineStr">
        <is>
          <t>Preparation</t>
        </is>
      </c>
      <c r="I183" s="63" t="inlineStr">
        <is>
          <t>Amenities</t>
        </is>
      </c>
      <c r="J183" s="63" t="inlineStr">
        <is>
          <t>Toiletry kits - prepared</t>
        </is>
      </c>
      <c r="K183" s="73" t="inlineStr">
        <is>
          <t>Available (ticked in reference)</t>
        </is>
      </c>
      <c r="L183" s="73" t="inlineStr">
        <is>
          <t>STD UPLIFT INFORMATION.xlsx &gt; AMENITIES!D12 / H12</t>
        </is>
      </c>
      <c r="M183" s="73" t="inlineStr">
        <is>
          <t>LHR or KUL - confirm</t>
        </is>
      </c>
      <c r="N183" s="73" t="inlineStr">
        <is>
          <t>Clarification required</t>
        </is>
      </c>
      <c r="O183" s="73" t="inlineStr">
        <is>
          <t>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is>
      </c>
      <c r="P183" s="63" t="inlineStr">
        <is>
          <t>KUL</t>
        </is>
      </c>
      <c r="Q183" s="65">
        <f>Flights!$AE$10</f>
        <v/>
      </c>
      <c r="R183" s="65">
        <f>Q183+(IF(AND(INDEX(TZ_DSTS,MATCH(P183,TZ_STN,0))&lt;&gt;"",Q183&gt;=INDEX(TZ_DSTS,MATCH(P183,TZ_STN,0)),Q183&lt;INDEX(TZ_DSTE,MATCH(P183,TZ_STN,0))),INDEX(TZ_DST,MATCH(P183,TZ_STN,0)),INDEX(TZ_STD,MATCH(P183,TZ_STN,0))))/24</f>
        <v/>
      </c>
      <c r="S183" s="65">
        <f>Q183-T12EarlyH/24</f>
        <v/>
      </c>
      <c r="T183" s="66" t="n"/>
      <c r="U183" s="66" t="n"/>
      <c r="V183" s="66" t="n"/>
      <c r="W183" s="67" t="n"/>
      <c r="X183" s="66" t="n"/>
      <c r="Y183" s="66" t="n"/>
      <c r="Z183" s="66" t="n"/>
      <c r="AA183" s="66" t="n"/>
      <c r="AB183" s="66" t="n"/>
      <c r="AC183" s="66" t="n"/>
      <c r="AD183" s="72" t="n"/>
      <c r="AE183" s="66" t="n"/>
      <c r="AF183" s="67">
        <f>IF(AND(ISNUMBER(X183),ISNUMBER(Y183)),Y183-X183,"")</f>
        <v/>
      </c>
      <c r="AG183" s="68">
        <f>IF(ISNUMBER(AD183),AD183-(IF(AND(INDEX(TZ_DSTS,MATCH(P183,TZ_STN,0))&lt;&gt;"",(AD183-INDEX(TZ_STD,MATCH(P183,TZ_STN,0))/24)&gt;=INDEX(TZ_DSTS,MATCH(P183,TZ_STN,0)),(AD183-INDEX(TZ_STD,MATCH(P183,TZ_STN,0))/24)&lt;INDEX(TZ_DSTE,MATCH(P183,TZ_STN,0))),INDEX(TZ_DST,MATCH(P183,TZ_STN,0)),INDEX(TZ_STD,MATCH(P183,TZ_STN,0))))/24,"")</f>
        <v/>
      </c>
      <c r="AH183" s="71">
        <f>IF(N183="N/A – rule","N/A – RULE",IF(TRIM(U183)="N/A",IF(AT183=0,"INVALID – N/A not permitted for this mandatory check",IF(AND(TRIM(AC183)&lt;&gt;"",TRIM(AE183)&lt;&gt;"",TRIM(T183)&lt;&gt;""),"N/A – JUSTIFIED","INVALID – N/A needs justification, PIC and verifier")),IF(OR(TRIM(U183)="Pass",TRIM(U183)="Pass after CA"),IF(NOT(ISNUMBER(AD183)),"INVALID – completion time missing",IF(TRIM(T183)="","INVALID – PIC missing",IF(TRIM(Z183)="","INVALID – evidence missing",IF(TRIM(AE183)="","INVALID – verifier missing",IF(AND(AQ183=1,TRIM(W183)=""),"INVALID – batch ID missing",IF(AND(AR183=1,OR(NOT(ISNUMBER(X183)),NOT(ISNUMBER(Y183)))),"INVALID – expected/actual qty missing",IF(IF(AND(TRIM(U183)="Pass",ISNUMBER(AF183)),IF(AF183&lt;&gt;0,"INVALID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recorded/closed","")&lt;&gt;"",IF(AND(TRIM(U183)="Pass",ISNUMBER(AF183)),IF(AF183&lt;&gt;0,"INVALID – qty variance: use Fail or Pass after CA",""),"")&amp;IF(AND(TRIM(U183)="Pass",AB183="Open"),"INVALID – corrective action still open: use Fail, then Pass after CA","")&amp;IF(AND(TRIM(U183)="Pass after CA",OR(TRIM(AA183)="",AB183&lt;&gt;"Closed")),"INVALID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window"),IF(AG183&gt;Flights!$AA$10,"INVALID – completed after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f>
        <v/>
      </c>
      <c r="AI183" s="67">
        <f>IF(OR(AH183="N/A – RULE",AH183="N/A – JUSTIFIED"),0,1)</f>
        <v/>
      </c>
      <c r="AJ183" s="67">
        <f>IF(LEFT(AH183,8)="COMPLETE",1,0)</f>
        <v/>
      </c>
      <c r="AK183" s="67">
        <f>IF(AND(AI183=1,AJ183=0,AsOfUTC&gt;Q183),1,0)</f>
        <v/>
      </c>
      <c r="AL183" s="67">
        <f>IF(AND(AI183=1,OR(TRIM(U183)="Fail",AB183="Open",AND(ISNUMBER(AF183),AF183&lt;&gt;0,TRIM(U183)&lt;&gt;"Pass after CA"))),1,0)</f>
        <v/>
      </c>
      <c r="AM183" s="67">
        <f>IF(LEFT(AH183,7)="INVALID",1,0)</f>
        <v/>
      </c>
      <c r="AN183" s="67">
        <f>IF(AND(N183="Clarification required",AI183=1,AJ183=0),1,0)</f>
        <v/>
      </c>
      <c r="AO183" s="67">
        <f>IF(AK183=1,SUM(AK$5:AK183),"")</f>
        <v/>
      </c>
      <c r="AP183" s="67">
        <f>IF(AL183=1,SUM(AL$5:AL183),"")</f>
        <v/>
      </c>
      <c r="AQ183" s="67" t="n">
        <v>0</v>
      </c>
      <c r="AR183" s="67" t="n">
        <v>0</v>
      </c>
      <c r="AS183" s="67" t="n">
        <v>0</v>
      </c>
      <c r="AT183" s="67" t="n">
        <v>1</v>
      </c>
    </row>
    <row r="184" ht="40" customHeight="1">
      <c r="A184" s="63" t="inlineStr">
        <is>
          <t>F06-T12-09</t>
        </is>
      </c>
      <c r="B184" s="63" t="inlineStr">
        <is>
          <t>F06</t>
        </is>
      </c>
      <c r="C184" s="63">
        <f>Flights!$F$10</f>
        <v/>
      </c>
      <c r="D184" s="64">
        <f>Flights!$D$10</f>
        <v/>
      </c>
      <c r="E184" s="63">
        <f>Flights!$G$10&amp;"-"&amp;Flights!$H$10</f>
        <v/>
      </c>
      <c r="F184" s="63">
        <f>Flights!$K$10</f>
        <v/>
      </c>
      <c r="G184" s="63" t="inlineStr">
        <is>
          <t>T-12H PREP</t>
        </is>
      </c>
      <c r="H184" s="63" t="inlineStr">
        <is>
          <t>Preparation</t>
        </is>
      </c>
      <c r="I184" s="63" t="inlineStr">
        <is>
          <t>Amenities</t>
        </is>
      </c>
      <c r="J184" s="63" t="inlineStr">
        <is>
          <t>Pajamas (BC) - prepared</t>
        </is>
      </c>
      <c r="K184" s="73" t="inlineStr">
        <is>
          <t>Available - BC red-eye only</t>
        </is>
      </c>
      <c r="L184" s="73" t="inlineStr">
        <is>
          <t>STD UPLIFT INFORMATION.xlsx &gt; AMENITIES!F13 / H13</t>
        </is>
      </c>
      <c r="M184" s="73" t="inlineStr">
        <is>
          <t>KUL</t>
        </is>
      </c>
      <c r="N184" s="73" t="inlineStr">
        <is>
          <t>Required</t>
        </is>
      </c>
      <c r="O184" s="73" t="inlineStr">
        <is>
          <t>Red-eye departure 2320 local.</t>
        </is>
      </c>
      <c r="P184" s="63" t="inlineStr">
        <is>
          <t>KUL</t>
        </is>
      </c>
      <c r="Q184" s="65">
        <f>Flights!$AE$10</f>
        <v/>
      </c>
      <c r="R184" s="65">
        <f>Q184+(IF(AND(INDEX(TZ_DSTS,MATCH(P184,TZ_STN,0))&lt;&gt;"",Q184&gt;=INDEX(TZ_DSTS,MATCH(P184,TZ_STN,0)),Q184&lt;INDEX(TZ_DSTE,MATCH(P184,TZ_STN,0))),INDEX(TZ_DST,MATCH(P184,TZ_STN,0)),INDEX(TZ_STD,MATCH(P184,TZ_STN,0))))/24</f>
        <v/>
      </c>
      <c r="S184" s="65">
        <f>Q184-T12EarlyH/24</f>
        <v/>
      </c>
      <c r="T184" s="66" t="n"/>
      <c r="U184" s="66" t="n"/>
      <c r="V184" s="66" t="n"/>
      <c r="W184" s="67" t="n"/>
      <c r="X184" s="66" t="n"/>
      <c r="Y184" s="66" t="n"/>
      <c r="Z184" s="66" t="n"/>
      <c r="AA184" s="66" t="n"/>
      <c r="AB184" s="66" t="n"/>
      <c r="AC184" s="66" t="n"/>
      <c r="AD184" s="72" t="n"/>
      <c r="AE184" s="66" t="n"/>
      <c r="AF184" s="67">
        <f>IF(AND(ISNUMBER(X184),ISNUMBER(Y184)),Y184-X184,"")</f>
        <v/>
      </c>
      <c r="AG184" s="68">
        <f>IF(ISNUMBER(AD184),AD184-(IF(AND(INDEX(TZ_DSTS,MATCH(P184,TZ_STN,0))&lt;&gt;"",(AD184-INDEX(TZ_STD,MATCH(P184,TZ_STN,0))/24)&gt;=INDEX(TZ_DSTS,MATCH(P184,TZ_STN,0)),(AD184-INDEX(TZ_STD,MATCH(P184,TZ_STN,0))/24)&lt;INDEX(TZ_DSTE,MATCH(P184,TZ_STN,0))),INDEX(TZ_DST,MATCH(P184,TZ_STN,0)),INDEX(TZ_STD,MATCH(P184,TZ_STN,0))))/24,"")</f>
        <v/>
      </c>
      <c r="AH184" s="71">
        <f>IF(N184="N/A – rule","N/A – RULE",IF(TRIM(U184)="N/A",IF(AT184=0,"INVALID – N/A not permitted for this mandatory check",IF(AND(TRIM(AC184)&lt;&gt;"",TRIM(AE184)&lt;&gt;"",TRIM(T184)&lt;&gt;""),"N/A – JUSTIFIED","INVALID – N/A needs justification, PIC and verifier")),IF(OR(TRIM(U184)="Pass",TRIM(U184)="Pass after CA"),IF(NOT(ISNUMBER(AD184)),"INVALID – completion time missing",IF(TRIM(T184)="","INVALID – PIC missing",IF(TRIM(Z184)="","INVALID – evidence missing",IF(TRIM(AE184)="","INVALID – verifier missing",IF(AND(AQ184=1,TRIM(W184)=""),"INVALID – batch ID missing",IF(AND(AR184=1,OR(NOT(ISNUMBER(X184)),NOT(ISNUMBER(Y184)))),"INVALID – expected/actual qty missing",IF(IF(AND(TRIM(U184)="Pass",ISNUMBER(AF184)),IF(AF184&lt;&gt;0,"INVALID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recorded/closed","")&lt;&gt;"",IF(AND(TRIM(U184)="Pass",ISNUMBER(AF184)),IF(AF184&lt;&gt;0,"INVALID – qty variance: use Fail or Pass after CA",""),"")&amp;IF(AND(TRIM(U184)="Pass",AB184="Open"),"INVALID – corrective action still open: use Fail, then Pass after CA","")&amp;IF(AND(TRIM(U184)="Pass after CA",OR(TRIM(AA184)="",AB184&lt;&gt;"Closed")),"INVALID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window"),IF(AG184&gt;Flights!$AA$10,"INVALID – completed after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f>
        <v/>
      </c>
      <c r="AI184" s="67">
        <f>IF(OR(AH184="N/A – RULE",AH184="N/A – JUSTIFIED"),0,1)</f>
        <v/>
      </c>
      <c r="AJ184" s="67">
        <f>IF(LEFT(AH184,8)="COMPLETE",1,0)</f>
        <v/>
      </c>
      <c r="AK184" s="67">
        <f>IF(AND(AI184=1,AJ184=0,AsOfUTC&gt;Q184),1,0)</f>
        <v/>
      </c>
      <c r="AL184" s="67">
        <f>IF(AND(AI184=1,OR(TRIM(U184)="Fail",AB184="Open",AND(ISNUMBER(AF184),AF184&lt;&gt;0,TRIM(U184)&lt;&gt;"Pass after CA"))),1,0)</f>
        <v/>
      </c>
      <c r="AM184" s="67">
        <f>IF(LEFT(AH184,7)="INVALID",1,0)</f>
        <v/>
      </c>
      <c r="AN184" s="67">
        <f>IF(AND(N184="Clarification required",AI184=1,AJ184=0),1,0)</f>
        <v/>
      </c>
      <c r="AO184" s="67">
        <f>IF(AK184=1,SUM(AK$5:AK184),"")</f>
        <v/>
      </c>
      <c r="AP184" s="67">
        <f>IF(AL184=1,SUM(AL$5:AL184),"")</f>
        <v/>
      </c>
      <c r="AQ184" s="67" t="n">
        <v>0</v>
      </c>
      <c r="AR184" s="67" t="n">
        <v>0</v>
      </c>
      <c r="AS184" s="67" t="n">
        <v>0</v>
      </c>
      <c r="AT184" s="67" t="n">
        <v>1</v>
      </c>
    </row>
    <row r="185" ht="40" customHeight="1">
      <c r="A185" s="63" t="inlineStr">
        <is>
          <t>F06-T12-10</t>
        </is>
      </c>
      <c r="B185" s="63" t="inlineStr">
        <is>
          <t>F06</t>
        </is>
      </c>
      <c r="C185" s="63">
        <f>Flights!$F$10</f>
        <v/>
      </c>
      <c r="D185" s="64">
        <f>Flights!$D$10</f>
        <v/>
      </c>
      <c r="E185" s="63">
        <f>Flights!$G$10&amp;"-"&amp;Flights!$H$10</f>
        <v/>
      </c>
      <c r="F185" s="63">
        <f>Flights!$K$10</f>
        <v/>
      </c>
      <c r="G185" s="63" t="inlineStr">
        <is>
          <t>T-12H PREP</t>
        </is>
      </c>
      <c r="H185" s="63" t="inlineStr">
        <is>
          <t>Preparation</t>
        </is>
      </c>
      <c r="I185" s="63" t="inlineStr">
        <is>
          <t>Amenities</t>
        </is>
      </c>
      <c r="J185" s="63" t="inlineStr">
        <is>
          <t>Slippers (BS/BC) - prepared</t>
        </is>
      </c>
      <c r="K185" s="73" t="inlineStr">
        <is>
          <t>Available (ticked in reference)</t>
        </is>
      </c>
      <c r="L185" s="73" t="inlineStr">
        <is>
          <t>STD UPLIFT INFORMATION.xlsx &gt; AMENITIES!G13 / H13</t>
        </is>
      </c>
      <c r="M185" s="73" t="inlineStr">
        <is>
          <t>KUL</t>
        </is>
      </c>
      <c r="N185" s="73" t="inlineStr">
        <is>
          <t>Required</t>
        </is>
      </c>
      <c r="O185" s="73" t="inlineStr"/>
      <c r="P185" s="63" t="inlineStr">
        <is>
          <t>KUL</t>
        </is>
      </c>
      <c r="Q185" s="65">
        <f>Flights!$AE$10</f>
        <v/>
      </c>
      <c r="R185" s="65">
        <f>Q185+(IF(AND(INDEX(TZ_DSTS,MATCH(P185,TZ_STN,0))&lt;&gt;"",Q185&gt;=INDEX(TZ_DSTS,MATCH(P185,TZ_STN,0)),Q185&lt;INDEX(TZ_DSTE,MATCH(P185,TZ_STN,0))),INDEX(TZ_DST,MATCH(P185,TZ_STN,0)),INDEX(TZ_STD,MATCH(P185,TZ_STN,0))))/24</f>
        <v/>
      </c>
      <c r="S185" s="65">
        <f>Q185-T12EarlyH/24</f>
        <v/>
      </c>
      <c r="T185" s="66" t="n"/>
      <c r="U185" s="66" t="n"/>
      <c r="V185" s="66" t="n"/>
      <c r="W185" s="67" t="n"/>
      <c r="X185" s="66" t="n"/>
      <c r="Y185" s="66" t="n"/>
      <c r="Z185" s="66" t="n"/>
      <c r="AA185" s="66" t="n"/>
      <c r="AB185" s="66" t="n"/>
      <c r="AC185" s="66" t="n"/>
      <c r="AD185" s="72" t="n"/>
      <c r="AE185" s="66" t="n"/>
      <c r="AF185" s="67">
        <f>IF(AND(ISNUMBER(X185),ISNUMBER(Y185)),Y185-X185,"")</f>
        <v/>
      </c>
      <c r="AG185" s="68">
        <f>IF(ISNUMBER(AD185),AD185-(IF(AND(INDEX(TZ_DSTS,MATCH(P185,TZ_STN,0))&lt;&gt;"",(AD185-INDEX(TZ_STD,MATCH(P185,TZ_STN,0))/24)&gt;=INDEX(TZ_DSTS,MATCH(P185,TZ_STN,0)),(AD185-INDEX(TZ_STD,MATCH(P185,TZ_STN,0))/24)&lt;INDEX(TZ_DSTE,MATCH(P185,TZ_STN,0))),INDEX(TZ_DST,MATCH(P185,TZ_STN,0)),INDEX(TZ_STD,MATCH(P185,TZ_STN,0))))/24,"")</f>
        <v/>
      </c>
      <c r="AH185" s="71">
        <f>IF(N185="N/A – rule","N/A – RULE",IF(TRIM(U185)="N/A",IF(AT185=0,"INVALID – N/A not permitted for this mandatory check",IF(AND(TRIM(AC185)&lt;&gt;"",TRIM(AE185)&lt;&gt;"",TRIM(T185)&lt;&gt;""),"N/A – JUSTIFIED","INVALID – N/A needs justification, PIC and verifier")),IF(OR(TRIM(U185)="Pass",TRIM(U185)="Pass after CA"),IF(NOT(ISNUMBER(AD185)),"INVALID – completion time missing",IF(TRIM(T185)="","INVALID – PIC missing",IF(TRIM(Z185)="","INVALID – evidence missing",IF(TRIM(AE185)="","INVALID – verifier missing",IF(AND(AQ185=1,TRIM(W185)=""),"INVALID – batch ID missing",IF(AND(AR185=1,OR(NOT(ISNUMBER(X185)),NOT(ISNUMBER(Y185)))),"INVALID – expected/actual qty missing",IF(IF(AND(TRIM(U185)="Pass",ISNUMBER(AF185)),IF(AF185&lt;&gt;0,"INVALID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recorded/closed","")&lt;&gt;"",IF(AND(TRIM(U185)="Pass",ISNUMBER(AF185)),IF(AF185&lt;&gt;0,"INVALID – qty variance: use Fail or Pass after CA",""),"")&amp;IF(AND(TRIM(U185)="Pass",AB185="Open"),"INVALID – corrective action still open: use Fail, then Pass after CA","")&amp;IF(AND(TRIM(U185)="Pass after CA",OR(TRIM(AA185)="",AB185&lt;&gt;"Closed")),"INVALID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window"),IF(AG185&gt;Flights!$AA$10,"INVALID – completed after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f>
        <v/>
      </c>
      <c r="AI185" s="67">
        <f>IF(OR(AH185="N/A – RULE",AH185="N/A – JUSTIFIED"),0,1)</f>
        <v/>
      </c>
      <c r="AJ185" s="67">
        <f>IF(LEFT(AH185,8)="COMPLETE",1,0)</f>
        <v/>
      </c>
      <c r="AK185" s="67">
        <f>IF(AND(AI185=1,AJ185=0,AsOfUTC&gt;Q185),1,0)</f>
        <v/>
      </c>
      <c r="AL185" s="67">
        <f>IF(AND(AI185=1,OR(TRIM(U185)="Fail",AB185="Open",AND(ISNUMBER(AF185),AF185&lt;&gt;0,TRIM(U185)&lt;&gt;"Pass after CA"))),1,0)</f>
        <v/>
      </c>
      <c r="AM185" s="67">
        <f>IF(LEFT(AH185,7)="INVALID",1,0)</f>
        <v/>
      </c>
      <c r="AN185" s="67">
        <f>IF(AND(N185="Clarification required",AI185=1,AJ185=0),1,0)</f>
        <v/>
      </c>
      <c r="AO185" s="67">
        <f>IF(AK185=1,SUM(AK$5:AK185),"")</f>
        <v/>
      </c>
      <c r="AP185" s="67">
        <f>IF(AL185=1,SUM(AL$5:AL185),"")</f>
        <v/>
      </c>
      <c r="AQ185" s="67" t="n">
        <v>0</v>
      </c>
      <c r="AR185" s="67" t="n">
        <v>0</v>
      </c>
      <c r="AS185" s="67" t="n">
        <v>0</v>
      </c>
      <c r="AT185" s="67" t="n">
        <v>1</v>
      </c>
    </row>
    <row r="186" ht="41.5" customHeight="1">
      <c r="A186" s="63" t="inlineStr">
        <is>
          <t>F06-T12-11</t>
        </is>
      </c>
      <c r="B186" s="63" t="inlineStr">
        <is>
          <t>F06</t>
        </is>
      </c>
      <c r="C186" s="63">
        <f>Flights!$F$10</f>
        <v/>
      </c>
      <c r="D186" s="64">
        <f>Flights!$D$10</f>
        <v/>
      </c>
      <c r="E186" s="63">
        <f>Flights!$G$10&amp;"-"&amp;Flights!$H$10</f>
        <v/>
      </c>
      <c r="F186" s="63">
        <f>Flights!$K$10</f>
        <v/>
      </c>
      <c r="G186" s="63" t="inlineStr">
        <is>
          <t>T-12H PREP</t>
        </is>
      </c>
      <c r="H186" s="63" t="inlineStr">
        <is>
          <t>Preparation</t>
        </is>
      </c>
      <c r="I186" s="63" t="inlineStr">
        <is>
          <t>F&amp;B Linen</t>
        </is>
      </c>
      <c r="J186" s="63" t="inlineStr">
        <is>
          <t>Towel - prepared</t>
        </is>
      </c>
      <c r="K186" s="73" t="inlineStr">
        <is>
          <t>Available (ticked in reference)</t>
        </is>
      </c>
      <c r="L186" s="73" t="inlineStr">
        <is>
          <t>STD UPLIFT INFORMATION.xlsx &gt; F&amp;B LINEN!D7</t>
        </is>
      </c>
      <c r="M186" s="73" t="inlineStr">
        <is>
          <t>Not stated in reference</t>
        </is>
      </c>
      <c r="N186" s="73" t="inlineStr">
        <is>
          <t>Required</t>
        </is>
      </c>
      <c r="O186" s="73" t="inlineStr">
        <is>
          <t>Reference gives no uplift stn for this item: preparation checked at the meal uplift stn (KUL) - confirm with caterer.</t>
        </is>
      </c>
      <c r="P186" s="63" t="inlineStr">
        <is>
          <t>KUL</t>
        </is>
      </c>
      <c r="Q186" s="65">
        <f>Flights!$AE$10</f>
        <v/>
      </c>
      <c r="R186" s="65">
        <f>Q186+(IF(AND(INDEX(TZ_DSTS,MATCH(P186,TZ_STN,0))&lt;&gt;"",Q186&gt;=INDEX(TZ_DSTS,MATCH(P186,TZ_STN,0)),Q186&lt;INDEX(TZ_DSTE,MATCH(P186,TZ_STN,0))),INDEX(TZ_DST,MATCH(P186,TZ_STN,0)),INDEX(TZ_STD,MATCH(P186,TZ_STN,0))))/24</f>
        <v/>
      </c>
      <c r="S186" s="65">
        <f>Q186-T12EarlyH/24</f>
        <v/>
      </c>
      <c r="T186" s="66" t="n"/>
      <c r="U186" s="66" t="n"/>
      <c r="V186" s="66" t="n"/>
      <c r="W186" s="67" t="n"/>
      <c r="X186" s="66" t="n"/>
      <c r="Y186" s="66" t="n"/>
      <c r="Z186" s="66" t="n"/>
      <c r="AA186" s="66" t="n"/>
      <c r="AB186" s="66" t="n"/>
      <c r="AC186" s="66" t="n"/>
      <c r="AD186" s="72" t="n"/>
      <c r="AE186" s="66" t="n"/>
      <c r="AF186" s="67">
        <f>IF(AND(ISNUMBER(X186),ISNUMBER(Y186)),Y186-X186,"")</f>
        <v/>
      </c>
      <c r="AG186" s="68">
        <f>IF(ISNUMBER(AD186),AD186-(IF(AND(INDEX(TZ_DSTS,MATCH(P186,TZ_STN,0))&lt;&gt;"",(AD186-INDEX(TZ_STD,MATCH(P186,TZ_STN,0))/24)&gt;=INDEX(TZ_DSTS,MATCH(P186,TZ_STN,0)),(AD186-INDEX(TZ_STD,MATCH(P186,TZ_STN,0))/24)&lt;INDEX(TZ_DSTE,MATCH(P186,TZ_STN,0))),INDEX(TZ_DST,MATCH(P186,TZ_STN,0)),INDEX(TZ_STD,MATCH(P186,TZ_STN,0))))/24,"")</f>
        <v/>
      </c>
      <c r="AH186" s="71">
        <f>IF(N186="N/A – rule","N/A – RULE",IF(TRIM(U186)="N/A",IF(AT186=0,"INVALID – N/A not permitted for this mandatory check",IF(AND(TRIM(AC186)&lt;&gt;"",TRIM(AE186)&lt;&gt;"",TRIM(T186)&lt;&gt;""),"N/A – JUSTIFIED","INVALID – N/A needs justification, PIC and verifier")),IF(OR(TRIM(U186)="Pass",TRIM(U186)="Pass after CA"),IF(NOT(ISNUMBER(AD186)),"INVALID – completion time missing",IF(TRIM(T186)="","INVALID – PIC missing",IF(TRIM(Z186)="","INVALID – evidence missing",IF(TRIM(AE186)="","INVALID – verifier missing",IF(AND(AQ186=1,TRIM(W186)=""),"INVALID – batch ID missing",IF(AND(AR186=1,OR(NOT(ISNUMBER(X186)),NOT(ISNUMBER(Y186)))),"INVALID – expected/actual qty missing",IF(IF(AND(TRIM(U186)="Pass",ISNUMBER(AF186)),IF(AF186&lt;&gt;0,"INVALID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recorded/closed","")&lt;&gt;"",IF(AND(TRIM(U186)="Pass",ISNUMBER(AF186)),IF(AF186&lt;&gt;0,"INVALID – qty variance: use Fail or Pass after CA",""),"")&amp;IF(AND(TRIM(U186)="Pass",AB186="Open"),"INVALID – corrective action still open: use Fail, then Pass after CA","")&amp;IF(AND(TRIM(U186)="Pass after CA",OR(TRIM(AA186)="",AB186&lt;&gt;"Closed")),"INVALID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window"),IF(AG186&gt;Flights!$AA$10,"INVALID – completed after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f>
        <v/>
      </c>
      <c r="AI186" s="67">
        <f>IF(OR(AH186="N/A – RULE",AH186="N/A – JUSTIFIED"),0,1)</f>
        <v/>
      </c>
      <c r="AJ186" s="67">
        <f>IF(LEFT(AH186,8)="COMPLETE",1,0)</f>
        <v/>
      </c>
      <c r="AK186" s="67">
        <f>IF(AND(AI186=1,AJ186=0,AsOfUTC&gt;Q186),1,0)</f>
        <v/>
      </c>
      <c r="AL186" s="67">
        <f>IF(AND(AI186=1,OR(TRIM(U186)="Fail",AB186="Open",AND(ISNUMBER(AF186),AF186&lt;&gt;0,TRIM(U186)&lt;&gt;"Pass after CA"))),1,0)</f>
        <v/>
      </c>
      <c r="AM186" s="67">
        <f>IF(LEFT(AH186,7)="INVALID",1,0)</f>
        <v/>
      </c>
      <c r="AN186" s="67">
        <f>IF(AND(N186="Clarification required",AI186=1,AJ186=0),1,0)</f>
        <v/>
      </c>
      <c r="AO186" s="67">
        <f>IF(AK186=1,SUM(AK$5:AK186),"")</f>
        <v/>
      </c>
      <c r="AP186" s="67">
        <f>IF(AL186=1,SUM(AL$5:AL186),"")</f>
        <v/>
      </c>
      <c r="AQ186" s="67" t="n">
        <v>0</v>
      </c>
      <c r="AR186" s="67" t="n">
        <v>0</v>
      </c>
      <c r="AS186" s="67" t="n">
        <v>0</v>
      </c>
      <c r="AT186" s="67" t="n">
        <v>1</v>
      </c>
    </row>
    <row r="187" ht="41.5" customHeight="1">
      <c r="A187" s="63" t="inlineStr">
        <is>
          <t>F06-T12-12</t>
        </is>
      </c>
      <c r="B187" s="63" t="inlineStr">
        <is>
          <t>F06</t>
        </is>
      </c>
      <c r="C187" s="63">
        <f>Flights!$F$10</f>
        <v/>
      </c>
      <c r="D187" s="64">
        <f>Flights!$D$10</f>
        <v/>
      </c>
      <c r="E187" s="63">
        <f>Flights!$G$10&amp;"-"&amp;Flights!$H$10</f>
        <v/>
      </c>
      <c r="F187" s="63">
        <f>Flights!$K$10</f>
        <v/>
      </c>
      <c r="G187" s="63" t="inlineStr">
        <is>
          <t>T-12H PREP</t>
        </is>
      </c>
      <c r="H187" s="63" t="inlineStr">
        <is>
          <t>Preparation</t>
        </is>
      </c>
      <c r="I187" s="63" t="inlineStr">
        <is>
          <t>F&amp;B Linen</t>
        </is>
      </c>
      <c r="J187" s="63" t="inlineStr">
        <is>
          <t>Tray cloth - prepared</t>
        </is>
      </c>
      <c r="K187" s="73" t="inlineStr">
        <is>
          <t>Available (ticked in reference)</t>
        </is>
      </c>
      <c r="L187" s="73" t="inlineStr">
        <is>
          <t>STD UPLIFT INFORMATION.xlsx &gt; F&amp;B LINEN!E7</t>
        </is>
      </c>
      <c r="M187" s="73" t="inlineStr">
        <is>
          <t>Not stated in reference</t>
        </is>
      </c>
      <c r="N187" s="73" t="inlineStr">
        <is>
          <t>Required</t>
        </is>
      </c>
      <c r="O187" s="73" t="inlineStr">
        <is>
          <t>Reference gives no uplift stn for this item: preparation checked at the meal uplift stn (KUL) - confirm with caterer.</t>
        </is>
      </c>
      <c r="P187" s="63" t="inlineStr">
        <is>
          <t>KUL</t>
        </is>
      </c>
      <c r="Q187" s="65">
        <f>Flights!$AE$10</f>
        <v/>
      </c>
      <c r="R187" s="65">
        <f>Q187+(IF(AND(INDEX(TZ_DSTS,MATCH(P187,TZ_STN,0))&lt;&gt;"",Q187&gt;=INDEX(TZ_DSTS,MATCH(P187,TZ_STN,0)),Q187&lt;INDEX(TZ_DSTE,MATCH(P187,TZ_STN,0))),INDEX(TZ_DST,MATCH(P187,TZ_STN,0)),INDEX(TZ_STD,MATCH(P187,TZ_STN,0))))/24</f>
        <v/>
      </c>
      <c r="S187" s="65">
        <f>Q187-T12EarlyH/24</f>
        <v/>
      </c>
      <c r="T187" s="66" t="n"/>
      <c r="U187" s="66" t="n"/>
      <c r="V187" s="66" t="n"/>
      <c r="W187" s="67" t="n"/>
      <c r="X187" s="66" t="n"/>
      <c r="Y187" s="66" t="n"/>
      <c r="Z187" s="66" t="n"/>
      <c r="AA187" s="66" t="n"/>
      <c r="AB187" s="66" t="n"/>
      <c r="AC187" s="66" t="n"/>
      <c r="AD187" s="72" t="n"/>
      <c r="AE187" s="66" t="n"/>
      <c r="AF187" s="67">
        <f>IF(AND(ISNUMBER(X187),ISNUMBER(Y187)),Y187-X187,"")</f>
        <v/>
      </c>
      <c r="AG187" s="68">
        <f>IF(ISNUMBER(AD187),AD187-(IF(AND(INDEX(TZ_DSTS,MATCH(P187,TZ_STN,0))&lt;&gt;"",(AD187-INDEX(TZ_STD,MATCH(P187,TZ_STN,0))/24)&gt;=INDEX(TZ_DSTS,MATCH(P187,TZ_STN,0)),(AD187-INDEX(TZ_STD,MATCH(P187,TZ_STN,0))/24)&lt;INDEX(TZ_DSTE,MATCH(P187,TZ_STN,0))),INDEX(TZ_DST,MATCH(P187,TZ_STN,0)),INDEX(TZ_STD,MATCH(P187,TZ_STN,0))))/24,"")</f>
        <v/>
      </c>
      <c r="AH187" s="71">
        <f>IF(N187="N/A – rule","N/A – RULE",IF(TRIM(U187)="N/A",IF(AT187=0,"INVALID – N/A not permitted for this mandatory check",IF(AND(TRIM(AC187)&lt;&gt;"",TRIM(AE187)&lt;&gt;"",TRIM(T187)&lt;&gt;""),"N/A – JUSTIFIED","INVALID – N/A needs justification, PIC and verifier")),IF(OR(TRIM(U187)="Pass",TRIM(U187)="Pass after CA"),IF(NOT(ISNUMBER(AD187)),"INVALID – completion time missing",IF(TRIM(T187)="","INVALID – PIC missing",IF(TRIM(Z187)="","INVALID – evidence missing",IF(TRIM(AE187)="","INVALID – verifier missing",IF(AND(AQ187=1,TRIM(W187)=""),"INVALID – batch ID missing",IF(AND(AR187=1,OR(NOT(ISNUMBER(X187)),NOT(ISNUMBER(Y187)))),"INVALID – expected/actual qty missing",IF(IF(AND(TRIM(U187)="Pass",ISNUMBER(AF187)),IF(AF187&lt;&gt;0,"INVALID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recorded/closed","")&lt;&gt;"",IF(AND(TRIM(U187)="Pass",ISNUMBER(AF187)),IF(AF187&lt;&gt;0,"INVALID – qty variance: use Fail or Pass after CA",""),"")&amp;IF(AND(TRIM(U187)="Pass",AB187="Open"),"INVALID – corrective action still open: use Fail, then Pass after CA","")&amp;IF(AND(TRIM(U187)="Pass after CA",OR(TRIM(AA187)="",AB187&lt;&gt;"Closed")),"INVALID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window"),IF(AG187&gt;Flights!$AA$10,"INVALID – completed after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f>
        <v/>
      </c>
      <c r="AI187" s="67">
        <f>IF(OR(AH187="N/A – RULE",AH187="N/A – JUSTIFIED"),0,1)</f>
        <v/>
      </c>
      <c r="AJ187" s="67">
        <f>IF(LEFT(AH187,8)="COMPLETE",1,0)</f>
        <v/>
      </c>
      <c r="AK187" s="67">
        <f>IF(AND(AI187=1,AJ187=0,AsOfUTC&gt;Q187),1,0)</f>
        <v/>
      </c>
      <c r="AL187" s="67">
        <f>IF(AND(AI187=1,OR(TRIM(U187)="Fail",AB187="Open",AND(ISNUMBER(AF187),AF187&lt;&gt;0,TRIM(U187)&lt;&gt;"Pass after CA"))),1,0)</f>
        <v/>
      </c>
      <c r="AM187" s="67">
        <f>IF(LEFT(AH187,7)="INVALID",1,0)</f>
        <v/>
      </c>
      <c r="AN187" s="67">
        <f>IF(AND(N187="Clarification required",AI187=1,AJ187=0),1,0)</f>
        <v/>
      </c>
      <c r="AO187" s="67">
        <f>IF(AK187=1,SUM(AK$5:AK187),"")</f>
        <v/>
      </c>
      <c r="AP187" s="67">
        <f>IF(AL187=1,SUM(AL$5:AL187),"")</f>
        <v/>
      </c>
      <c r="AQ187" s="67" t="n">
        <v>0</v>
      </c>
      <c r="AR187" s="67" t="n">
        <v>0</v>
      </c>
      <c r="AS187" s="67" t="n">
        <v>0</v>
      </c>
      <c r="AT187" s="67" t="n">
        <v>1</v>
      </c>
    </row>
    <row r="188" ht="41.5" customHeight="1">
      <c r="A188" s="63" t="inlineStr">
        <is>
          <t>F06-T12-13</t>
        </is>
      </c>
      <c r="B188" s="63" t="inlineStr">
        <is>
          <t>F06</t>
        </is>
      </c>
      <c r="C188" s="63">
        <f>Flights!$F$10</f>
        <v/>
      </c>
      <c r="D188" s="64">
        <f>Flights!$D$10</f>
        <v/>
      </c>
      <c r="E188" s="63">
        <f>Flights!$G$10&amp;"-"&amp;Flights!$H$10</f>
        <v/>
      </c>
      <c r="F188" s="63">
        <f>Flights!$K$10</f>
        <v/>
      </c>
      <c r="G188" s="63" t="inlineStr">
        <is>
          <t>T-12H PREP</t>
        </is>
      </c>
      <c r="H188" s="63" t="inlineStr">
        <is>
          <t>Preparation</t>
        </is>
      </c>
      <c r="I188" s="63" t="inlineStr">
        <is>
          <t>F&amp;B Linen</t>
        </is>
      </c>
      <c r="J188" s="63" t="inlineStr">
        <is>
          <t>Napkin - prepared</t>
        </is>
      </c>
      <c r="K188" s="73" t="inlineStr">
        <is>
          <t>Available (ticked in reference)</t>
        </is>
      </c>
      <c r="L188" s="73" t="inlineStr">
        <is>
          <t>STD UPLIFT INFORMATION.xlsx &gt; F&amp;B LINEN!F7</t>
        </is>
      </c>
      <c r="M188" s="73" t="inlineStr">
        <is>
          <t>Not stated in reference</t>
        </is>
      </c>
      <c r="N188" s="73" t="inlineStr">
        <is>
          <t>Required</t>
        </is>
      </c>
      <c r="O188" s="73" t="inlineStr">
        <is>
          <t>Reference gives no uplift stn for this item: preparation checked at the meal uplift stn (KUL) - confirm with caterer.</t>
        </is>
      </c>
      <c r="P188" s="63" t="inlineStr">
        <is>
          <t>KUL</t>
        </is>
      </c>
      <c r="Q188" s="65">
        <f>Flights!$AE$10</f>
        <v/>
      </c>
      <c r="R188" s="65">
        <f>Q188+(IF(AND(INDEX(TZ_DSTS,MATCH(P188,TZ_STN,0))&lt;&gt;"",Q188&gt;=INDEX(TZ_DSTS,MATCH(P188,TZ_STN,0)),Q188&lt;INDEX(TZ_DSTE,MATCH(P188,TZ_STN,0))),INDEX(TZ_DST,MATCH(P188,TZ_STN,0)),INDEX(TZ_STD,MATCH(P188,TZ_STN,0))))/24</f>
        <v/>
      </c>
      <c r="S188" s="65">
        <f>Q188-T12EarlyH/24</f>
        <v/>
      </c>
      <c r="T188" s="66" t="n"/>
      <c r="U188" s="66" t="n"/>
      <c r="V188" s="66" t="n"/>
      <c r="W188" s="67" t="n"/>
      <c r="X188" s="66" t="n"/>
      <c r="Y188" s="66" t="n"/>
      <c r="Z188" s="66" t="n"/>
      <c r="AA188" s="66" t="n"/>
      <c r="AB188" s="66" t="n"/>
      <c r="AC188" s="66" t="n"/>
      <c r="AD188" s="72" t="n"/>
      <c r="AE188" s="66" t="n"/>
      <c r="AF188" s="67">
        <f>IF(AND(ISNUMBER(X188),ISNUMBER(Y188)),Y188-X188,"")</f>
        <v/>
      </c>
      <c r="AG188" s="68">
        <f>IF(ISNUMBER(AD188),AD188-(IF(AND(INDEX(TZ_DSTS,MATCH(P188,TZ_STN,0))&lt;&gt;"",(AD188-INDEX(TZ_STD,MATCH(P188,TZ_STN,0))/24)&gt;=INDEX(TZ_DSTS,MATCH(P188,TZ_STN,0)),(AD188-INDEX(TZ_STD,MATCH(P188,TZ_STN,0))/24)&lt;INDEX(TZ_DSTE,MATCH(P188,TZ_STN,0))),INDEX(TZ_DST,MATCH(P188,TZ_STN,0)),INDEX(TZ_STD,MATCH(P188,TZ_STN,0))))/24,"")</f>
        <v/>
      </c>
      <c r="AH188" s="71">
        <f>IF(N188="N/A – rule","N/A – RULE",IF(TRIM(U188)="N/A",IF(AT188=0,"INVALID – N/A not permitted for this mandatory check",IF(AND(TRIM(AC188)&lt;&gt;"",TRIM(AE188)&lt;&gt;"",TRIM(T188)&lt;&gt;""),"N/A – JUSTIFIED","INVALID – N/A needs justification, PIC and verifier")),IF(OR(TRIM(U188)="Pass",TRIM(U188)="Pass after CA"),IF(NOT(ISNUMBER(AD188)),"INVALID – completion time missing",IF(TRIM(T188)="","INVALID – PIC missing",IF(TRIM(Z188)="","INVALID – evidence missing",IF(TRIM(AE188)="","INVALID – verifier missing",IF(AND(AQ188=1,TRIM(W188)=""),"INVALID – batch ID missing",IF(AND(AR188=1,OR(NOT(ISNUMBER(X188)),NOT(ISNUMBER(Y188)))),"INVALID – expected/actual qty missing",IF(IF(AND(TRIM(U188)="Pass",ISNUMBER(AF188)),IF(AF188&lt;&gt;0,"INVALID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recorded/closed","")&lt;&gt;"",IF(AND(TRIM(U188)="Pass",ISNUMBER(AF188)),IF(AF188&lt;&gt;0,"INVALID – qty variance: use Fail or Pass after CA",""),"")&amp;IF(AND(TRIM(U188)="Pass",AB188="Open"),"INVALID – corrective action still open: use Fail, then Pass after CA","")&amp;IF(AND(TRIM(U188)="Pass after CA",OR(TRIM(AA188)="",AB188&lt;&gt;"Closed")),"INVALID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window"),IF(AG188&gt;Flights!$AA$10,"INVALID – completed after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f>
        <v/>
      </c>
      <c r="AI188" s="67">
        <f>IF(OR(AH188="N/A – RULE",AH188="N/A – JUSTIFIED"),0,1)</f>
        <v/>
      </c>
      <c r="AJ188" s="67">
        <f>IF(LEFT(AH188,8)="COMPLETE",1,0)</f>
        <v/>
      </c>
      <c r="AK188" s="67">
        <f>IF(AND(AI188=1,AJ188=0,AsOfUTC&gt;Q188),1,0)</f>
        <v/>
      </c>
      <c r="AL188" s="67">
        <f>IF(AND(AI188=1,OR(TRIM(U188)="Fail",AB188="Open",AND(ISNUMBER(AF188),AF188&lt;&gt;0,TRIM(U188)&lt;&gt;"Pass after CA"))),1,0)</f>
        <v/>
      </c>
      <c r="AM188" s="67">
        <f>IF(LEFT(AH188,7)="INVALID",1,0)</f>
        <v/>
      </c>
      <c r="AN188" s="67">
        <f>IF(AND(N188="Clarification required",AI188=1,AJ188=0),1,0)</f>
        <v/>
      </c>
      <c r="AO188" s="67">
        <f>IF(AK188=1,SUM(AK$5:AK188),"")</f>
        <v/>
      </c>
      <c r="AP188" s="67">
        <f>IF(AL188=1,SUM(AL$5:AL188),"")</f>
        <v/>
      </c>
      <c r="AQ188" s="67" t="n">
        <v>0</v>
      </c>
      <c r="AR188" s="67" t="n">
        <v>0</v>
      </c>
      <c r="AS188" s="67" t="n">
        <v>0</v>
      </c>
      <c r="AT188" s="67" t="n">
        <v>1</v>
      </c>
    </row>
    <row r="189" ht="41.5" customHeight="1">
      <c r="A189" s="63" t="inlineStr">
        <is>
          <t>F06-T12-14</t>
        </is>
      </c>
      <c r="B189" s="63" t="inlineStr">
        <is>
          <t>F06</t>
        </is>
      </c>
      <c r="C189" s="63">
        <f>Flights!$F$10</f>
        <v/>
      </c>
      <c r="D189" s="64">
        <f>Flights!$D$10</f>
        <v/>
      </c>
      <c r="E189" s="63">
        <f>Flights!$G$10&amp;"-"&amp;Flights!$H$10</f>
        <v/>
      </c>
      <c r="F189" s="63">
        <f>Flights!$K$10</f>
        <v/>
      </c>
      <c r="G189" s="63" t="inlineStr">
        <is>
          <t>T-12H PREP</t>
        </is>
      </c>
      <c r="H189" s="63" t="inlineStr">
        <is>
          <t>Preparation</t>
        </is>
      </c>
      <c r="I189" s="63" t="inlineStr">
        <is>
          <t>F&amp;B Linen</t>
        </is>
      </c>
      <c r="J189" s="63" t="inlineStr">
        <is>
          <t>Table cloth - prepared</t>
        </is>
      </c>
      <c r="K189" s="73" t="inlineStr">
        <is>
          <t>Available (ticked in reference)</t>
        </is>
      </c>
      <c r="L189" s="73" t="inlineStr">
        <is>
          <t>STD UPLIFT INFORMATION.xlsx &gt; F&amp;B LINEN!G7</t>
        </is>
      </c>
      <c r="M189" s="73" t="inlineStr">
        <is>
          <t>Not stated in reference</t>
        </is>
      </c>
      <c r="N189" s="73" t="inlineStr">
        <is>
          <t>Required</t>
        </is>
      </c>
      <c r="O189" s="73" t="inlineStr">
        <is>
          <t>Reference gives no uplift stn for this item: preparation checked at the meal uplift stn (KUL) - confirm with caterer.</t>
        </is>
      </c>
      <c r="P189" s="63" t="inlineStr">
        <is>
          <t>KUL</t>
        </is>
      </c>
      <c r="Q189" s="65">
        <f>Flights!$AE$10</f>
        <v/>
      </c>
      <c r="R189" s="65">
        <f>Q189+(IF(AND(INDEX(TZ_DSTS,MATCH(P189,TZ_STN,0))&lt;&gt;"",Q189&gt;=INDEX(TZ_DSTS,MATCH(P189,TZ_STN,0)),Q189&lt;INDEX(TZ_DSTE,MATCH(P189,TZ_STN,0))),INDEX(TZ_DST,MATCH(P189,TZ_STN,0)),INDEX(TZ_STD,MATCH(P189,TZ_STN,0))))/24</f>
        <v/>
      </c>
      <c r="S189" s="65">
        <f>Q189-T12EarlyH/24</f>
        <v/>
      </c>
      <c r="T189" s="66" t="n"/>
      <c r="U189" s="66" t="n"/>
      <c r="V189" s="66" t="n"/>
      <c r="W189" s="67" t="n"/>
      <c r="X189" s="66" t="n"/>
      <c r="Y189" s="66" t="n"/>
      <c r="Z189" s="66" t="n"/>
      <c r="AA189" s="66" t="n"/>
      <c r="AB189" s="66" t="n"/>
      <c r="AC189" s="66" t="n"/>
      <c r="AD189" s="72" t="n"/>
      <c r="AE189" s="66" t="n"/>
      <c r="AF189" s="67">
        <f>IF(AND(ISNUMBER(X189),ISNUMBER(Y189)),Y189-X189,"")</f>
        <v/>
      </c>
      <c r="AG189" s="68">
        <f>IF(ISNUMBER(AD189),AD189-(IF(AND(INDEX(TZ_DSTS,MATCH(P189,TZ_STN,0))&lt;&gt;"",(AD189-INDEX(TZ_STD,MATCH(P189,TZ_STN,0))/24)&gt;=INDEX(TZ_DSTS,MATCH(P189,TZ_STN,0)),(AD189-INDEX(TZ_STD,MATCH(P189,TZ_STN,0))/24)&lt;INDEX(TZ_DSTE,MATCH(P189,TZ_STN,0))),INDEX(TZ_DST,MATCH(P189,TZ_STN,0)),INDEX(TZ_STD,MATCH(P189,TZ_STN,0))))/24,"")</f>
        <v/>
      </c>
      <c r="AH189" s="71">
        <f>IF(N189="N/A – rule","N/A – RULE",IF(TRIM(U189)="N/A",IF(AT189=0,"INVALID – N/A not permitted for this mandatory check",IF(AND(TRIM(AC189)&lt;&gt;"",TRIM(AE189)&lt;&gt;"",TRIM(T189)&lt;&gt;""),"N/A – JUSTIFIED","INVALID – N/A needs justification, PIC and verifier")),IF(OR(TRIM(U189)="Pass",TRIM(U189)="Pass after CA"),IF(NOT(ISNUMBER(AD189)),"INVALID – completion time missing",IF(TRIM(T189)="","INVALID – PIC missing",IF(TRIM(Z189)="","INVALID – evidence missing",IF(TRIM(AE189)="","INVALID – verifier missing",IF(AND(AQ189=1,TRIM(W189)=""),"INVALID – batch ID missing",IF(AND(AR189=1,OR(NOT(ISNUMBER(X189)),NOT(ISNUMBER(Y189)))),"INVALID – expected/actual qty missing",IF(IF(AND(TRIM(U189)="Pass",ISNUMBER(AF189)),IF(AF189&lt;&gt;0,"INVALID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recorded/closed","")&lt;&gt;"",IF(AND(TRIM(U189)="Pass",ISNUMBER(AF189)),IF(AF189&lt;&gt;0,"INVALID – qty variance: use Fail or Pass after CA",""),"")&amp;IF(AND(TRIM(U189)="Pass",AB189="Open"),"INVALID – corrective action still open: use Fail, then Pass after CA","")&amp;IF(AND(TRIM(U189)="Pass after CA",OR(TRIM(AA189)="",AB189&lt;&gt;"Closed")),"INVALID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window"),IF(AG189&gt;Flights!$AA$10,"INVALID – completed after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f>
        <v/>
      </c>
      <c r="AI189" s="67">
        <f>IF(OR(AH189="N/A – RULE",AH189="N/A – JUSTIFIED"),0,1)</f>
        <v/>
      </c>
      <c r="AJ189" s="67">
        <f>IF(LEFT(AH189,8)="COMPLETE",1,0)</f>
        <v/>
      </c>
      <c r="AK189" s="67">
        <f>IF(AND(AI189=1,AJ189=0,AsOfUTC&gt;Q189),1,0)</f>
        <v/>
      </c>
      <c r="AL189" s="67">
        <f>IF(AND(AI189=1,OR(TRIM(U189)="Fail",AB189="Open",AND(ISNUMBER(AF189),AF189&lt;&gt;0,TRIM(U189)&lt;&gt;"Pass after CA"))),1,0)</f>
        <v/>
      </c>
      <c r="AM189" s="67">
        <f>IF(LEFT(AH189,7)="INVALID",1,0)</f>
        <v/>
      </c>
      <c r="AN189" s="67">
        <f>IF(AND(N189="Clarification required",AI189=1,AJ189=0),1,0)</f>
        <v/>
      </c>
      <c r="AO189" s="67">
        <f>IF(AK189=1,SUM(AK$5:AK189),"")</f>
        <v/>
      </c>
      <c r="AP189" s="67">
        <f>IF(AL189=1,SUM(AL$5:AL189),"")</f>
        <v/>
      </c>
      <c r="AQ189" s="67" t="n">
        <v>0</v>
      </c>
      <c r="AR189" s="67" t="n">
        <v>0</v>
      </c>
      <c r="AS189" s="67" t="n">
        <v>0</v>
      </c>
      <c r="AT189" s="67" t="n">
        <v>1</v>
      </c>
    </row>
    <row r="190" ht="41.5" customHeight="1">
      <c r="A190" s="63" t="inlineStr">
        <is>
          <t>F06-T12-15</t>
        </is>
      </c>
      <c r="B190" s="63" t="inlineStr">
        <is>
          <t>F06</t>
        </is>
      </c>
      <c r="C190" s="63">
        <f>Flights!$F$10</f>
        <v/>
      </c>
      <c r="D190" s="64">
        <f>Flights!$D$10</f>
        <v/>
      </c>
      <c r="E190" s="63">
        <f>Flights!$G$10&amp;"-"&amp;Flights!$H$10</f>
        <v/>
      </c>
      <c r="F190" s="63">
        <f>Flights!$K$10</f>
        <v/>
      </c>
      <c r="G190" s="63" t="inlineStr">
        <is>
          <t>T-12H PREP</t>
        </is>
      </c>
      <c r="H190" s="63" t="inlineStr">
        <is>
          <t>Preparation</t>
        </is>
      </c>
      <c r="I190" s="63" t="inlineStr">
        <is>
          <t>F&amp;B Linen</t>
        </is>
      </c>
      <c r="J190" s="63" t="inlineStr">
        <is>
          <t>Bread linen (using table cloth) - prepared</t>
        </is>
      </c>
      <c r="K190" s="73" t="inlineStr">
        <is>
          <t>Available (ticked in reference)</t>
        </is>
      </c>
      <c r="L190" s="73" t="inlineStr">
        <is>
          <t>STD UPLIFT INFORMATION.xlsx &gt; F&amp;B LINEN!H7</t>
        </is>
      </c>
      <c r="M190" s="73" t="inlineStr">
        <is>
          <t>Not stated in reference</t>
        </is>
      </c>
      <c r="N190" s="73" t="inlineStr">
        <is>
          <t>Required</t>
        </is>
      </c>
      <c r="O190" s="73" t="inlineStr">
        <is>
          <t>Reference gives no uplift stn for this item: preparation checked at the meal uplift stn (KUL) - confirm with caterer.</t>
        </is>
      </c>
      <c r="P190" s="63" t="inlineStr">
        <is>
          <t>KUL</t>
        </is>
      </c>
      <c r="Q190" s="65">
        <f>Flights!$AE$10</f>
        <v/>
      </c>
      <c r="R190" s="65">
        <f>Q190+(IF(AND(INDEX(TZ_DSTS,MATCH(P190,TZ_STN,0))&lt;&gt;"",Q190&gt;=INDEX(TZ_DSTS,MATCH(P190,TZ_STN,0)),Q190&lt;INDEX(TZ_DSTE,MATCH(P190,TZ_STN,0))),INDEX(TZ_DST,MATCH(P190,TZ_STN,0)),INDEX(TZ_STD,MATCH(P190,TZ_STN,0))))/24</f>
        <v/>
      </c>
      <c r="S190" s="65">
        <f>Q190-T12EarlyH/24</f>
        <v/>
      </c>
      <c r="T190" s="66" t="n"/>
      <c r="U190" s="66" t="n"/>
      <c r="V190" s="66" t="n"/>
      <c r="W190" s="67" t="n"/>
      <c r="X190" s="66" t="n"/>
      <c r="Y190" s="66" t="n"/>
      <c r="Z190" s="66" t="n"/>
      <c r="AA190" s="66" t="n"/>
      <c r="AB190" s="66" t="n"/>
      <c r="AC190" s="66" t="n"/>
      <c r="AD190" s="72" t="n"/>
      <c r="AE190" s="66" t="n"/>
      <c r="AF190" s="67">
        <f>IF(AND(ISNUMBER(X190),ISNUMBER(Y190)),Y190-X190,"")</f>
        <v/>
      </c>
      <c r="AG190" s="68">
        <f>IF(ISNUMBER(AD190),AD190-(IF(AND(INDEX(TZ_DSTS,MATCH(P190,TZ_STN,0))&lt;&gt;"",(AD190-INDEX(TZ_STD,MATCH(P190,TZ_STN,0))/24)&gt;=INDEX(TZ_DSTS,MATCH(P190,TZ_STN,0)),(AD190-INDEX(TZ_STD,MATCH(P190,TZ_STN,0))/24)&lt;INDEX(TZ_DSTE,MATCH(P190,TZ_STN,0))),INDEX(TZ_DST,MATCH(P190,TZ_STN,0)),INDEX(TZ_STD,MATCH(P190,TZ_STN,0))))/24,"")</f>
        <v/>
      </c>
      <c r="AH190" s="71">
        <f>IF(N190="N/A – rule","N/A – RULE",IF(TRIM(U190)="N/A",IF(AT190=0,"INVALID – N/A not permitted for this mandatory check",IF(AND(TRIM(AC190)&lt;&gt;"",TRIM(AE190)&lt;&gt;"",TRIM(T190)&lt;&gt;""),"N/A – JUSTIFIED","INVALID – N/A needs justification, PIC and verifier")),IF(OR(TRIM(U190)="Pass",TRIM(U190)="Pass after CA"),IF(NOT(ISNUMBER(AD190)),"INVALID – completion time missing",IF(TRIM(T190)="","INVALID – PIC missing",IF(TRIM(Z190)="","INVALID – evidence missing",IF(TRIM(AE190)="","INVALID – verifier missing",IF(AND(AQ190=1,TRIM(W190)=""),"INVALID – batch ID missing",IF(AND(AR190=1,OR(NOT(ISNUMBER(X190)),NOT(ISNUMBER(Y190)))),"INVALID – expected/actual qty missing",IF(IF(AND(TRIM(U190)="Pass",ISNUMBER(AF190)),IF(AF190&lt;&gt;0,"INVALID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recorded/closed","")&lt;&gt;"",IF(AND(TRIM(U190)="Pass",ISNUMBER(AF190)),IF(AF190&lt;&gt;0,"INVALID – qty variance: use Fail or Pass after CA",""),"")&amp;IF(AND(TRIM(U190)="Pass",AB190="Open"),"INVALID – corrective action still open: use Fail, then Pass after CA","")&amp;IF(AND(TRIM(U190)="Pass after CA",OR(TRIM(AA190)="",AB190&lt;&gt;"Closed")),"INVALID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window"),IF(AG190&gt;Flights!$AA$10,"INVALID – completed after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f>
        <v/>
      </c>
      <c r="AI190" s="67">
        <f>IF(OR(AH190="N/A – RULE",AH190="N/A – JUSTIFIED"),0,1)</f>
        <v/>
      </c>
      <c r="AJ190" s="67">
        <f>IF(LEFT(AH190,8)="COMPLETE",1,0)</f>
        <v/>
      </c>
      <c r="AK190" s="67">
        <f>IF(AND(AI190=1,AJ190=0,AsOfUTC&gt;Q190),1,0)</f>
        <v/>
      </c>
      <c r="AL190" s="67">
        <f>IF(AND(AI190=1,OR(TRIM(U190)="Fail",AB190="Open",AND(ISNUMBER(AF190),AF190&lt;&gt;0,TRIM(U190)&lt;&gt;"Pass after CA"))),1,0)</f>
        <v/>
      </c>
      <c r="AM190" s="67">
        <f>IF(LEFT(AH190,7)="INVALID",1,0)</f>
        <v/>
      </c>
      <c r="AN190" s="67">
        <f>IF(AND(N190="Clarification required",AI190=1,AJ190=0),1,0)</f>
        <v/>
      </c>
      <c r="AO190" s="67">
        <f>IF(AK190=1,SUM(AK$5:AK190),"")</f>
        <v/>
      </c>
      <c r="AP190" s="67">
        <f>IF(AL190=1,SUM(AL$5:AL190),"")</f>
        <v/>
      </c>
      <c r="AQ190" s="67" t="n">
        <v>0</v>
      </c>
      <c r="AR190" s="67" t="n">
        <v>0</v>
      </c>
      <c r="AS190" s="67" t="n">
        <v>0</v>
      </c>
      <c r="AT190" s="67" t="n">
        <v>1</v>
      </c>
    </row>
    <row r="191" ht="54" customHeight="1">
      <c r="A191" s="63" t="inlineStr">
        <is>
          <t>F06-T12-16</t>
        </is>
      </c>
      <c r="B191" s="63" t="inlineStr">
        <is>
          <t>F06</t>
        </is>
      </c>
      <c r="C191" s="63">
        <f>Flights!$F$10</f>
        <v/>
      </c>
      <c r="D191" s="64">
        <f>Flights!$D$10</f>
        <v/>
      </c>
      <c r="E191" s="63">
        <f>Flights!$G$10&amp;"-"&amp;Flights!$H$10</f>
        <v/>
      </c>
      <c r="F191" s="63">
        <f>Flights!$K$10</f>
        <v/>
      </c>
      <c r="G191" s="63" t="inlineStr">
        <is>
          <t>T-12H PREP</t>
        </is>
      </c>
      <c r="H191" s="63" t="inlineStr">
        <is>
          <t>Preparation</t>
        </is>
      </c>
      <c r="I191" s="63" t="inlineStr">
        <is>
          <t>F&amp;B Linen</t>
        </is>
      </c>
      <c r="J191" s="63" t="inlineStr">
        <is>
          <t>Trolley cloth - prepared</t>
        </is>
      </c>
      <c r="K191" s="73" t="inlineStr">
        <is>
          <t>Wide body: Top/Middle &amp; Bottom</t>
        </is>
      </c>
      <c r="L191" s="73" t="inlineStr">
        <is>
          <t>STD UPLIFT INFORMATION.xlsx &gt; F&amp;B LINEN!I7</t>
        </is>
      </c>
      <c r="M191" s="73" t="inlineStr">
        <is>
          <t>Not stated in reference</t>
        </is>
      </c>
      <c r="N191" s="73" t="inlineStr">
        <is>
          <t>Required</t>
        </is>
      </c>
      <c r="O191" s="73" t="inlineStr">
        <is>
          <t>Per note F&amp;B LINEN!B79:C80. Reference gives no uplift stn for this item: preparation checked at the meal uplift stn (KUL) - confirm with caterer.</t>
        </is>
      </c>
      <c r="P191" s="63" t="inlineStr">
        <is>
          <t>KUL</t>
        </is>
      </c>
      <c r="Q191" s="65">
        <f>Flights!$AE$10</f>
        <v/>
      </c>
      <c r="R191" s="65">
        <f>Q191+(IF(AND(INDEX(TZ_DSTS,MATCH(P191,TZ_STN,0))&lt;&gt;"",Q191&gt;=INDEX(TZ_DSTS,MATCH(P191,TZ_STN,0)),Q191&lt;INDEX(TZ_DSTE,MATCH(P191,TZ_STN,0))),INDEX(TZ_DST,MATCH(P191,TZ_STN,0)),INDEX(TZ_STD,MATCH(P191,TZ_STN,0))))/24</f>
        <v/>
      </c>
      <c r="S191" s="65">
        <f>Q191-T12EarlyH/24</f>
        <v/>
      </c>
      <c r="T191" s="66" t="n"/>
      <c r="U191" s="66" t="n"/>
      <c r="V191" s="66" t="n"/>
      <c r="W191" s="67" t="n"/>
      <c r="X191" s="66" t="n"/>
      <c r="Y191" s="66" t="n"/>
      <c r="Z191" s="66" t="n"/>
      <c r="AA191" s="66" t="n"/>
      <c r="AB191" s="66" t="n"/>
      <c r="AC191" s="66" t="n"/>
      <c r="AD191" s="72" t="n"/>
      <c r="AE191" s="66" t="n"/>
      <c r="AF191" s="67">
        <f>IF(AND(ISNUMBER(X191),ISNUMBER(Y191)),Y191-X191,"")</f>
        <v/>
      </c>
      <c r="AG191" s="68">
        <f>IF(ISNUMBER(AD191),AD191-(IF(AND(INDEX(TZ_DSTS,MATCH(P191,TZ_STN,0))&lt;&gt;"",(AD191-INDEX(TZ_STD,MATCH(P191,TZ_STN,0))/24)&gt;=INDEX(TZ_DSTS,MATCH(P191,TZ_STN,0)),(AD191-INDEX(TZ_STD,MATCH(P191,TZ_STN,0))/24)&lt;INDEX(TZ_DSTE,MATCH(P191,TZ_STN,0))),INDEX(TZ_DST,MATCH(P191,TZ_STN,0)),INDEX(TZ_STD,MATCH(P191,TZ_STN,0))))/24,"")</f>
        <v/>
      </c>
      <c r="AH191" s="71">
        <f>IF(N191="N/A – rule","N/A – RULE",IF(TRIM(U191)="N/A",IF(AT191=0,"INVALID – N/A not permitted for this mandatory check",IF(AND(TRIM(AC191)&lt;&gt;"",TRIM(AE191)&lt;&gt;"",TRIM(T191)&lt;&gt;""),"N/A – JUSTIFIED","INVALID – N/A needs justification, PIC and verifier")),IF(OR(TRIM(U191)="Pass",TRIM(U191)="Pass after CA"),IF(NOT(ISNUMBER(AD191)),"INVALID – completion time missing",IF(TRIM(T191)="","INVALID – PIC missing",IF(TRIM(Z191)="","INVALID – evidence missing",IF(TRIM(AE191)="","INVALID – verifier missing",IF(AND(AQ191=1,TRIM(W191)=""),"INVALID – batch ID missing",IF(AND(AR191=1,OR(NOT(ISNUMBER(X191)),NOT(ISNUMBER(Y191)))),"INVALID – expected/actual qty missing",IF(IF(AND(TRIM(U191)="Pass",ISNUMBER(AF191)),IF(AF191&lt;&gt;0,"INVALID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recorded/closed","")&lt;&gt;"",IF(AND(TRIM(U191)="Pass",ISNUMBER(AF191)),IF(AF191&lt;&gt;0,"INVALID – qty variance: use Fail or Pass after CA",""),"")&amp;IF(AND(TRIM(U191)="Pass",AB191="Open"),"INVALID – corrective action still open: use Fail, then Pass after CA","")&amp;IF(AND(TRIM(U191)="Pass after CA",OR(TRIM(AA191)="",AB191&lt;&gt;"Closed")),"INVALID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window"),IF(AG191&gt;Flights!$AA$10,"INVALID – completed after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f>
        <v/>
      </c>
      <c r="AI191" s="67">
        <f>IF(OR(AH191="N/A – RULE",AH191="N/A – JUSTIFIED"),0,1)</f>
        <v/>
      </c>
      <c r="AJ191" s="67">
        <f>IF(LEFT(AH191,8)="COMPLETE",1,0)</f>
        <v/>
      </c>
      <c r="AK191" s="67">
        <f>IF(AND(AI191=1,AJ191=0,AsOfUTC&gt;Q191),1,0)</f>
        <v/>
      </c>
      <c r="AL191" s="67">
        <f>IF(AND(AI191=1,OR(TRIM(U191)="Fail",AB191="Open",AND(ISNUMBER(AF191),AF191&lt;&gt;0,TRIM(U191)&lt;&gt;"Pass after CA"))),1,0)</f>
        <v/>
      </c>
      <c r="AM191" s="67">
        <f>IF(LEFT(AH191,7)="INVALID",1,0)</f>
        <v/>
      </c>
      <c r="AN191" s="67">
        <f>IF(AND(N191="Clarification required",AI191=1,AJ191=0),1,0)</f>
        <v/>
      </c>
      <c r="AO191" s="67">
        <f>IF(AK191=1,SUM(AK$5:AK191),"")</f>
        <v/>
      </c>
      <c r="AP191" s="67">
        <f>IF(AL191=1,SUM(AL$5:AL191),"")</f>
        <v/>
      </c>
      <c r="AQ191" s="67" t="n">
        <v>0</v>
      </c>
      <c r="AR191" s="67" t="n">
        <v>0</v>
      </c>
      <c r="AS191" s="67" t="n">
        <v>0</v>
      </c>
      <c r="AT191" s="67" t="n">
        <v>1</v>
      </c>
    </row>
    <row r="192" ht="41.5" customHeight="1">
      <c r="A192" s="63" t="inlineStr">
        <is>
          <t>F06-T12-17</t>
        </is>
      </c>
      <c r="B192" s="63" t="inlineStr">
        <is>
          <t>F06</t>
        </is>
      </c>
      <c r="C192" s="63">
        <f>Flights!$F$10</f>
        <v/>
      </c>
      <c r="D192" s="64">
        <f>Flights!$D$10</f>
        <v/>
      </c>
      <c r="E192" s="63">
        <f>Flights!$G$10&amp;"-"&amp;Flights!$H$10</f>
        <v/>
      </c>
      <c r="F192" s="63">
        <f>Flights!$K$10</f>
        <v/>
      </c>
      <c r="G192" s="63" t="inlineStr">
        <is>
          <t>T-12H PREP</t>
        </is>
      </c>
      <c r="H192" s="63" t="inlineStr">
        <is>
          <t>Preparation</t>
        </is>
      </c>
      <c r="I192" s="63" t="inlineStr">
        <is>
          <t>F&amp;B Linen</t>
        </is>
      </c>
      <c r="J192" s="63" t="inlineStr">
        <is>
          <t>Linen bag - prepared</t>
        </is>
      </c>
      <c r="K192" s="73" t="inlineStr">
        <is>
          <t>Available (ticked in reference)</t>
        </is>
      </c>
      <c r="L192" s="73" t="inlineStr">
        <is>
          <t>STD UPLIFT INFORMATION.xlsx &gt; F&amp;B LINEN!J7</t>
        </is>
      </c>
      <c r="M192" s="73" t="inlineStr">
        <is>
          <t>Not stated in reference</t>
        </is>
      </c>
      <c r="N192" s="73" t="inlineStr">
        <is>
          <t>Required</t>
        </is>
      </c>
      <c r="O192" s="73" t="inlineStr">
        <is>
          <t>Reference gives no uplift stn for this item: preparation checked at the meal uplift stn (KUL) - confirm with caterer.</t>
        </is>
      </c>
      <c r="P192" s="63" t="inlineStr">
        <is>
          <t>KUL</t>
        </is>
      </c>
      <c r="Q192" s="65">
        <f>Flights!$AE$10</f>
        <v/>
      </c>
      <c r="R192" s="65">
        <f>Q192+(IF(AND(INDEX(TZ_DSTS,MATCH(P192,TZ_STN,0))&lt;&gt;"",Q192&gt;=INDEX(TZ_DSTS,MATCH(P192,TZ_STN,0)),Q192&lt;INDEX(TZ_DSTE,MATCH(P192,TZ_STN,0))),INDEX(TZ_DST,MATCH(P192,TZ_STN,0)),INDEX(TZ_STD,MATCH(P192,TZ_STN,0))))/24</f>
        <v/>
      </c>
      <c r="S192" s="65">
        <f>Q192-T12EarlyH/24</f>
        <v/>
      </c>
      <c r="T192" s="66" t="n"/>
      <c r="U192" s="66" t="n"/>
      <c r="V192" s="66" t="n"/>
      <c r="W192" s="67" t="n"/>
      <c r="X192" s="66" t="n"/>
      <c r="Y192" s="66" t="n"/>
      <c r="Z192" s="66" t="n"/>
      <c r="AA192" s="66" t="n"/>
      <c r="AB192" s="66" t="n"/>
      <c r="AC192" s="66" t="n"/>
      <c r="AD192" s="72" t="n"/>
      <c r="AE192" s="66" t="n"/>
      <c r="AF192" s="67">
        <f>IF(AND(ISNUMBER(X192),ISNUMBER(Y192)),Y192-X192,"")</f>
        <v/>
      </c>
      <c r="AG192" s="68">
        <f>IF(ISNUMBER(AD192),AD192-(IF(AND(INDEX(TZ_DSTS,MATCH(P192,TZ_STN,0))&lt;&gt;"",(AD192-INDEX(TZ_STD,MATCH(P192,TZ_STN,0))/24)&gt;=INDEX(TZ_DSTS,MATCH(P192,TZ_STN,0)),(AD192-INDEX(TZ_STD,MATCH(P192,TZ_STN,0))/24)&lt;INDEX(TZ_DSTE,MATCH(P192,TZ_STN,0))),INDEX(TZ_DST,MATCH(P192,TZ_STN,0)),INDEX(TZ_STD,MATCH(P192,TZ_STN,0))))/24,"")</f>
        <v/>
      </c>
      <c r="AH192" s="71">
        <f>IF(N192="N/A – rule","N/A – RULE",IF(TRIM(U192)="N/A",IF(AT192=0,"INVALID – N/A not permitted for this mandatory check",IF(AND(TRIM(AC192)&lt;&gt;"",TRIM(AE192)&lt;&gt;"",TRIM(T192)&lt;&gt;""),"N/A – JUSTIFIED","INVALID – N/A needs justification, PIC and verifier")),IF(OR(TRIM(U192)="Pass",TRIM(U192)="Pass after CA"),IF(NOT(ISNUMBER(AD192)),"INVALID – completion time missing",IF(TRIM(T192)="","INVALID – PIC missing",IF(TRIM(Z192)="","INVALID – evidence missing",IF(TRIM(AE192)="","INVALID – verifier missing",IF(AND(AQ192=1,TRIM(W192)=""),"INVALID – batch ID missing",IF(AND(AR192=1,OR(NOT(ISNUMBER(X192)),NOT(ISNUMBER(Y192)))),"INVALID – expected/actual qty missing",IF(IF(AND(TRIM(U192)="Pass",ISNUMBER(AF192)),IF(AF192&lt;&gt;0,"INVALID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recorded/closed","")&lt;&gt;"",IF(AND(TRIM(U192)="Pass",ISNUMBER(AF192)),IF(AF192&lt;&gt;0,"INVALID – qty variance: use Fail or Pass after CA",""),"")&amp;IF(AND(TRIM(U192)="Pass",AB192="Open"),"INVALID – corrective action still open: use Fail, then Pass after CA","")&amp;IF(AND(TRIM(U192)="Pass after CA",OR(TRIM(AA192)="",AB192&lt;&gt;"Closed")),"INVALID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window"),IF(AG192&gt;Flights!$AA$10,"INVALID – completed after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f>
        <v/>
      </c>
      <c r="AI192" s="67">
        <f>IF(OR(AH192="N/A – RULE",AH192="N/A – JUSTIFIED"),0,1)</f>
        <v/>
      </c>
      <c r="AJ192" s="67">
        <f>IF(LEFT(AH192,8)="COMPLETE",1,0)</f>
        <v/>
      </c>
      <c r="AK192" s="67">
        <f>IF(AND(AI192=1,AJ192=0,AsOfUTC&gt;Q192),1,0)</f>
        <v/>
      </c>
      <c r="AL192" s="67">
        <f>IF(AND(AI192=1,OR(TRIM(U192)="Fail",AB192="Open",AND(ISNUMBER(AF192),AF192&lt;&gt;0,TRIM(U192)&lt;&gt;"Pass after CA"))),1,0)</f>
        <v/>
      </c>
      <c r="AM192" s="67">
        <f>IF(LEFT(AH192,7)="INVALID",1,0)</f>
        <v/>
      </c>
      <c r="AN192" s="67">
        <f>IF(AND(N192="Clarification required",AI192=1,AJ192=0),1,0)</f>
        <v/>
      </c>
      <c r="AO192" s="67">
        <f>IF(AK192=1,SUM(AK$5:AK192),"")</f>
        <v/>
      </c>
      <c r="AP192" s="67">
        <f>IF(AL192=1,SUM(AL$5:AL192),"")</f>
        <v/>
      </c>
      <c r="AQ192" s="67" t="n">
        <v>0</v>
      </c>
      <c r="AR192" s="67" t="n">
        <v>0</v>
      </c>
      <c r="AS192" s="67" t="n">
        <v>0</v>
      </c>
      <c r="AT192" s="67" t="n">
        <v>1</v>
      </c>
    </row>
    <row r="193" ht="41.5" customHeight="1">
      <c r="A193" s="63" t="inlineStr">
        <is>
          <t>F06-T12-18</t>
        </is>
      </c>
      <c r="B193" s="63" t="inlineStr">
        <is>
          <t>F06</t>
        </is>
      </c>
      <c r="C193" s="63">
        <f>Flights!$F$10</f>
        <v/>
      </c>
      <c r="D193" s="64">
        <f>Flights!$D$10</f>
        <v/>
      </c>
      <c r="E193" s="63">
        <f>Flights!$G$10&amp;"-"&amp;Flights!$H$10</f>
        <v/>
      </c>
      <c r="F193" s="63">
        <f>Flights!$K$10</f>
        <v/>
      </c>
      <c r="G193" s="63" t="inlineStr">
        <is>
          <t>T-12H PREP</t>
        </is>
      </c>
      <c r="H193" s="63" t="inlineStr">
        <is>
          <t>Preparation</t>
        </is>
      </c>
      <c r="I193" s="63" t="inlineStr">
        <is>
          <t>Seat Linen</t>
        </is>
      </c>
      <c r="J193" s="63" t="inlineStr">
        <is>
          <t>Seat pillow (BS &amp; BC) - prepared</t>
        </is>
      </c>
      <c r="K193" s="73" t="inlineStr">
        <is>
          <t>Available 100% (ticked in reference)</t>
        </is>
      </c>
      <c r="L193" s="73" t="inlineStr">
        <is>
          <t>STD UPLIFT INFORMATION.xlsx &gt; SEAT LINEN!E7</t>
        </is>
      </c>
      <c r="M193" s="73" t="inlineStr">
        <is>
          <t>Not stated in reference</t>
        </is>
      </c>
      <c r="N193" s="73" t="inlineStr">
        <is>
          <t>Required</t>
        </is>
      </c>
      <c r="O193" s="73" t="inlineStr">
        <is>
          <t>Reference gives no uplift stn for this item: preparation checked at the meal uplift stn (KUL) - confirm with caterer.</t>
        </is>
      </c>
      <c r="P193" s="63" t="inlineStr">
        <is>
          <t>KUL</t>
        </is>
      </c>
      <c r="Q193" s="65">
        <f>Flights!$AE$10</f>
        <v/>
      </c>
      <c r="R193" s="65">
        <f>Q193+(IF(AND(INDEX(TZ_DSTS,MATCH(P193,TZ_STN,0))&lt;&gt;"",Q193&gt;=INDEX(TZ_DSTS,MATCH(P193,TZ_STN,0)),Q193&lt;INDEX(TZ_DSTE,MATCH(P193,TZ_STN,0))),INDEX(TZ_DST,MATCH(P193,TZ_STN,0)),INDEX(TZ_STD,MATCH(P193,TZ_STN,0))))/24</f>
        <v/>
      </c>
      <c r="S193" s="65">
        <f>Q193-T12EarlyH/24</f>
        <v/>
      </c>
      <c r="T193" s="66" t="n"/>
      <c r="U193" s="66" t="n"/>
      <c r="V193" s="66" t="n"/>
      <c r="W193" s="67" t="n"/>
      <c r="X193" s="66" t="n"/>
      <c r="Y193" s="66" t="n"/>
      <c r="Z193" s="66" t="n"/>
      <c r="AA193" s="66" t="n"/>
      <c r="AB193" s="66" t="n"/>
      <c r="AC193" s="66" t="n"/>
      <c r="AD193" s="72" t="n"/>
      <c r="AE193" s="66" t="n"/>
      <c r="AF193" s="67">
        <f>IF(AND(ISNUMBER(X193),ISNUMBER(Y193)),Y193-X193,"")</f>
        <v/>
      </c>
      <c r="AG193" s="68">
        <f>IF(ISNUMBER(AD193),AD193-(IF(AND(INDEX(TZ_DSTS,MATCH(P193,TZ_STN,0))&lt;&gt;"",(AD193-INDEX(TZ_STD,MATCH(P193,TZ_STN,0))/24)&gt;=INDEX(TZ_DSTS,MATCH(P193,TZ_STN,0)),(AD193-INDEX(TZ_STD,MATCH(P193,TZ_STN,0))/24)&lt;INDEX(TZ_DSTE,MATCH(P193,TZ_STN,0))),INDEX(TZ_DST,MATCH(P193,TZ_STN,0)),INDEX(TZ_STD,MATCH(P193,TZ_STN,0))))/24,"")</f>
        <v/>
      </c>
      <c r="AH193" s="71">
        <f>IF(N193="N/A – rule","N/A – RULE",IF(TRIM(U193)="N/A",IF(AT193=0,"INVALID – N/A not permitted for this mandatory check",IF(AND(TRIM(AC193)&lt;&gt;"",TRIM(AE193)&lt;&gt;"",TRIM(T193)&lt;&gt;""),"N/A – JUSTIFIED","INVALID – N/A needs justification, PIC and verifier")),IF(OR(TRIM(U193)="Pass",TRIM(U193)="Pass after CA"),IF(NOT(ISNUMBER(AD193)),"INVALID – completion time missing",IF(TRIM(T193)="","INVALID – PIC missing",IF(TRIM(Z193)="","INVALID – evidence missing",IF(TRIM(AE193)="","INVALID – verifier missing",IF(AND(AQ193=1,TRIM(W193)=""),"INVALID – batch ID missing",IF(AND(AR193=1,OR(NOT(ISNUMBER(X193)),NOT(ISNUMBER(Y193)))),"INVALID – expected/actual qty missing",IF(IF(AND(TRIM(U193)="Pass",ISNUMBER(AF193)),IF(AF193&lt;&gt;0,"INVALID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recorded/closed","")&lt;&gt;"",IF(AND(TRIM(U193)="Pass",ISNUMBER(AF193)),IF(AF193&lt;&gt;0,"INVALID – qty variance: use Fail or Pass after CA",""),"")&amp;IF(AND(TRIM(U193)="Pass",AB193="Open"),"INVALID – corrective action still open: use Fail, then Pass after CA","")&amp;IF(AND(TRIM(U193)="Pass after CA",OR(TRIM(AA193)="",AB193&lt;&gt;"Closed")),"INVALID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window"),IF(AG193&gt;Flights!$AA$10,"INVALID – completed after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f>
        <v/>
      </c>
      <c r="AI193" s="67">
        <f>IF(OR(AH193="N/A – RULE",AH193="N/A – JUSTIFIED"),0,1)</f>
        <v/>
      </c>
      <c r="AJ193" s="67">
        <f>IF(LEFT(AH193,8)="COMPLETE",1,0)</f>
        <v/>
      </c>
      <c r="AK193" s="67">
        <f>IF(AND(AI193=1,AJ193=0,AsOfUTC&gt;Q193),1,0)</f>
        <v/>
      </c>
      <c r="AL193" s="67">
        <f>IF(AND(AI193=1,OR(TRIM(U193)="Fail",AB193="Open",AND(ISNUMBER(AF193),AF193&lt;&gt;0,TRIM(U193)&lt;&gt;"Pass after CA"))),1,0)</f>
        <v/>
      </c>
      <c r="AM193" s="67">
        <f>IF(LEFT(AH193,7)="INVALID",1,0)</f>
        <v/>
      </c>
      <c r="AN193" s="67">
        <f>IF(AND(N193="Clarification required",AI193=1,AJ193=0),1,0)</f>
        <v/>
      </c>
      <c r="AO193" s="67">
        <f>IF(AK193=1,SUM(AK$5:AK193),"")</f>
        <v/>
      </c>
      <c r="AP193" s="67">
        <f>IF(AL193=1,SUM(AL$5:AL193),"")</f>
        <v/>
      </c>
      <c r="AQ193" s="67" t="n">
        <v>0</v>
      </c>
      <c r="AR193" s="67" t="n">
        <v>0</v>
      </c>
      <c r="AS193" s="67" t="n">
        <v>0</v>
      </c>
      <c r="AT193" s="67" t="n">
        <v>1</v>
      </c>
    </row>
    <row r="194" ht="41.5" customHeight="1">
      <c r="A194" s="63" t="inlineStr">
        <is>
          <t>F06-T12-19</t>
        </is>
      </c>
      <c r="B194" s="63" t="inlineStr">
        <is>
          <t>F06</t>
        </is>
      </c>
      <c r="C194" s="63">
        <f>Flights!$F$10</f>
        <v/>
      </c>
      <c r="D194" s="64">
        <f>Flights!$D$10</f>
        <v/>
      </c>
      <c r="E194" s="63">
        <f>Flights!$G$10&amp;"-"&amp;Flights!$H$10</f>
        <v/>
      </c>
      <c r="F194" s="63">
        <f>Flights!$K$10</f>
        <v/>
      </c>
      <c r="G194" s="63" t="inlineStr">
        <is>
          <t>T-12H PREP</t>
        </is>
      </c>
      <c r="H194" s="63" t="inlineStr">
        <is>
          <t>Preparation</t>
        </is>
      </c>
      <c r="I194" s="63" t="inlineStr">
        <is>
          <t>Seat Linen</t>
        </is>
      </c>
      <c r="J194" s="63" t="inlineStr">
        <is>
          <t>Duvet (BS &amp; BC) - prepared</t>
        </is>
      </c>
      <c r="K194" s="73" t="inlineStr">
        <is>
          <t>Available 100% (ticked in reference)</t>
        </is>
      </c>
      <c r="L194" s="73" t="inlineStr">
        <is>
          <t>STD UPLIFT INFORMATION.xlsx &gt; SEAT LINEN!F7</t>
        </is>
      </c>
      <c r="M194" s="73" t="inlineStr">
        <is>
          <t>Not stated in reference</t>
        </is>
      </c>
      <c r="N194" s="73" t="inlineStr">
        <is>
          <t>Required</t>
        </is>
      </c>
      <c r="O194" s="73" t="inlineStr">
        <is>
          <t>Reference gives no uplift stn for this item: preparation checked at the meal uplift stn (KUL) - confirm with caterer.</t>
        </is>
      </c>
      <c r="P194" s="63" t="inlineStr">
        <is>
          <t>KUL</t>
        </is>
      </c>
      <c r="Q194" s="65">
        <f>Flights!$AE$10</f>
        <v/>
      </c>
      <c r="R194" s="65">
        <f>Q194+(IF(AND(INDEX(TZ_DSTS,MATCH(P194,TZ_STN,0))&lt;&gt;"",Q194&gt;=INDEX(TZ_DSTS,MATCH(P194,TZ_STN,0)),Q194&lt;INDEX(TZ_DSTE,MATCH(P194,TZ_STN,0))),INDEX(TZ_DST,MATCH(P194,TZ_STN,0)),INDEX(TZ_STD,MATCH(P194,TZ_STN,0))))/24</f>
        <v/>
      </c>
      <c r="S194" s="65">
        <f>Q194-T12EarlyH/24</f>
        <v/>
      </c>
      <c r="T194" s="66" t="n"/>
      <c r="U194" s="66" t="n"/>
      <c r="V194" s="66" t="n"/>
      <c r="W194" s="67" t="n"/>
      <c r="X194" s="66" t="n"/>
      <c r="Y194" s="66" t="n"/>
      <c r="Z194" s="66" t="n"/>
      <c r="AA194" s="66" t="n"/>
      <c r="AB194" s="66" t="n"/>
      <c r="AC194" s="66" t="n"/>
      <c r="AD194" s="72" t="n"/>
      <c r="AE194" s="66" t="n"/>
      <c r="AF194" s="67">
        <f>IF(AND(ISNUMBER(X194),ISNUMBER(Y194)),Y194-X194,"")</f>
        <v/>
      </c>
      <c r="AG194" s="68">
        <f>IF(ISNUMBER(AD194),AD194-(IF(AND(INDEX(TZ_DSTS,MATCH(P194,TZ_STN,0))&lt;&gt;"",(AD194-INDEX(TZ_STD,MATCH(P194,TZ_STN,0))/24)&gt;=INDEX(TZ_DSTS,MATCH(P194,TZ_STN,0)),(AD194-INDEX(TZ_STD,MATCH(P194,TZ_STN,0))/24)&lt;INDEX(TZ_DSTE,MATCH(P194,TZ_STN,0))),INDEX(TZ_DST,MATCH(P194,TZ_STN,0)),INDEX(TZ_STD,MATCH(P194,TZ_STN,0))))/24,"")</f>
        <v/>
      </c>
      <c r="AH194" s="71">
        <f>IF(N194="N/A – rule","N/A – RULE",IF(TRIM(U194)="N/A",IF(AT194=0,"INVALID – N/A not permitted for this mandatory check",IF(AND(TRIM(AC194)&lt;&gt;"",TRIM(AE194)&lt;&gt;"",TRIM(T194)&lt;&gt;""),"N/A – JUSTIFIED","INVALID – N/A needs justification, PIC and verifier")),IF(OR(TRIM(U194)="Pass",TRIM(U194)="Pass after CA"),IF(NOT(ISNUMBER(AD194)),"INVALID – completion time missing",IF(TRIM(T194)="","INVALID – PIC missing",IF(TRIM(Z194)="","INVALID – evidence missing",IF(TRIM(AE194)="","INVALID – verifier missing",IF(AND(AQ194=1,TRIM(W194)=""),"INVALID – batch ID missing",IF(AND(AR194=1,OR(NOT(ISNUMBER(X194)),NOT(ISNUMBER(Y194)))),"INVALID – expected/actual qty missing",IF(IF(AND(TRIM(U194)="Pass",ISNUMBER(AF194)),IF(AF194&lt;&gt;0,"INVALID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recorded/closed","")&lt;&gt;"",IF(AND(TRIM(U194)="Pass",ISNUMBER(AF194)),IF(AF194&lt;&gt;0,"INVALID – qty variance: use Fail or Pass after CA",""),"")&amp;IF(AND(TRIM(U194)="Pass",AB194="Open"),"INVALID – corrective action still open: use Fail, then Pass after CA","")&amp;IF(AND(TRIM(U194)="Pass after CA",OR(TRIM(AA194)="",AB194&lt;&gt;"Closed")),"INVALID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window"),IF(AG194&gt;Flights!$AA$10,"INVALID – completed after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f>
        <v/>
      </c>
      <c r="AI194" s="67">
        <f>IF(OR(AH194="N/A – RULE",AH194="N/A – JUSTIFIED"),0,1)</f>
        <v/>
      </c>
      <c r="AJ194" s="67">
        <f>IF(LEFT(AH194,8)="COMPLETE",1,0)</f>
        <v/>
      </c>
      <c r="AK194" s="67">
        <f>IF(AND(AI194=1,AJ194=0,AsOfUTC&gt;Q194),1,0)</f>
        <v/>
      </c>
      <c r="AL194" s="67">
        <f>IF(AND(AI194=1,OR(TRIM(U194)="Fail",AB194="Open",AND(ISNUMBER(AF194),AF194&lt;&gt;0,TRIM(U194)&lt;&gt;"Pass after CA"))),1,0)</f>
        <v/>
      </c>
      <c r="AM194" s="67">
        <f>IF(LEFT(AH194,7)="INVALID",1,0)</f>
        <v/>
      </c>
      <c r="AN194" s="67">
        <f>IF(AND(N194="Clarification required",AI194=1,AJ194=0),1,0)</f>
        <v/>
      </c>
      <c r="AO194" s="67">
        <f>IF(AK194=1,SUM(AK$5:AK194),"")</f>
        <v/>
      </c>
      <c r="AP194" s="67">
        <f>IF(AL194=1,SUM(AL$5:AL194),"")</f>
        <v/>
      </c>
      <c r="AQ194" s="67" t="n">
        <v>0</v>
      </c>
      <c r="AR194" s="67" t="n">
        <v>0</v>
      </c>
      <c r="AS194" s="67" t="n">
        <v>0</v>
      </c>
      <c r="AT194" s="67" t="n">
        <v>1</v>
      </c>
    </row>
    <row r="195" ht="41.5" customHeight="1">
      <c r="A195" s="63" t="inlineStr">
        <is>
          <t>F06-T12-20</t>
        </is>
      </c>
      <c r="B195" s="63" t="inlineStr">
        <is>
          <t>F06</t>
        </is>
      </c>
      <c r="C195" s="63">
        <f>Flights!$F$10</f>
        <v/>
      </c>
      <c r="D195" s="64">
        <f>Flights!$D$10</f>
        <v/>
      </c>
      <c r="E195" s="63">
        <f>Flights!$G$10&amp;"-"&amp;Flights!$H$10</f>
        <v/>
      </c>
      <c r="F195" s="63">
        <f>Flights!$K$10</f>
        <v/>
      </c>
      <c r="G195" s="63" t="inlineStr">
        <is>
          <t>T-12H PREP</t>
        </is>
      </c>
      <c r="H195" s="63" t="inlineStr">
        <is>
          <t>Preparation</t>
        </is>
      </c>
      <c r="I195" s="63" t="inlineStr">
        <is>
          <t>Seat Linen</t>
        </is>
      </c>
      <c r="J195" s="63" t="inlineStr">
        <is>
          <t>Mattress (BS &amp; BC) - prepared</t>
        </is>
      </c>
      <c r="K195" s="73" t="inlineStr">
        <is>
          <t>Available 100% (ticked in reference)</t>
        </is>
      </c>
      <c r="L195" s="73" t="inlineStr">
        <is>
          <t>STD UPLIFT INFORMATION.xlsx &gt; SEAT LINEN!G7</t>
        </is>
      </c>
      <c r="M195" s="73" t="inlineStr">
        <is>
          <t>Not stated in reference</t>
        </is>
      </c>
      <c r="N195" s="73" t="inlineStr">
        <is>
          <t>Required</t>
        </is>
      </c>
      <c r="O195" s="73" t="inlineStr">
        <is>
          <t>Reference gives no uplift stn for this item: preparation checked at the meal uplift stn (KUL) - confirm with caterer.</t>
        </is>
      </c>
      <c r="P195" s="63" t="inlineStr">
        <is>
          <t>KUL</t>
        </is>
      </c>
      <c r="Q195" s="65">
        <f>Flights!$AE$10</f>
        <v/>
      </c>
      <c r="R195" s="65">
        <f>Q195+(IF(AND(INDEX(TZ_DSTS,MATCH(P195,TZ_STN,0))&lt;&gt;"",Q195&gt;=INDEX(TZ_DSTS,MATCH(P195,TZ_STN,0)),Q195&lt;INDEX(TZ_DSTE,MATCH(P195,TZ_STN,0))),INDEX(TZ_DST,MATCH(P195,TZ_STN,0)),INDEX(TZ_STD,MATCH(P195,TZ_STN,0))))/24</f>
        <v/>
      </c>
      <c r="S195" s="65">
        <f>Q195-T12EarlyH/24</f>
        <v/>
      </c>
      <c r="T195" s="66" t="n"/>
      <c r="U195" s="66" t="n"/>
      <c r="V195" s="66" t="n"/>
      <c r="W195" s="67" t="n"/>
      <c r="X195" s="66" t="n"/>
      <c r="Y195" s="66" t="n"/>
      <c r="Z195" s="66" t="n"/>
      <c r="AA195" s="66" t="n"/>
      <c r="AB195" s="66" t="n"/>
      <c r="AC195" s="66" t="n"/>
      <c r="AD195" s="72" t="n"/>
      <c r="AE195" s="66" t="n"/>
      <c r="AF195" s="67">
        <f>IF(AND(ISNUMBER(X195),ISNUMBER(Y195)),Y195-X195,"")</f>
        <v/>
      </c>
      <c r="AG195" s="68">
        <f>IF(ISNUMBER(AD195),AD195-(IF(AND(INDEX(TZ_DSTS,MATCH(P195,TZ_STN,0))&lt;&gt;"",(AD195-INDEX(TZ_STD,MATCH(P195,TZ_STN,0))/24)&gt;=INDEX(TZ_DSTS,MATCH(P195,TZ_STN,0)),(AD195-INDEX(TZ_STD,MATCH(P195,TZ_STN,0))/24)&lt;INDEX(TZ_DSTE,MATCH(P195,TZ_STN,0))),INDEX(TZ_DST,MATCH(P195,TZ_STN,0)),INDEX(TZ_STD,MATCH(P195,TZ_STN,0))))/24,"")</f>
        <v/>
      </c>
      <c r="AH195" s="71">
        <f>IF(N195="N/A – rule","N/A – RULE",IF(TRIM(U195)="N/A",IF(AT195=0,"INVALID – N/A not permitted for this mandatory check",IF(AND(TRIM(AC195)&lt;&gt;"",TRIM(AE195)&lt;&gt;"",TRIM(T195)&lt;&gt;""),"N/A – JUSTIFIED","INVALID – N/A needs justification, PIC and verifier")),IF(OR(TRIM(U195)="Pass",TRIM(U195)="Pass after CA"),IF(NOT(ISNUMBER(AD195)),"INVALID – completion time missing",IF(TRIM(T195)="","INVALID – PIC missing",IF(TRIM(Z195)="","INVALID – evidence missing",IF(TRIM(AE195)="","INVALID – verifier missing",IF(AND(AQ195=1,TRIM(W195)=""),"INVALID – batch ID missing",IF(AND(AR195=1,OR(NOT(ISNUMBER(X195)),NOT(ISNUMBER(Y195)))),"INVALID – expected/actual qty missing",IF(IF(AND(TRIM(U195)="Pass",ISNUMBER(AF195)),IF(AF195&lt;&gt;0,"INVALID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recorded/closed","")&lt;&gt;"",IF(AND(TRIM(U195)="Pass",ISNUMBER(AF195)),IF(AF195&lt;&gt;0,"INVALID – qty variance: use Fail or Pass after CA",""),"")&amp;IF(AND(TRIM(U195)="Pass",AB195="Open"),"INVALID – corrective action still open: use Fail, then Pass after CA","")&amp;IF(AND(TRIM(U195)="Pass after CA",OR(TRIM(AA195)="",AB195&lt;&gt;"Closed")),"INVALID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window"),IF(AG195&gt;Flights!$AA$10,"INVALID – completed after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f>
        <v/>
      </c>
      <c r="AI195" s="67">
        <f>IF(OR(AH195="N/A – RULE",AH195="N/A – JUSTIFIED"),0,1)</f>
        <v/>
      </c>
      <c r="AJ195" s="67">
        <f>IF(LEFT(AH195,8)="COMPLETE",1,0)</f>
        <v/>
      </c>
      <c r="AK195" s="67">
        <f>IF(AND(AI195=1,AJ195=0,AsOfUTC&gt;Q195),1,0)</f>
        <v/>
      </c>
      <c r="AL195" s="67">
        <f>IF(AND(AI195=1,OR(TRIM(U195)="Fail",AB195="Open",AND(ISNUMBER(AF195),AF195&lt;&gt;0,TRIM(U195)&lt;&gt;"Pass after CA"))),1,0)</f>
        <v/>
      </c>
      <c r="AM195" s="67">
        <f>IF(LEFT(AH195,7)="INVALID",1,0)</f>
        <v/>
      </c>
      <c r="AN195" s="67">
        <f>IF(AND(N195="Clarification required",AI195=1,AJ195=0),1,0)</f>
        <v/>
      </c>
      <c r="AO195" s="67">
        <f>IF(AK195=1,SUM(AK$5:AK195),"")</f>
        <v/>
      </c>
      <c r="AP195" s="67">
        <f>IF(AL195=1,SUM(AL$5:AL195),"")</f>
        <v/>
      </c>
      <c r="AQ195" s="67" t="n">
        <v>0</v>
      </c>
      <c r="AR195" s="67" t="n">
        <v>0</v>
      </c>
      <c r="AS195" s="67" t="n">
        <v>0</v>
      </c>
      <c r="AT195" s="67" t="n">
        <v>1</v>
      </c>
    </row>
    <row r="196" ht="40" customHeight="1">
      <c r="A196" s="63" t="inlineStr">
        <is>
          <t>F06-T12-21</t>
        </is>
      </c>
      <c r="B196" s="63" t="inlineStr">
        <is>
          <t>F06</t>
        </is>
      </c>
      <c r="C196" s="63">
        <f>Flights!$F$10</f>
        <v/>
      </c>
      <c r="D196" s="64">
        <f>Flights!$D$10</f>
        <v/>
      </c>
      <c r="E196" s="63">
        <f>Flights!$G$10&amp;"-"&amp;Flights!$H$10</f>
        <v/>
      </c>
      <c r="F196" s="63">
        <f>Flights!$K$10</f>
        <v/>
      </c>
      <c r="G196" s="63" t="inlineStr">
        <is>
          <t>T-12H PREP</t>
        </is>
      </c>
      <c r="H196" s="63" t="inlineStr">
        <is>
          <t>Preparation</t>
        </is>
      </c>
      <c r="I196" s="63" t="inlineStr">
        <is>
          <t>Signature Drinks</t>
        </is>
      </c>
      <c r="J196" s="63" t="inlineStr">
        <is>
          <t>Signature drink &amp; garnish (BC) - prepared</t>
        </is>
      </c>
      <c r="K196" s="73" t="inlineStr">
        <is>
          <t>Available (ticked in reference)</t>
        </is>
      </c>
      <c r="L196" s="73" t="inlineStr">
        <is>
          <t>STD UPLIFT INFORMATION.xlsx &gt; Signature Drinks!F6 / G6 / D79</t>
        </is>
      </c>
      <c r="M196" s="73" t="inlineStr">
        <is>
          <t>KUL</t>
        </is>
      </c>
      <c r="N196" s="73" t="inlineStr">
        <is>
          <t>Required</t>
        </is>
      </c>
      <c r="O196" s="73" t="inlineStr">
        <is>
          <t>Signature drinks &amp; garnish uplifted from KUL (note D79).</t>
        </is>
      </c>
      <c r="P196" s="63" t="inlineStr">
        <is>
          <t>KUL</t>
        </is>
      </c>
      <c r="Q196" s="65">
        <f>Flights!$AE$10</f>
        <v/>
      </c>
      <c r="R196" s="65">
        <f>Q196+(IF(AND(INDEX(TZ_DSTS,MATCH(P196,TZ_STN,0))&lt;&gt;"",Q196&gt;=INDEX(TZ_DSTS,MATCH(P196,TZ_STN,0)),Q196&lt;INDEX(TZ_DSTE,MATCH(P196,TZ_STN,0))),INDEX(TZ_DST,MATCH(P196,TZ_STN,0)),INDEX(TZ_STD,MATCH(P196,TZ_STN,0))))/24</f>
        <v/>
      </c>
      <c r="S196" s="65">
        <f>Q196-T12EarlyH/24</f>
        <v/>
      </c>
      <c r="T196" s="66" t="n"/>
      <c r="U196" s="66" t="n"/>
      <c r="V196" s="66" t="n"/>
      <c r="W196" s="67" t="n"/>
      <c r="X196" s="66" t="n"/>
      <c r="Y196" s="66" t="n"/>
      <c r="Z196" s="66" t="n"/>
      <c r="AA196" s="66" t="n"/>
      <c r="AB196" s="66" t="n"/>
      <c r="AC196" s="66" t="n"/>
      <c r="AD196" s="72" t="n"/>
      <c r="AE196" s="66" t="n"/>
      <c r="AF196" s="67">
        <f>IF(AND(ISNUMBER(X196),ISNUMBER(Y196)),Y196-X196,"")</f>
        <v/>
      </c>
      <c r="AG196" s="68">
        <f>IF(ISNUMBER(AD196),AD196-(IF(AND(INDEX(TZ_DSTS,MATCH(P196,TZ_STN,0))&lt;&gt;"",(AD196-INDEX(TZ_STD,MATCH(P196,TZ_STN,0))/24)&gt;=INDEX(TZ_DSTS,MATCH(P196,TZ_STN,0)),(AD196-INDEX(TZ_STD,MATCH(P196,TZ_STN,0))/24)&lt;INDEX(TZ_DSTE,MATCH(P196,TZ_STN,0))),INDEX(TZ_DST,MATCH(P196,TZ_STN,0)),INDEX(TZ_STD,MATCH(P196,TZ_STN,0))))/24,"")</f>
        <v/>
      </c>
      <c r="AH196" s="71">
        <f>IF(N196="N/A – rule","N/A – RULE",IF(TRIM(U196)="N/A",IF(AT196=0,"INVALID – N/A not permitted for this mandatory check",IF(AND(TRIM(AC196)&lt;&gt;"",TRIM(AE196)&lt;&gt;"",TRIM(T196)&lt;&gt;""),"N/A – JUSTIFIED","INVALID – N/A needs justification, PIC and verifier")),IF(OR(TRIM(U196)="Pass",TRIM(U196)="Pass after CA"),IF(NOT(ISNUMBER(AD196)),"INVALID – completion time missing",IF(TRIM(T196)="","INVALID – PIC missing",IF(TRIM(Z196)="","INVALID – evidence missing",IF(TRIM(AE196)="","INVALID – verifier missing",IF(AND(AQ196=1,TRIM(W196)=""),"INVALID – batch ID missing",IF(AND(AR196=1,OR(NOT(ISNUMBER(X196)),NOT(ISNUMBER(Y196)))),"INVALID – expected/actual qty missing",IF(IF(AND(TRIM(U196)="Pass",ISNUMBER(AF196)),IF(AF196&lt;&gt;0,"INVALID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recorded/closed","")&lt;&gt;"",IF(AND(TRIM(U196)="Pass",ISNUMBER(AF196)),IF(AF196&lt;&gt;0,"INVALID – qty variance: use Fail or Pass after CA",""),"")&amp;IF(AND(TRIM(U196)="Pass",AB196="Open"),"INVALID – corrective action still open: use Fail, then Pass after CA","")&amp;IF(AND(TRIM(U196)="Pass after CA",OR(TRIM(AA196)="",AB196&lt;&gt;"Closed")),"INVALID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window"),IF(AG196&gt;Flights!$AA$10,"INVALID – completed after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f>
        <v/>
      </c>
      <c r="AI196" s="67">
        <f>IF(OR(AH196="N/A – RULE",AH196="N/A – JUSTIFIED"),0,1)</f>
        <v/>
      </c>
      <c r="AJ196" s="67">
        <f>IF(LEFT(AH196,8)="COMPLETE",1,0)</f>
        <v/>
      </c>
      <c r="AK196" s="67">
        <f>IF(AND(AI196=1,AJ196=0,AsOfUTC&gt;Q196),1,0)</f>
        <v/>
      </c>
      <c r="AL196" s="67">
        <f>IF(AND(AI196=1,OR(TRIM(U196)="Fail",AB196="Open",AND(ISNUMBER(AF196),AF196&lt;&gt;0,TRIM(U196)&lt;&gt;"Pass after CA"))),1,0)</f>
        <v/>
      </c>
      <c r="AM196" s="67">
        <f>IF(LEFT(AH196,7)="INVALID",1,0)</f>
        <v/>
      </c>
      <c r="AN196" s="67">
        <f>IF(AND(N196="Clarification required",AI196=1,AJ196=0),1,0)</f>
        <v/>
      </c>
      <c r="AO196" s="67">
        <f>IF(AK196=1,SUM(AK$5:AK196),"")</f>
        <v/>
      </c>
      <c r="AP196" s="67">
        <f>IF(AL196=1,SUM(AL$5:AL196),"")</f>
        <v/>
      </c>
      <c r="AQ196" s="67" t="n">
        <v>0</v>
      </c>
      <c r="AR196" s="67" t="n">
        <v>0</v>
      </c>
      <c r="AS196" s="67" t="n">
        <v>0</v>
      </c>
      <c r="AT196" s="67" t="n">
        <v>1</v>
      </c>
    </row>
    <row r="197" ht="40" customHeight="1">
      <c r="A197" s="63" t="inlineStr">
        <is>
          <t>F06-UPL-01</t>
        </is>
      </c>
      <c r="B197" s="63" t="inlineStr">
        <is>
          <t>F06</t>
        </is>
      </c>
      <c r="C197" s="63">
        <f>Flights!$F$10</f>
        <v/>
      </c>
      <c r="D197" s="64">
        <f>Flights!$D$10</f>
        <v/>
      </c>
      <c r="E197" s="63">
        <f>Flights!$G$10&amp;"-"&amp;Flights!$H$10</f>
        <v/>
      </c>
      <c r="F197" s="63">
        <f>Flights!$K$10</f>
        <v/>
      </c>
      <c r="G197" s="63" t="inlineStr">
        <is>
          <t>UPLIFT</t>
        </is>
      </c>
      <c r="H197" s="63" t="inlineStr">
        <is>
          <t>Physical uplift</t>
        </is>
      </c>
      <c r="I197" s="63" t="inlineStr">
        <is>
          <t>Meal</t>
        </is>
      </c>
      <c r="J197" s="63" t="inlineStr">
        <is>
          <t>Meals physically uplifted on board - quantity vs menu checklist</t>
        </is>
      </c>
      <c r="K197" s="73" t="inlineStr">
        <is>
          <t>Enter expected &amp; actual</t>
        </is>
      </c>
      <c r="L197" s="73" t="inlineStr">
        <is>
          <t>User brief (T-12 hours - physical uplift)</t>
        </is>
      </c>
      <c r="M197" s="73" t="inlineStr"/>
      <c r="N197" s="73" t="inlineStr">
        <is>
          <t>Required</t>
        </is>
      </c>
      <c r="O197" s="73" t="inlineStr">
        <is>
          <t>Confirm on board before departure; completion time must fall inside the uplift window.</t>
        </is>
      </c>
      <c r="P197" s="63" t="inlineStr">
        <is>
          <t>KUL</t>
        </is>
      </c>
      <c r="Q197" s="65">
        <f>Flights!$AF$10</f>
        <v/>
      </c>
      <c r="R197" s="65">
        <f>Q197+(IF(AND(INDEX(TZ_DSTS,MATCH(P197,TZ_STN,0))&lt;&gt;"",Q197&gt;=INDEX(TZ_DSTS,MATCH(P197,TZ_STN,0)),Q197&lt;INDEX(TZ_DSTE,MATCH(P197,TZ_STN,0))),INDEX(TZ_DST,MATCH(P197,TZ_STN,0)),INDEX(TZ_STD,MATCH(P197,TZ_STN,0))))/24</f>
        <v/>
      </c>
      <c r="S197" s="65">
        <f>Q197-UpliftWindowH/24</f>
        <v/>
      </c>
      <c r="T197" s="66" t="n"/>
      <c r="U197" s="66" t="n"/>
      <c r="V197" s="66" t="n"/>
      <c r="W197" s="67" t="n"/>
      <c r="X197" s="66" t="n"/>
      <c r="Y197" s="66" t="n"/>
      <c r="Z197" s="66" t="n"/>
      <c r="AA197" s="66" t="n"/>
      <c r="AB197" s="66" t="n"/>
      <c r="AC197" s="66" t="n"/>
      <c r="AD197" s="72" t="n"/>
      <c r="AE197" s="66" t="n"/>
      <c r="AF197" s="67">
        <f>IF(AND(ISNUMBER(X197),ISNUMBER(Y197)),Y197-X197,"")</f>
        <v/>
      </c>
      <c r="AG197" s="68">
        <f>IF(ISNUMBER(AD197),AD197-(IF(AND(INDEX(TZ_DSTS,MATCH(P197,TZ_STN,0))&lt;&gt;"",(AD197-INDEX(TZ_STD,MATCH(P197,TZ_STN,0))/24)&gt;=INDEX(TZ_DSTS,MATCH(P197,TZ_STN,0)),(AD197-INDEX(TZ_STD,MATCH(P197,TZ_STN,0))/24)&lt;INDEX(TZ_DSTE,MATCH(P197,TZ_STN,0))),INDEX(TZ_DST,MATCH(P197,TZ_STN,0)),INDEX(TZ_STD,MATCH(P197,TZ_STN,0))))/24,"")</f>
        <v/>
      </c>
      <c r="AH197" s="71">
        <f>IF(N197="N/A – rule","N/A – RULE",IF(TRIM(U197)="N/A",IF(AT197=0,"INVALID – N/A not permitted for this mandatory check",IF(AND(TRIM(AC197)&lt;&gt;"",TRIM(AE197)&lt;&gt;"",TRIM(T197)&lt;&gt;""),"N/A – JUSTIFIED","INVALID – N/A needs justification, PIC and verifier")),IF(OR(TRIM(U197)="Pass",TRIM(U197)="Pass after CA"),IF(NOT(ISNUMBER(AD197)),"INVALID – completion time missing",IF(TRIM(T197)="","INVALID – PIC missing",IF(TRIM(Z197)="","INVALID – evidence missing",IF(TRIM(AE197)="","INVALID – verifier missing",IF(AND(AQ197=1,TRIM(W197)=""),"INVALID – batch ID missing",IF(AND(AR197=1,OR(NOT(ISNUMBER(X197)),NOT(ISNUMBER(Y197)))),"INVALID – expected/actual qty missing",IF(IF(AND(TRIM(U197)="Pass",ISNUMBER(AF197)),IF(AF197&lt;&gt;0,"INVALID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recorded/closed","")&lt;&gt;"",IF(AND(TRIM(U197)="Pass",ISNUMBER(AF197)),IF(AF197&lt;&gt;0,"INVALID – qty variance: use Fail or Pass after CA",""),"")&amp;IF(AND(TRIM(U197)="Pass",AB197="Open"),"INVALID – corrective action still open: use Fail, then Pass after CA","")&amp;IF(AND(TRIM(U197)="Pass after CA",OR(TRIM(AA197)="",AB197&lt;&gt;"Closed")),"INVALID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window"),IF(AG197&gt;Flights!$AA$10,"INVALID – completed after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f>
        <v/>
      </c>
      <c r="AI197" s="67">
        <f>IF(OR(AH197="N/A – RULE",AH197="N/A – JUSTIFIED"),0,1)</f>
        <v/>
      </c>
      <c r="AJ197" s="67">
        <f>IF(LEFT(AH197,8)="COMPLETE",1,0)</f>
        <v/>
      </c>
      <c r="AK197" s="67">
        <f>IF(AND(AI197=1,AJ197=0,AsOfUTC&gt;Q197),1,0)</f>
        <v/>
      </c>
      <c r="AL197" s="67">
        <f>IF(AND(AI197=1,OR(TRIM(U197)="Fail",AB197="Open",AND(ISNUMBER(AF197),AF197&lt;&gt;0,TRIM(U197)&lt;&gt;"Pass after CA"))),1,0)</f>
        <v/>
      </c>
      <c r="AM197" s="67">
        <f>IF(LEFT(AH197,7)="INVALID",1,0)</f>
        <v/>
      </c>
      <c r="AN197" s="67">
        <f>IF(AND(N197="Clarification required",AI197=1,AJ197=0),1,0)</f>
        <v/>
      </c>
      <c r="AO197" s="67">
        <f>IF(AK197=1,SUM(AK$5:AK197),"")</f>
        <v/>
      </c>
      <c r="AP197" s="67">
        <f>IF(AL197=1,SUM(AL$5:AL197),"")</f>
        <v/>
      </c>
      <c r="AQ197" s="67" t="n">
        <v>0</v>
      </c>
      <c r="AR197" s="67" t="n">
        <v>1</v>
      </c>
      <c r="AS197" s="67" t="n">
        <v>0</v>
      </c>
      <c r="AT197" s="67" t="n">
        <v>0</v>
      </c>
    </row>
    <row r="198" ht="40" customHeight="1">
      <c r="A198" s="63" t="inlineStr">
        <is>
          <t>F06-UPL-02</t>
        </is>
      </c>
      <c r="B198" s="63" t="inlineStr">
        <is>
          <t>F06</t>
        </is>
      </c>
      <c r="C198" s="63">
        <f>Flights!$F$10</f>
        <v/>
      </c>
      <c r="D198" s="64">
        <f>Flights!$D$10</f>
        <v/>
      </c>
      <c r="E198" s="63">
        <f>Flights!$G$10&amp;"-"&amp;Flights!$H$10</f>
        <v/>
      </c>
      <c r="F198" s="63">
        <f>Flights!$K$10</f>
        <v/>
      </c>
      <c r="G198" s="63" t="inlineStr">
        <is>
          <t>UPLIFT</t>
        </is>
      </c>
      <c r="H198" s="63" t="inlineStr">
        <is>
          <t>Physical uplift</t>
        </is>
      </c>
      <c r="I198" s="63" t="inlineStr">
        <is>
          <t>Equipment</t>
        </is>
      </c>
      <c r="J198" s="63" t="inlineStr">
        <is>
          <t>Equipment physically loaded at GLD positions - quantity &amp; positions</t>
        </is>
      </c>
      <c r="K198" s="73" t="inlineStr">
        <is>
          <t>Enter expected &amp; actual</t>
        </is>
      </c>
      <c r="L198" s="73" t="inlineStr">
        <is>
          <t>User brief (T-12 hours - physical uplift)</t>
        </is>
      </c>
      <c r="M198" s="73" t="inlineStr"/>
      <c r="N198" s="73" t="inlineStr">
        <is>
          <t>Required</t>
        </is>
      </c>
      <c r="O198" s="73" t="inlineStr">
        <is>
          <t>Confirm on board before departure; completion time must fall inside the uplift window.</t>
        </is>
      </c>
      <c r="P198" s="63" t="inlineStr">
        <is>
          <t>KUL</t>
        </is>
      </c>
      <c r="Q198" s="65">
        <f>Flights!$AF$10</f>
        <v/>
      </c>
      <c r="R198" s="65">
        <f>Q198+(IF(AND(INDEX(TZ_DSTS,MATCH(P198,TZ_STN,0))&lt;&gt;"",Q198&gt;=INDEX(TZ_DSTS,MATCH(P198,TZ_STN,0)),Q198&lt;INDEX(TZ_DSTE,MATCH(P198,TZ_STN,0))),INDEX(TZ_DST,MATCH(P198,TZ_STN,0)),INDEX(TZ_STD,MATCH(P198,TZ_STN,0))))/24</f>
        <v/>
      </c>
      <c r="S198" s="65">
        <f>Q198-UpliftWindowH/24</f>
        <v/>
      </c>
      <c r="T198" s="66" t="n"/>
      <c r="U198" s="66" t="n"/>
      <c r="V198" s="66" t="n"/>
      <c r="W198" s="67" t="n"/>
      <c r="X198" s="66" t="n"/>
      <c r="Y198" s="66" t="n"/>
      <c r="Z198" s="66" t="n"/>
      <c r="AA198" s="66" t="n"/>
      <c r="AB198" s="66" t="n"/>
      <c r="AC198" s="66" t="n"/>
      <c r="AD198" s="72" t="n"/>
      <c r="AE198" s="66" t="n"/>
      <c r="AF198" s="67">
        <f>IF(AND(ISNUMBER(X198),ISNUMBER(Y198)),Y198-X198,"")</f>
        <v/>
      </c>
      <c r="AG198" s="68">
        <f>IF(ISNUMBER(AD198),AD198-(IF(AND(INDEX(TZ_DSTS,MATCH(P198,TZ_STN,0))&lt;&gt;"",(AD198-INDEX(TZ_STD,MATCH(P198,TZ_STN,0))/24)&gt;=INDEX(TZ_DSTS,MATCH(P198,TZ_STN,0)),(AD198-INDEX(TZ_STD,MATCH(P198,TZ_STN,0))/24)&lt;INDEX(TZ_DSTE,MATCH(P198,TZ_STN,0))),INDEX(TZ_DST,MATCH(P198,TZ_STN,0)),INDEX(TZ_STD,MATCH(P198,TZ_STN,0))))/24,"")</f>
        <v/>
      </c>
      <c r="AH198" s="71">
        <f>IF(N198="N/A – rule","N/A – RULE",IF(TRIM(U198)="N/A",IF(AT198=0,"INVALID – N/A not permitted for this mandatory check",IF(AND(TRIM(AC198)&lt;&gt;"",TRIM(AE198)&lt;&gt;"",TRIM(T198)&lt;&gt;""),"N/A – JUSTIFIED","INVALID – N/A needs justification, PIC and verifier")),IF(OR(TRIM(U198)="Pass",TRIM(U198)="Pass after CA"),IF(NOT(ISNUMBER(AD198)),"INVALID – completion time missing",IF(TRIM(T198)="","INVALID – PIC missing",IF(TRIM(Z198)="","INVALID – evidence missing",IF(TRIM(AE198)="","INVALID – verifier missing",IF(AND(AQ198=1,TRIM(W198)=""),"INVALID – batch ID missing",IF(AND(AR198=1,OR(NOT(ISNUMBER(X198)),NOT(ISNUMBER(Y198)))),"INVALID – expected/actual qty missing",IF(IF(AND(TRIM(U198)="Pass",ISNUMBER(AF198)),IF(AF198&lt;&gt;0,"INVALID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recorded/closed","")&lt;&gt;"",IF(AND(TRIM(U198)="Pass",ISNUMBER(AF198)),IF(AF198&lt;&gt;0,"INVALID – qty variance: use Fail or Pass after CA",""),"")&amp;IF(AND(TRIM(U198)="Pass",AB198="Open"),"INVALID – corrective action still open: use Fail, then Pass after CA","")&amp;IF(AND(TRIM(U198)="Pass after CA",OR(TRIM(AA198)="",AB198&lt;&gt;"Closed")),"INVALID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window"),IF(AG198&gt;Flights!$AA$10,"INVALID – completed after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f>
        <v/>
      </c>
      <c r="AI198" s="67">
        <f>IF(OR(AH198="N/A – RULE",AH198="N/A – JUSTIFIED"),0,1)</f>
        <v/>
      </c>
      <c r="AJ198" s="67">
        <f>IF(LEFT(AH198,8)="COMPLETE",1,0)</f>
        <v/>
      </c>
      <c r="AK198" s="67">
        <f>IF(AND(AI198=1,AJ198=0,AsOfUTC&gt;Q198),1,0)</f>
        <v/>
      </c>
      <c r="AL198" s="67">
        <f>IF(AND(AI198=1,OR(TRIM(U198)="Fail",AB198="Open",AND(ISNUMBER(AF198),AF198&lt;&gt;0,TRIM(U198)&lt;&gt;"Pass after CA"))),1,0)</f>
        <v/>
      </c>
      <c r="AM198" s="67">
        <f>IF(LEFT(AH198,7)="INVALID",1,0)</f>
        <v/>
      </c>
      <c r="AN198" s="67">
        <f>IF(AND(N198="Clarification required",AI198=1,AJ198=0),1,0)</f>
        <v/>
      </c>
      <c r="AO198" s="67">
        <f>IF(AK198=1,SUM(AK$5:AK198),"")</f>
        <v/>
      </c>
      <c r="AP198" s="67">
        <f>IF(AL198=1,SUM(AL$5:AL198),"")</f>
        <v/>
      </c>
      <c r="AQ198" s="67" t="n">
        <v>0</v>
      </c>
      <c r="AR198" s="67" t="n">
        <v>1</v>
      </c>
      <c r="AS198" s="67" t="n">
        <v>0</v>
      </c>
      <c r="AT198" s="67" t="n">
        <v>0</v>
      </c>
    </row>
    <row r="199" ht="91.5" customHeight="1">
      <c r="A199" s="63" t="inlineStr">
        <is>
          <t>F06-UPL-03</t>
        </is>
      </c>
      <c r="B199" s="63" t="inlineStr">
        <is>
          <t>F06</t>
        </is>
      </c>
      <c r="C199" s="63">
        <f>Flights!$F$10</f>
        <v/>
      </c>
      <c r="D199" s="64">
        <f>Flights!$D$10</f>
        <v/>
      </c>
      <c r="E199" s="63">
        <f>Flights!$G$10&amp;"-"&amp;Flights!$H$10</f>
        <v/>
      </c>
      <c r="F199" s="63">
        <f>Flights!$K$10</f>
        <v/>
      </c>
      <c r="G199" s="63" t="inlineStr">
        <is>
          <t>UPLIFT</t>
        </is>
      </c>
      <c r="H199" s="63" t="inlineStr">
        <is>
          <t>Physical uplift</t>
        </is>
      </c>
      <c r="I199" s="63" t="inlineStr">
        <is>
          <t>Amenities</t>
        </is>
      </c>
      <c r="J199" s="63" t="inlineStr">
        <is>
          <t>Toiletry kits - on board</t>
        </is>
      </c>
      <c r="K199" s="73" t="inlineStr">
        <is>
          <t>Available (ticked in reference)</t>
        </is>
      </c>
      <c r="L199" s="73" t="inlineStr">
        <is>
          <t>STD UPLIFT INFORMATION.xlsx &gt; AMENITIES!D12 / H12</t>
        </is>
      </c>
      <c r="M199" s="73" t="inlineStr">
        <is>
          <t>LHR or KUL - confirm</t>
        </is>
      </c>
      <c r="N199" s="73" t="inlineStr">
        <is>
          <t>Clarification required</t>
        </is>
      </c>
      <c r="O199" s="73" t="inlineStr">
        <is>
          <t>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is>
      </c>
      <c r="P199" s="63" t="inlineStr">
        <is>
          <t>KUL</t>
        </is>
      </c>
      <c r="Q199" s="65">
        <f>Flights!$AF$10</f>
        <v/>
      </c>
      <c r="R199" s="65">
        <f>Q199+(IF(AND(INDEX(TZ_DSTS,MATCH(P199,TZ_STN,0))&lt;&gt;"",Q199&gt;=INDEX(TZ_DSTS,MATCH(P199,TZ_STN,0)),Q199&lt;INDEX(TZ_DSTE,MATCH(P199,TZ_STN,0))),INDEX(TZ_DST,MATCH(P199,TZ_STN,0)),INDEX(TZ_STD,MATCH(P199,TZ_STN,0))))/24</f>
        <v/>
      </c>
      <c r="S199" s="65">
        <f>Q199-UpliftWindowH/24</f>
        <v/>
      </c>
      <c r="T199" s="66" t="n"/>
      <c r="U199" s="66" t="n"/>
      <c r="V199" s="66" t="n"/>
      <c r="W199" s="67" t="n"/>
      <c r="X199" s="66" t="n"/>
      <c r="Y199" s="66" t="n"/>
      <c r="Z199" s="66" t="n"/>
      <c r="AA199" s="66" t="n"/>
      <c r="AB199" s="66" t="n"/>
      <c r="AC199" s="66" t="n"/>
      <c r="AD199" s="72" t="n"/>
      <c r="AE199" s="66" t="n"/>
      <c r="AF199" s="67">
        <f>IF(AND(ISNUMBER(X199),ISNUMBER(Y199)),Y199-X199,"")</f>
        <v/>
      </c>
      <c r="AG199" s="68">
        <f>IF(ISNUMBER(AD199),AD199-(IF(AND(INDEX(TZ_DSTS,MATCH(P199,TZ_STN,0))&lt;&gt;"",(AD199-INDEX(TZ_STD,MATCH(P199,TZ_STN,0))/24)&gt;=INDEX(TZ_DSTS,MATCH(P199,TZ_STN,0)),(AD199-INDEX(TZ_STD,MATCH(P199,TZ_STN,0))/24)&lt;INDEX(TZ_DSTE,MATCH(P199,TZ_STN,0))),INDEX(TZ_DST,MATCH(P199,TZ_STN,0)),INDEX(TZ_STD,MATCH(P199,TZ_STN,0))))/24,"")</f>
        <v/>
      </c>
      <c r="AH199" s="71">
        <f>IF(N199="N/A – rule","N/A – RULE",IF(TRIM(U199)="N/A",IF(AT199=0,"INVALID – N/A not permitted for this mandatory check",IF(AND(TRIM(AC199)&lt;&gt;"",TRIM(AE199)&lt;&gt;"",TRIM(T199)&lt;&gt;""),"N/A – JUSTIFIED","INVALID – N/A needs justification, PIC and verifier")),IF(OR(TRIM(U199)="Pass",TRIM(U199)="Pass after CA"),IF(NOT(ISNUMBER(AD199)),"INVALID – completion time missing",IF(TRIM(T199)="","INVALID – PIC missing",IF(TRIM(Z199)="","INVALID – evidence missing",IF(TRIM(AE199)="","INVALID – verifier missing",IF(AND(AQ199=1,TRIM(W199)=""),"INVALID – batch ID missing",IF(AND(AR199=1,OR(NOT(ISNUMBER(X199)),NOT(ISNUMBER(Y199)))),"INVALID – expected/actual qty missing",IF(IF(AND(TRIM(U199)="Pass",ISNUMBER(AF199)),IF(AF199&lt;&gt;0,"INVALID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recorded/closed","")&lt;&gt;"",IF(AND(TRIM(U199)="Pass",ISNUMBER(AF199)),IF(AF199&lt;&gt;0,"INVALID – qty variance: use Fail or Pass after CA",""),"")&amp;IF(AND(TRIM(U199)="Pass",AB199="Open"),"INVALID – corrective action still open: use Fail, then Pass after CA","")&amp;IF(AND(TRIM(U199)="Pass after CA",OR(TRIM(AA199)="",AB199&lt;&gt;"Closed")),"INVALID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window"),IF(AG199&gt;Flights!$AA$10,"INVALID – completed after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f>
        <v/>
      </c>
      <c r="AI199" s="67">
        <f>IF(OR(AH199="N/A – RULE",AH199="N/A – JUSTIFIED"),0,1)</f>
        <v/>
      </c>
      <c r="AJ199" s="67">
        <f>IF(LEFT(AH199,8)="COMPLETE",1,0)</f>
        <v/>
      </c>
      <c r="AK199" s="67">
        <f>IF(AND(AI199=1,AJ199=0,AsOfUTC&gt;Q199),1,0)</f>
        <v/>
      </c>
      <c r="AL199" s="67">
        <f>IF(AND(AI199=1,OR(TRIM(U199)="Fail",AB199="Open",AND(ISNUMBER(AF199),AF199&lt;&gt;0,TRIM(U199)&lt;&gt;"Pass after CA"))),1,0)</f>
        <v/>
      </c>
      <c r="AM199" s="67">
        <f>IF(LEFT(AH199,7)="INVALID",1,0)</f>
        <v/>
      </c>
      <c r="AN199" s="67">
        <f>IF(AND(N199="Clarification required",AI199=1,AJ199=0),1,0)</f>
        <v/>
      </c>
      <c r="AO199" s="67">
        <f>IF(AK199=1,SUM(AK$5:AK199),"")</f>
        <v/>
      </c>
      <c r="AP199" s="67">
        <f>IF(AL199=1,SUM(AL$5:AL199),"")</f>
        <v/>
      </c>
      <c r="AQ199" s="67" t="n">
        <v>0</v>
      </c>
      <c r="AR199" s="67" t="n">
        <v>0</v>
      </c>
      <c r="AS199" s="67" t="n">
        <v>0</v>
      </c>
      <c r="AT199" s="67" t="n">
        <v>1</v>
      </c>
    </row>
    <row r="200" ht="40" customHeight="1">
      <c r="A200" s="63" t="inlineStr">
        <is>
          <t>F06-UPL-04</t>
        </is>
      </c>
      <c r="B200" s="63" t="inlineStr">
        <is>
          <t>F06</t>
        </is>
      </c>
      <c r="C200" s="63">
        <f>Flights!$F$10</f>
        <v/>
      </c>
      <c r="D200" s="64">
        <f>Flights!$D$10</f>
        <v/>
      </c>
      <c r="E200" s="63">
        <f>Flights!$G$10&amp;"-"&amp;Flights!$H$10</f>
        <v/>
      </c>
      <c r="F200" s="63">
        <f>Flights!$K$10</f>
        <v/>
      </c>
      <c r="G200" s="63" t="inlineStr">
        <is>
          <t>UPLIFT</t>
        </is>
      </c>
      <c r="H200" s="63" t="inlineStr">
        <is>
          <t>Physical uplift</t>
        </is>
      </c>
      <c r="I200" s="63" t="inlineStr">
        <is>
          <t>Amenities</t>
        </is>
      </c>
      <c r="J200" s="63" t="inlineStr">
        <is>
          <t>Pajamas (BC) - on board</t>
        </is>
      </c>
      <c r="K200" s="73" t="inlineStr">
        <is>
          <t>Available - BC red-eye only</t>
        </is>
      </c>
      <c r="L200" s="73" t="inlineStr">
        <is>
          <t>STD UPLIFT INFORMATION.xlsx &gt; AMENITIES!F13 / H13</t>
        </is>
      </c>
      <c r="M200" s="73" t="inlineStr">
        <is>
          <t>KUL</t>
        </is>
      </c>
      <c r="N200" s="73" t="inlineStr">
        <is>
          <t>Required</t>
        </is>
      </c>
      <c r="O200" s="73" t="inlineStr">
        <is>
          <t>Red-eye departure 2320 local.</t>
        </is>
      </c>
      <c r="P200" s="63" t="inlineStr">
        <is>
          <t>KUL</t>
        </is>
      </c>
      <c r="Q200" s="65">
        <f>Flights!$AF$10</f>
        <v/>
      </c>
      <c r="R200" s="65">
        <f>Q200+(IF(AND(INDEX(TZ_DSTS,MATCH(P200,TZ_STN,0))&lt;&gt;"",Q200&gt;=INDEX(TZ_DSTS,MATCH(P200,TZ_STN,0)),Q200&lt;INDEX(TZ_DSTE,MATCH(P200,TZ_STN,0))),INDEX(TZ_DST,MATCH(P200,TZ_STN,0)),INDEX(TZ_STD,MATCH(P200,TZ_STN,0))))/24</f>
        <v/>
      </c>
      <c r="S200" s="65">
        <f>Q200-UpliftWindowH/24</f>
        <v/>
      </c>
      <c r="T200" s="66" t="n"/>
      <c r="U200" s="66" t="n"/>
      <c r="V200" s="66" t="n"/>
      <c r="W200" s="67" t="n"/>
      <c r="X200" s="66" t="n"/>
      <c r="Y200" s="66" t="n"/>
      <c r="Z200" s="66" t="n"/>
      <c r="AA200" s="66" t="n"/>
      <c r="AB200" s="66" t="n"/>
      <c r="AC200" s="66" t="n"/>
      <c r="AD200" s="72" t="n"/>
      <c r="AE200" s="66" t="n"/>
      <c r="AF200" s="67">
        <f>IF(AND(ISNUMBER(X200),ISNUMBER(Y200)),Y200-X200,"")</f>
        <v/>
      </c>
      <c r="AG200" s="68">
        <f>IF(ISNUMBER(AD200),AD200-(IF(AND(INDEX(TZ_DSTS,MATCH(P200,TZ_STN,0))&lt;&gt;"",(AD200-INDEX(TZ_STD,MATCH(P200,TZ_STN,0))/24)&gt;=INDEX(TZ_DSTS,MATCH(P200,TZ_STN,0)),(AD200-INDEX(TZ_STD,MATCH(P200,TZ_STN,0))/24)&lt;INDEX(TZ_DSTE,MATCH(P200,TZ_STN,0))),INDEX(TZ_DST,MATCH(P200,TZ_STN,0)),INDEX(TZ_STD,MATCH(P200,TZ_STN,0))))/24,"")</f>
        <v/>
      </c>
      <c r="AH200" s="71">
        <f>IF(N200="N/A – rule","N/A – RULE",IF(TRIM(U200)="N/A",IF(AT200=0,"INVALID – N/A not permitted for this mandatory check",IF(AND(TRIM(AC200)&lt;&gt;"",TRIM(AE200)&lt;&gt;"",TRIM(T200)&lt;&gt;""),"N/A – JUSTIFIED","INVALID – N/A needs justification, PIC and verifier")),IF(OR(TRIM(U200)="Pass",TRIM(U200)="Pass after CA"),IF(NOT(ISNUMBER(AD200)),"INVALID – completion time missing",IF(TRIM(T200)="","INVALID – PIC missing",IF(TRIM(Z200)="","INVALID – evidence missing",IF(TRIM(AE200)="","INVALID – verifier missing",IF(AND(AQ200=1,TRIM(W200)=""),"INVALID – batch ID missing",IF(AND(AR200=1,OR(NOT(ISNUMBER(X200)),NOT(ISNUMBER(Y200)))),"INVALID – expected/actual qty missing",IF(IF(AND(TRIM(U200)="Pass",ISNUMBER(AF200)),IF(AF200&lt;&gt;0,"INVALID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recorded/closed","")&lt;&gt;"",IF(AND(TRIM(U200)="Pass",ISNUMBER(AF200)),IF(AF200&lt;&gt;0,"INVALID – qty variance: use Fail or Pass after CA",""),"")&amp;IF(AND(TRIM(U200)="Pass",AB200="Open"),"INVALID – corrective action still open: use Fail, then Pass after CA","")&amp;IF(AND(TRIM(U200)="Pass after CA",OR(TRIM(AA200)="",AB200&lt;&gt;"Closed")),"INVALID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window"),IF(AG200&gt;Flights!$AA$10,"INVALID – completed after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f>
        <v/>
      </c>
      <c r="AI200" s="67">
        <f>IF(OR(AH200="N/A – RULE",AH200="N/A – JUSTIFIED"),0,1)</f>
        <v/>
      </c>
      <c r="AJ200" s="67">
        <f>IF(LEFT(AH200,8)="COMPLETE",1,0)</f>
        <v/>
      </c>
      <c r="AK200" s="67">
        <f>IF(AND(AI200=1,AJ200=0,AsOfUTC&gt;Q200),1,0)</f>
        <v/>
      </c>
      <c r="AL200" s="67">
        <f>IF(AND(AI200=1,OR(TRIM(U200)="Fail",AB200="Open",AND(ISNUMBER(AF200),AF200&lt;&gt;0,TRIM(U200)&lt;&gt;"Pass after CA"))),1,0)</f>
        <v/>
      </c>
      <c r="AM200" s="67">
        <f>IF(LEFT(AH200,7)="INVALID",1,0)</f>
        <v/>
      </c>
      <c r="AN200" s="67">
        <f>IF(AND(N200="Clarification required",AI200=1,AJ200=0),1,0)</f>
        <v/>
      </c>
      <c r="AO200" s="67">
        <f>IF(AK200=1,SUM(AK$5:AK200),"")</f>
        <v/>
      </c>
      <c r="AP200" s="67">
        <f>IF(AL200=1,SUM(AL$5:AL200),"")</f>
        <v/>
      </c>
      <c r="AQ200" s="67" t="n">
        <v>0</v>
      </c>
      <c r="AR200" s="67" t="n">
        <v>0</v>
      </c>
      <c r="AS200" s="67" t="n">
        <v>0</v>
      </c>
      <c r="AT200" s="67" t="n">
        <v>1</v>
      </c>
    </row>
    <row r="201" ht="40" customHeight="1">
      <c r="A201" s="63" t="inlineStr">
        <is>
          <t>F06-UPL-05</t>
        </is>
      </c>
      <c r="B201" s="63" t="inlineStr">
        <is>
          <t>F06</t>
        </is>
      </c>
      <c r="C201" s="63">
        <f>Flights!$F$10</f>
        <v/>
      </c>
      <c r="D201" s="64">
        <f>Flights!$D$10</f>
        <v/>
      </c>
      <c r="E201" s="63">
        <f>Flights!$G$10&amp;"-"&amp;Flights!$H$10</f>
        <v/>
      </c>
      <c r="F201" s="63">
        <f>Flights!$K$10</f>
        <v/>
      </c>
      <c r="G201" s="63" t="inlineStr">
        <is>
          <t>UPLIFT</t>
        </is>
      </c>
      <c r="H201" s="63" t="inlineStr">
        <is>
          <t>Physical uplift</t>
        </is>
      </c>
      <c r="I201" s="63" t="inlineStr">
        <is>
          <t>Amenities</t>
        </is>
      </c>
      <c r="J201" s="63" t="inlineStr">
        <is>
          <t>Slippers (BS/BC) - on board</t>
        </is>
      </c>
      <c r="K201" s="73" t="inlineStr">
        <is>
          <t>Available (ticked in reference)</t>
        </is>
      </c>
      <c r="L201" s="73" t="inlineStr">
        <is>
          <t>STD UPLIFT INFORMATION.xlsx &gt; AMENITIES!G13 / H13</t>
        </is>
      </c>
      <c r="M201" s="73" t="inlineStr">
        <is>
          <t>KUL</t>
        </is>
      </c>
      <c r="N201" s="73" t="inlineStr">
        <is>
          <t>Required</t>
        </is>
      </c>
      <c r="O201" s="73" t="inlineStr"/>
      <c r="P201" s="63" t="inlineStr">
        <is>
          <t>KUL</t>
        </is>
      </c>
      <c r="Q201" s="65">
        <f>Flights!$AF$10</f>
        <v/>
      </c>
      <c r="R201" s="65">
        <f>Q201+(IF(AND(INDEX(TZ_DSTS,MATCH(P201,TZ_STN,0))&lt;&gt;"",Q201&gt;=INDEX(TZ_DSTS,MATCH(P201,TZ_STN,0)),Q201&lt;INDEX(TZ_DSTE,MATCH(P201,TZ_STN,0))),INDEX(TZ_DST,MATCH(P201,TZ_STN,0)),INDEX(TZ_STD,MATCH(P201,TZ_STN,0))))/24</f>
        <v/>
      </c>
      <c r="S201" s="65">
        <f>Q201-UpliftWindowH/24</f>
        <v/>
      </c>
      <c r="T201" s="66" t="n"/>
      <c r="U201" s="66" t="n"/>
      <c r="V201" s="66" t="n"/>
      <c r="W201" s="67" t="n"/>
      <c r="X201" s="66" t="n"/>
      <c r="Y201" s="66" t="n"/>
      <c r="Z201" s="66" t="n"/>
      <c r="AA201" s="66" t="n"/>
      <c r="AB201" s="66" t="n"/>
      <c r="AC201" s="66" t="n"/>
      <c r="AD201" s="72" t="n"/>
      <c r="AE201" s="66" t="n"/>
      <c r="AF201" s="67">
        <f>IF(AND(ISNUMBER(X201),ISNUMBER(Y201)),Y201-X201,"")</f>
        <v/>
      </c>
      <c r="AG201" s="68">
        <f>IF(ISNUMBER(AD201),AD201-(IF(AND(INDEX(TZ_DSTS,MATCH(P201,TZ_STN,0))&lt;&gt;"",(AD201-INDEX(TZ_STD,MATCH(P201,TZ_STN,0))/24)&gt;=INDEX(TZ_DSTS,MATCH(P201,TZ_STN,0)),(AD201-INDEX(TZ_STD,MATCH(P201,TZ_STN,0))/24)&lt;INDEX(TZ_DSTE,MATCH(P201,TZ_STN,0))),INDEX(TZ_DST,MATCH(P201,TZ_STN,0)),INDEX(TZ_STD,MATCH(P201,TZ_STN,0))))/24,"")</f>
        <v/>
      </c>
      <c r="AH201" s="71">
        <f>IF(N201="N/A – rule","N/A – RULE",IF(TRIM(U201)="N/A",IF(AT201=0,"INVALID – N/A not permitted for this mandatory check",IF(AND(TRIM(AC201)&lt;&gt;"",TRIM(AE201)&lt;&gt;"",TRIM(T201)&lt;&gt;""),"N/A – JUSTIFIED","INVALID – N/A needs justification, PIC and verifier")),IF(OR(TRIM(U201)="Pass",TRIM(U201)="Pass after CA"),IF(NOT(ISNUMBER(AD201)),"INVALID – completion time missing",IF(TRIM(T201)="","INVALID – PIC missing",IF(TRIM(Z201)="","INVALID – evidence missing",IF(TRIM(AE201)="","INVALID – verifier missing",IF(AND(AQ201=1,TRIM(W201)=""),"INVALID – batch ID missing",IF(AND(AR201=1,OR(NOT(ISNUMBER(X201)),NOT(ISNUMBER(Y201)))),"INVALID – expected/actual qty missing",IF(IF(AND(TRIM(U201)="Pass",ISNUMBER(AF201)),IF(AF201&lt;&gt;0,"INVALID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recorded/closed","")&lt;&gt;"",IF(AND(TRIM(U201)="Pass",ISNUMBER(AF201)),IF(AF201&lt;&gt;0,"INVALID – qty variance: use Fail or Pass after CA",""),"")&amp;IF(AND(TRIM(U201)="Pass",AB201="Open"),"INVALID – corrective action still open: use Fail, then Pass after CA","")&amp;IF(AND(TRIM(U201)="Pass after CA",OR(TRIM(AA201)="",AB201&lt;&gt;"Closed")),"INVALID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window"),IF(AG201&gt;Flights!$AA$10,"INVALID – completed after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f>
        <v/>
      </c>
      <c r="AI201" s="67">
        <f>IF(OR(AH201="N/A – RULE",AH201="N/A – JUSTIFIED"),0,1)</f>
        <v/>
      </c>
      <c r="AJ201" s="67">
        <f>IF(LEFT(AH201,8)="COMPLETE",1,0)</f>
        <v/>
      </c>
      <c r="AK201" s="67">
        <f>IF(AND(AI201=1,AJ201=0,AsOfUTC&gt;Q201),1,0)</f>
        <v/>
      </c>
      <c r="AL201" s="67">
        <f>IF(AND(AI201=1,OR(TRIM(U201)="Fail",AB201="Open",AND(ISNUMBER(AF201),AF201&lt;&gt;0,TRIM(U201)&lt;&gt;"Pass after CA"))),1,0)</f>
        <v/>
      </c>
      <c r="AM201" s="67">
        <f>IF(LEFT(AH201,7)="INVALID",1,0)</f>
        <v/>
      </c>
      <c r="AN201" s="67">
        <f>IF(AND(N201="Clarification required",AI201=1,AJ201=0),1,0)</f>
        <v/>
      </c>
      <c r="AO201" s="67">
        <f>IF(AK201=1,SUM(AK$5:AK201),"")</f>
        <v/>
      </c>
      <c r="AP201" s="67">
        <f>IF(AL201=1,SUM(AL$5:AL201),"")</f>
        <v/>
      </c>
      <c r="AQ201" s="67" t="n">
        <v>0</v>
      </c>
      <c r="AR201" s="67" t="n">
        <v>0</v>
      </c>
      <c r="AS201" s="67" t="n">
        <v>0</v>
      </c>
      <c r="AT201" s="67" t="n">
        <v>1</v>
      </c>
    </row>
    <row r="202" ht="40" customHeight="1">
      <c r="A202" s="63" t="inlineStr">
        <is>
          <t>F06-UPL-06</t>
        </is>
      </c>
      <c r="B202" s="63" t="inlineStr">
        <is>
          <t>F06</t>
        </is>
      </c>
      <c r="C202" s="63">
        <f>Flights!$F$10</f>
        <v/>
      </c>
      <c r="D202" s="64">
        <f>Flights!$D$10</f>
        <v/>
      </c>
      <c r="E202" s="63">
        <f>Flights!$G$10&amp;"-"&amp;Flights!$H$10</f>
        <v/>
      </c>
      <c r="F202" s="63">
        <f>Flights!$K$10</f>
        <v/>
      </c>
      <c r="G202" s="63" t="inlineStr">
        <is>
          <t>UPLIFT</t>
        </is>
      </c>
      <c r="H202" s="63" t="inlineStr">
        <is>
          <t>Physical uplift</t>
        </is>
      </c>
      <c r="I202" s="63" t="inlineStr">
        <is>
          <t>F&amp;B Linen</t>
        </is>
      </c>
      <c r="J202" s="63" t="inlineStr">
        <is>
          <t>Towel - on board</t>
        </is>
      </c>
      <c r="K202" s="73" t="inlineStr">
        <is>
          <t>Available (ticked in reference)</t>
        </is>
      </c>
      <c r="L202" s="73" t="inlineStr">
        <is>
          <t>STD UPLIFT INFORMATION.xlsx &gt; F&amp;B LINEN!D7</t>
        </is>
      </c>
      <c r="M202" s="73" t="inlineStr">
        <is>
          <t>Not stated in reference</t>
        </is>
      </c>
      <c r="N202" s="73" t="inlineStr">
        <is>
          <t>Required</t>
        </is>
      </c>
      <c r="O202" s="73" t="inlineStr"/>
      <c r="P202" s="63" t="inlineStr">
        <is>
          <t>KUL</t>
        </is>
      </c>
      <c r="Q202" s="65">
        <f>Flights!$AF$10</f>
        <v/>
      </c>
      <c r="R202" s="65">
        <f>Q202+(IF(AND(INDEX(TZ_DSTS,MATCH(P202,TZ_STN,0))&lt;&gt;"",Q202&gt;=INDEX(TZ_DSTS,MATCH(P202,TZ_STN,0)),Q202&lt;INDEX(TZ_DSTE,MATCH(P202,TZ_STN,0))),INDEX(TZ_DST,MATCH(P202,TZ_STN,0)),INDEX(TZ_STD,MATCH(P202,TZ_STN,0))))/24</f>
        <v/>
      </c>
      <c r="S202" s="65">
        <f>Q202-UpliftWindowH/24</f>
        <v/>
      </c>
      <c r="T202" s="66" t="n"/>
      <c r="U202" s="66" t="n"/>
      <c r="V202" s="66" t="n"/>
      <c r="W202" s="67" t="n"/>
      <c r="X202" s="66" t="n"/>
      <c r="Y202" s="66" t="n"/>
      <c r="Z202" s="66" t="n"/>
      <c r="AA202" s="66" t="n"/>
      <c r="AB202" s="66" t="n"/>
      <c r="AC202" s="66" t="n"/>
      <c r="AD202" s="72" t="n"/>
      <c r="AE202" s="66" t="n"/>
      <c r="AF202" s="67">
        <f>IF(AND(ISNUMBER(X202),ISNUMBER(Y202)),Y202-X202,"")</f>
        <v/>
      </c>
      <c r="AG202" s="68">
        <f>IF(ISNUMBER(AD202),AD202-(IF(AND(INDEX(TZ_DSTS,MATCH(P202,TZ_STN,0))&lt;&gt;"",(AD202-INDEX(TZ_STD,MATCH(P202,TZ_STN,0))/24)&gt;=INDEX(TZ_DSTS,MATCH(P202,TZ_STN,0)),(AD202-INDEX(TZ_STD,MATCH(P202,TZ_STN,0))/24)&lt;INDEX(TZ_DSTE,MATCH(P202,TZ_STN,0))),INDEX(TZ_DST,MATCH(P202,TZ_STN,0)),INDEX(TZ_STD,MATCH(P202,TZ_STN,0))))/24,"")</f>
        <v/>
      </c>
      <c r="AH202" s="71">
        <f>IF(N202="N/A – rule","N/A – RULE",IF(TRIM(U202)="N/A",IF(AT202=0,"INVALID – N/A not permitted for this mandatory check",IF(AND(TRIM(AC202)&lt;&gt;"",TRIM(AE202)&lt;&gt;"",TRIM(T202)&lt;&gt;""),"N/A – JUSTIFIED","INVALID – N/A needs justification, PIC and verifier")),IF(OR(TRIM(U202)="Pass",TRIM(U202)="Pass after CA"),IF(NOT(ISNUMBER(AD202)),"INVALID – completion time missing",IF(TRIM(T202)="","INVALID – PIC missing",IF(TRIM(Z202)="","INVALID – evidence missing",IF(TRIM(AE202)="","INVALID – verifier missing",IF(AND(AQ202=1,TRIM(W202)=""),"INVALID – batch ID missing",IF(AND(AR202=1,OR(NOT(ISNUMBER(X202)),NOT(ISNUMBER(Y202)))),"INVALID – expected/actual qty missing",IF(IF(AND(TRIM(U202)="Pass",ISNUMBER(AF202)),IF(AF202&lt;&gt;0,"INVALID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recorded/closed","")&lt;&gt;"",IF(AND(TRIM(U202)="Pass",ISNUMBER(AF202)),IF(AF202&lt;&gt;0,"INVALID – qty variance: use Fail or Pass after CA",""),"")&amp;IF(AND(TRIM(U202)="Pass",AB202="Open"),"INVALID – corrective action still open: use Fail, then Pass after CA","")&amp;IF(AND(TRIM(U202)="Pass after CA",OR(TRIM(AA202)="",AB202&lt;&gt;"Closed")),"INVALID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window"),IF(AG202&gt;Flights!$AA$10,"INVALID – completed after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f>
        <v/>
      </c>
      <c r="AI202" s="67">
        <f>IF(OR(AH202="N/A – RULE",AH202="N/A – JUSTIFIED"),0,1)</f>
        <v/>
      </c>
      <c r="AJ202" s="67">
        <f>IF(LEFT(AH202,8)="COMPLETE",1,0)</f>
        <v/>
      </c>
      <c r="AK202" s="67">
        <f>IF(AND(AI202=1,AJ202=0,AsOfUTC&gt;Q202),1,0)</f>
        <v/>
      </c>
      <c r="AL202" s="67">
        <f>IF(AND(AI202=1,OR(TRIM(U202)="Fail",AB202="Open",AND(ISNUMBER(AF202),AF202&lt;&gt;0,TRIM(U202)&lt;&gt;"Pass after CA"))),1,0)</f>
        <v/>
      </c>
      <c r="AM202" s="67">
        <f>IF(LEFT(AH202,7)="INVALID",1,0)</f>
        <v/>
      </c>
      <c r="AN202" s="67">
        <f>IF(AND(N202="Clarification required",AI202=1,AJ202=0),1,0)</f>
        <v/>
      </c>
      <c r="AO202" s="67">
        <f>IF(AK202=1,SUM(AK$5:AK202),"")</f>
        <v/>
      </c>
      <c r="AP202" s="67">
        <f>IF(AL202=1,SUM(AL$5:AL202),"")</f>
        <v/>
      </c>
      <c r="AQ202" s="67" t="n">
        <v>0</v>
      </c>
      <c r="AR202" s="67" t="n">
        <v>0</v>
      </c>
      <c r="AS202" s="67" t="n">
        <v>0</v>
      </c>
      <c r="AT202" s="67" t="n">
        <v>1</v>
      </c>
    </row>
    <row r="203" ht="40" customHeight="1">
      <c r="A203" s="63" t="inlineStr">
        <is>
          <t>F06-UPL-07</t>
        </is>
      </c>
      <c r="B203" s="63" t="inlineStr">
        <is>
          <t>F06</t>
        </is>
      </c>
      <c r="C203" s="63">
        <f>Flights!$F$10</f>
        <v/>
      </c>
      <c r="D203" s="64">
        <f>Flights!$D$10</f>
        <v/>
      </c>
      <c r="E203" s="63">
        <f>Flights!$G$10&amp;"-"&amp;Flights!$H$10</f>
        <v/>
      </c>
      <c r="F203" s="63">
        <f>Flights!$K$10</f>
        <v/>
      </c>
      <c r="G203" s="63" t="inlineStr">
        <is>
          <t>UPLIFT</t>
        </is>
      </c>
      <c r="H203" s="63" t="inlineStr">
        <is>
          <t>Physical uplift</t>
        </is>
      </c>
      <c r="I203" s="63" t="inlineStr">
        <is>
          <t>F&amp;B Linen</t>
        </is>
      </c>
      <c r="J203" s="63" t="inlineStr">
        <is>
          <t>Tray cloth - on board</t>
        </is>
      </c>
      <c r="K203" s="73" t="inlineStr">
        <is>
          <t>Available (ticked in reference)</t>
        </is>
      </c>
      <c r="L203" s="73" t="inlineStr">
        <is>
          <t>STD UPLIFT INFORMATION.xlsx &gt; F&amp;B LINEN!E7</t>
        </is>
      </c>
      <c r="M203" s="73" t="inlineStr">
        <is>
          <t>Not stated in reference</t>
        </is>
      </c>
      <c r="N203" s="73" t="inlineStr">
        <is>
          <t>Required</t>
        </is>
      </c>
      <c r="O203" s="73" t="inlineStr"/>
      <c r="P203" s="63" t="inlineStr">
        <is>
          <t>KUL</t>
        </is>
      </c>
      <c r="Q203" s="65">
        <f>Flights!$AF$10</f>
        <v/>
      </c>
      <c r="R203" s="65">
        <f>Q203+(IF(AND(INDEX(TZ_DSTS,MATCH(P203,TZ_STN,0))&lt;&gt;"",Q203&gt;=INDEX(TZ_DSTS,MATCH(P203,TZ_STN,0)),Q203&lt;INDEX(TZ_DSTE,MATCH(P203,TZ_STN,0))),INDEX(TZ_DST,MATCH(P203,TZ_STN,0)),INDEX(TZ_STD,MATCH(P203,TZ_STN,0))))/24</f>
        <v/>
      </c>
      <c r="S203" s="65">
        <f>Q203-UpliftWindowH/24</f>
        <v/>
      </c>
      <c r="T203" s="66" t="n"/>
      <c r="U203" s="66" t="n"/>
      <c r="V203" s="66" t="n"/>
      <c r="W203" s="67" t="n"/>
      <c r="X203" s="66" t="n"/>
      <c r="Y203" s="66" t="n"/>
      <c r="Z203" s="66" t="n"/>
      <c r="AA203" s="66" t="n"/>
      <c r="AB203" s="66" t="n"/>
      <c r="AC203" s="66" t="n"/>
      <c r="AD203" s="72" t="n"/>
      <c r="AE203" s="66" t="n"/>
      <c r="AF203" s="67">
        <f>IF(AND(ISNUMBER(X203),ISNUMBER(Y203)),Y203-X203,"")</f>
        <v/>
      </c>
      <c r="AG203" s="68">
        <f>IF(ISNUMBER(AD203),AD203-(IF(AND(INDEX(TZ_DSTS,MATCH(P203,TZ_STN,0))&lt;&gt;"",(AD203-INDEX(TZ_STD,MATCH(P203,TZ_STN,0))/24)&gt;=INDEX(TZ_DSTS,MATCH(P203,TZ_STN,0)),(AD203-INDEX(TZ_STD,MATCH(P203,TZ_STN,0))/24)&lt;INDEX(TZ_DSTE,MATCH(P203,TZ_STN,0))),INDEX(TZ_DST,MATCH(P203,TZ_STN,0)),INDEX(TZ_STD,MATCH(P203,TZ_STN,0))))/24,"")</f>
        <v/>
      </c>
      <c r="AH203" s="71">
        <f>IF(N203="N/A – rule","N/A – RULE",IF(TRIM(U203)="N/A",IF(AT203=0,"INVALID – N/A not permitted for this mandatory check",IF(AND(TRIM(AC203)&lt;&gt;"",TRIM(AE203)&lt;&gt;"",TRIM(T203)&lt;&gt;""),"N/A – JUSTIFIED","INVALID – N/A needs justification, PIC and verifier")),IF(OR(TRIM(U203)="Pass",TRIM(U203)="Pass after CA"),IF(NOT(ISNUMBER(AD203)),"INVALID – completion time missing",IF(TRIM(T203)="","INVALID – PIC missing",IF(TRIM(Z203)="","INVALID – evidence missing",IF(TRIM(AE203)="","INVALID – verifier missing",IF(AND(AQ203=1,TRIM(W203)=""),"INVALID – batch ID missing",IF(AND(AR203=1,OR(NOT(ISNUMBER(X203)),NOT(ISNUMBER(Y203)))),"INVALID – expected/actual qty missing",IF(IF(AND(TRIM(U203)="Pass",ISNUMBER(AF203)),IF(AF203&lt;&gt;0,"INVALID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recorded/closed","")&lt;&gt;"",IF(AND(TRIM(U203)="Pass",ISNUMBER(AF203)),IF(AF203&lt;&gt;0,"INVALID – qty variance: use Fail or Pass after CA",""),"")&amp;IF(AND(TRIM(U203)="Pass",AB203="Open"),"INVALID – corrective action still open: use Fail, then Pass after CA","")&amp;IF(AND(TRIM(U203)="Pass after CA",OR(TRIM(AA203)="",AB203&lt;&gt;"Closed")),"INVALID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window"),IF(AG203&gt;Flights!$AA$10,"INVALID – completed after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f>
        <v/>
      </c>
      <c r="AI203" s="67">
        <f>IF(OR(AH203="N/A – RULE",AH203="N/A – JUSTIFIED"),0,1)</f>
        <v/>
      </c>
      <c r="AJ203" s="67">
        <f>IF(LEFT(AH203,8)="COMPLETE",1,0)</f>
        <v/>
      </c>
      <c r="AK203" s="67">
        <f>IF(AND(AI203=1,AJ203=0,AsOfUTC&gt;Q203),1,0)</f>
        <v/>
      </c>
      <c r="AL203" s="67">
        <f>IF(AND(AI203=1,OR(TRIM(U203)="Fail",AB203="Open",AND(ISNUMBER(AF203),AF203&lt;&gt;0,TRIM(U203)&lt;&gt;"Pass after CA"))),1,0)</f>
        <v/>
      </c>
      <c r="AM203" s="67">
        <f>IF(LEFT(AH203,7)="INVALID",1,0)</f>
        <v/>
      </c>
      <c r="AN203" s="67">
        <f>IF(AND(N203="Clarification required",AI203=1,AJ203=0),1,0)</f>
        <v/>
      </c>
      <c r="AO203" s="67">
        <f>IF(AK203=1,SUM(AK$5:AK203),"")</f>
        <v/>
      </c>
      <c r="AP203" s="67">
        <f>IF(AL203=1,SUM(AL$5:AL203),"")</f>
        <v/>
      </c>
      <c r="AQ203" s="67" t="n">
        <v>0</v>
      </c>
      <c r="AR203" s="67" t="n">
        <v>0</v>
      </c>
      <c r="AS203" s="67" t="n">
        <v>0</v>
      </c>
      <c r="AT203" s="67" t="n">
        <v>1</v>
      </c>
    </row>
    <row r="204" ht="40" customHeight="1">
      <c r="A204" s="63" t="inlineStr">
        <is>
          <t>F06-UPL-08</t>
        </is>
      </c>
      <c r="B204" s="63" t="inlineStr">
        <is>
          <t>F06</t>
        </is>
      </c>
      <c r="C204" s="63">
        <f>Flights!$F$10</f>
        <v/>
      </c>
      <c r="D204" s="64">
        <f>Flights!$D$10</f>
        <v/>
      </c>
      <c r="E204" s="63">
        <f>Flights!$G$10&amp;"-"&amp;Flights!$H$10</f>
        <v/>
      </c>
      <c r="F204" s="63">
        <f>Flights!$K$10</f>
        <v/>
      </c>
      <c r="G204" s="63" t="inlineStr">
        <is>
          <t>UPLIFT</t>
        </is>
      </c>
      <c r="H204" s="63" t="inlineStr">
        <is>
          <t>Physical uplift</t>
        </is>
      </c>
      <c r="I204" s="63" t="inlineStr">
        <is>
          <t>F&amp;B Linen</t>
        </is>
      </c>
      <c r="J204" s="63" t="inlineStr">
        <is>
          <t>Napkin - on board</t>
        </is>
      </c>
      <c r="K204" s="73" t="inlineStr">
        <is>
          <t>Available (ticked in reference)</t>
        </is>
      </c>
      <c r="L204" s="73" t="inlineStr">
        <is>
          <t>STD UPLIFT INFORMATION.xlsx &gt; F&amp;B LINEN!F7</t>
        </is>
      </c>
      <c r="M204" s="73" t="inlineStr">
        <is>
          <t>Not stated in reference</t>
        </is>
      </c>
      <c r="N204" s="73" t="inlineStr">
        <is>
          <t>Required</t>
        </is>
      </c>
      <c r="O204" s="73" t="inlineStr"/>
      <c r="P204" s="63" t="inlineStr">
        <is>
          <t>KUL</t>
        </is>
      </c>
      <c r="Q204" s="65">
        <f>Flights!$AF$10</f>
        <v/>
      </c>
      <c r="R204" s="65">
        <f>Q204+(IF(AND(INDEX(TZ_DSTS,MATCH(P204,TZ_STN,0))&lt;&gt;"",Q204&gt;=INDEX(TZ_DSTS,MATCH(P204,TZ_STN,0)),Q204&lt;INDEX(TZ_DSTE,MATCH(P204,TZ_STN,0))),INDEX(TZ_DST,MATCH(P204,TZ_STN,0)),INDEX(TZ_STD,MATCH(P204,TZ_STN,0))))/24</f>
        <v/>
      </c>
      <c r="S204" s="65">
        <f>Q204-UpliftWindowH/24</f>
        <v/>
      </c>
      <c r="T204" s="66" t="n"/>
      <c r="U204" s="66" t="n"/>
      <c r="V204" s="66" t="n"/>
      <c r="W204" s="67" t="n"/>
      <c r="X204" s="66" t="n"/>
      <c r="Y204" s="66" t="n"/>
      <c r="Z204" s="66" t="n"/>
      <c r="AA204" s="66" t="n"/>
      <c r="AB204" s="66" t="n"/>
      <c r="AC204" s="66" t="n"/>
      <c r="AD204" s="72" t="n"/>
      <c r="AE204" s="66" t="n"/>
      <c r="AF204" s="67">
        <f>IF(AND(ISNUMBER(X204),ISNUMBER(Y204)),Y204-X204,"")</f>
        <v/>
      </c>
      <c r="AG204" s="68">
        <f>IF(ISNUMBER(AD204),AD204-(IF(AND(INDEX(TZ_DSTS,MATCH(P204,TZ_STN,0))&lt;&gt;"",(AD204-INDEX(TZ_STD,MATCH(P204,TZ_STN,0))/24)&gt;=INDEX(TZ_DSTS,MATCH(P204,TZ_STN,0)),(AD204-INDEX(TZ_STD,MATCH(P204,TZ_STN,0))/24)&lt;INDEX(TZ_DSTE,MATCH(P204,TZ_STN,0))),INDEX(TZ_DST,MATCH(P204,TZ_STN,0)),INDEX(TZ_STD,MATCH(P204,TZ_STN,0))))/24,"")</f>
        <v/>
      </c>
      <c r="AH204" s="71">
        <f>IF(N204="N/A – rule","N/A – RULE",IF(TRIM(U204)="N/A",IF(AT204=0,"INVALID – N/A not permitted for this mandatory check",IF(AND(TRIM(AC204)&lt;&gt;"",TRIM(AE204)&lt;&gt;"",TRIM(T204)&lt;&gt;""),"N/A – JUSTIFIED","INVALID – N/A needs justification, PIC and verifier")),IF(OR(TRIM(U204)="Pass",TRIM(U204)="Pass after CA"),IF(NOT(ISNUMBER(AD204)),"INVALID – completion time missing",IF(TRIM(T204)="","INVALID – PIC missing",IF(TRIM(Z204)="","INVALID – evidence missing",IF(TRIM(AE204)="","INVALID – verifier missing",IF(AND(AQ204=1,TRIM(W204)=""),"INVALID – batch ID missing",IF(AND(AR204=1,OR(NOT(ISNUMBER(X204)),NOT(ISNUMBER(Y204)))),"INVALID – expected/actual qty missing",IF(IF(AND(TRIM(U204)="Pass",ISNUMBER(AF204)),IF(AF204&lt;&gt;0,"INVALID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recorded/closed","")&lt;&gt;"",IF(AND(TRIM(U204)="Pass",ISNUMBER(AF204)),IF(AF204&lt;&gt;0,"INVALID – qty variance: use Fail or Pass after CA",""),"")&amp;IF(AND(TRIM(U204)="Pass",AB204="Open"),"INVALID – corrective action still open: use Fail, then Pass after CA","")&amp;IF(AND(TRIM(U204)="Pass after CA",OR(TRIM(AA204)="",AB204&lt;&gt;"Closed")),"INVALID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window"),IF(AG204&gt;Flights!$AA$10,"INVALID – completed after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f>
        <v/>
      </c>
      <c r="AI204" s="67">
        <f>IF(OR(AH204="N/A – RULE",AH204="N/A – JUSTIFIED"),0,1)</f>
        <v/>
      </c>
      <c r="AJ204" s="67">
        <f>IF(LEFT(AH204,8)="COMPLETE",1,0)</f>
        <v/>
      </c>
      <c r="AK204" s="67">
        <f>IF(AND(AI204=1,AJ204=0,AsOfUTC&gt;Q204),1,0)</f>
        <v/>
      </c>
      <c r="AL204" s="67">
        <f>IF(AND(AI204=1,OR(TRIM(U204)="Fail",AB204="Open",AND(ISNUMBER(AF204),AF204&lt;&gt;0,TRIM(U204)&lt;&gt;"Pass after CA"))),1,0)</f>
        <v/>
      </c>
      <c r="AM204" s="67">
        <f>IF(LEFT(AH204,7)="INVALID",1,0)</f>
        <v/>
      </c>
      <c r="AN204" s="67">
        <f>IF(AND(N204="Clarification required",AI204=1,AJ204=0),1,0)</f>
        <v/>
      </c>
      <c r="AO204" s="67">
        <f>IF(AK204=1,SUM(AK$5:AK204),"")</f>
        <v/>
      </c>
      <c r="AP204" s="67">
        <f>IF(AL204=1,SUM(AL$5:AL204),"")</f>
        <v/>
      </c>
      <c r="AQ204" s="67" t="n">
        <v>0</v>
      </c>
      <c r="AR204" s="67" t="n">
        <v>0</v>
      </c>
      <c r="AS204" s="67" t="n">
        <v>0</v>
      </c>
      <c r="AT204" s="67" t="n">
        <v>1</v>
      </c>
    </row>
    <row r="205" ht="40" customHeight="1">
      <c r="A205" s="63" t="inlineStr">
        <is>
          <t>F06-UPL-09</t>
        </is>
      </c>
      <c r="B205" s="63" t="inlineStr">
        <is>
          <t>F06</t>
        </is>
      </c>
      <c r="C205" s="63">
        <f>Flights!$F$10</f>
        <v/>
      </c>
      <c r="D205" s="64">
        <f>Flights!$D$10</f>
        <v/>
      </c>
      <c r="E205" s="63">
        <f>Flights!$G$10&amp;"-"&amp;Flights!$H$10</f>
        <v/>
      </c>
      <c r="F205" s="63">
        <f>Flights!$K$10</f>
        <v/>
      </c>
      <c r="G205" s="63" t="inlineStr">
        <is>
          <t>UPLIFT</t>
        </is>
      </c>
      <c r="H205" s="63" t="inlineStr">
        <is>
          <t>Physical uplift</t>
        </is>
      </c>
      <c r="I205" s="63" t="inlineStr">
        <is>
          <t>F&amp;B Linen</t>
        </is>
      </c>
      <c r="J205" s="63" t="inlineStr">
        <is>
          <t>Table cloth - on board</t>
        </is>
      </c>
      <c r="K205" s="73" t="inlineStr">
        <is>
          <t>Available (ticked in reference)</t>
        </is>
      </c>
      <c r="L205" s="73" t="inlineStr">
        <is>
          <t>STD UPLIFT INFORMATION.xlsx &gt; F&amp;B LINEN!G7</t>
        </is>
      </c>
      <c r="M205" s="73" t="inlineStr">
        <is>
          <t>Not stated in reference</t>
        </is>
      </c>
      <c r="N205" s="73" t="inlineStr">
        <is>
          <t>Required</t>
        </is>
      </c>
      <c r="O205" s="73" t="inlineStr"/>
      <c r="P205" s="63" t="inlineStr">
        <is>
          <t>KUL</t>
        </is>
      </c>
      <c r="Q205" s="65">
        <f>Flights!$AF$10</f>
        <v/>
      </c>
      <c r="R205" s="65">
        <f>Q205+(IF(AND(INDEX(TZ_DSTS,MATCH(P205,TZ_STN,0))&lt;&gt;"",Q205&gt;=INDEX(TZ_DSTS,MATCH(P205,TZ_STN,0)),Q205&lt;INDEX(TZ_DSTE,MATCH(P205,TZ_STN,0))),INDEX(TZ_DST,MATCH(P205,TZ_STN,0)),INDEX(TZ_STD,MATCH(P205,TZ_STN,0))))/24</f>
        <v/>
      </c>
      <c r="S205" s="65">
        <f>Q205-UpliftWindowH/24</f>
        <v/>
      </c>
      <c r="T205" s="66" t="n"/>
      <c r="U205" s="66" t="n"/>
      <c r="V205" s="66" t="n"/>
      <c r="W205" s="67" t="n"/>
      <c r="X205" s="66" t="n"/>
      <c r="Y205" s="66" t="n"/>
      <c r="Z205" s="66" t="n"/>
      <c r="AA205" s="66" t="n"/>
      <c r="AB205" s="66" t="n"/>
      <c r="AC205" s="66" t="n"/>
      <c r="AD205" s="72" t="n"/>
      <c r="AE205" s="66" t="n"/>
      <c r="AF205" s="67">
        <f>IF(AND(ISNUMBER(X205),ISNUMBER(Y205)),Y205-X205,"")</f>
        <v/>
      </c>
      <c r="AG205" s="68">
        <f>IF(ISNUMBER(AD205),AD205-(IF(AND(INDEX(TZ_DSTS,MATCH(P205,TZ_STN,0))&lt;&gt;"",(AD205-INDEX(TZ_STD,MATCH(P205,TZ_STN,0))/24)&gt;=INDEX(TZ_DSTS,MATCH(P205,TZ_STN,0)),(AD205-INDEX(TZ_STD,MATCH(P205,TZ_STN,0))/24)&lt;INDEX(TZ_DSTE,MATCH(P205,TZ_STN,0))),INDEX(TZ_DST,MATCH(P205,TZ_STN,0)),INDEX(TZ_STD,MATCH(P205,TZ_STN,0))))/24,"")</f>
        <v/>
      </c>
      <c r="AH205" s="71">
        <f>IF(N205="N/A – rule","N/A – RULE",IF(TRIM(U205)="N/A",IF(AT205=0,"INVALID – N/A not permitted for this mandatory check",IF(AND(TRIM(AC205)&lt;&gt;"",TRIM(AE205)&lt;&gt;"",TRIM(T205)&lt;&gt;""),"N/A – JUSTIFIED","INVALID – N/A needs justification, PIC and verifier")),IF(OR(TRIM(U205)="Pass",TRIM(U205)="Pass after CA"),IF(NOT(ISNUMBER(AD205)),"INVALID – completion time missing",IF(TRIM(T205)="","INVALID – PIC missing",IF(TRIM(Z205)="","INVALID – evidence missing",IF(TRIM(AE205)="","INVALID – verifier missing",IF(AND(AQ205=1,TRIM(W205)=""),"INVALID – batch ID missing",IF(AND(AR205=1,OR(NOT(ISNUMBER(X205)),NOT(ISNUMBER(Y205)))),"INVALID – expected/actual qty missing",IF(IF(AND(TRIM(U205)="Pass",ISNUMBER(AF205)),IF(AF205&lt;&gt;0,"INVALID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recorded/closed","")&lt;&gt;"",IF(AND(TRIM(U205)="Pass",ISNUMBER(AF205)),IF(AF205&lt;&gt;0,"INVALID – qty variance: use Fail or Pass after CA",""),"")&amp;IF(AND(TRIM(U205)="Pass",AB205="Open"),"INVALID – corrective action still open: use Fail, then Pass after CA","")&amp;IF(AND(TRIM(U205)="Pass after CA",OR(TRIM(AA205)="",AB205&lt;&gt;"Closed")),"INVALID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window"),IF(AG205&gt;Flights!$AA$10,"INVALID – completed after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f>
        <v/>
      </c>
      <c r="AI205" s="67">
        <f>IF(OR(AH205="N/A – RULE",AH205="N/A – JUSTIFIED"),0,1)</f>
        <v/>
      </c>
      <c r="AJ205" s="67">
        <f>IF(LEFT(AH205,8)="COMPLETE",1,0)</f>
        <v/>
      </c>
      <c r="AK205" s="67">
        <f>IF(AND(AI205=1,AJ205=0,AsOfUTC&gt;Q205),1,0)</f>
        <v/>
      </c>
      <c r="AL205" s="67">
        <f>IF(AND(AI205=1,OR(TRIM(U205)="Fail",AB205="Open",AND(ISNUMBER(AF205),AF205&lt;&gt;0,TRIM(U205)&lt;&gt;"Pass after CA"))),1,0)</f>
        <v/>
      </c>
      <c r="AM205" s="67">
        <f>IF(LEFT(AH205,7)="INVALID",1,0)</f>
        <v/>
      </c>
      <c r="AN205" s="67">
        <f>IF(AND(N205="Clarification required",AI205=1,AJ205=0),1,0)</f>
        <v/>
      </c>
      <c r="AO205" s="67">
        <f>IF(AK205=1,SUM(AK$5:AK205),"")</f>
        <v/>
      </c>
      <c r="AP205" s="67">
        <f>IF(AL205=1,SUM(AL$5:AL205),"")</f>
        <v/>
      </c>
      <c r="AQ205" s="67" t="n">
        <v>0</v>
      </c>
      <c r="AR205" s="67" t="n">
        <v>0</v>
      </c>
      <c r="AS205" s="67" t="n">
        <v>0</v>
      </c>
      <c r="AT205" s="67" t="n">
        <v>1</v>
      </c>
    </row>
    <row r="206" ht="40" customHeight="1">
      <c r="A206" s="63" t="inlineStr">
        <is>
          <t>F06-UPL-10</t>
        </is>
      </c>
      <c r="B206" s="63" t="inlineStr">
        <is>
          <t>F06</t>
        </is>
      </c>
      <c r="C206" s="63">
        <f>Flights!$F$10</f>
        <v/>
      </c>
      <c r="D206" s="64">
        <f>Flights!$D$10</f>
        <v/>
      </c>
      <c r="E206" s="63">
        <f>Flights!$G$10&amp;"-"&amp;Flights!$H$10</f>
        <v/>
      </c>
      <c r="F206" s="63">
        <f>Flights!$K$10</f>
        <v/>
      </c>
      <c r="G206" s="63" t="inlineStr">
        <is>
          <t>UPLIFT</t>
        </is>
      </c>
      <c r="H206" s="63" t="inlineStr">
        <is>
          <t>Physical uplift</t>
        </is>
      </c>
      <c r="I206" s="63" t="inlineStr">
        <is>
          <t>F&amp;B Linen</t>
        </is>
      </c>
      <c r="J206" s="63" t="inlineStr">
        <is>
          <t>Bread linen (using table cloth) - on board</t>
        </is>
      </c>
      <c r="K206" s="73" t="inlineStr">
        <is>
          <t>Available (ticked in reference)</t>
        </is>
      </c>
      <c r="L206" s="73" t="inlineStr">
        <is>
          <t>STD UPLIFT INFORMATION.xlsx &gt; F&amp;B LINEN!H7</t>
        </is>
      </c>
      <c r="M206" s="73" t="inlineStr">
        <is>
          <t>Not stated in reference</t>
        </is>
      </c>
      <c r="N206" s="73" t="inlineStr">
        <is>
          <t>Required</t>
        </is>
      </c>
      <c r="O206" s="73" t="inlineStr"/>
      <c r="P206" s="63" t="inlineStr">
        <is>
          <t>KUL</t>
        </is>
      </c>
      <c r="Q206" s="65">
        <f>Flights!$AF$10</f>
        <v/>
      </c>
      <c r="R206" s="65">
        <f>Q206+(IF(AND(INDEX(TZ_DSTS,MATCH(P206,TZ_STN,0))&lt;&gt;"",Q206&gt;=INDEX(TZ_DSTS,MATCH(P206,TZ_STN,0)),Q206&lt;INDEX(TZ_DSTE,MATCH(P206,TZ_STN,0))),INDEX(TZ_DST,MATCH(P206,TZ_STN,0)),INDEX(TZ_STD,MATCH(P206,TZ_STN,0))))/24</f>
        <v/>
      </c>
      <c r="S206" s="65">
        <f>Q206-UpliftWindowH/24</f>
        <v/>
      </c>
      <c r="T206" s="66" t="n"/>
      <c r="U206" s="66" t="n"/>
      <c r="V206" s="66" t="n"/>
      <c r="W206" s="67" t="n"/>
      <c r="X206" s="66" t="n"/>
      <c r="Y206" s="66" t="n"/>
      <c r="Z206" s="66" t="n"/>
      <c r="AA206" s="66" t="n"/>
      <c r="AB206" s="66" t="n"/>
      <c r="AC206" s="66" t="n"/>
      <c r="AD206" s="72" t="n"/>
      <c r="AE206" s="66" t="n"/>
      <c r="AF206" s="67">
        <f>IF(AND(ISNUMBER(X206),ISNUMBER(Y206)),Y206-X206,"")</f>
        <v/>
      </c>
      <c r="AG206" s="68">
        <f>IF(ISNUMBER(AD206),AD206-(IF(AND(INDEX(TZ_DSTS,MATCH(P206,TZ_STN,0))&lt;&gt;"",(AD206-INDEX(TZ_STD,MATCH(P206,TZ_STN,0))/24)&gt;=INDEX(TZ_DSTS,MATCH(P206,TZ_STN,0)),(AD206-INDEX(TZ_STD,MATCH(P206,TZ_STN,0))/24)&lt;INDEX(TZ_DSTE,MATCH(P206,TZ_STN,0))),INDEX(TZ_DST,MATCH(P206,TZ_STN,0)),INDEX(TZ_STD,MATCH(P206,TZ_STN,0))))/24,"")</f>
        <v/>
      </c>
      <c r="AH206" s="71">
        <f>IF(N206="N/A – rule","N/A – RULE",IF(TRIM(U206)="N/A",IF(AT206=0,"INVALID – N/A not permitted for this mandatory check",IF(AND(TRIM(AC206)&lt;&gt;"",TRIM(AE206)&lt;&gt;"",TRIM(T206)&lt;&gt;""),"N/A – JUSTIFIED","INVALID – N/A needs justification, PIC and verifier")),IF(OR(TRIM(U206)="Pass",TRIM(U206)="Pass after CA"),IF(NOT(ISNUMBER(AD206)),"INVALID – completion time missing",IF(TRIM(T206)="","INVALID – PIC missing",IF(TRIM(Z206)="","INVALID – evidence missing",IF(TRIM(AE206)="","INVALID – verifier missing",IF(AND(AQ206=1,TRIM(W206)=""),"INVALID – batch ID missing",IF(AND(AR206=1,OR(NOT(ISNUMBER(X206)),NOT(ISNUMBER(Y206)))),"INVALID – expected/actual qty missing",IF(IF(AND(TRIM(U206)="Pass",ISNUMBER(AF206)),IF(AF206&lt;&gt;0,"INVALID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recorded/closed","")&lt;&gt;"",IF(AND(TRIM(U206)="Pass",ISNUMBER(AF206)),IF(AF206&lt;&gt;0,"INVALID – qty variance: use Fail or Pass after CA",""),"")&amp;IF(AND(TRIM(U206)="Pass",AB206="Open"),"INVALID – corrective action still open: use Fail, then Pass after CA","")&amp;IF(AND(TRIM(U206)="Pass after CA",OR(TRIM(AA206)="",AB206&lt;&gt;"Closed")),"INVALID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window"),IF(AG206&gt;Flights!$AA$10,"INVALID – completed after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f>
        <v/>
      </c>
      <c r="AI206" s="67">
        <f>IF(OR(AH206="N/A – RULE",AH206="N/A – JUSTIFIED"),0,1)</f>
        <v/>
      </c>
      <c r="AJ206" s="67">
        <f>IF(LEFT(AH206,8)="COMPLETE",1,0)</f>
        <v/>
      </c>
      <c r="AK206" s="67">
        <f>IF(AND(AI206=1,AJ206=0,AsOfUTC&gt;Q206),1,0)</f>
        <v/>
      </c>
      <c r="AL206" s="67">
        <f>IF(AND(AI206=1,OR(TRIM(U206)="Fail",AB206="Open",AND(ISNUMBER(AF206),AF206&lt;&gt;0,TRIM(U206)&lt;&gt;"Pass after CA"))),1,0)</f>
        <v/>
      </c>
      <c r="AM206" s="67">
        <f>IF(LEFT(AH206,7)="INVALID",1,0)</f>
        <v/>
      </c>
      <c r="AN206" s="67">
        <f>IF(AND(N206="Clarification required",AI206=1,AJ206=0),1,0)</f>
        <v/>
      </c>
      <c r="AO206" s="67">
        <f>IF(AK206=1,SUM(AK$5:AK206),"")</f>
        <v/>
      </c>
      <c r="AP206" s="67">
        <f>IF(AL206=1,SUM(AL$5:AL206),"")</f>
        <v/>
      </c>
      <c r="AQ206" s="67" t="n">
        <v>0</v>
      </c>
      <c r="AR206" s="67" t="n">
        <v>0</v>
      </c>
      <c r="AS206" s="67" t="n">
        <v>0</v>
      </c>
      <c r="AT206" s="67" t="n">
        <v>1</v>
      </c>
    </row>
    <row r="207" ht="40" customHeight="1">
      <c r="A207" s="63" t="inlineStr">
        <is>
          <t>F06-UPL-11</t>
        </is>
      </c>
      <c r="B207" s="63" t="inlineStr">
        <is>
          <t>F06</t>
        </is>
      </c>
      <c r="C207" s="63">
        <f>Flights!$F$10</f>
        <v/>
      </c>
      <c r="D207" s="64">
        <f>Flights!$D$10</f>
        <v/>
      </c>
      <c r="E207" s="63">
        <f>Flights!$G$10&amp;"-"&amp;Flights!$H$10</f>
        <v/>
      </c>
      <c r="F207" s="63">
        <f>Flights!$K$10</f>
        <v/>
      </c>
      <c r="G207" s="63" t="inlineStr">
        <is>
          <t>UPLIFT</t>
        </is>
      </c>
      <c r="H207" s="63" t="inlineStr">
        <is>
          <t>Physical uplift</t>
        </is>
      </c>
      <c r="I207" s="63" t="inlineStr">
        <is>
          <t>F&amp;B Linen</t>
        </is>
      </c>
      <c r="J207" s="63" t="inlineStr">
        <is>
          <t>Trolley cloth - on board</t>
        </is>
      </c>
      <c r="K207" s="73" t="inlineStr">
        <is>
          <t>Wide body: Top/Middle &amp; Bottom</t>
        </is>
      </c>
      <c r="L207" s="73" t="inlineStr">
        <is>
          <t>STD UPLIFT INFORMATION.xlsx &gt; F&amp;B LINEN!I7</t>
        </is>
      </c>
      <c r="M207" s="73" t="inlineStr">
        <is>
          <t>Not stated in reference</t>
        </is>
      </c>
      <c r="N207" s="73" t="inlineStr">
        <is>
          <t>Required</t>
        </is>
      </c>
      <c r="O207" s="73" t="inlineStr">
        <is>
          <t>Per note F&amp;B LINEN!B79:C80.</t>
        </is>
      </c>
      <c r="P207" s="63" t="inlineStr">
        <is>
          <t>KUL</t>
        </is>
      </c>
      <c r="Q207" s="65">
        <f>Flights!$AF$10</f>
        <v/>
      </c>
      <c r="R207" s="65">
        <f>Q207+(IF(AND(INDEX(TZ_DSTS,MATCH(P207,TZ_STN,0))&lt;&gt;"",Q207&gt;=INDEX(TZ_DSTS,MATCH(P207,TZ_STN,0)),Q207&lt;INDEX(TZ_DSTE,MATCH(P207,TZ_STN,0))),INDEX(TZ_DST,MATCH(P207,TZ_STN,0)),INDEX(TZ_STD,MATCH(P207,TZ_STN,0))))/24</f>
        <v/>
      </c>
      <c r="S207" s="65">
        <f>Q207-UpliftWindowH/24</f>
        <v/>
      </c>
      <c r="T207" s="66" t="n"/>
      <c r="U207" s="66" t="n"/>
      <c r="V207" s="66" t="n"/>
      <c r="W207" s="67" t="n"/>
      <c r="X207" s="66" t="n"/>
      <c r="Y207" s="66" t="n"/>
      <c r="Z207" s="66" t="n"/>
      <c r="AA207" s="66" t="n"/>
      <c r="AB207" s="66" t="n"/>
      <c r="AC207" s="66" t="n"/>
      <c r="AD207" s="72" t="n"/>
      <c r="AE207" s="66" t="n"/>
      <c r="AF207" s="67">
        <f>IF(AND(ISNUMBER(X207),ISNUMBER(Y207)),Y207-X207,"")</f>
        <v/>
      </c>
      <c r="AG207" s="68">
        <f>IF(ISNUMBER(AD207),AD207-(IF(AND(INDEX(TZ_DSTS,MATCH(P207,TZ_STN,0))&lt;&gt;"",(AD207-INDEX(TZ_STD,MATCH(P207,TZ_STN,0))/24)&gt;=INDEX(TZ_DSTS,MATCH(P207,TZ_STN,0)),(AD207-INDEX(TZ_STD,MATCH(P207,TZ_STN,0))/24)&lt;INDEX(TZ_DSTE,MATCH(P207,TZ_STN,0))),INDEX(TZ_DST,MATCH(P207,TZ_STN,0)),INDEX(TZ_STD,MATCH(P207,TZ_STN,0))))/24,"")</f>
        <v/>
      </c>
      <c r="AH207" s="71">
        <f>IF(N207="N/A – rule","N/A – RULE",IF(TRIM(U207)="N/A",IF(AT207=0,"INVALID – N/A not permitted for this mandatory check",IF(AND(TRIM(AC207)&lt;&gt;"",TRIM(AE207)&lt;&gt;"",TRIM(T207)&lt;&gt;""),"N/A – JUSTIFIED","INVALID – N/A needs justification, PIC and verifier")),IF(OR(TRIM(U207)="Pass",TRIM(U207)="Pass after CA"),IF(NOT(ISNUMBER(AD207)),"INVALID – completion time missing",IF(TRIM(T207)="","INVALID – PIC missing",IF(TRIM(Z207)="","INVALID – evidence missing",IF(TRIM(AE207)="","INVALID – verifier missing",IF(AND(AQ207=1,TRIM(W207)=""),"INVALID – batch ID missing",IF(AND(AR207=1,OR(NOT(ISNUMBER(X207)),NOT(ISNUMBER(Y207)))),"INVALID – expected/actual qty missing",IF(IF(AND(TRIM(U207)="Pass",ISNUMBER(AF207)),IF(AF207&lt;&gt;0,"INVALID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recorded/closed","")&lt;&gt;"",IF(AND(TRIM(U207)="Pass",ISNUMBER(AF207)),IF(AF207&lt;&gt;0,"INVALID – qty variance: use Fail or Pass after CA",""),"")&amp;IF(AND(TRIM(U207)="Pass",AB207="Open"),"INVALID – corrective action still open: use Fail, then Pass after CA","")&amp;IF(AND(TRIM(U207)="Pass after CA",OR(TRIM(AA207)="",AB207&lt;&gt;"Closed")),"INVALID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window"),IF(AG207&gt;Flights!$AA$10,"INVALID – completed after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f>
        <v/>
      </c>
      <c r="AI207" s="67">
        <f>IF(OR(AH207="N/A – RULE",AH207="N/A – JUSTIFIED"),0,1)</f>
        <v/>
      </c>
      <c r="AJ207" s="67">
        <f>IF(LEFT(AH207,8)="COMPLETE",1,0)</f>
        <v/>
      </c>
      <c r="AK207" s="67">
        <f>IF(AND(AI207=1,AJ207=0,AsOfUTC&gt;Q207),1,0)</f>
        <v/>
      </c>
      <c r="AL207" s="67">
        <f>IF(AND(AI207=1,OR(TRIM(U207)="Fail",AB207="Open",AND(ISNUMBER(AF207),AF207&lt;&gt;0,TRIM(U207)&lt;&gt;"Pass after CA"))),1,0)</f>
        <v/>
      </c>
      <c r="AM207" s="67">
        <f>IF(LEFT(AH207,7)="INVALID",1,0)</f>
        <v/>
      </c>
      <c r="AN207" s="67">
        <f>IF(AND(N207="Clarification required",AI207=1,AJ207=0),1,0)</f>
        <v/>
      </c>
      <c r="AO207" s="67">
        <f>IF(AK207=1,SUM(AK$5:AK207),"")</f>
        <v/>
      </c>
      <c r="AP207" s="67">
        <f>IF(AL207=1,SUM(AL$5:AL207),"")</f>
        <v/>
      </c>
      <c r="AQ207" s="67" t="n">
        <v>0</v>
      </c>
      <c r="AR207" s="67" t="n">
        <v>0</v>
      </c>
      <c r="AS207" s="67" t="n">
        <v>0</v>
      </c>
      <c r="AT207" s="67" t="n">
        <v>1</v>
      </c>
    </row>
    <row r="208" ht="40" customHeight="1">
      <c r="A208" s="63" t="inlineStr">
        <is>
          <t>F06-UPL-12</t>
        </is>
      </c>
      <c r="B208" s="63" t="inlineStr">
        <is>
          <t>F06</t>
        </is>
      </c>
      <c r="C208" s="63">
        <f>Flights!$F$10</f>
        <v/>
      </c>
      <c r="D208" s="64">
        <f>Flights!$D$10</f>
        <v/>
      </c>
      <c r="E208" s="63">
        <f>Flights!$G$10&amp;"-"&amp;Flights!$H$10</f>
        <v/>
      </c>
      <c r="F208" s="63">
        <f>Flights!$K$10</f>
        <v/>
      </c>
      <c r="G208" s="63" t="inlineStr">
        <is>
          <t>UPLIFT</t>
        </is>
      </c>
      <c r="H208" s="63" t="inlineStr">
        <is>
          <t>Physical uplift</t>
        </is>
      </c>
      <c r="I208" s="63" t="inlineStr">
        <is>
          <t>F&amp;B Linen</t>
        </is>
      </c>
      <c r="J208" s="63" t="inlineStr">
        <is>
          <t>Linen bag - on board</t>
        </is>
      </c>
      <c r="K208" s="73" t="inlineStr">
        <is>
          <t>Available (ticked in reference)</t>
        </is>
      </c>
      <c r="L208" s="73" t="inlineStr">
        <is>
          <t>STD UPLIFT INFORMATION.xlsx &gt; F&amp;B LINEN!J7</t>
        </is>
      </c>
      <c r="M208" s="73" t="inlineStr">
        <is>
          <t>Not stated in reference</t>
        </is>
      </c>
      <c r="N208" s="73" t="inlineStr">
        <is>
          <t>Required</t>
        </is>
      </c>
      <c r="O208" s="73" t="inlineStr"/>
      <c r="P208" s="63" t="inlineStr">
        <is>
          <t>KUL</t>
        </is>
      </c>
      <c r="Q208" s="65">
        <f>Flights!$AF$10</f>
        <v/>
      </c>
      <c r="R208" s="65">
        <f>Q208+(IF(AND(INDEX(TZ_DSTS,MATCH(P208,TZ_STN,0))&lt;&gt;"",Q208&gt;=INDEX(TZ_DSTS,MATCH(P208,TZ_STN,0)),Q208&lt;INDEX(TZ_DSTE,MATCH(P208,TZ_STN,0))),INDEX(TZ_DST,MATCH(P208,TZ_STN,0)),INDEX(TZ_STD,MATCH(P208,TZ_STN,0))))/24</f>
        <v/>
      </c>
      <c r="S208" s="65">
        <f>Q208-UpliftWindowH/24</f>
        <v/>
      </c>
      <c r="T208" s="66" t="n"/>
      <c r="U208" s="66" t="n"/>
      <c r="V208" s="66" t="n"/>
      <c r="W208" s="67" t="n"/>
      <c r="X208" s="66" t="n"/>
      <c r="Y208" s="66" t="n"/>
      <c r="Z208" s="66" t="n"/>
      <c r="AA208" s="66" t="n"/>
      <c r="AB208" s="66" t="n"/>
      <c r="AC208" s="66" t="n"/>
      <c r="AD208" s="72" t="n"/>
      <c r="AE208" s="66" t="n"/>
      <c r="AF208" s="67">
        <f>IF(AND(ISNUMBER(X208),ISNUMBER(Y208)),Y208-X208,"")</f>
        <v/>
      </c>
      <c r="AG208" s="68">
        <f>IF(ISNUMBER(AD208),AD208-(IF(AND(INDEX(TZ_DSTS,MATCH(P208,TZ_STN,0))&lt;&gt;"",(AD208-INDEX(TZ_STD,MATCH(P208,TZ_STN,0))/24)&gt;=INDEX(TZ_DSTS,MATCH(P208,TZ_STN,0)),(AD208-INDEX(TZ_STD,MATCH(P208,TZ_STN,0))/24)&lt;INDEX(TZ_DSTE,MATCH(P208,TZ_STN,0))),INDEX(TZ_DST,MATCH(P208,TZ_STN,0)),INDEX(TZ_STD,MATCH(P208,TZ_STN,0))))/24,"")</f>
        <v/>
      </c>
      <c r="AH208" s="71">
        <f>IF(N208="N/A – rule","N/A – RULE",IF(TRIM(U208)="N/A",IF(AT208=0,"INVALID – N/A not permitted for this mandatory check",IF(AND(TRIM(AC208)&lt;&gt;"",TRIM(AE208)&lt;&gt;"",TRIM(T208)&lt;&gt;""),"N/A – JUSTIFIED","INVALID – N/A needs justification, PIC and verifier")),IF(OR(TRIM(U208)="Pass",TRIM(U208)="Pass after CA"),IF(NOT(ISNUMBER(AD208)),"INVALID – completion time missing",IF(TRIM(T208)="","INVALID – PIC missing",IF(TRIM(Z208)="","INVALID – evidence missing",IF(TRIM(AE208)="","INVALID – verifier missing",IF(AND(AQ208=1,TRIM(W208)=""),"INVALID – batch ID missing",IF(AND(AR208=1,OR(NOT(ISNUMBER(X208)),NOT(ISNUMBER(Y208)))),"INVALID – expected/actual qty missing",IF(IF(AND(TRIM(U208)="Pass",ISNUMBER(AF208)),IF(AF208&lt;&gt;0,"INVALID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recorded/closed","")&lt;&gt;"",IF(AND(TRIM(U208)="Pass",ISNUMBER(AF208)),IF(AF208&lt;&gt;0,"INVALID – qty variance: use Fail or Pass after CA",""),"")&amp;IF(AND(TRIM(U208)="Pass",AB208="Open"),"INVALID – corrective action still open: use Fail, then Pass after CA","")&amp;IF(AND(TRIM(U208)="Pass after CA",OR(TRIM(AA208)="",AB208&lt;&gt;"Closed")),"INVALID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window"),IF(AG208&gt;Flights!$AA$10,"INVALID – completed after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f>
        <v/>
      </c>
      <c r="AI208" s="67">
        <f>IF(OR(AH208="N/A – RULE",AH208="N/A – JUSTIFIED"),0,1)</f>
        <v/>
      </c>
      <c r="AJ208" s="67">
        <f>IF(LEFT(AH208,8)="COMPLETE",1,0)</f>
        <v/>
      </c>
      <c r="AK208" s="67">
        <f>IF(AND(AI208=1,AJ208=0,AsOfUTC&gt;Q208),1,0)</f>
        <v/>
      </c>
      <c r="AL208" s="67">
        <f>IF(AND(AI208=1,OR(TRIM(U208)="Fail",AB208="Open",AND(ISNUMBER(AF208),AF208&lt;&gt;0,TRIM(U208)&lt;&gt;"Pass after CA"))),1,0)</f>
        <v/>
      </c>
      <c r="AM208" s="67">
        <f>IF(LEFT(AH208,7)="INVALID",1,0)</f>
        <v/>
      </c>
      <c r="AN208" s="67">
        <f>IF(AND(N208="Clarification required",AI208=1,AJ208=0),1,0)</f>
        <v/>
      </c>
      <c r="AO208" s="67">
        <f>IF(AK208=1,SUM(AK$5:AK208),"")</f>
        <v/>
      </c>
      <c r="AP208" s="67">
        <f>IF(AL208=1,SUM(AL$5:AL208),"")</f>
        <v/>
      </c>
      <c r="AQ208" s="67" t="n">
        <v>0</v>
      </c>
      <c r="AR208" s="67" t="n">
        <v>0</v>
      </c>
      <c r="AS208" s="67" t="n">
        <v>0</v>
      </c>
      <c r="AT208" s="67" t="n">
        <v>1</v>
      </c>
    </row>
    <row r="209" ht="40" customHeight="1">
      <c r="A209" s="63" t="inlineStr">
        <is>
          <t>F06-UPL-13</t>
        </is>
      </c>
      <c r="B209" s="63" t="inlineStr">
        <is>
          <t>F06</t>
        </is>
      </c>
      <c r="C209" s="63">
        <f>Flights!$F$10</f>
        <v/>
      </c>
      <c r="D209" s="64">
        <f>Flights!$D$10</f>
        <v/>
      </c>
      <c r="E209" s="63">
        <f>Flights!$G$10&amp;"-"&amp;Flights!$H$10</f>
        <v/>
      </c>
      <c r="F209" s="63">
        <f>Flights!$K$10</f>
        <v/>
      </c>
      <c r="G209" s="63" t="inlineStr">
        <is>
          <t>UPLIFT</t>
        </is>
      </c>
      <c r="H209" s="63" t="inlineStr">
        <is>
          <t>Physical uplift</t>
        </is>
      </c>
      <c r="I209" s="63" t="inlineStr">
        <is>
          <t>Seat Linen</t>
        </is>
      </c>
      <c r="J209" s="63" t="inlineStr">
        <is>
          <t>Seat pillow (BS &amp; BC) - on board</t>
        </is>
      </c>
      <c r="K209" s="73" t="inlineStr">
        <is>
          <t>Available 100% (ticked in reference)</t>
        </is>
      </c>
      <c r="L209" s="73" t="inlineStr">
        <is>
          <t>STD UPLIFT INFORMATION.xlsx &gt; SEAT LINEN!E7</t>
        </is>
      </c>
      <c r="M209" s="73" t="inlineStr">
        <is>
          <t>Not stated in reference</t>
        </is>
      </c>
      <c r="N209" s="73" t="inlineStr">
        <is>
          <t>Required</t>
        </is>
      </c>
      <c r="O209" s="73" t="inlineStr"/>
      <c r="P209" s="63" t="inlineStr">
        <is>
          <t>KUL</t>
        </is>
      </c>
      <c r="Q209" s="65">
        <f>Flights!$AF$10</f>
        <v/>
      </c>
      <c r="R209" s="65">
        <f>Q209+(IF(AND(INDEX(TZ_DSTS,MATCH(P209,TZ_STN,0))&lt;&gt;"",Q209&gt;=INDEX(TZ_DSTS,MATCH(P209,TZ_STN,0)),Q209&lt;INDEX(TZ_DSTE,MATCH(P209,TZ_STN,0))),INDEX(TZ_DST,MATCH(P209,TZ_STN,0)),INDEX(TZ_STD,MATCH(P209,TZ_STN,0))))/24</f>
        <v/>
      </c>
      <c r="S209" s="65">
        <f>Q209-UpliftWindowH/24</f>
        <v/>
      </c>
      <c r="T209" s="66" t="n"/>
      <c r="U209" s="66" t="n"/>
      <c r="V209" s="66" t="n"/>
      <c r="W209" s="67" t="n"/>
      <c r="X209" s="66" t="n"/>
      <c r="Y209" s="66" t="n"/>
      <c r="Z209" s="66" t="n"/>
      <c r="AA209" s="66" t="n"/>
      <c r="AB209" s="66" t="n"/>
      <c r="AC209" s="66" t="n"/>
      <c r="AD209" s="72" t="n"/>
      <c r="AE209" s="66" t="n"/>
      <c r="AF209" s="67">
        <f>IF(AND(ISNUMBER(X209),ISNUMBER(Y209)),Y209-X209,"")</f>
        <v/>
      </c>
      <c r="AG209" s="68">
        <f>IF(ISNUMBER(AD209),AD209-(IF(AND(INDEX(TZ_DSTS,MATCH(P209,TZ_STN,0))&lt;&gt;"",(AD209-INDEX(TZ_STD,MATCH(P209,TZ_STN,0))/24)&gt;=INDEX(TZ_DSTS,MATCH(P209,TZ_STN,0)),(AD209-INDEX(TZ_STD,MATCH(P209,TZ_STN,0))/24)&lt;INDEX(TZ_DSTE,MATCH(P209,TZ_STN,0))),INDEX(TZ_DST,MATCH(P209,TZ_STN,0)),INDEX(TZ_STD,MATCH(P209,TZ_STN,0))))/24,"")</f>
        <v/>
      </c>
      <c r="AH209" s="71">
        <f>IF(N209="N/A – rule","N/A – RULE",IF(TRIM(U209)="N/A",IF(AT209=0,"INVALID – N/A not permitted for this mandatory check",IF(AND(TRIM(AC209)&lt;&gt;"",TRIM(AE209)&lt;&gt;"",TRIM(T209)&lt;&gt;""),"N/A – JUSTIFIED","INVALID – N/A needs justification, PIC and verifier")),IF(OR(TRIM(U209)="Pass",TRIM(U209)="Pass after CA"),IF(NOT(ISNUMBER(AD209)),"INVALID – completion time missing",IF(TRIM(T209)="","INVALID – PIC missing",IF(TRIM(Z209)="","INVALID – evidence missing",IF(TRIM(AE209)="","INVALID – verifier missing",IF(AND(AQ209=1,TRIM(W209)=""),"INVALID – batch ID missing",IF(AND(AR209=1,OR(NOT(ISNUMBER(X209)),NOT(ISNUMBER(Y209)))),"INVALID – expected/actual qty missing",IF(IF(AND(TRIM(U209)="Pass",ISNUMBER(AF209)),IF(AF209&lt;&gt;0,"INVALID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recorded/closed","")&lt;&gt;"",IF(AND(TRIM(U209)="Pass",ISNUMBER(AF209)),IF(AF209&lt;&gt;0,"INVALID – qty variance: use Fail or Pass after CA",""),"")&amp;IF(AND(TRIM(U209)="Pass",AB209="Open"),"INVALID – corrective action still open: use Fail, then Pass after CA","")&amp;IF(AND(TRIM(U209)="Pass after CA",OR(TRIM(AA209)="",AB209&lt;&gt;"Closed")),"INVALID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window"),IF(AG209&gt;Flights!$AA$10,"INVALID – completed after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f>
        <v/>
      </c>
      <c r="AI209" s="67">
        <f>IF(OR(AH209="N/A – RULE",AH209="N/A – JUSTIFIED"),0,1)</f>
        <v/>
      </c>
      <c r="AJ209" s="67">
        <f>IF(LEFT(AH209,8)="COMPLETE",1,0)</f>
        <v/>
      </c>
      <c r="AK209" s="67">
        <f>IF(AND(AI209=1,AJ209=0,AsOfUTC&gt;Q209),1,0)</f>
        <v/>
      </c>
      <c r="AL209" s="67">
        <f>IF(AND(AI209=1,OR(TRIM(U209)="Fail",AB209="Open",AND(ISNUMBER(AF209),AF209&lt;&gt;0,TRIM(U209)&lt;&gt;"Pass after CA"))),1,0)</f>
        <v/>
      </c>
      <c r="AM209" s="67">
        <f>IF(LEFT(AH209,7)="INVALID",1,0)</f>
        <v/>
      </c>
      <c r="AN209" s="67">
        <f>IF(AND(N209="Clarification required",AI209=1,AJ209=0),1,0)</f>
        <v/>
      </c>
      <c r="AO209" s="67">
        <f>IF(AK209=1,SUM(AK$5:AK209),"")</f>
        <v/>
      </c>
      <c r="AP209" s="67">
        <f>IF(AL209=1,SUM(AL$5:AL209),"")</f>
        <v/>
      </c>
      <c r="AQ209" s="67" t="n">
        <v>0</v>
      </c>
      <c r="AR209" s="67" t="n">
        <v>0</v>
      </c>
      <c r="AS209" s="67" t="n">
        <v>0</v>
      </c>
      <c r="AT209" s="67" t="n">
        <v>1</v>
      </c>
    </row>
    <row r="210" ht="40" customHeight="1">
      <c r="A210" s="63" t="inlineStr">
        <is>
          <t>F06-UPL-14</t>
        </is>
      </c>
      <c r="B210" s="63" t="inlineStr">
        <is>
          <t>F06</t>
        </is>
      </c>
      <c r="C210" s="63">
        <f>Flights!$F$10</f>
        <v/>
      </c>
      <c r="D210" s="64">
        <f>Flights!$D$10</f>
        <v/>
      </c>
      <c r="E210" s="63">
        <f>Flights!$G$10&amp;"-"&amp;Flights!$H$10</f>
        <v/>
      </c>
      <c r="F210" s="63">
        <f>Flights!$K$10</f>
        <v/>
      </c>
      <c r="G210" s="63" t="inlineStr">
        <is>
          <t>UPLIFT</t>
        </is>
      </c>
      <c r="H210" s="63" t="inlineStr">
        <is>
          <t>Physical uplift</t>
        </is>
      </c>
      <c r="I210" s="63" t="inlineStr">
        <is>
          <t>Seat Linen</t>
        </is>
      </c>
      <c r="J210" s="63" t="inlineStr">
        <is>
          <t>Duvet (BS &amp; BC) - on board</t>
        </is>
      </c>
      <c r="K210" s="73" t="inlineStr">
        <is>
          <t>Available 100% (ticked in reference)</t>
        </is>
      </c>
      <c r="L210" s="73" t="inlineStr">
        <is>
          <t>STD UPLIFT INFORMATION.xlsx &gt; SEAT LINEN!F7</t>
        </is>
      </c>
      <c r="M210" s="73" t="inlineStr">
        <is>
          <t>Not stated in reference</t>
        </is>
      </c>
      <c r="N210" s="73" t="inlineStr">
        <is>
          <t>Required</t>
        </is>
      </c>
      <c r="O210" s="73" t="inlineStr"/>
      <c r="P210" s="63" t="inlineStr">
        <is>
          <t>KUL</t>
        </is>
      </c>
      <c r="Q210" s="65">
        <f>Flights!$AF$10</f>
        <v/>
      </c>
      <c r="R210" s="65">
        <f>Q210+(IF(AND(INDEX(TZ_DSTS,MATCH(P210,TZ_STN,0))&lt;&gt;"",Q210&gt;=INDEX(TZ_DSTS,MATCH(P210,TZ_STN,0)),Q210&lt;INDEX(TZ_DSTE,MATCH(P210,TZ_STN,0))),INDEX(TZ_DST,MATCH(P210,TZ_STN,0)),INDEX(TZ_STD,MATCH(P210,TZ_STN,0))))/24</f>
        <v/>
      </c>
      <c r="S210" s="65">
        <f>Q210-UpliftWindowH/24</f>
        <v/>
      </c>
      <c r="T210" s="66" t="n"/>
      <c r="U210" s="66" t="n"/>
      <c r="V210" s="66" t="n"/>
      <c r="W210" s="67" t="n"/>
      <c r="X210" s="66" t="n"/>
      <c r="Y210" s="66" t="n"/>
      <c r="Z210" s="66" t="n"/>
      <c r="AA210" s="66" t="n"/>
      <c r="AB210" s="66" t="n"/>
      <c r="AC210" s="66" t="n"/>
      <c r="AD210" s="72" t="n"/>
      <c r="AE210" s="66" t="n"/>
      <c r="AF210" s="67">
        <f>IF(AND(ISNUMBER(X210),ISNUMBER(Y210)),Y210-X210,"")</f>
        <v/>
      </c>
      <c r="AG210" s="68">
        <f>IF(ISNUMBER(AD210),AD210-(IF(AND(INDEX(TZ_DSTS,MATCH(P210,TZ_STN,0))&lt;&gt;"",(AD210-INDEX(TZ_STD,MATCH(P210,TZ_STN,0))/24)&gt;=INDEX(TZ_DSTS,MATCH(P210,TZ_STN,0)),(AD210-INDEX(TZ_STD,MATCH(P210,TZ_STN,0))/24)&lt;INDEX(TZ_DSTE,MATCH(P210,TZ_STN,0))),INDEX(TZ_DST,MATCH(P210,TZ_STN,0)),INDEX(TZ_STD,MATCH(P210,TZ_STN,0))))/24,"")</f>
        <v/>
      </c>
      <c r="AH210" s="71">
        <f>IF(N210="N/A – rule","N/A – RULE",IF(TRIM(U210)="N/A",IF(AT210=0,"INVALID – N/A not permitted for this mandatory check",IF(AND(TRIM(AC210)&lt;&gt;"",TRIM(AE210)&lt;&gt;"",TRIM(T210)&lt;&gt;""),"N/A – JUSTIFIED","INVALID – N/A needs justification, PIC and verifier")),IF(OR(TRIM(U210)="Pass",TRIM(U210)="Pass after CA"),IF(NOT(ISNUMBER(AD210)),"INVALID – completion time missing",IF(TRIM(T210)="","INVALID – PIC missing",IF(TRIM(Z210)="","INVALID – evidence missing",IF(TRIM(AE210)="","INVALID – verifier missing",IF(AND(AQ210=1,TRIM(W210)=""),"INVALID – batch ID missing",IF(AND(AR210=1,OR(NOT(ISNUMBER(X210)),NOT(ISNUMBER(Y210)))),"INVALID – expected/actual qty missing",IF(IF(AND(TRIM(U210)="Pass",ISNUMBER(AF210)),IF(AF210&lt;&gt;0,"INVALID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recorded/closed","")&lt;&gt;"",IF(AND(TRIM(U210)="Pass",ISNUMBER(AF210)),IF(AF210&lt;&gt;0,"INVALID – qty variance: use Fail or Pass after CA",""),"")&amp;IF(AND(TRIM(U210)="Pass",AB210="Open"),"INVALID – corrective action still open: use Fail, then Pass after CA","")&amp;IF(AND(TRIM(U210)="Pass after CA",OR(TRIM(AA210)="",AB210&lt;&gt;"Closed")),"INVALID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window"),IF(AG210&gt;Flights!$AA$10,"INVALID – completed after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f>
        <v/>
      </c>
      <c r="AI210" s="67">
        <f>IF(OR(AH210="N/A – RULE",AH210="N/A – JUSTIFIED"),0,1)</f>
        <v/>
      </c>
      <c r="AJ210" s="67">
        <f>IF(LEFT(AH210,8)="COMPLETE",1,0)</f>
        <v/>
      </c>
      <c r="AK210" s="67">
        <f>IF(AND(AI210=1,AJ210=0,AsOfUTC&gt;Q210),1,0)</f>
        <v/>
      </c>
      <c r="AL210" s="67">
        <f>IF(AND(AI210=1,OR(TRIM(U210)="Fail",AB210="Open",AND(ISNUMBER(AF210),AF210&lt;&gt;0,TRIM(U210)&lt;&gt;"Pass after CA"))),1,0)</f>
        <v/>
      </c>
      <c r="AM210" s="67">
        <f>IF(LEFT(AH210,7)="INVALID",1,0)</f>
        <v/>
      </c>
      <c r="AN210" s="67">
        <f>IF(AND(N210="Clarification required",AI210=1,AJ210=0),1,0)</f>
        <v/>
      </c>
      <c r="AO210" s="67">
        <f>IF(AK210=1,SUM(AK$5:AK210),"")</f>
        <v/>
      </c>
      <c r="AP210" s="67">
        <f>IF(AL210=1,SUM(AL$5:AL210),"")</f>
        <v/>
      </c>
      <c r="AQ210" s="67" t="n">
        <v>0</v>
      </c>
      <c r="AR210" s="67" t="n">
        <v>0</v>
      </c>
      <c r="AS210" s="67" t="n">
        <v>0</v>
      </c>
      <c r="AT210" s="67" t="n">
        <v>1</v>
      </c>
    </row>
    <row r="211" ht="40" customHeight="1">
      <c r="A211" s="63" t="inlineStr">
        <is>
          <t>F06-UPL-15</t>
        </is>
      </c>
      <c r="B211" s="63" t="inlineStr">
        <is>
          <t>F06</t>
        </is>
      </c>
      <c r="C211" s="63">
        <f>Flights!$F$10</f>
        <v/>
      </c>
      <c r="D211" s="64">
        <f>Flights!$D$10</f>
        <v/>
      </c>
      <c r="E211" s="63">
        <f>Flights!$G$10&amp;"-"&amp;Flights!$H$10</f>
        <v/>
      </c>
      <c r="F211" s="63">
        <f>Flights!$K$10</f>
        <v/>
      </c>
      <c r="G211" s="63" t="inlineStr">
        <is>
          <t>UPLIFT</t>
        </is>
      </c>
      <c r="H211" s="63" t="inlineStr">
        <is>
          <t>Physical uplift</t>
        </is>
      </c>
      <c r="I211" s="63" t="inlineStr">
        <is>
          <t>Seat Linen</t>
        </is>
      </c>
      <c r="J211" s="63" t="inlineStr">
        <is>
          <t>Mattress (BS &amp; BC) - on board</t>
        </is>
      </c>
      <c r="K211" s="73" t="inlineStr">
        <is>
          <t>Available 100% (ticked in reference)</t>
        </is>
      </c>
      <c r="L211" s="73" t="inlineStr">
        <is>
          <t>STD UPLIFT INFORMATION.xlsx &gt; SEAT LINEN!G7</t>
        </is>
      </c>
      <c r="M211" s="73" t="inlineStr">
        <is>
          <t>Not stated in reference</t>
        </is>
      </c>
      <c r="N211" s="73" t="inlineStr">
        <is>
          <t>Required</t>
        </is>
      </c>
      <c r="O211" s="73" t="inlineStr"/>
      <c r="P211" s="63" t="inlineStr">
        <is>
          <t>KUL</t>
        </is>
      </c>
      <c r="Q211" s="65">
        <f>Flights!$AF$10</f>
        <v/>
      </c>
      <c r="R211" s="65">
        <f>Q211+(IF(AND(INDEX(TZ_DSTS,MATCH(P211,TZ_STN,0))&lt;&gt;"",Q211&gt;=INDEX(TZ_DSTS,MATCH(P211,TZ_STN,0)),Q211&lt;INDEX(TZ_DSTE,MATCH(P211,TZ_STN,0))),INDEX(TZ_DST,MATCH(P211,TZ_STN,0)),INDEX(TZ_STD,MATCH(P211,TZ_STN,0))))/24</f>
        <v/>
      </c>
      <c r="S211" s="65">
        <f>Q211-UpliftWindowH/24</f>
        <v/>
      </c>
      <c r="T211" s="66" t="n"/>
      <c r="U211" s="66" t="n"/>
      <c r="V211" s="66" t="n"/>
      <c r="W211" s="67" t="n"/>
      <c r="X211" s="66" t="n"/>
      <c r="Y211" s="66" t="n"/>
      <c r="Z211" s="66" t="n"/>
      <c r="AA211" s="66" t="n"/>
      <c r="AB211" s="66" t="n"/>
      <c r="AC211" s="66" t="n"/>
      <c r="AD211" s="72" t="n"/>
      <c r="AE211" s="66" t="n"/>
      <c r="AF211" s="67">
        <f>IF(AND(ISNUMBER(X211),ISNUMBER(Y211)),Y211-X211,"")</f>
        <v/>
      </c>
      <c r="AG211" s="68">
        <f>IF(ISNUMBER(AD211),AD211-(IF(AND(INDEX(TZ_DSTS,MATCH(P211,TZ_STN,0))&lt;&gt;"",(AD211-INDEX(TZ_STD,MATCH(P211,TZ_STN,0))/24)&gt;=INDEX(TZ_DSTS,MATCH(P211,TZ_STN,0)),(AD211-INDEX(TZ_STD,MATCH(P211,TZ_STN,0))/24)&lt;INDEX(TZ_DSTE,MATCH(P211,TZ_STN,0))),INDEX(TZ_DST,MATCH(P211,TZ_STN,0)),INDEX(TZ_STD,MATCH(P211,TZ_STN,0))))/24,"")</f>
        <v/>
      </c>
      <c r="AH211" s="71">
        <f>IF(N211="N/A – rule","N/A – RULE",IF(TRIM(U211)="N/A",IF(AT211=0,"INVALID – N/A not permitted for this mandatory check",IF(AND(TRIM(AC211)&lt;&gt;"",TRIM(AE211)&lt;&gt;"",TRIM(T211)&lt;&gt;""),"N/A – JUSTIFIED","INVALID – N/A needs justification, PIC and verifier")),IF(OR(TRIM(U211)="Pass",TRIM(U211)="Pass after CA"),IF(NOT(ISNUMBER(AD211)),"INVALID – completion time missing",IF(TRIM(T211)="","INVALID – PIC missing",IF(TRIM(Z211)="","INVALID – evidence missing",IF(TRIM(AE211)="","INVALID – verifier missing",IF(AND(AQ211=1,TRIM(W211)=""),"INVALID – batch ID missing",IF(AND(AR211=1,OR(NOT(ISNUMBER(X211)),NOT(ISNUMBER(Y211)))),"INVALID – expected/actual qty missing",IF(IF(AND(TRIM(U211)="Pass",ISNUMBER(AF211)),IF(AF211&lt;&gt;0,"INVALID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recorded/closed","")&lt;&gt;"",IF(AND(TRIM(U211)="Pass",ISNUMBER(AF211)),IF(AF211&lt;&gt;0,"INVALID – qty variance: use Fail or Pass after CA",""),"")&amp;IF(AND(TRIM(U211)="Pass",AB211="Open"),"INVALID – corrective action still open: use Fail, then Pass after CA","")&amp;IF(AND(TRIM(U211)="Pass after CA",OR(TRIM(AA211)="",AB211&lt;&gt;"Closed")),"INVALID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window"),IF(AG211&gt;Flights!$AA$10,"INVALID – completed after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f>
        <v/>
      </c>
      <c r="AI211" s="67">
        <f>IF(OR(AH211="N/A – RULE",AH211="N/A – JUSTIFIED"),0,1)</f>
        <v/>
      </c>
      <c r="AJ211" s="67">
        <f>IF(LEFT(AH211,8)="COMPLETE",1,0)</f>
        <v/>
      </c>
      <c r="AK211" s="67">
        <f>IF(AND(AI211=1,AJ211=0,AsOfUTC&gt;Q211),1,0)</f>
        <v/>
      </c>
      <c r="AL211" s="67">
        <f>IF(AND(AI211=1,OR(TRIM(U211)="Fail",AB211="Open",AND(ISNUMBER(AF211),AF211&lt;&gt;0,TRIM(U211)&lt;&gt;"Pass after CA"))),1,0)</f>
        <v/>
      </c>
      <c r="AM211" s="67">
        <f>IF(LEFT(AH211,7)="INVALID",1,0)</f>
        <v/>
      </c>
      <c r="AN211" s="67">
        <f>IF(AND(N211="Clarification required",AI211=1,AJ211=0),1,0)</f>
        <v/>
      </c>
      <c r="AO211" s="67">
        <f>IF(AK211=1,SUM(AK$5:AK211),"")</f>
        <v/>
      </c>
      <c r="AP211" s="67">
        <f>IF(AL211=1,SUM(AL$5:AL211),"")</f>
        <v/>
      </c>
      <c r="AQ211" s="67" t="n">
        <v>0</v>
      </c>
      <c r="AR211" s="67" t="n">
        <v>0</v>
      </c>
      <c r="AS211" s="67" t="n">
        <v>0</v>
      </c>
      <c r="AT211" s="67" t="n">
        <v>1</v>
      </c>
    </row>
    <row r="212" ht="40" customHeight="1">
      <c r="A212" s="63" t="inlineStr">
        <is>
          <t>F06-UPL-16</t>
        </is>
      </c>
      <c r="B212" s="63" t="inlineStr">
        <is>
          <t>F06</t>
        </is>
      </c>
      <c r="C212" s="63">
        <f>Flights!$F$10</f>
        <v/>
      </c>
      <c r="D212" s="64">
        <f>Flights!$D$10</f>
        <v/>
      </c>
      <c r="E212" s="63">
        <f>Flights!$G$10&amp;"-"&amp;Flights!$H$10</f>
        <v/>
      </c>
      <c r="F212" s="63">
        <f>Flights!$K$10</f>
        <v/>
      </c>
      <c r="G212" s="63" t="inlineStr">
        <is>
          <t>UPLIFT</t>
        </is>
      </c>
      <c r="H212" s="63" t="inlineStr">
        <is>
          <t>Physical uplift</t>
        </is>
      </c>
      <c r="I212" s="63" t="inlineStr">
        <is>
          <t>Signature Drinks</t>
        </is>
      </c>
      <c r="J212" s="63" t="inlineStr">
        <is>
          <t>Signature drink &amp; garnish (BC) - on board</t>
        </is>
      </c>
      <c r="K212" s="73" t="inlineStr">
        <is>
          <t>Available (ticked in reference)</t>
        </is>
      </c>
      <c r="L212" s="73" t="inlineStr">
        <is>
          <t>STD UPLIFT INFORMATION.xlsx &gt; Signature Drinks!F6 / G6 / D79</t>
        </is>
      </c>
      <c r="M212" s="73" t="inlineStr">
        <is>
          <t>KUL</t>
        </is>
      </c>
      <c r="N212" s="73" t="inlineStr">
        <is>
          <t>Required</t>
        </is>
      </c>
      <c r="O212" s="73" t="inlineStr">
        <is>
          <t>Signature drinks &amp; garnish uplifted from KUL (note D79).</t>
        </is>
      </c>
      <c r="P212" s="63" t="inlineStr">
        <is>
          <t>KUL</t>
        </is>
      </c>
      <c r="Q212" s="65">
        <f>Flights!$AF$10</f>
        <v/>
      </c>
      <c r="R212" s="65">
        <f>Q212+(IF(AND(INDEX(TZ_DSTS,MATCH(P212,TZ_STN,0))&lt;&gt;"",Q212&gt;=INDEX(TZ_DSTS,MATCH(P212,TZ_STN,0)),Q212&lt;INDEX(TZ_DSTE,MATCH(P212,TZ_STN,0))),INDEX(TZ_DST,MATCH(P212,TZ_STN,0)),INDEX(TZ_STD,MATCH(P212,TZ_STN,0))))/24</f>
        <v/>
      </c>
      <c r="S212" s="65">
        <f>Q212-UpliftWindowH/24</f>
        <v/>
      </c>
      <c r="T212" s="66" t="n"/>
      <c r="U212" s="66" t="n"/>
      <c r="V212" s="66" t="n"/>
      <c r="W212" s="67" t="n"/>
      <c r="X212" s="66" t="n"/>
      <c r="Y212" s="66" t="n"/>
      <c r="Z212" s="66" t="n"/>
      <c r="AA212" s="66" t="n"/>
      <c r="AB212" s="66" t="n"/>
      <c r="AC212" s="66" t="n"/>
      <c r="AD212" s="72" t="n"/>
      <c r="AE212" s="66" t="n"/>
      <c r="AF212" s="67">
        <f>IF(AND(ISNUMBER(X212),ISNUMBER(Y212)),Y212-X212,"")</f>
        <v/>
      </c>
      <c r="AG212" s="68">
        <f>IF(ISNUMBER(AD212),AD212-(IF(AND(INDEX(TZ_DSTS,MATCH(P212,TZ_STN,0))&lt;&gt;"",(AD212-INDEX(TZ_STD,MATCH(P212,TZ_STN,0))/24)&gt;=INDEX(TZ_DSTS,MATCH(P212,TZ_STN,0)),(AD212-INDEX(TZ_STD,MATCH(P212,TZ_STN,0))/24)&lt;INDEX(TZ_DSTE,MATCH(P212,TZ_STN,0))),INDEX(TZ_DST,MATCH(P212,TZ_STN,0)),INDEX(TZ_STD,MATCH(P212,TZ_STN,0))))/24,"")</f>
        <v/>
      </c>
      <c r="AH212" s="71">
        <f>IF(N212="N/A – rule","N/A – RULE",IF(TRIM(U212)="N/A",IF(AT212=0,"INVALID – N/A not permitted for this mandatory check",IF(AND(TRIM(AC212)&lt;&gt;"",TRIM(AE212)&lt;&gt;"",TRIM(T212)&lt;&gt;""),"N/A – JUSTIFIED","INVALID – N/A needs justification, PIC and verifier")),IF(OR(TRIM(U212)="Pass",TRIM(U212)="Pass after CA"),IF(NOT(ISNUMBER(AD212)),"INVALID – completion time missing",IF(TRIM(T212)="","INVALID – PIC missing",IF(TRIM(Z212)="","INVALID – evidence missing",IF(TRIM(AE212)="","INVALID – verifier missing",IF(AND(AQ212=1,TRIM(W212)=""),"INVALID – batch ID missing",IF(AND(AR212=1,OR(NOT(ISNUMBER(X212)),NOT(ISNUMBER(Y212)))),"INVALID – expected/actual qty missing",IF(IF(AND(TRIM(U212)="Pass",ISNUMBER(AF212)),IF(AF212&lt;&gt;0,"INVALID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recorded/closed","")&lt;&gt;"",IF(AND(TRIM(U212)="Pass",ISNUMBER(AF212)),IF(AF212&lt;&gt;0,"INVALID – qty variance: use Fail or Pass after CA",""),"")&amp;IF(AND(TRIM(U212)="Pass",AB212="Open"),"INVALID – corrective action still open: use Fail, then Pass after CA","")&amp;IF(AND(TRIM(U212)="Pass after CA",OR(TRIM(AA212)="",AB212&lt;&gt;"Closed")),"INVALID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window"),IF(AG212&gt;Flights!$AA$10,"INVALID – completed after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f>
        <v/>
      </c>
      <c r="AI212" s="67">
        <f>IF(OR(AH212="N/A – RULE",AH212="N/A – JUSTIFIED"),0,1)</f>
        <v/>
      </c>
      <c r="AJ212" s="67">
        <f>IF(LEFT(AH212,8)="COMPLETE",1,0)</f>
        <v/>
      </c>
      <c r="AK212" s="67">
        <f>IF(AND(AI212=1,AJ212=0,AsOfUTC&gt;Q212),1,0)</f>
        <v/>
      </c>
      <c r="AL212" s="67">
        <f>IF(AND(AI212=1,OR(TRIM(U212)="Fail",AB212="Open",AND(ISNUMBER(AF212),AF212&lt;&gt;0,TRIM(U212)&lt;&gt;"Pass after CA"))),1,0)</f>
        <v/>
      </c>
      <c r="AM212" s="67">
        <f>IF(LEFT(AH212,7)="INVALID",1,0)</f>
        <v/>
      </c>
      <c r="AN212" s="67">
        <f>IF(AND(N212="Clarification required",AI212=1,AJ212=0),1,0)</f>
        <v/>
      </c>
      <c r="AO212" s="67">
        <f>IF(AK212=1,SUM(AK$5:AK212),"")</f>
        <v/>
      </c>
      <c r="AP212" s="67">
        <f>IF(AL212=1,SUM(AL$5:AL212),"")</f>
        <v/>
      </c>
      <c r="AQ212" s="67" t="n">
        <v>0</v>
      </c>
      <c r="AR212" s="67" t="n">
        <v>0</v>
      </c>
      <c r="AS212" s="67" t="n">
        <v>0</v>
      </c>
      <c r="AT212" s="67" t="n">
        <v>1</v>
      </c>
    </row>
    <row r="213" ht="40" customHeight="1">
      <c r="A213" s="63" t="inlineStr">
        <is>
          <t>F07-T7-01</t>
        </is>
      </c>
      <c r="B213" s="63" t="inlineStr">
        <is>
          <t>F07</t>
        </is>
      </c>
      <c r="C213" s="63">
        <f>Flights!$F$11</f>
        <v/>
      </c>
      <c r="D213" s="64">
        <f>Flights!$D$11</f>
        <v/>
      </c>
      <c r="E213" s="63">
        <f>Flights!$G$11&amp;"-"&amp;Flights!$H$11</f>
        <v/>
      </c>
      <c r="F213" s="63">
        <f>Flights!$K$11</f>
        <v/>
      </c>
      <c r="G213" s="63" t="inlineStr">
        <is>
          <t>T-7D</t>
        </is>
      </c>
      <c r="H213" s="63" t="inlineStr">
        <is>
          <t>Preparation</t>
        </is>
      </c>
      <c r="I213" s="63" t="inlineStr">
        <is>
          <t>Meal</t>
        </is>
      </c>
      <c r="J213" s="63" t="inlineStr">
        <is>
          <t>Meal sensory testing completed for this flight's menu cycle (assessed class)</t>
        </is>
      </c>
      <c r="K213" s="73" t="inlineStr">
        <is>
          <t>Record panel result / score in Result</t>
        </is>
      </c>
      <c r="L213" s="73" t="inlineStr">
        <is>
          <t>User brief (T-7 days)</t>
        </is>
      </c>
      <c r="M213" s="73" t="inlineStr"/>
      <c r="N213" s="73" t="inlineStr">
        <is>
          <t>Required</t>
        </is>
      </c>
      <c r="O213" s="73" t="inlineStr"/>
      <c r="P213" s="63" t="inlineStr">
        <is>
          <t>LHR</t>
        </is>
      </c>
      <c r="Q213" s="65">
        <f>Flights!$AC$11</f>
        <v/>
      </c>
      <c r="R213" s="65">
        <f>Q213+(IF(AND(INDEX(TZ_DSTS,MATCH(P213,TZ_STN,0))&lt;&gt;"",Q213&gt;=INDEX(TZ_DSTS,MATCH(P213,TZ_STN,0)),Q213&lt;INDEX(TZ_DSTE,MATCH(P213,TZ_STN,0))),INDEX(TZ_DST,MATCH(P213,TZ_STN,0)),INDEX(TZ_STD,MATCH(P213,TZ_STN,0))))/24</f>
        <v/>
      </c>
      <c r="S213" s="65" t="inlineStr"/>
      <c r="T213" s="66" t="n"/>
      <c r="U213" s="66" t="n"/>
      <c r="V213" s="66" t="n"/>
      <c r="W213" s="67" t="n"/>
      <c r="X213" s="66" t="n"/>
      <c r="Y213" s="66" t="n"/>
      <c r="Z213" s="66" t="n"/>
      <c r="AA213" s="66" t="n"/>
      <c r="AB213" s="66" t="n"/>
      <c r="AC213" s="66" t="n"/>
      <c r="AD213" s="72" t="n"/>
      <c r="AE213" s="66" t="n"/>
      <c r="AF213" s="67">
        <f>IF(AND(ISNUMBER(X213),ISNUMBER(Y213)),Y213-X213,"")</f>
        <v/>
      </c>
      <c r="AG213" s="68">
        <f>IF(ISNUMBER(AD213),AD213-(IF(AND(INDEX(TZ_DSTS,MATCH(P213,TZ_STN,0))&lt;&gt;"",(AD213-INDEX(TZ_STD,MATCH(P213,TZ_STN,0))/24)&gt;=INDEX(TZ_DSTS,MATCH(P213,TZ_STN,0)),(AD213-INDEX(TZ_STD,MATCH(P213,TZ_STN,0))/24)&lt;INDEX(TZ_DSTE,MATCH(P213,TZ_STN,0))),INDEX(TZ_DST,MATCH(P213,TZ_STN,0)),INDEX(TZ_STD,MATCH(P213,TZ_STN,0))))/24,"")</f>
        <v/>
      </c>
      <c r="AH213" s="71">
        <f>IF(N213="N/A – rule","N/A – RULE",IF(TRIM(U213)="N/A",IF(AT213=0,"INVALID – N/A not permitted for this mandatory check",IF(AND(TRIM(AC213)&lt;&gt;"",TRIM(AE213)&lt;&gt;"",TRIM(T213)&lt;&gt;""),"N/A – JUSTIFIED","INVALID – N/A needs justification, PIC and verifier")),IF(OR(TRIM(U213)="Pass",TRIM(U213)="Pass after CA"),IF(NOT(ISNUMBER(AD213)),"INVALID – completion time missing",IF(TRIM(T213)="","INVALID – PIC missing",IF(TRIM(Z213)="","INVALID – evidence missing",IF(TRIM(AE213)="","INVALID – verifier missing",IF(AND(AQ213=1,TRIM(W213)=""),"INVALID – batch ID missing",IF(AND(AR213=1,OR(NOT(ISNUMBER(X213)),NOT(ISNUMBER(Y213)))),"INVALID – expected/actual qty missing",IF(IF(AND(TRIM(U213)="Pass",ISNUMBER(AF213)),IF(AF213&lt;&gt;0,"INVALID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recorded/closed","")&lt;&gt;"",IF(AND(TRIM(U213)="Pass",ISNUMBER(AF213)),IF(AF213&lt;&gt;0,"INVALID – qty variance: use Fail or Pass after CA",""),"")&amp;IF(AND(TRIM(U213)="Pass",AB213="Open"),"INVALID – corrective action still open: use Fail, then Pass after CA","")&amp;IF(AND(TRIM(U213)="Pass after CA",OR(TRIM(AA213)="",AB213&lt;&gt;"Closed")),"INVALID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window"),IF(AG213&gt;Flights!$AA$11,"INVALID – completed after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f>
        <v/>
      </c>
      <c r="AI213" s="67">
        <f>IF(OR(AH213="N/A – RULE",AH213="N/A – JUSTIFIED"),0,1)</f>
        <v/>
      </c>
      <c r="AJ213" s="67">
        <f>IF(LEFT(AH213,8)="COMPLETE",1,0)</f>
        <v/>
      </c>
      <c r="AK213" s="67">
        <f>IF(AND(AI213=1,AJ213=0,AsOfUTC&gt;Q213),1,0)</f>
        <v/>
      </c>
      <c r="AL213" s="67">
        <f>IF(AND(AI213=1,OR(TRIM(U213)="Fail",AB213="Open",AND(ISNUMBER(AF213),AF213&lt;&gt;0,TRIM(U213)&lt;&gt;"Pass after CA"))),1,0)</f>
        <v/>
      </c>
      <c r="AM213" s="67">
        <f>IF(LEFT(AH213,7)="INVALID",1,0)</f>
        <v/>
      </c>
      <c r="AN213" s="67">
        <f>IF(AND(N213="Clarification required",AI213=1,AJ213=0),1,0)</f>
        <v/>
      </c>
      <c r="AO213" s="67">
        <f>IF(AK213=1,SUM(AK$5:AK213),"")</f>
        <v/>
      </c>
      <c r="AP213" s="67">
        <f>IF(AL213=1,SUM(AL$5:AL213),"")</f>
        <v/>
      </c>
      <c r="AQ213" s="67" t="n">
        <v>0</v>
      </c>
      <c r="AR213" s="67" t="n">
        <v>0</v>
      </c>
      <c r="AS213" s="67" t="n">
        <v>0</v>
      </c>
      <c r="AT213" s="67" t="n">
        <v>0</v>
      </c>
    </row>
    <row r="214" ht="40" customHeight="1">
      <c r="A214" s="63" t="inlineStr">
        <is>
          <t>F07-T7-02</t>
        </is>
      </c>
      <c r="B214" s="63" t="inlineStr">
        <is>
          <t>F07</t>
        </is>
      </c>
      <c r="C214" s="63">
        <f>Flights!$F$11</f>
        <v/>
      </c>
      <c r="D214" s="64">
        <f>Flights!$D$11</f>
        <v/>
      </c>
      <c r="E214" s="63">
        <f>Flights!$G$11&amp;"-"&amp;Flights!$H$11</f>
        <v/>
      </c>
      <c r="F214" s="63">
        <f>Flights!$K$11</f>
        <v/>
      </c>
      <c r="G214" s="63" t="inlineStr">
        <is>
          <t>T-7D</t>
        </is>
      </c>
      <c r="H214" s="63" t="inlineStr">
        <is>
          <t>Preparation</t>
        </is>
      </c>
      <c r="I214" s="63" t="inlineStr">
        <is>
          <t>Menu</t>
        </is>
      </c>
      <c r="J214" s="63" t="inlineStr">
        <is>
          <t>Printed menu cards confirmed (content, cycle, language, quantity)</t>
        </is>
      </c>
      <c r="K214" s="73" t="inlineStr">
        <is>
          <t>Menu card matches approved menu for this flight</t>
        </is>
      </c>
      <c r="L214" s="73" t="inlineStr">
        <is>
          <t>User brief (T-7 days)</t>
        </is>
      </c>
      <c r="M214" s="73" t="inlineStr"/>
      <c r="N214" s="73" t="inlineStr">
        <is>
          <t>Required</t>
        </is>
      </c>
      <c r="O214" s="73" t="inlineStr"/>
      <c r="P214" s="63" t="inlineStr">
        <is>
          <t>LHR</t>
        </is>
      </c>
      <c r="Q214" s="65">
        <f>Flights!$AC$11</f>
        <v/>
      </c>
      <c r="R214" s="65">
        <f>Q214+(IF(AND(INDEX(TZ_DSTS,MATCH(P214,TZ_STN,0))&lt;&gt;"",Q214&gt;=INDEX(TZ_DSTS,MATCH(P214,TZ_STN,0)),Q214&lt;INDEX(TZ_DSTE,MATCH(P214,TZ_STN,0))),INDEX(TZ_DST,MATCH(P214,TZ_STN,0)),INDEX(TZ_STD,MATCH(P214,TZ_STN,0))))/24</f>
        <v/>
      </c>
      <c r="S214" s="65" t="inlineStr"/>
      <c r="T214" s="66" t="n"/>
      <c r="U214" s="66" t="n"/>
      <c r="V214" s="66" t="n"/>
      <c r="W214" s="67" t="n"/>
      <c r="X214" s="66" t="n"/>
      <c r="Y214" s="66" t="n"/>
      <c r="Z214" s="66" t="n"/>
      <c r="AA214" s="66" t="n"/>
      <c r="AB214" s="66" t="n"/>
      <c r="AC214" s="66" t="n"/>
      <c r="AD214" s="72" t="n"/>
      <c r="AE214" s="66" t="n"/>
      <c r="AF214" s="67">
        <f>IF(AND(ISNUMBER(X214),ISNUMBER(Y214)),Y214-X214,"")</f>
        <v/>
      </c>
      <c r="AG214" s="68">
        <f>IF(ISNUMBER(AD214),AD214-(IF(AND(INDEX(TZ_DSTS,MATCH(P214,TZ_STN,0))&lt;&gt;"",(AD214-INDEX(TZ_STD,MATCH(P214,TZ_STN,0))/24)&gt;=INDEX(TZ_DSTS,MATCH(P214,TZ_STN,0)),(AD214-INDEX(TZ_STD,MATCH(P214,TZ_STN,0))/24)&lt;INDEX(TZ_DSTE,MATCH(P214,TZ_STN,0))),INDEX(TZ_DST,MATCH(P214,TZ_STN,0)),INDEX(TZ_STD,MATCH(P214,TZ_STN,0))))/24,"")</f>
        <v/>
      </c>
      <c r="AH214" s="71">
        <f>IF(N214="N/A – rule","N/A – RULE",IF(TRIM(U214)="N/A",IF(AT214=0,"INVALID – N/A not permitted for this mandatory check",IF(AND(TRIM(AC214)&lt;&gt;"",TRIM(AE214)&lt;&gt;"",TRIM(T214)&lt;&gt;""),"N/A – JUSTIFIED","INVALID – N/A needs justification, PIC and verifier")),IF(OR(TRIM(U214)="Pass",TRIM(U214)="Pass after CA"),IF(NOT(ISNUMBER(AD214)),"INVALID – completion time missing",IF(TRIM(T214)="","INVALID – PIC missing",IF(TRIM(Z214)="","INVALID – evidence missing",IF(TRIM(AE214)="","INVALID – verifier missing",IF(AND(AQ214=1,TRIM(W214)=""),"INVALID – batch ID missing",IF(AND(AR214=1,OR(NOT(ISNUMBER(X214)),NOT(ISNUMBER(Y214)))),"INVALID – expected/actual qty missing",IF(IF(AND(TRIM(U214)="Pass",ISNUMBER(AF214)),IF(AF214&lt;&gt;0,"INVALID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recorded/closed","")&lt;&gt;"",IF(AND(TRIM(U214)="Pass",ISNUMBER(AF214)),IF(AF214&lt;&gt;0,"INVALID – qty variance: use Fail or Pass after CA",""),"")&amp;IF(AND(TRIM(U214)="Pass",AB214="Open"),"INVALID – corrective action still open: use Fail, then Pass after CA","")&amp;IF(AND(TRIM(U214)="Pass after CA",OR(TRIM(AA214)="",AB214&lt;&gt;"Closed")),"INVALID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window"),IF(AG214&gt;Flights!$AA$11,"INVALID – completed after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f>
        <v/>
      </c>
      <c r="AI214" s="67">
        <f>IF(OR(AH214="N/A – RULE",AH214="N/A – JUSTIFIED"),0,1)</f>
        <v/>
      </c>
      <c r="AJ214" s="67">
        <f>IF(LEFT(AH214,8)="COMPLETE",1,0)</f>
        <v/>
      </c>
      <c r="AK214" s="67">
        <f>IF(AND(AI214=1,AJ214=0,AsOfUTC&gt;Q214),1,0)</f>
        <v/>
      </c>
      <c r="AL214" s="67">
        <f>IF(AND(AI214=1,OR(TRIM(U214)="Fail",AB214="Open",AND(ISNUMBER(AF214),AF214&lt;&gt;0,TRIM(U214)&lt;&gt;"Pass after CA"))),1,0)</f>
        <v/>
      </c>
      <c r="AM214" s="67">
        <f>IF(LEFT(AH214,7)="INVALID",1,0)</f>
        <v/>
      </c>
      <c r="AN214" s="67">
        <f>IF(AND(N214="Clarification required",AI214=1,AJ214=0),1,0)</f>
        <v/>
      </c>
      <c r="AO214" s="67">
        <f>IF(AK214=1,SUM(AK$5:AK214),"")</f>
        <v/>
      </c>
      <c r="AP214" s="67">
        <f>IF(AL214=1,SUM(AL$5:AL214),"")</f>
        <v/>
      </c>
      <c r="AQ214" s="67" t="n">
        <v>0</v>
      </c>
      <c r="AR214" s="67" t="n">
        <v>0</v>
      </c>
      <c r="AS214" s="67" t="n">
        <v>0</v>
      </c>
      <c r="AT214" s="67" t="n">
        <v>1</v>
      </c>
    </row>
    <row r="215" ht="41.5" customHeight="1">
      <c r="A215" s="63" t="inlineStr">
        <is>
          <t>F07-T7-03</t>
        </is>
      </c>
      <c r="B215" s="63" t="inlineStr">
        <is>
          <t>F07</t>
        </is>
      </c>
      <c r="C215" s="63">
        <f>Flights!$F$11</f>
        <v/>
      </c>
      <c r="D215" s="64">
        <f>Flights!$D$11</f>
        <v/>
      </c>
      <c r="E215" s="63">
        <f>Flights!$G$11&amp;"-"&amp;Flights!$H$11</f>
        <v/>
      </c>
      <c r="F215" s="63">
        <f>Flights!$K$11</f>
        <v/>
      </c>
      <c r="G215" s="63" t="inlineStr">
        <is>
          <t>T-7D</t>
        </is>
      </c>
      <c r="H215" s="63" t="inlineStr">
        <is>
          <t>Preparation</t>
        </is>
      </c>
      <c r="I215" s="63" t="inlineStr">
        <is>
          <t>IFE</t>
        </is>
      </c>
      <c r="J215" s="63" t="inlineStr">
        <is>
          <t>Digital menu in IFE confirmed (A339 only)</t>
        </is>
      </c>
      <c r="K215" s="73" t="inlineStr">
        <is>
          <t>Applies when fleet = A339</t>
        </is>
      </c>
      <c r="L215" s="73" t="inlineStr">
        <is>
          <t>User brief (T-7 days)</t>
        </is>
      </c>
      <c r="M215" s="73" t="inlineStr"/>
      <c r="N215" s="73">
        <f>IF(TRIM(Flights!$L$11)="A339","Required","N/A – rule")</f>
        <v/>
      </c>
      <c r="O215" s="73" t="inlineStr">
        <is>
          <t>Digital IFE menu applies to A339 only (user brief). Applicability follows the Fleet cell on Flights.</t>
        </is>
      </c>
      <c r="P215" s="63" t="inlineStr">
        <is>
          <t>LHR</t>
        </is>
      </c>
      <c r="Q215" s="65">
        <f>Flights!$AC$11</f>
        <v/>
      </c>
      <c r="R215" s="65">
        <f>Q215+(IF(AND(INDEX(TZ_DSTS,MATCH(P215,TZ_STN,0))&lt;&gt;"",Q215&gt;=INDEX(TZ_DSTS,MATCH(P215,TZ_STN,0)),Q215&lt;INDEX(TZ_DSTE,MATCH(P215,TZ_STN,0))),INDEX(TZ_DST,MATCH(P215,TZ_STN,0)),INDEX(TZ_STD,MATCH(P215,TZ_STN,0))))/24</f>
        <v/>
      </c>
      <c r="S215" s="65" t="inlineStr"/>
      <c r="T215" s="66" t="n"/>
      <c r="U215" s="66" t="n"/>
      <c r="V215" s="66" t="n"/>
      <c r="W215" s="67" t="n"/>
      <c r="X215" s="66" t="n"/>
      <c r="Y215" s="66" t="n"/>
      <c r="Z215" s="66" t="n"/>
      <c r="AA215" s="66" t="n"/>
      <c r="AB215" s="66" t="n"/>
      <c r="AC215" s="66" t="n"/>
      <c r="AD215" s="72" t="n"/>
      <c r="AE215" s="66" t="n"/>
      <c r="AF215" s="67">
        <f>IF(AND(ISNUMBER(X215),ISNUMBER(Y215)),Y215-X215,"")</f>
        <v/>
      </c>
      <c r="AG215" s="68">
        <f>IF(ISNUMBER(AD215),AD215-(IF(AND(INDEX(TZ_DSTS,MATCH(P215,TZ_STN,0))&lt;&gt;"",(AD215-INDEX(TZ_STD,MATCH(P215,TZ_STN,0))/24)&gt;=INDEX(TZ_DSTS,MATCH(P215,TZ_STN,0)),(AD215-INDEX(TZ_STD,MATCH(P215,TZ_STN,0))/24)&lt;INDEX(TZ_DSTE,MATCH(P215,TZ_STN,0))),INDEX(TZ_DST,MATCH(P215,TZ_STN,0)),INDEX(TZ_STD,MATCH(P215,TZ_STN,0))))/24,"")</f>
        <v/>
      </c>
      <c r="AH215" s="71">
        <f>IF(N215="N/A – rule","N/A – RULE",IF(TRIM(U215)="N/A",IF(AT215=0,"INVALID – N/A not permitted for this mandatory check",IF(AND(TRIM(AC215)&lt;&gt;"",TRIM(AE215)&lt;&gt;"",TRIM(T215)&lt;&gt;""),"N/A – JUSTIFIED","INVALID – N/A needs justification, PIC and verifier")),IF(OR(TRIM(U215)="Pass",TRIM(U215)="Pass after CA"),IF(NOT(ISNUMBER(AD215)),"INVALID – completion time missing",IF(TRIM(T215)="","INVALID – PIC missing",IF(TRIM(Z215)="","INVALID – evidence missing",IF(TRIM(AE215)="","INVALID – verifier missing",IF(AND(AQ215=1,TRIM(W215)=""),"INVALID – batch ID missing",IF(AND(AR215=1,OR(NOT(ISNUMBER(X215)),NOT(ISNUMBER(Y215)))),"INVALID – expected/actual qty missing",IF(IF(AND(TRIM(U215)="Pass",ISNUMBER(AF215)),IF(AF215&lt;&gt;0,"INVALID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recorded/closed","")&lt;&gt;"",IF(AND(TRIM(U215)="Pass",ISNUMBER(AF215)),IF(AF215&lt;&gt;0,"INVALID – qty variance: use Fail or Pass after CA",""),"")&amp;IF(AND(TRIM(U215)="Pass",AB215="Open"),"INVALID – corrective action still open: use Fail, then Pass after CA","")&amp;IF(AND(TRIM(U215)="Pass after CA",OR(TRIM(AA215)="",AB215&lt;&gt;"Closed")),"INVALID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window"),IF(AG215&gt;Flights!$AA$11,"INVALID – completed after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f>
        <v/>
      </c>
      <c r="AI215" s="67">
        <f>IF(OR(AH215="N/A – RULE",AH215="N/A – JUSTIFIED"),0,1)</f>
        <v/>
      </c>
      <c r="AJ215" s="67">
        <f>IF(LEFT(AH215,8)="COMPLETE",1,0)</f>
        <v/>
      </c>
      <c r="AK215" s="67">
        <f>IF(AND(AI215=1,AJ215=0,AsOfUTC&gt;Q215),1,0)</f>
        <v/>
      </c>
      <c r="AL215" s="67">
        <f>IF(AND(AI215=1,OR(TRIM(U215)="Fail",AB215="Open",AND(ISNUMBER(AF215),AF215&lt;&gt;0,TRIM(U215)&lt;&gt;"Pass after CA"))),1,0)</f>
        <v/>
      </c>
      <c r="AM215" s="67">
        <f>IF(LEFT(AH215,7)="INVALID",1,0)</f>
        <v/>
      </c>
      <c r="AN215" s="67">
        <f>IF(AND(N215="Clarification required",AI215=1,AJ215=0),1,0)</f>
        <v/>
      </c>
      <c r="AO215" s="67">
        <f>IF(AK215=1,SUM(AK$5:AK215),"")</f>
        <v/>
      </c>
      <c r="AP215" s="67">
        <f>IF(AL215=1,SUM(AL$5:AL215),"")</f>
        <v/>
      </c>
      <c r="AQ215" s="67" t="n">
        <v>0</v>
      </c>
      <c r="AR215" s="67" t="n">
        <v>0</v>
      </c>
      <c r="AS215" s="67" t="n">
        <v>0</v>
      </c>
      <c r="AT215" s="67" t="n">
        <v>0</v>
      </c>
    </row>
    <row r="216" ht="40" customHeight="1">
      <c r="A216" s="63" t="inlineStr">
        <is>
          <t>F07-T7-04</t>
        </is>
      </c>
      <c r="B216" s="63" t="inlineStr">
        <is>
          <t>F07</t>
        </is>
      </c>
      <c r="C216" s="63">
        <f>Flights!$F$11</f>
        <v/>
      </c>
      <c r="D216" s="64">
        <f>Flights!$D$11</f>
        <v/>
      </c>
      <c r="E216" s="63">
        <f>Flights!$G$11&amp;"-"&amp;Flights!$H$11</f>
        <v/>
      </c>
      <c r="F216" s="63">
        <f>Flights!$K$11</f>
        <v/>
      </c>
      <c r="G216" s="63" t="inlineStr">
        <is>
          <t>T-7D</t>
        </is>
      </c>
      <c r="H216" s="63" t="inlineStr">
        <is>
          <t>Preparation</t>
        </is>
      </c>
      <c r="I216" s="63" t="inlineStr">
        <is>
          <t>Staffing</t>
        </is>
      </c>
      <c r="J216" s="63" t="inlineStr">
        <is>
          <t>Experienced catering officer assigned to this flight</t>
        </is>
      </c>
      <c r="K216" s="73" t="inlineStr">
        <is>
          <t>Record officer name in Result</t>
        </is>
      </c>
      <c r="L216" s="73" t="inlineStr">
        <is>
          <t>User brief (T-7 days)</t>
        </is>
      </c>
      <c r="M216" s="73" t="inlineStr"/>
      <c r="N216" s="73" t="inlineStr">
        <is>
          <t>Required</t>
        </is>
      </c>
      <c r="O216" s="73" t="inlineStr"/>
      <c r="P216" s="63" t="inlineStr">
        <is>
          <t>LHR</t>
        </is>
      </c>
      <c r="Q216" s="65">
        <f>Flights!$AC$11</f>
        <v/>
      </c>
      <c r="R216" s="65">
        <f>Q216+(IF(AND(INDEX(TZ_DSTS,MATCH(P216,TZ_STN,0))&lt;&gt;"",Q216&gt;=INDEX(TZ_DSTS,MATCH(P216,TZ_STN,0)),Q216&lt;INDEX(TZ_DSTE,MATCH(P216,TZ_STN,0))),INDEX(TZ_DST,MATCH(P216,TZ_STN,0)),INDEX(TZ_STD,MATCH(P216,TZ_STN,0))))/24</f>
        <v/>
      </c>
      <c r="S216" s="65" t="inlineStr"/>
      <c r="T216" s="66" t="n"/>
      <c r="U216" s="66" t="n"/>
      <c r="V216" s="66" t="n"/>
      <c r="W216" s="67" t="n"/>
      <c r="X216" s="66" t="n"/>
      <c r="Y216" s="66" t="n"/>
      <c r="Z216" s="66" t="n"/>
      <c r="AA216" s="66" t="n"/>
      <c r="AB216" s="66" t="n"/>
      <c r="AC216" s="66" t="n"/>
      <c r="AD216" s="72" t="n"/>
      <c r="AE216" s="66" t="n"/>
      <c r="AF216" s="67">
        <f>IF(AND(ISNUMBER(X216),ISNUMBER(Y216)),Y216-X216,"")</f>
        <v/>
      </c>
      <c r="AG216" s="68">
        <f>IF(ISNUMBER(AD216),AD216-(IF(AND(INDEX(TZ_DSTS,MATCH(P216,TZ_STN,0))&lt;&gt;"",(AD216-INDEX(TZ_STD,MATCH(P216,TZ_STN,0))/24)&gt;=INDEX(TZ_DSTS,MATCH(P216,TZ_STN,0)),(AD216-INDEX(TZ_STD,MATCH(P216,TZ_STN,0))/24)&lt;INDEX(TZ_DSTE,MATCH(P216,TZ_STN,0))),INDEX(TZ_DST,MATCH(P216,TZ_STN,0)),INDEX(TZ_STD,MATCH(P216,TZ_STN,0))))/24,"")</f>
        <v/>
      </c>
      <c r="AH216" s="71">
        <f>IF(N216="N/A – rule","N/A – RULE",IF(TRIM(U216)="N/A",IF(AT216=0,"INVALID – N/A not permitted for this mandatory check",IF(AND(TRIM(AC216)&lt;&gt;"",TRIM(AE216)&lt;&gt;"",TRIM(T216)&lt;&gt;""),"N/A – JUSTIFIED","INVALID – N/A needs justification, PIC and verifier")),IF(OR(TRIM(U216)="Pass",TRIM(U216)="Pass after CA"),IF(NOT(ISNUMBER(AD216)),"INVALID – completion time missing",IF(TRIM(T216)="","INVALID – PIC missing",IF(TRIM(Z216)="","INVALID – evidence missing",IF(TRIM(AE216)="","INVALID – verifier missing",IF(AND(AQ216=1,TRIM(W216)=""),"INVALID – batch ID missing",IF(AND(AR216=1,OR(NOT(ISNUMBER(X216)),NOT(ISNUMBER(Y216)))),"INVALID – expected/actual qty missing",IF(IF(AND(TRIM(U216)="Pass",ISNUMBER(AF216)),IF(AF216&lt;&gt;0,"INVALID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recorded/closed","")&lt;&gt;"",IF(AND(TRIM(U216)="Pass",ISNUMBER(AF216)),IF(AF216&lt;&gt;0,"INVALID – qty variance: use Fail or Pass after CA",""),"")&amp;IF(AND(TRIM(U216)="Pass",AB216="Open"),"INVALID – corrective action still open: use Fail, then Pass after CA","")&amp;IF(AND(TRIM(U216)="Pass after CA",OR(TRIM(AA216)="",AB216&lt;&gt;"Closed")),"INVALID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window"),IF(AG216&gt;Flights!$AA$11,"INVALID – completed after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f>
        <v/>
      </c>
      <c r="AI216" s="67">
        <f>IF(OR(AH216="N/A – RULE",AH216="N/A – JUSTIFIED"),0,1)</f>
        <v/>
      </c>
      <c r="AJ216" s="67">
        <f>IF(LEFT(AH216,8)="COMPLETE",1,0)</f>
        <v/>
      </c>
      <c r="AK216" s="67">
        <f>IF(AND(AI216=1,AJ216=0,AsOfUTC&gt;Q216),1,0)</f>
        <v/>
      </c>
      <c r="AL216" s="67">
        <f>IF(AND(AI216=1,OR(TRIM(U216)="Fail",AB216="Open",AND(ISNUMBER(AF216),AF216&lt;&gt;0,TRIM(U216)&lt;&gt;"Pass after CA"))),1,0)</f>
        <v/>
      </c>
      <c r="AM216" s="67">
        <f>IF(LEFT(AH216,7)="INVALID",1,0)</f>
        <v/>
      </c>
      <c r="AN216" s="67">
        <f>IF(AND(N216="Clarification required",AI216=1,AJ216=0),1,0)</f>
        <v/>
      </c>
      <c r="AO216" s="67">
        <f>IF(AK216=1,SUM(AK$5:AK216),"")</f>
        <v/>
      </c>
      <c r="AP216" s="67">
        <f>IF(AL216=1,SUM(AL$5:AL216),"")</f>
        <v/>
      </c>
      <c r="AQ216" s="67" t="n">
        <v>0</v>
      </c>
      <c r="AR216" s="67" t="n">
        <v>0</v>
      </c>
      <c r="AS216" s="67" t="n">
        <v>0</v>
      </c>
      <c r="AT216" s="67" t="n">
        <v>0</v>
      </c>
    </row>
    <row r="217" ht="40" customHeight="1">
      <c r="A217" s="63" t="inlineStr">
        <is>
          <t>F07-T7-05</t>
        </is>
      </c>
      <c r="B217" s="63" t="inlineStr">
        <is>
          <t>F07</t>
        </is>
      </c>
      <c r="C217" s="63">
        <f>Flights!$F$11</f>
        <v/>
      </c>
      <c r="D217" s="64">
        <f>Flights!$D$11</f>
        <v/>
      </c>
      <c r="E217" s="63">
        <f>Flights!$G$11&amp;"-"&amp;Flights!$H$11</f>
        <v/>
      </c>
      <c r="F217" s="63">
        <f>Flights!$K$11</f>
        <v/>
      </c>
      <c r="G217" s="63" t="inlineStr">
        <is>
          <t>T-7D</t>
        </is>
      </c>
      <c r="H217" s="63" t="inlineStr">
        <is>
          <t>Preparation</t>
        </is>
      </c>
      <c r="I217" s="63" t="inlineStr">
        <is>
          <t>ISOP</t>
        </is>
      </c>
      <c r="J217" s="63" t="inlineStr">
        <is>
          <t>All latest applicable ISOP revisions communicated to caterer</t>
        </is>
      </c>
      <c r="K217" s="73" t="inlineStr">
        <is>
          <t>List revision numbers in Result (see ISOP register)</t>
        </is>
      </c>
      <c r="L217" s="73" t="inlineStr">
        <is>
          <t>User brief (T-7 days)</t>
        </is>
      </c>
      <c r="M217" s="73" t="inlineStr"/>
      <c r="N217" s="73" t="inlineStr">
        <is>
          <t>Required</t>
        </is>
      </c>
      <c r="O217" s="73" t="inlineStr"/>
      <c r="P217" s="63" t="inlineStr">
        <is>
          <t>LHR</t>
        </is>
      </c>
      <c r="Q217" s="65">
        <f>Flights!$AC$11</f>
        <v/>
      </c>
      <c r="R217" s="65">
        <f>Q217+(IF(AND(INDEX(TZ_DSTS,MATCH(P217,TZ_STN,0))&lt;&gt;"",Q217&gt;=INDEX(TZ_DSTS,MATCH(P217,TZ_STN,0)),Q217&lt;INDEX(TZ_DSTE,MATCH(P217,TZ_STN,0))),INDEX(TZ_DST,MATCH(P217,TZ_STN,0)),INDEX(TZ_STD,MATCH(P217,TZ_STN,0))))/24</f>
        <v/>
      </c>
      <c r="S217" s="65" t="inlineStr"/>
      <c r="T217" s="66" t="n"/>
      <c r="U217" s="66" t="n"/>
      <c r="V217" s="66" t="n"/>
      <c r="W217" s="67" t="n"/>
      <c r="X217" s="66" t="n"/>
      <c r="Y217" s="66" t="n"/>
      <c r="Z217" s="66" t="n"/>
      <c r="AA217" s="66" t="n"/>
      <c r="AB217" s="66" t="n"/>
      <c r="AC217" s="66" t="n"/>
      <c r="AD217" s="72" t="n"/>
      <c r="AE217" s="66" t="n"/>
      <c r="AF217" s="67">
        <f>IF(AND(ISNUMBER(X217),ISNUMBER(Y217)),Y217-X217,"")</f>
        <v/>
      </c>
      <c r="AG217" s="68">
        <f>IF(ISNUMBER(AD217),AD217-(IF(AND(INDEX(TZ_DSTS,MATCH(P217,TZ_STN,0))&lt;&gt;"",(AD217-INDEX(TZ_STD,MATCH(P217,TZ_STN,0))/24)&gt;=INDEX(TZ_DSTS,MATCH(P217,TZ_STN,0)),(AD217-INDEX(TZ_STD,MATCH(P217,TZ_STN,0))/24)&lt;INDEX(TZ_DSTE,MATCH(P217,TZ_STN,0))),INDEX(TZ_DST,MATCH(P217,TZ_STN,0)),INDEX(TZ_STD,MATCH(P217,TZ_STN,0))))/24,"")</f>
        <v/>
      </c>
      <c r="AH217" s="71">
        <f>IF(N217="N/A – rule","N/A – RULE",IF(TRIM(U217)="N/A",IF(AT217=0,"INVALID – N/A not permitted for this mandatory check",IF(AND(TRIM(AC217)&lt;&gt;"",TRIM(AE217)&lt;&gt;"",TRIM(T217)&lt;&gt;""),"N/A – JUSTIFIED","INVALID – N/A needs justification, PIC and verifier")),IF(OR(TRIM(U217)="Pass",TRIM(U217)="Pass after CA"),IF(NOT(ISNUMBER(AD217)),"INVALID – completion time missing",IF(TRIM(T217)="","INVALID – PIC missing",IF(TRIM(Z217)="","INVALID – evidence missing",IF(TRIM(AE217)="","INVALID – verifier missing",IF(AND(AQ217=1,TRIM(W217)=""),"INVALID – batch ID missing",IF(AND(AR217=1,OR(NOT(ISNUMBER(X217)),NOT(ISNUMBER(Y217)))),"INVALID – expected/actual qty missing",IF(IF(AND(TRIM(U217)="Pass",ISNUMBER(AF217)),IF(AF217&lt;&gt;0,"INVALID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recorded/closed","")&lt;&gt;"",IF(AND(TRIM(U217)="Pass",ISNUMBER(AF217)),IF(AF217&lt;&gt;0,"INVALID – qty variance: use Fail or Pass after CA",""),"")&amp;IF(AND(TRIM(U217)="Pass",AB217="Open"),"INVALID – corrective action still open: use Fail, then Pass after CA","")&amp;IF(AND(TRIM(U217)="Pass after CA",OR(TRIM(AA217)="",AB217&lt;&gt;"Closed")),"INVALID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window"),IF(AG217&gt;Flights!$AA$11,"INVALID – completed after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f>
        <v/>
      </c>
      <c r="AI217" s="67">
        <f>IF(OR(AH217="N/A – RULE",AH217="N/A – JUSTIFIED"),0,1)</f>
        <v/>
      </c>
      <c r="AJ217" s="67">
        <f>IF(LEFT(AH217,8)="COMPLETE",1,0)</f>
        <v/>
      </c>
      <c r="AK217" s="67">
        <f>IF(AND(AI217=1,AJ217=0,AsOfUTC&gt;Q217),1,0)</f>
        <v/>
      </c>
      <c r="AL217" s="67">
        <f>IF(AND(AI217=1,OR(TRIM(U217)="Fail",AB217="Open",AND(ISNUMBER(AF217),AF217&lt;&gt;0,TRIM(U217)&lt;&gt;"Pass after CA"))),1,0)</f>
        <v/>
      </c>
      <c r="AM217" s="67">
        <f>IF(LEFT(AH217,7)="INVALID",1,0)</f>
        <v/>
      </c>
      <c r="AN217" s="67">
        <f>IF(AND(N217="Clarification required",AI217=1,AJ217=0),1,0)</f>
        <v/>
      </c>
      <c r="AO217" s="67">
        <f>IF(AK217=1,SUM(AK$5:AK217),"")</f>
        <v/>
      </c>
      <c r="AP217" s="67">
        <f>IF(AL217=1,SUM(AL$5:AL217),"")</f>
        <v/>
      </c>
      <c r="AQ217" s="67" t="n">
        <v>0</v>
      </c>
      <c r="AR217" s="67" t="n">
        <v>0</v>
      </c>
      <c r="AS217" s="67" t="n">
        <v>0</v>
      </c>
      <c r="AT217" s="67" t="n">
        <v>0</v>
      </c>
    </row>
    <row r="218" ht="40" customHeight="1">
      <c r="A218" s="63" t="inlineStr">
        <is>
          <t>F07-T7-06</t>
        </is>
      </c>
      <c r="B218" s="63" t="inlineStr">
        <is>
          <t>F07</t>
        </is>
      </c>
      <c r="C218" s="63">
        <f>Flights!$F$11</f>
        <v/>
      </c>
      <c r="D218" s="64">
        <f>Flights!$D$11</f>
        <v/>
      </c>
      <c r="E218" s="63">
        <f>Flights!$G$11&amp;"-"&amp;Flights!$H$11</f>
        <v/>
      </c>
      <c r="F218" s="63">
        <f>Flights!$K$11</f>
        <v/>
      </c>
      <c r="G218" s="63" t="inlineStr">
        <is>
          <t>T-7D</t>
        </is>
      </c>
      <c r="H218" s="63" t="inlineStr">
        <is>
          <t>Preparation</t>
        </is>
      </c>
      <c r="I218" s="63" t="inlineStr">
        <is>
          <t>ISOP</t>
        </is>
      </c>
      <c r="J218" s="63" t="inlineStr">
        <is>
          <t>Caterer acknowledgement of ISOP revisions recorded</t>
        </is>
      </c>
      <c r="K218" s="73" t="inlineStr">
        <is>
          <t>Record acknowledgement ref in Evidence</t>
        </is>
      </c>
      <c r="L218" s="73" t="inlineStr">
        <is>
          <t>User brief (T-7 days)</t>
        </is>
      </c>
      <c r="M218" s="73" t="inlineStr"/>
      <c r="N218" s="73" t="inlineStr">
        <is>
          <t>Required</t>
        </is>
      </c>
      <c r="O218" s="73" t="inlineStr"/>
      <c r="P218" s="63" t="inlineStr">
        <is>
          <t>LHR</t>
        </is>
      </c>
      <c r="Q218" s="65">
        <f>Flights!$AC$11</f>
        <v/>
      </c>
      <c r="R218" s="65">
        <f>Q218+(IF(AND(INDEX(TZ_DSTS,MATCH(P218,TZ_STN,0))&lt;&gt;"",Q218&gt;=INDEX(TZ_DSTS,MATCH(P218,TZ_STN,0)),Q218&lt;INDEX(TZ_DSTE,MATCH(P218,TZ_STN,0))),INDEX(TZ_DST,MATCH(P218,TZ_STN,0)),INDEX(TZ_STD,MATCH(P218,TZ_STN,0))))/24</f>
        <v/>
      </c>
      <c r="S218" s="65" t="inlineStr"/>
      <c r="T218" s="66" t="n"/>
      <c r="U218" s="66" t="n"/>
      <c r="V218" s="66" t="n"/>
      <c r="W218" s="67" t="n"/>
      <c r="X218" s="66" t="n"/>
      <c r="Y218" s="66" t="n"/>
      <c r="Z218" s="66" t="n"/>
      <c r="AA218" s="66" t="n"/>
      <c r="AB218" s="66" t="n"/>
      <c r="AC218" s="66" t="n"/>
      <c r="AD218" s="72" t="n"/>
      <c r="AE218" s="66" t="n"/>
      <c r="AF218" s="67">
        <f>IF(AND(ISNUMBER(X218),ISNUMBER(Y218)),Y218-X218,"")</f>
        <v/>
      </c>
      <c r="AG218" s="68">
        <f>IF(ISNUMBER(AD218),AD218-(IF(AND(INDEX(TZ_DSTS,MATCH(P218,TZ_STN,0))&lt;&gt;"",(AD218-INDEX(TZ_STD,MATCH(P218,TZ_STN,0))/24)&gt;=INDEX(TZ_DSTS,MATCH(P218,TZ_STN,0)),(AD218-INDEX(TZ_STD,MATCH(P218,TZ_STN,0))/24)&lt;INDEX(TZ_DSTE,MATCH(P218,TZ_STN,0))),INDEX(TZ_DST,MATCH(P218,TZ_STN,0)),INDEX(TZ_STD,MATCH(P218,TZ_STN,0))))/24,"")</f>
        <v/>
      </c>
      <c r="AH218" s="71">
        <f>IF(N218="N/A – rule","N/A – RULE",IF(TRIM(U218)="N/A",IF(AT218=0,"INVALID – N/A not permitted for this mandatory check",IF(AND(TRIM(AC218)&lt;&gt;"",TRIM(AE218)&lt;&gt;"",TRIM(T218)&lt;&gt;""),"N/A – JUSTIFIED","INVALID – N/A needs justification, PIC and verifier")),IF(OR(TRIM(U218)="Pass",TRIM(U218)="Pass after CA"),IF(NOT(ISNUMBER(AD218)),"INVALID – completion time missing",IF(TRIM(T218)="","INVALID – PIC missing",IF(TRIM(Z218)="","INVALID – evidence missing",IF(TRIM(AE218)="","INVALID – verifier missing",IF(AND(AQ218=1,TRIM(W218)=""),"INVALID – batch ID missing",IF(AND(AR218=1,OR(NOT(ISNUMBER(X218)),NOT(ISNUMBER(Y218)))),"INVALID – expected/actual qty missing",IF(IF(AND(TRIM(U218)="Pass",ISNUMBER(AF218)),IF(AF218&lt;&gt;0,"INVALID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recorded/closed","")&lt;&gt;"",IF(AND(TRIM(U218)="Pass",ISNUMBER(AF218)),IF(AF218&lt;&gt;0,"INVALID – qty variance: use Fail or Pass after CA",""),"")&amp;IF(AND(TRIM(U218)="Pass",AB218="Open"),"INVALID – corrective action still open: use Fail, then Pass after CA","")&amp;IF(AND(TRIM(U218)="Pass after CA",OR(TRIM(AA218)="",AB218&lt;&gt;"Closed")),"INVALID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window"),IF(AG218&gt;Flights!$AA$11,"INVALID – completed after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f>
        <v/>
      </c>
      <c r="AI218" s="67">
        <f>IF(OR(AH218="N/A – RULE",AH218="N/A – JUSTIFIED"),0,1)</f>
        <v/>
      </c>
      <c r="AJ218" s="67">
        <f>IF(LEFT(AH218,8)="COMPLETE",1,0)</f>
        <v/>
      </c>
      <c r="AK218" s="67">
        <f>IF(AND(AI218=1,AJ218=0,AsOfUTC&gt;Q218),1,0)</f>
        <v/>
      </c>
      <c r="AL218" s="67">
        <f>IF(AND(AI218=1,OR(TRIM(U218)="Fail",AB218="Open",AND(ISNUMBER(AF218),AF218&lt;&gt;0,TRIM(U218)&lt;&gt;"Pass after CA"))),1,0)</f>
        <v/>
      </c>
      <c r="AM218" s="67">
        <f>IF(LEFT(AH218,7)="INVALID",1,0)</f>
        <v/>
      </c>
      <c r="AN218" s="67">
        <f>IF(AND(N218="Clarification required",AI218=1,AJ218=0),1,0)</f>
        <v/>
      </c>
      <c r="AO218" s="67">
        <f>IF(AK218=1,SUM(AK$5:AK218),"")</f>
        <v/>
      </c>
      <c r="AP218" s="67">
        <f>IF(AL218=1,SUM(AL$5:AL218),"")</f>
        <v/>
      </c>
      <c r="AQ218" s="67" t="n">
        <v>0</v>
      </c>
      <c r="AR218" s="67" t="n">
        <v>0</v>
      </c>
      <c r="AS218" s="67" t="n">
        <v>0</v>
      </c>
      <c r="AT218" s="67" t="n">
        <v>0</v>
      </c>
    </row>
    <row r="219" ht="40" customHeight="1">
      <c r="A219" s="63" t="inlineStr">
        <is>
          <t>F07-T7-07</t>
        </is>
      </c>
      <c r="B219" s="63" t="inlineStr">
        <is>
          <t>F07</t>
        </is>
      </c>
      <c r="C219" s="63">
        <f>Flights!$F$11</f>
        <v/>
      </c>
      <c r="D219" s="64">
        <f>Flights!$D$11</f>
        <v/>
      </c>
      <c r="E219" s="63">
        <f>Flights!$G$11&amp;"-"&amp;Flights!$H$11</f>
        <v/>
      </c>
      <c r="F219" s="63">
        <f>Flights!$K$11</f>
        <v/>
      </c>
      <c r="G219" s="63" t="inlineStr">
        <is>
          <t>T-7D</t>
        </is>
      </c>
      <c r="H219" s="63" t="inlineStr">
        <is>
          <t>Preparation</t>
        </is>
      </c>
      <c r="I219" s="63" t="inlineStr">
        <is>
          <t>Documents</t>
        </is>
      </c>
      <c r="J219" s="63" t="inlineStr">
        <is>
          <t>Galley loading diagram (GLD) received, revision recorded &amp; attached</t>
        </is>
      </c>
      <c r="K219" s="73" t="inlineStr">
        <is>
          <t>Documents sheet row complete</t>
        </is>
      </c>
      <c r="L219" s="73" t="inlineStr">
        <is>
          <t>User brief (T-7 days)</t>
        </is>
      </c>
      <c r="M219" s="73" t="inlineStr"/>
      <c r="N219" s="73" t="inlineStr">
        <is>
          <t>Required</t>
        </is>
      </c>
      <c r="O219" s="73" t="inlineStr"/>
      <c r="P219" s="63" t="inlineStr">
        <is>
          <t>LHR</t>
        </is>
      </c>
      <c r="Q219" s="65">
        <f>Flights!$AC$11</f>
        <v/>
      </c>
      <c r="R219" s="65">
        <f>Q219+(IF(AND(INDEX(TZ_DSTS,MATCH(P219,TZ_STN,0))&lt;&gt;"",Q219&gt;=INDEX(TZ_DSTS,MATCH(P219,TZ_STN,0)),Q219&lt;INDEX(TZ_DSTE,MATCH(P219,TZ_STN,0))),INDEX(TZ_DST,MATCH(P219,TZ_STN,0)),INDEX(TZ_STD,MATCH(P219,TZ_STN,0))))/24</f>
        <v/>
      </c>
      <c r="S219" s="65" t="inlineStr"/>
      <c r="T219" s="66" t="n"/>
      <c r="U219" s="66" t="n"/>
      <c r="V219" s="66" t="n"/>
      <c r="W219" s="67" t="n"/>
      <c r="X219" s="66" t="n"/>
      <c r="Y219" s="66" t="n"/>
      <c r="Z219" s="66" t="n"/>
      <c r="AA219" s="66" t="n"/>
      <c r="AB219" s="66" t="n"/>
      <c r="AC219" s="66" t="n"/>
      <c r="AD219" s="72" t="n"/>
      <c r="AE219" s="66" t="n"/>
      <c r="AF219" s="67">
        <f>IF(AND(ISNUMBER(X219),ISNUMBER(Y219)),Y219-X219,"")</f>
        <v/>
      </c>
      <c r="AG219" s="68">
        <f>IF(ISNUMBER(AD219),AD219-(IF(AND(INDEX(TZ_DSTS,MATCH(P219,TZ_STN,0))&lt;&gt;"",(AD219-INDEX(TZ_STD,MATCH(P219,TZ_STN,0))/24)&gt;=INDEX(TZ_DSTS,MATCH(P219,TZ_STN,0)),(AD219-INDEX(TZ_STD,MATCH(P219,TZ_STN,0))/24)&lt;INDEX(TZ_DSTE,MATCH(P219,TZ_STN,0))),INDEX(TZ_DST,MATCH(P219,TZ_STN,0)),INDEX(TZ_STD,MATCH(P219,TZ_STN,0))))/24,"")</f>
        <v/>
      </c>
      <c r="AH219" s="71">
        <f>IF(N219="N/A – rule","N/A – RULE",IF(TRIM(U219)="N/A",IF(AT219=0,"INVALID – N/A not permitted for this mandatory check",IF(AND(TRIM(AC219)&lt;&gt;"",TRIM(AE219)&lt;&gt;"",TRIM(T219)&lt;&gt;""),"N/A – JUSTIFIED","INVALID – N/A needs justification, PIC and verifier")),IF(OR(TRIM(U219)="Pass",TRIM(U219)="Pass after CA"),IF(NOT(ISNUMBER(AD219)),"INVALID – completion time missing",IF(TRIM(T219)="","INVALID – PIC missing",IF(TRIM(Z219)="","INVALID – evidence missing",IF(TRIM(AE219)="","INVALID – verifier missing",IF(AND(AQ219=1,TRIM(W219)=""),"INVALID – batch ID missing",IF(AND(AR219=1,OR(NOT(ISNUMBER(X219)),NOT(ISNUMBER(Y219)))),"INVALID – expected/actual qty missing",IF(IF(AND(TRIM(U219)="Pass",ISNUMBER(AF219)),IF(AF219&lt;&gt;0,"INVALID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recorded/closed","")&lt;&gt;"",IF(AND(TRIM(U219)="Pass",ISNUMBER(AF219)),IF(AF219&lt;&gt;0,"INVALID – qty variance: use Fail or Pass after CA",""),"")&amp;IF(AND(TRIM(U219)="Pass",AB219="Open"),"INVALID – corrective action still open: use Fail, then Pass after CA","")&amp;IF(AND(TRIM(U219)="Pass after CA",OR(TRIM(AA219)="",AB219&lt;&gt;"Closed")),"INVALID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window"),IF(AG219&gt;Flights!$AA$11,"INVALID – completed after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f>
        <v/>
      </c>
      <c r="AI219" s="67">
        <f>IF(OR(AH219="N/A – RULE",AH219="N/A – JUSTIFIED"),0,1)</f>
        <v/>
      </c>
      <c r="AJ219" s="67">
        <f>IF(LEFT(AH219,8)="COMPLETE",1,0)</f>
        <v/>
      </c>
      <c r="AK219" s="67">
        <f>IF(AND(AI219=1,AJ219=0,AsOfUTC&gt;Q219),1,0)</f>
        <v/>
      </c>
      <c r="AL219" s="67">
        <f>IF(AND(AI219=1,OR(TRIM(U219)="Fail",AB219="Open",AND(ISNUMBER(AF219),AF219&lt;&gt;0,TRIM(U219)&lt;&gt;"Pass after CA"))),1,0)</f>
        <v/>
      </c>
      <c r="AM219" s="67">
        <f>IF(LEFT(AH219,7)="INVALID",1,0)</f>
        <v/>
      </c>
      <c r="AN219" s="67">
        <f>IF(AND(N219="Clarification required",AI219=1,AJ219=0),1,0)</f>
        <v/>
      </c>
      <c r="AO219" s="67">
        <f>IF(AK219=1,SUM(AK$5:AK219),"")</f>
        <v/>
      </c>
      <c r="AP219" s="67">
        <f>IF(AL219=1,SUM(AL$5:AL219),"")</f>
        <v/>
      </c>
      <c r="AQ219" s="67" t="n">
        <v>0</v>
      </c>
      <c r="AR219" s="67" t="n">
        <v>0</v>
      </c>
      <c r="AS219" s="67" t="n">
        <v>1</v>
      </c>
      <c r="AT219" s="67" t="n">
        <v>0</v>
      </c>
    </row>
    <row r="220" ht="40" customHeight="1">
      <c r="A220" s="63" t="inlineStr">
        <is>
          <t>F07-T7-08</t>
        </is>
      </c>
      <c r="B220" s="63" t="inlineStr">
        <is>
          <t>F07</t>
        </is>
      </c>
      <c r="C220" s="63">
        <f>Flights!$F$11</f>
        <v/>
      </c>
      <c r="D220" s="64">
        <f>Flights!$D$11</f>
        <v/>
      </c>
      <c r="E220" s="63">
        <f>Flights!$G$11&amp;"-"&amp;Flights!$H$11</f>
        <v/>
      </c>
      <c r="F220" s="63">
        <f>Flights!$K$11</f>
        <v/>
      </c>
      <c r="G220" s="63" t="inlineStr">
        <is>
          <t>T-7D</t>
        </is>
      </c>
      <c r="H220" s="63" t="inlineStr">
        <is>
          <t>Preparation</t>
        </is>
      </c>
      <c r="I220" s="63" t="inlineStr">
        <is>
          <t>Documents</t>
        </is>
      </c>
      <c r="J220" s="63" t="inlineStr">
        <is>
          <t>Menu checklist received, revision recorded &amp; attached</t>
        </is>
      </c>
      <c r="K220" s="73" t="inlineStr">
        <is>
          <t>Documents sheet row complete</t>
        </is>
      </c>
      <c r="L220" s="73" t="inlineStr">
        <is>
          <t>User brief (T-7 days)</t>
        </is>
      </c>
      <c r="M220" s="73" t="inlineStr"/>
      <c r="N220" s="73" t="inlineStr">
        <is>
          <t>Required</t>
        </is>
      </c>
      <c r="O220" s="73" t="inlineStr"/>
      <c r="P220" s="63" t="inlineStr">
        <is>
          <t>LHR</t>
        </is>
      </c>
      <c r="Q220" s="65">
        <f>Flights!$AC$11</f>
        <v/>
      </c>
      <c r="R220" s="65">
        <f>Q220+(IF(AND(INDEX(TZ_DSTS,MATCH(P220,TZ_STN,0))&lt;&gt;"",Q220&gt;=INDEX(TZ_DSTS,MATCH(P220,TZ_STN,0)),Q220&lt;INDEX(TZ_DSTE,MATCH(P220,TZ_STN,0))),INDEX(TZ_DST,MATCH(P220,TZ_STN,0)),INDEX(TZ_STD,MATCH(P220,TZ_STN,0))))/24</f>
        <v/>
      </c>
      <c r="S220" s="65" t="inlineStr"/>
      <c r="T220" s="66" t="n"/>
      <c r="U220" s="66" t="n"/>
      <c r="V220" s="66" t="n"/>
      <c r="W220" s="67" t="n"/>
      <c r="X220" s="66" t="n"/>
      <c r="Y220" s="66" t="n"/>
      <c r="Z220" s="66" t="n"/>
      <c r="AA220" s="66" t="n"/>
      <c r="AB220" s="66" t="n"/>
      <c r="AC220" s="66" t="n"/>
      <c r="AD220" s="72" t="n"/>
      <c r="AE220" s="66" t="n"/>
      <c r="AF220" s="67">
        <f>IF(AND(ISNUMBER(X220),ISNUMBER(Y220)),Y220-X220,"")</f>
        <v/>
      </c>
      <c r="AG220" s="68">
        <f>IF(ISNUMBER(AD220),AD220-(IF(AND(INDEX(TZ_DSTS,MATCH(P220,TZ_STN,0))&lt;&gt;"",(AD220-INDEX(TZ_STD,MATCH(P220,TZ_STN,0))/24)&gt;=INDEX(TZ_DSTS,MATCH(P220,TZ_STN,0)),(AD220-INDEX(TZ_STD,MATCH(P220,TZ_STN,0))/24)&lt;INDEX(TZ_DSTE,MATCH(P220,TZ_STN,0))),INDEX(TZ_DST,MATCH(P220,TZ_STN,0)),INDEX(TZ_STD,MATCH(P220,TZ_STN,0))))/24,"")</f>
        <v/>
      </c>
      <c r="AH220" s="71">
        <f>IF(N220="N/A – rule","N/A – RULE",IF(TRIM(U220)="N/A",IF(AT220=0,"INVALID – N/A not permitted for this mandatory check",IF(AND(TRIM(AC220)&lt;&gt;"",TRIM(AE220)&lt;&gt;"",TRIM(T220)&lt;&gt;""),"N/A – JUSTIFIED","INVALID – N/A needs justification, PIC and verifier")),IF(OR(TRIM(U220)="Pass",TRIM(U220)="Pass after CA"),IF(NOT(ISNUMBER(AD220)),"INVALID – completion time missing",IF(TRIM(T220)="","INVALID – PIC missing",IF(TRIM(Z220)="","INVALID – evidence missing",IF(TRIM(AE220)="","INVALID – verifier missing",IF(AND(AQ220=1,TRIM(W220)=""),"INVALID – batch ID missing",IF(AND(AR220=1,OR(NOT(ISNUMBER(X220)),NOT(ISNUMBER(Y220)))),"INVALID – expected/actual qty missing",IF(IF(AND(TRIM(U220)="Pass",ISNUMBER(AF220)),IF(AF220&lt;&gt;0,"INVALID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recorded/closed","")&lt;&gt;"",IF(AND(TRIM(U220)="Pass",ISNUMBER(AF220)),IF(AF220&lt;&gt;0,"INVALID – qty variance: use Fail or Pass after CA",""),"")&amp;IF(AND(TRIM(U220)="Pass",AB220="Open"),"INVALID – corrective action still open: use Fail, then Pass after CA","")&amp;IF(AND(TRIM(U220)="Pass after CA",OR(TRIM(AA220)="",AB220&lt;&gt;"Closed")),"INVALID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window"),IF(AG220&gt;Flights!$AA$11,"INVALID – completed after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f>
        <v/>
      </c>
      <c r="AI220" s="67">
        <f>IF(OR(AH220="N/A – RULE",AH220="N/A – JUSTIFIED"),0,1)</f>
        <v/>
      </c>
      <c r="AJ220" s="67">
        <f>IF(LEFT(AH220,8)="COMPLETE",1,0)</f>
        <v/>
      </c>
      <c r="AK220" s="67">
        <f>IF(AND(AI220=1,AJ220=0,AsOfUTC&gt;Q220),1,0)</f>
        <v/>
      </c>
      <c r="AL220" s="67">
        <f>IF(AND(AI220=1,OR(TRIM(U220)="Fail",AB220="Open",AND(ISNUMBER(AF220),AF220&lt;&gt;0,TRIM(U220)&lt;&gt;"Pass after CA"))),1,0)</f>
        <v/>
      </c>
      <c r="AM220" s="67">
        <f>IF(LEFT(AH220,7)="INVALID",1,0)</f>
        <v/>
      </c>
      <c r="AN220" s="67">
        <f>IF(AND(N220="Clarification required",AI220=1,AJ220=0),1,0)</f>
        <v/>
      </c>
      <c r="AO220" s="67">
        <f>IF(AK220=1,SUM(AK$5:AK220),"")</f>
        <v/>
      </c>
      <c r="AP220" s="67">
        <f>IF(AL220=1,SUM(AL$5:AL220),"")</f>
        <v/>
      </c>
      <c r="AQ220" s="67" t="n">
        <v>0</v>
      </c>
      <c r="AR220" s="67" t="n">
        <v>0</v>
      </c>
      <c r="AS220" s="67" t="n">
        <v>2</v>
      </c>
      <c r="AT220" s="67" t="n">
        <v>0</v>
      </c>
    </row>
    <row r="221" ht="40" customHeight="1">
      <c r="A221" s="63" t="inlineStr">
        <is>
          <t>F07-T7-09</t>
        </is>
      </c>
      <c r="B221" s="63" t="inlineStr">
        <is>
          <t>F07</t>
        </is>
      </c>
      <c r="C221" s="63">
        <f>Flights!$F$11</f>
        <v/>
      </c>
      <c r="D221" s="64">
        <f>Flights!$D$11</f>
        <v/>
      </c>
      <c r="E221" s="63">
        <f>Flights!$G$11&amp;"-"&amp;Flights!$H$11</f>
        <v/>
      </c>
      <c r="F221" s="63">
        <f>Flights!$K$11</f>
        <v/>
      </c>
      <c r="G221" s="63" t="inlineStr">
        <is>
          <t>T-7D</t>
        </is>
      </c>
      <c r="H221" s="63" t="inlineStr">
        <is>
          <t>Preparation</t>
        </is>
      </c>
      <c r="I221" s="63" t="inlineStr">
        <is>
          <t>Uplift plan</t>
        </is>
      </c>
      <c r="J221" s="63" t="inlineStr">
        <is>
          <t>Uplift plan confirmed with caterer vs STD Uplift Information</t>
        </is>
      </c>
      <c r="K221" s="73" t="inlineStr">
        <is>
          <t>Service: 2.5 Meal (Meal); meal uplift stn LHR (ref lists KUL/LHR)</t>
        </is>
      </c>
      <c r="L221" s="73" t="inlineStr">
        <is>
          <t>STD UPLIFT INFORMATION.xlsx &gt; CATERING UPLIFT STN!C9:G9</t>
        </is>
      </c>
      <c r="M221" s="73" t="inlineStr"/>
      <c r="N221" s="73" t="inlineStr">
        <is>
          <t>Required</t>
        </is>
      </c>
      <c r="O221" s="73" t="inlineStr"/>
      <c r="P221" s="63" t="inlineStr">
        <is>
          <t>LHR</t>
        </is>
      </c>
      <c r="Q221" s="65">
        <f>Flights!$AC$11</f>
        <v/>
      </c>
      <c r="R221" s="65">
        <f>Q221+(IF(AND(INDEX(TZ_DSTS,MATCH(P221,TZ_STN,0))&lt;&gt;"",Q221&gt;=INDEX(TZ_DSTS,MATCH(P221,TZ_STN,0)),Q221&lt;INDEX(TZ_DSTE,MATCH(P221,TZ_STN,0))),INDEX(TZ_DST,MATCH(P221,TZ_STN,0)),INDEX(TZ_STD,MATCH(P221,TZ_STN,0))))/24</f>
        <v/>
      </c>
      <c r="S221" s="65" t="inlineStr"/>
      <c r="T221" s="66" t="n"/>
      <c r="U221" s="66" t="n"/>
      <c r="V221" s="66" t="n"/>
      <c r="W221" s="67" t="n"/>
      <c r="X221" s="66" t="n"/>
      <c r="Y221" s="66" t="n"/>
      <c r="Z221" s="66" t="n"/>
      <c r="AA221" s="66" t="n"/>
      <c r="AB221" s="66" t="n"/>
      <c r="AC221" s="66" t="n"/>
      <c r="AD221" s="72" t="n"/>
      <c r="AE221" s="66" t="n"/>
      <c r="AF221" s="67">
        <f>IF(AND(ISNUMBER(X221),ISNUMBER(Y221)),Y221-X221,"")</f>
        <v/>
      </c>
      <c r="AG221" s="68">
        <f>IF(ISNUMBER(AD221),AD221-(IF(AND(INDEX(TZ_DSTS,MATCH(P221,TZ_STN,0))&lt;&gt;"",(AD221-INDEX(TZ_STD,MATCH(P221,TZ_STN,0))/24)&gt;=INDEX(TZ_DSTS,MATCH(P221,TZ_STN,0)),(AD221-INDEX(TZ_STD,MATCH(P221,TZ_STN,0))/24)&lt;INDEX(TZ_DSTE,MATCH(P221,TZ_STN,0))),INDEX(TZ_DST,MATCH(P221,TZ_STN,0)),INDEX(TZ_STD,MATCH(P221,TZ_STN,0))))/24,"")</f>
        <v/>
      </c>
      <c r="AH221" s="71">
        <f>IF(N221="N/A – rule","N/A – RULE",IF(TRIM(U221)="N/A",IF(AT221=0,"INVALID – N/A not permitted for this mandatory check",IF(AND(TRIM(AC221)&lt;&gt;"",TRIM(AE221)&lt;&gt;"",TRIM(T221)&lt;&gt;""),"N/A – JUSTIFIED","INVALID – N/A needs justification, PIC and verifier")),IF(OR(TRIM(U221)="Pass",TRIM(U221)="Pass after CA"),IF(NOT(ISNUMBER(AD221)),"INVALID – completion time missing",IF(TRIM(T221)="","INVALID – PIC missing",IF(TRIM(Z221)="","INVALID – evidence missing",IF(TRIM(AE221)="","INVALID – verifier missing",IF(AND(AQ221=1,TRIM(W221)=""),"INVALID – batch ID missing",IF(AND(AR221=1,OR(NOT(ISNUMBER(X221)),NOT(ISNUMBER(Y221)))),"INVALID – expected/actual qty missing",IF(IF(AND(TRIM(U221)="Pass",ISNUMBER(AF221)),IF(AF221&lt;&gt;0,"INVALID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recorded/closed","")&lt;&gt;"",IF(AND(TRIM(U221)="Pass",ISNUMBER(AF221)),IF(AF221&lt;&gt;0,"INVALID – qty variance: use Fail or Pass after CA",""),"")&amp;IF(AND(TRIM(U221)="Pass",AB221="Open"),"INVALID – corrective action still open: use Fail, then Pass after CA","")&amp;IF(AND(TRIM(U221)="Pass after CA",OR(TRIM(AA221)="",AB221&lt;&gt;"Closed")),"INVALID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window"),IF(AG221&gt;Flights!$AA$11,"INVALID – completed after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f>
        <v/>
      </c>
      <c r="AI221" s="67">
        <f>IF(OR(AH221="N/A – RULE",AH221="N/A – JUSTIFIED"),0,1)</f>
        <v/>
      </c>
      <c r="AJ221" s="67">
        <f>IF(LEFT(AH221,8)="COMPLETE",1,0)</f>
        <v/>
      </c>
      <c r="AK221" s="67">
        <f>IF(AND(AI221=1,AJ221=0,AsOfUTC&gt;Q221),1,0)</f>
        <v/>
      </c>
      <c r="AL221" s="67">
        <f>IF(AND(AI221=1,OR(TRIM(U221)="Fail",AB221="Open",AND(ISNUMBER(AF221),AF221&lt;&gt;0,TRIM(U221)&lt;&gt;"Pass after CA"))),1,0)</f>
        <v/>
      </c>
      <c r="AM221" s="67">
        <f>IF(LEFT(AH221,7)="INVALID",1,0)</f>
        <v/>
      </c>
      <c r="AN221" s="67">
        <f>IF(AND(N221="Clarification required",AI221=1,AJ221=0),1,0)</f>
        <v/>
      </c>
      <c r="AO221" s="67">
        <f>IF(AK221=1,SUM(AK$5:AK221),"")</f>
        <v/>
      </c>
      <c r="AP221" s="67">
        <f>IF(AL221=1,SUM(AL$5:AL221),"")</f>
        <v/>
      </c>
      <c r="AQ221" s="67" t="n">
        <v>0</v>
      </c>
      <c r="AR221" s="67" t="n">
        <v>0</v>
      </c>
      <c r="AS221" s="67" t="n">
        <v>0</v>
      </c>
      <c r="AT221" s="67" t="n">
        <v>0</v>
      </c>
    </row>
    <row r="222" ht="91.5" customHeight="1">
      <c r="A222" s="63" t="inlineStr">
        <is>
          <t>F07-T7-10</t>
        </is>
      </c>
      <c r="B222" s="63" t="inlineStr">
        <is>
          <t>F07</t>
        </is>
      </c>
      <c r="C222" s="63">
        <f>Flights!$F$11</f>
        <v/>
      </c>
      <c r="D222" s="64">
        <f>Flights!$D$11</f>
        <v/>
      </c>
      <c r="E222" s="63">
        <f>Flights!$G$11&amp;"-"&amp;Flights!$H$11</f>
        <v/>
      </c>
      <c r="F222" s="63">
        <f>Flights!$K$11</f>
        <v/>
      </c>
      <c r="G222" s="63" t="inlineStr">
        <is>
          <t>T-7D</t>
        </is>
      </c>
      <c r="H222" s="63" t="inlineStr">
        <is>
          <t>Preparation</t>
        </is>
      </c>
      <c r="I222" s="63" t="inlineStr">
        <is>
          <t>Uplift plan</t>
        </is>
      </c>
      <c r="J222" s="63" t="inlineStr">
        <is>
          <t>Inbound KUL-LHR flight carrying KUL-sourced items identified and its KUL departure (UTC) entered on Flights col AX</t>
        </is>
      </c>
      <c r="K222" s="73" t="inlineStr">
        <is>
          <t>KUL-sourced items (Pajamas (BC), Slippers (BS/BC), Signature drink &amp; garnish (BC)) travel on the inbound KUL-LHR sector</t>
        </is>
      </c>
      <c r="L222" s="73" t="inlineStr">
        <is>
          <t>STD UPLIFT INFORMATION.xlsx &gt; item uplift stn columns (see Requirements)</t>
        </is>
      </c>
      <c r="M222" s="73" t="inlineStr"/>
      <c r="N222" s="73" t="inlineStr">
        <is>
          <t>Clarification required</t>
        </is>
      </c>
      <c r="O222" s="73" t="inlineStr">
        <is>
          <t>Cannot be passed until Flights AX holds the carrying flight's KUL departure. Until then, the prep and KUL-loading dues use the latest possible time: STD minus the shortest agenda KUL-LHR block (MH0002 15-Oct (F06), MH0004 15-Oct (F14), MH0002 30-Oct (F22)) minus the uplift window.</t>
        </is>
      </c>
      <c r="P222" s="63" t="inlineStr">
        <is>
          <t>KUL</t>
        </is>
      </c>
      <c r="Q222" s="65">
        <f>Flights!$AC$11</f>
        <v/>
      </c>
      <c r="R222" s="65">
        <f>Q222+(IF(AND(INDEX(TZ_DSTS,MATCH(P222,TZ_STN,0))&lt;&gt;"",Q222&gt;=INDEX(TZ_DSTS,MATCH(P222,TZ_STN,0)),Q222&lt;INDEX(TZ_DSTE,MATCH(P222,TZ_STN,0))),INDEX(TZ_DST,MATCH(P222,TZ_STN,0)),INDEX(TZ_STD,MATCH(P222,TZ_STN,0))))/24</f>
        <v/>
      </c>
      <c r="S222" s="65" t="inlineStr"/>
      <c r="T222" s="66" t="n"/>
      <c r="U222" s="66" t="n"/>
      <c r="V222" s="66" t="n"/>
      <c r="W222" s="67" t="n"/>
      <c r="X222" s="66" t="n"/>
      <c r="Y222" s="66" t="n"/>
      <c r="Z222" s="66" t="n"/>
      <c r="AA222" s="66" t="n"/>
      <c r="AB222" s="66" t="n"/>
      <c r="AC222" s="66" t="n"/>
      <c r="AD222" s="72" t="n"/>
      <c r="AE222" s="66" t="n"/>
      <c r="AF222" s="67">
        <f>IF(AND(ISNUMBER(X222),ISNUMBER(Y222)),Y222-X222,"")</f>
        <v/>
      </c>
      <c r="AG222" s="68">
        <f>IF(ISNUMBER(AD222),AD222-(IF(AND(INDEX(TZ_DSTS,MATCH(P222,TZ_STN,0))&lt;&gt;"",(AD222-INDEX(TZ_STD,MATCH(P222,TZ_STN,0))/24)&gt;=INDEX(TZ_DSTS,MATCH(P222,TZ_STN,0)),(AD222-INDEX(TZ_STD,MATCH(P222,TZ_STN,0))/24)&lt;INDEX(TZ_DSTE,MATCH(P222,TZ_STN,0))),INDEX(TZ_DST,MATCH(P222,TZ_STN,0)),INDEX(TZ_STD,MATCH(P222,TZ_STN,0))))/24,"")</f>
        <v/>
      </c>
      <c r="AH222" s="71">
        <f>IF(N222="N/A – rule","N/A – RULE",IF(TRIM(U222)="N/A",IF(AT222=0,"INVALID – N/A not permitted for this mandatory check",IF(AND(TRIM(AC222)&lt;&gt;"",TRIM(AE222)&lt;&gt;"",TRIM(T222)&lt;&gt;""),"N/A – JUSTIFIED","INVALID – N/A needs justification, PIC and verifier")),IF(OR(TRIM(U222)="Pass",TRIM(U222)="Pass after CA"),IF(NOT(ISNUMBER(AD222)),"INVALID – completion time missing",IF(TRIM(T222)="","INVALID – PIC missing",IF(TRIM(Z222)="","INVALID – evidence missing",IF(TRIM(AE222)="","INVALID – verifier missing",IF(AND(AQ222=1,TRIM(W222)=""),"INVALID – batch ID missing",IF(AND(AR222=1,OR(NOT(ISNUMBER(X222)),NOT(ISNUMBER(Y222)))),"INVALID – expected/actual qty missing",IF(IF(AND(TRIM(U222)="Pass",ISNUMBER(AF222)),IF(AF222&lt;&gt;0,"INVALID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recorded/closed","")&lt;&gt;"",IF(AND(TRIM(U222)="Pass",ISNUMBER(AF222)),IF(AF222&lt;&gt;0,"INVALID – qty variance: use Fail or Pass after CA",""),"")&amp;IF(AND(TRIM(U222)="Pass",AB222="Open"),"INVALID – corrective action still open: use Fail, then Pass after CA","")&amp;IF(AND(TRIM(U222)="Pass after CA",OR(TRIM(AA222)="",AB222&lt;&gt;"Closed")),"INVALID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window"),IF(AG222&gt;Flights!$AA$11,"INVALID – completed after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f>
        <v/>
      </c>
      <c r="AI222" s="67">
        <f>IF(OR(AH222="N/A – RULE",AH222="N/A – JUSTIFIED"),0,1)</f>
        <v/>
      </c>
      <c r="AJ222" s="67">
        <f>IF(LEFT(AH222,8)="COMPLETE",1,0)</f>
        <v/>
      </c>
      <c r="AK222" s="67">
        <f>IF(AND(AI222=1,AJ222=0,AsOfUTC&gt;Q222),1,0)</f>
        <v/>
      </c>
      <c r="AL222" s="67">
        <f>IF(AND(AI222=1,OR(TRIM(U222)="Fail",AB222="Open",AND(ISNUMBER(AF222),AF222&lt;&gt;0,TRIM(U222)&lt;&gt;"Pass after CA"))),1,0)</f>
        <v/>
      </c>
      <c r="AM222" s="67">
        <f>IF(LEFT(AH222,7)="INVALID",1,0)</f>
        <v/>
      </c>
      <c r="AN222" s="67">
        <f>IF(AND(N222="Clarification required",AI222=1,AJ222=0),1,0)</f>
        <v/>
      </c>
      <c r="AO222" s="67">
        <f>IF(AK222=1,SUM(AK$5:AK222),"")</f>
        <v/>
      </c>
      <c r="AP222" s="67">
        <f>IF(AL222=1,SUM(AL$5:AL222),"")</f>
        <v/>
      </c>
      <c r="AQ222" s="67" t="n">
        <v>0</v>
      </c>
      <c r="AR222" s="67" t="n">
        <v>0</v>
      </c>
      <c r="AS222" s="67" t="n">
        <v>3</v>
      </c>
      <c r="AT222" s="67" t="n">
        <v>1</v>
      </c>
    </row>
    <row r="223" ht="40" customHeight="1">
      <c r="A223" s="63" t="inlineStr">
        <is>
          <t>F07-T24-01</t>
        </is>
      </c>
      <c r="B223" s="63" t="inlineStr">
        <is>
          <t>F07</t>
        </is>
      </c>
      <c r="C223" s="63">
        <f>Flights!$F$11</f>
        <v/>
      </c>
      <c r="D223" s="64">
        <f>Flights!$D$11</f>
        <v/>
      </c>
      <c r="E223" s="63">
        <f>Flights!$G$11&amp;"-"&amp;Flights!$H$11</f>
        <v/>
      </c>
      <c r="F223" s="63">
        <f>Flights!$K$11</f>
        <v/>
      </c>
      <c r="G223" s="63" t="inlineStr">
        <is>
          <t>T-24H</t>
        </is>
      </c>
      <c r="H223" s="63" t="inlineStr">
        <is>
          <t>Preparation</t>
        </is>
      </c>
      <c r="I223" s="63" t="inlineStr">
        <is>
          <t>Meal</t>
        </is>
      </c>
      <c r="J223" s="63" t="inlineStr">
        <is>
          <t>Sensory test repeated on ACTUAL production batch for this flight</t>
        </is>
      </c>
      <c r="K223" s="73" t="inlineStr">
        <is>
          <t>Batch ID, result, CA and acceptance mandatory</t>
        </is>
      </c>
      <c r="L223" s="73" t="inlineStr">
        <is>
          <t>User brief (T-24 hours)</t>
        </is>
      </c>
      <c r="M223" s="73" t="inlineStr"/>
      <c r="N223" s="73" t="inlineStr">
        <is>
          <t>Required</t>
        </is>
      </c>
      <c r="O223" s="73" t="inlineStr"/>
      <c r="P223" s="63" t="inlineStr">
        <is>
          <t>LHR</t>
        </is>
      </c>
      <c r="Q223" s="65">
        <f>Flights!$AD$11</f>
        <v/>
      </c>
      <c r="R223" s="65">
        <f>Q223+(IF(AND(INDEX(TZ_DSTS,MATCH(P223,TZ_STN,0))&lt;&gt;"",Q223&gt;=INDEX(TZ_DSTS,MATCH(P223,TZ_STN,0)),Q223&lt;INDEX(TZ_DSTE,MATCH(P223,TZ_STN,0))),INDEX(TZ_DST,MATCH(P223,TZ_STN,0)),INDEX(TZ_STD,MATCH(P223,TZ_STN,0))))/24</f>
        <v/>
      </c>
      <c r="S223" s="65">
        <f>Q223-T24EarlyH/24</f>
        <v/>
      </c>
      <c r="T223" s="66" t="n"/>
      <c r="U223" s="66" t="n"/>
      <c r="V223" s="66" t="n"/>
      <c r="W223" s="66" t="n"/>
      <c r="X223" s="66" t="n"/>
      <c r="Y223" s="66" t="n"/>
      <c r="Z223" s="66" t="n"/>
      <c r="AA223" s="66" t="n"/>
      <c r="AB223" s="66" t="n"/>
      <c r="AC223" s="66" t="n"/>
      <c r="AD223" s="72" t="n"/>
      <c r="AE223" s="66" t="n"/>
      <c r="AF223" s="67">
        <f>IF(AND(ISNUMBER(X223),ISNUMBER(Y223)),Y223-X223,"")</f>
        <v/>
      </c>
      <c r="AG223" s="68">
        <f>IF(ISNUMBER(AD223),AD223-(IF(AND(INDEX(TZ_DSTS,MATCH(P223,TZ_STN,0))&lt;&gt;"",(AD223-INDEX(TZ_STD,MATCH(P223,TZ_STN,0))/24)&gt;=INDEX(TZ_DSTS,MATCH(P223,TZ_STN,0)),(AD223-INDEX(TZ_STD,MATCH(P223,TZ_STN,0))/24)&lt;INDEX(TZ_DSTE,MATCH(P223,TZ_STN,0))),INDEX(TZ_DST,MATCH(P223,TZ_STN,0)),INDEX(TZ_STD,MATCH(P223,TZ_STN,0))))/24,"")</f>
        <v/>
      </c>
      <c r="AH223" s="71">
        <f>IF(N223="N/A – rule","N/A – RULE",IF(TRIM(U223)="N/A",IF(AT223=0,"INVALID – N/A not permitted for this mandatory check",IF(AND(TRIM(AC223)&lt;&gt;"",TRIM(AE223)&lt;&gt;"",TRIM(T223)&lt;&gt;""),"N/A – JUSTIFIED","INVALID – N/A needs justification, PIC and verifier")),IF(OR(TRIM(U223)="Pass",TRIM(U223)="Pass after CA"),IF(NOT(ISNUMBER(AD223)),"INVALID – completion time missing",IF(TRIM(T223)="","INVALID – PIC missing",IF(TRIM(Z223)="","INVALID – evidence missing",IF(TRIM(AE223)="","INVALID – verifier missing",IF(AND(AQ223=1,TRIM(W223)=""),"INVALID – batch ID missing",IF(AND(AR223=1,OR(NOT(ISNUMBER(X223)),NOT(ISNUMBER(Y223)))),"INVALID – expected/actual qty missing",IF(IF(AND(TRIM(U223)="Pass",ISNUMBER(AF223)),IF(AF223&lt;&gt;0,"INVALID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recorded/closed","")&lt;&gt;"",IF(AND(TRIM(U223)="Pass",ISNUMBER(AF223)),IF(AF223&lt;&gt;0,"INVALID – qty variance: use Fail or Pass after CA",""),"")&amp;IF(AND(TRIM(U223)="Pass",AB223="Open"),"INVALID – corrective action still open: use Fail, then Pass after CA","")&amp;IF(AND(TRIM(U223)="Pass after CA",OR(TRIM(AA223)="",AB223&lt;&gt;"Closed")),"INVALID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window"),IF(AG223&gt;Flights!$AA$11,"INVALID – completed after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f>
        <v/>
      </c>
      <c r="AI223" s="67">
        <f>IF(OR(AH223="N/A – RULE",AH223="N/A – JUSTIFIED"),0,1)</f>
        <v/>
      </c>
      <c r="AJ223" s="67">
        <f>IF(LEFT(AH223,8)="COMPLETE",1,0)</f>
        <v/>
      </c>
      <c r="AK223" s="67">
        <f>IF(AND(AI223=1,AJ223=0,AsOfUTC&gt;Q223),1,0)</f>
        <v/>
      </c>
      <c r="AL223" s="67">
        <f>IF(AND(AI223=1,OR(TRIM(U223)="Fail",AB223="Open",AND(ISNUMBER(AF223),AF223&lt;&gt;0,TRIM(U223)&lt;&gt;"Pass after CA"))),1,0)</f>
        <v/>
      </c>
      <c r="AM223" s="67">
        <f>IF(LEFT(AH223,7)="INVALID",1,0)</f>
        <v/>
      </c>
      <c r="AN223" s="67">
        <f>IF(AND(N223="Clarification required",AI223=1,AJ223=0),1,0)</f>
        <v/>
      </c>
      <c r="AO223" s="67">
        <f>IF(AK223=1,SUM(AK$5:AK223),"")</f>
        <v/>
      </c>
      <c r="AP223" s="67">
        <f>IF(AL223=1,SUM(AL$5:AL223),"")</f>
        <v/>
      </c>
      <c r="AQ223" s="67" t="n">
        <v>1</v>
      </c>
      <c r="AR223" s="67" t="n">
        <v>0</v>
      </c>
      <c r="AS223" s="67" t="n">
        <v>0</v>
      </c>
      <c r="AT223" s="67" t="n">
        <v>0</v>
      </c>
    </row>
    <row r="224" ht="40" customHeight="1">
      <c r="A224" s="63" t="inlineStr">
        <is>
          <t>F07-T12-01</t>
        </is>
      </c>
      <c r="B224" s="63" t="inlineStr">
        <is>
          <t>F07</t>
        </is>
      </c>
      <c r="C224" s="63">
        <f>Flights!$F$11</f>
        <v/>
      </c>
      <c r="D224" s="64">
        <f>Flights!$D$11</f>
        <v/>
      </c>
      <c r="E224" s="63">
        <f>Flights!$G$11&amp;"-"&amp;Flights!$H$11</f>
        <v/>
      </c>
      <c r="F224" s="63">
        <f>Flights!$K$11</f>
        <v/>
      </c>
      <c r="G224" s="63" t="inlineStr">
        <is>
          <t>T-12H PREP</t>
        </is>
      </c>
      <c r="H224" s="63" t="inlineStr">
        <is>
          <t>Preparation</t>
        </is>
      </c>
      <c r="I224" s="63" t="inlineStr">
        <is>
          <t>Meal</t>
        </is>
      </c>
      <c r="J224" s="63" t="inlineStr">
        <is>
          <t>Meal quality vs menu checklist</t>
        </is>
      </c>
      <c r="K224" s="73" t="inlineStr"/>
      <c r="L224" s="73" t="inlineStr">
        <is>
          <t>User brief (T-12 hours)</t>
        </is>
      </c>
      <c r="M224" s="73" t="inlineStr"/>
      <c r="N224" s="73" t="inlineStr">
        <is>
          <t>Required</t>
        </is>
      </c>
      <c r="O224" s="73" t="inlineStr">
        <is>
          <t>Preparation check at caterer - does NOT confirm loading.</t>
        </is>
      </c>
      <c r="P224" s="63" t="inlineStr">
        <is>
          <t>LHR</t>
        </is>
      </c>
      <c r="Q224" s="65">
        <f>Flights!$AE$11</f>
        <v/>
      </c>
      <c r="R224" s="65">
        <f>Q224+(IF(AND(INDEX(TZ_DSTS,MATCH(P224,TZ_STN,0))&lt;&gt;"",Q224&gt;=INDEX(TZ_DSTS,MATCH(P224,TZ_STN,0)),Q224&lt;INDEX(TZ_DSTE,MATCH(P224,TZ_STN,0))),INDEX(TZ_DST,MATCH(P224,TZ_STN,0)),INDEX(TZ_STD,MATCH(P224,TZ_STN,0))))/24</f>
        <v/>
      </c>
      <c r="S224" s="65">
        <f>Q224-T12EarlyH/24</f>
        <v/>
      </c>
      <c r="T224" s="66" t="n"/>
      <c r="U224" s="66" t="n"/>
      <c r="V224" s="66" t="n"/>
      <c r="W224" s="67" t="n"/>
      <c r="X224" s="66" t="n"/>
      <c r="Y224" s="66" t="n"/>
      <c r="Z224" s="66" t="n"/>
      <c r="AA224" s="66" t="n"/>
      <c r="AB224" s="66" t="n"/>
      <c r="AC224" s="66" t="n"/>
      <c r="AD224" s="72" t="n"/>
      <c r="AE224" s="66" t="n"/>
      <c r="AF224" s="67">
        <f>IF(AND(ISNUMBER(X224),ISNUMBER(Y224)),Y224-X224,"")</f>
        <v/>
      </c>
      <c r="AG224" s="68">
        <f>IF(ISNUMBER(AD224),AD224-(IF(AND(INDEX(TZ_DSTS,MATCH(P224,TZ_STN,0))&lt;&gt;"",(AD224-INDEX(TZ_STD,MATCH(P224,TZ_STN,0))/24)&gt;=INDEX(TZ_DSTS,MATCH(P224,TZ_STN,0)),(AD224-INDEX(TZ_STD,MATCH(P224,TZ_STN,0))/24)&lt;INDEX(TZ_DSTE,MATCH(P224,TZ_STN,0))),INDEX(TZ_DST,MATCH(P224,TZ_STN,0)),INDEX(TZ_STD,MATCH(P224,TZ_STN,0))))/24,"")</f>
        <v/>
      </c>
      <c r="AH224" s="71">
        <f>IF(N224="N/A – rule","N/A – RULE",IF(TRIM(U224)="N/A",IF(AT224=0,"INVALID – N/A not permitted for this mandatory check",IF(AND(TRIM(AC224)&lt;&gt;"",TRIM(AE224)&lt;&gt;"",TRIM(T224)&lt;&gt;""),"N/A – JUSTIFIED","INVALID – N/A needs justification, PIC and verifier")),IF(OR(TRIM(U224)="Pass",TRIM(U224)="Pass after CA"),IF(NOT(ISNUMBER(AD224)),"INVALID – completion time missing",IF(TRIM(T224)="","INVALID – PIC missing",IF(TRIM(Z224)="","INVALID – evidence missing",IF(TRIM(AE224)="","INVALID – verifier missing",IF(AND(AQ224=1,TRIM(W224)=""),"INVALID – batch ID missing",IF(AND(AR224=1,OR(NOT(ISNUMBER(X224)),NOT(ISNUMBER(Y224)))),"INVALID – expected/actual qty missing",IF(IF(AND(TRIM(U224)="Pass",ISNUMBER(AF224)),IF(AF224&lt;&gt;0,"INVALID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recorded/closed","")&lt;&gt;"",IF(AND(TRIM(U224)="Pass",ISNUMBER(AF224)),IF(AF224&lt;&gt;0,"INVALID – qty variance: use Fail or Pass after CA",""),"")&amp;IF(AND(TRIM(U224)="Pass",AB224="Open"),"INVALID – corrective action still open: use Fail, then Pass after CA","")&amp;IF(AND(TRIM(U224)="Pass after CA",OR(TRIM(AA224)="",AB224&lt;&gt;"Closed")),"INVALID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window"),IF(AG224&gt;Flights!$AA$11,"INVALID – completed after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f>
        <v/>
      </c>
      <c r="AI224" s="67">
        <f>IF(OR(AH224="N/A – RULE",AH224="N/A – JUSTIFIED"),0,1)</f>
        <v/>
      </c>
      <c r="AJ224" s="67">
        <f>IF(LEFT(AH224,8)="COMPLETE",1,0)</f>
        <v/>
      </c>
      <c r="AK224" s="67">
        <f>IF(AND(AI224=1,AJ224=0,AsOfUTC&gt;Q224),1,0)</f>
        <v/>
      </c>
      <c r="AL224" s="67">
        <f>IF(AND(AI224=1,OR(TRIM(U224)="Fail",AB224="Open",AND(ISNUMBER(AF224),AF224&lt;&gt;0,TRIM(U224)&lt;&gt;"Pass after CA"))),1,0)</f>
        <v/>
      </c>
      <c r="AM224" s="67">
        <f>IF(LEFT(AH224,7)="INVALID",1,0)</f>
        <v/>
      </c>
      <c r="AN224" s="67">
        <f>IF(AND(N224="Clarification required",AI224=1,AJ224=0),1,0)</f>
        <v/>
      </c>
      <c r="AO224" s="67">
        <f>IF(AK224=1,SUM(AK$5:AK224),"")</f>
        <v/>
      </c>
      <c r="AP224" s="67">
        <f>IF(AL224=1,SUM(AL$5:AL224),"")</f>
        <v/>
      </c>
      <c r="AQ224" s="67" t="n">
        <v>0</v>
      </c>
      <c r="AR224" s="67" t="n">
        <v>0</v>
      </c>
      <c r="AS224" s="67" t="n">
        <v>0</v>
      </c>
      <c r="AT224" s="67" t="n">
        <v>0</v>
      </c>
    </row>
    <row r="225" ht="40" customHeight="1">
      <c r="A225" s="63" t="inlineStr">
        <is>
          <t>F07-T12-02</t>
        </is>
      </c>
      <c r="B225" s="63" t="inlineStr">
        <is>
          <t>F07</t>
        </is>
      </c>
      <c r="C225" s="63">
        <f>Flights!$F$11</f>
        <v/>
      </c>
      <c r="D225" s="64">
        <f>Flights!$D$11</f>
        <v/>
      </c>
      <c r="E225" s="63">
        <f>Flights!$G$11&amp;"-"&amp;Flights!$H$11</f>
        <v/>
      </c>
      <c r="F225" s="63">
        <f>Flights!$K$11</f>
        <v/>
      </c>
      <c r="G225" s="63" t="inlineStr">
        <is>
          <t>T-12H PREP</t>
        </is>
      </c>
      <c r="H225" s="63" t="inlineStr">
        <is>
          <t>Preparation</t>
        </is>
      </c>
      <c r="I225" s="63" t="inlineStr">
        <is>
          <t>Meal</t>
        </is>
      </c>
      <c r="J225" s="63" t="inlineStr">
        <is>
          <t>Meal quantities vs menu checklist</t>
        </is>
      </c>
      <c r="K225" s="73" t="inlineStr">
        <is>
          <t>Enter expected &amp; actual</t>
        </is>
      </c>
      <c r="L225" s="73" t="inlineStr">
        <is>
          <t>User brief (T-12 hours)</t>
        </is>
      </c>
      <c r="M225" s="73" t="inlineStr"/>
      <c r="N225" s="73" t="inlineStr">
        <is>
          <t>Required</t>
        </is>
      </c>
      <c r="O225" s="73" t="inlineStr">
        <is>
          <t>Preparation check at caterer - does NOT confirm loading.</t>
        </is>
      </c>
      <c r="P225" s="63" t="inlineStr">
        <is>
          <t>LHR</t>
        </is>
      </c>
      <c r="Q225" s="65">
        <f>Flights!$AE$11</f>
        <v/>
      </c>
      <c r="R225" s="65">
        <f>Q225+(IF(AND(INDEX(TZ_DSTS,MATCH(P225,TZ_STN,0))&lt;&gt;"",Q225&gt;=INDEX(TZ_DSTS,MATCH(P225,TZ_STN,0)),Q225&lt;INDEX(TZ_DSTE,MATCH(P225,TZ_STN,0))),INDEX(TZ_DST,MATCH(P225,TZ_STN,0)),INDEX(TZ_STD,MATCH(P225,TZ_STN,0))))/24</f>
        <v/>
      </c>
      <c r="S225" s="65">
        <f>Q225-T12EarlyH/24</f>
        <v/>
      </c>
      <c r="T225" s="66" t="n"/>
      <c r="U225" s="66" t="n"/>
      <c r="V225" s="66" t="n"/>
      <c r="W225" s="67" t="n"/>
      <c r="X225" s="66" t="n"/>
      <c r="Y225" s="66" t="n"/>
      <c r="Z225" s="66" t="n"/>
      <c r="AA225" s="66" t="n"/>
      <c r="AB225" s="66" t="n"/>
      <c r="AC225" s="66" t="n"/>
      <c r="AD225" s="72" t="n"/>
      <c r="AE225" s="66" t="n"/>
      <c r="AF225" s="67">
        <f>IF(AND(ISNUMBER(X225),ISNUMBER(Y225)),Y225-X225,"")</f>
        <v/>
      </c>
      <c r="AG225" s="68">
        <f>IF(ISNUMBER(AD225),AD225-(IF(AND(INDEX(TZ_DSTS,MATCH(P225,TZ_STN,0))&lt;&gt;"",(AD225-INDEX(TZ_STD,MATCH(P225,TZ_STN,0))/24)&gt;=INDEX(TZ_DSTS,MATCH(P225,TZ_STN,0)),(AD225-INDEX(TZ_STD,MATCH(P225,TZ_STN,0))/24)&lt;INDEX(TZ_DSTE,MATCH(P225,TZ_STN,0))),INDEX(TZ_DST,MATCH(P225,TZ_STN,0)),INDEX(TZ_STD,MATCH(P225,TZ_STN,0))))/24,"")</f>
        <v/>
      </c>
      <c r="AH225" s="71">
        <f>IF(N225="N/A – rule","N/A – RULE",IF(TRIM(U225)="N/A",IF(AT225=0,"INVALID – N/A not permitted for this mandatory check",IF(AND(TRIM(AC225)&lt;&gt;"",TRIM(AE225)&lt;&gt;"",TRIM(T225)&lt;&gt;""),"N/A – JUSTIFIED","INVALID – N/A needs justification, PIC and verifier")),IF(OR(TRIM(U225)="Pass",TRIM(U225)="Pass after CA"),IF(NOT(ISNUMBER(AD225)),"INVALID – completion time missing",IF(TRIM(T225)="","INVALID – PIC missing",IF(TRIM(Z225)="","INVALID – evidence missing",IF(TRIM(AE225)="","INVALID – verifier missing",IF(AND(AQ225=1,TRIM(W225)=""),"INVALID – batch ID missing",IF(AND(AR225=1,OR(NOT(ISNUMBER(X225)),NOT(ISNUMBER(Y225)))),"INVALID – expected/actual qty missing",IF(IF(AND(TRIM(U225)="Pass",ISNUMBER(AF225)),IF(AF225&lt;&gt;0,"INVALID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recorded/closed","")&lt;&gt;"",IF(AND(TRIM(U225)="Pass",ISNUMBER(AF225)),IF(AF225&lt;&gt;0,"INVALID – qty variance: use Fail or Pass after CA",""),"")&amp;IF(AND(TRIM(U225)="Pass",AB225="Open"),"INVALID – corrective action still open: use Fail, then Pass after CA","")&amp;IF(AND(TRIM(U225)="Pass after CA",OR(TRIM(AA225)="",AB225&lt;&gt;"Closed")),"INVALID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window"),IF(AG225&gt;Flights!$AA$11,"INVALID – completed after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f>
        <v/>
      </c>
      <c r="AI225" s="67">
        <f>IF(OR(AH225="N/A – RULE",AH225="N/A – JUSTIFIED"),0,1)</f>
        <v/>
      </c>
      <c r="AJ225" s="67">
        <f>IF(LEFT(AH225,8)="COMPLETE",1,0)</f>
        <v/>
      </c>
      <c r="AK225" s="67">
        <f>IF(AND(AI225=1,AJ225=0,AsOfUTC&gt;Q225),1,0)</f>
        <v/>
      </c>
      <c r="AL225" s="67">
        <f>IF(AND(AI225=1,OR(TRIM(U225)="Fail",AB225="Open",AND(ISNUMBER(AF225),AF225&lt;&gt;0,TRIM(U225)&lt;&gt;"Pass after CA"))),1,0)</f>
        <v/>
      </c>
      <c r="AM225" s="67">
        <f>IF(LEFT(AH225,7)="INVALID",1,0)</f>
        <v/>
      </c>
      <c r="AN225" s="67">
        <f>IF(AND(N225="Clarification required",AI225=1,AJ225=0),1,0)</f>
        <v/>
      </c>
      <c r="AO225" s="67">
        <f>IF(AK225=1,SUM(AK$5:AK225),"")</f>
        <v/>
      </c>
      <c r="AP225" s="67">
        <f>IF(AL225=1,SUM(AL$5:AL225),"")</f>
        <v/>
      </c>
      <c r="AQ225" s="67" t="n">
        <v>0</v>
      </c>
      <c r="AR225" s="67" t="n">
        <v>1</v>
      </c>
      <c r="AS225" s="67" t="n">
        <v>0</v>
      </c>
      <c r="AT225" s="67" t="n">
        <v>0</v>
      </c>
    </row>
    <row r="226" ht="40" customHeight="1">
      <c r="A226" s="63" t="inlineStr">
        <is>
          <t>F07-T12-03</t>
        </is>
      </c>
      <c r="B226" s="63" t="inlineStr">
        <is>
          <t>F07</t>
        </is>
      </c>
      <c r="C226" s="63">
        <f>Flights!$F$11</f>
        <v/>
      </c>
      <c r="D226" s="64">
        <f>Flights!$D$11</f>
        <v/>
      </c>
      <c r="E226" s="63">
        <f>Flights!$G$11&amp;"-"&amp;Flights!$H$11</f>
        <v/>
      </c>
      <c r="F226" s="63">
        <f>Flights!$K$11</f>
        <v/>
      </c>
      <c r="G226" s="63" t="inlineStr">
        <is>
          <t>T-12H PREP</t>
        </is>
      </c>
      <c r="H226" s="63" t="inlineStr">
        <is>
          <t>Preparation</t>
        </is>
      </c>
      <c r="I226" s="63" t="inlineStr">
        <is>
          <t>Equipment</t>
        </is>
      </c>
      <c r="J226" s="63" t="inlineStr">
        <is>
          <t>Equipment cleanliness vs GLD</t>
        </is>
      </c>
      <c r="K226" s="73" t="inlineStr"/>
      <c r="L226" s="73" t="inlineStr">
        <is>
          <t>User brief (T-12 hours)</t>
        </is>
      </c>
      <c r="M226" s="73" t="inlineStr"/>
      <c r="N226" s="73" t="inlineStr">
        <is>
          <t>Required</t>
        </is>
      </c>
      <c r="O226" s="73" t="inlineStr">
        <is>
          <t>Preparation check at caterer - does NOT confirm loading.</t>
        </is>
      </c>
      <c r="P226" s="63" t="inlineStr">
        <is>
          <t>LHR</t>
        </is>
      </c>
      <c r="Q226" s="65">
        <f>Flights!$AE$11</f>
        <v/>
      </c>
      <c r="R226" s="65">
        <f>Q226+(IF(AND(INDEX(TZ_DSTS,MATCH(P226,TZ_STN,0))&lt;&gt;"",Q226&gt;=INDEX(TZ_DSTS,MATCH(P226,TZ_STN,0)),Q226&lt;INDEX(TZ_DSTE,MATCH(P226,TZ_STN,0))),INDEX(TZ_DST,MATCH(P226,TZ_STN,0)),INDEX(TZ_STD,MATCH(P226,TZ_STN,0))))/24</f>
        <v/>
      </c>
      <c r="S226" s="65">
        <f>Q226-T12EarlyH/24</f>
        <v/>
      </c>
      <c r="T226" s="66" t="n"/>
      <c r="U226" s="66" t="n"/>
      <c r="V226" s="66" t="n"/>
      <c r="W226" s="67" t="n"/>
      <c r="X226" s="66" t="n"/>
      <c r="Y226" s="66" t="n"/>
      <c r="Z226" s="66" t="n"/>
      <c r="AA226" s="66" t="n"/>
      <c r="AB226" s="66" t="n"/>
      <c r="AC226" s="66" t="n"/>
      <c r="AD226" s="72" t="n"/>
      <c r="AE226" s="66" t="n"/>
      <c r="AF226" s="67">
        <f>IF(AND(ISNUMBER(X226),ISNUMBER(Y226)),Y226-X226,"")</f>
        <v/>
      </c>
      <c r="AG226" s="68">
        <f>IF(ISNUMBER(AD226),AD226-(IF(AND(INDEX(TZ_DSTS,MATCH(P226,TZ_STN,0))&lt;&gt;"",(AD226-INDEX(TZ_STD,MATCH(P226,TZ_STN,0))/24)&gt;=INDEX(TZ_DSTS,MATCH(P226,TZ_STN,0)),(AD226-INDEX(TZ_STD,MATCH(P226,TZ_STN,0))/24)&lt;INDEX(TZ_DSTE,MATCH(P226,TZ_STN,0))),INDEX(TZ_DST,MATCH(P226,TZ_STN,0)),INDEX(TZ_STD,MATCH(P226,TZ_STN,0))))/24,"")</f>
        <v/>
      </c>
      <c r="AH226" s="71">
        <f>IF(N226="N/A – rule","N/A – RULE",IF(TRIM(U226)="N/A",IF(AT226=0,"INVALID – N/A not permitted for this mandatory check",IF(AND(TRIM(AC226)&lt;&gt;"",TRIM(AE226)&lt;&gt;"",TRIM(T226)&lt;&gt;""),"N/A – JUSTIFIED","INVALID – N/A needs justification, PIC and verifier")),IF(OR(TRIM(U226)="Pass",TRIM(U226)="Pass after CA"),IF(NOT(ISNUMBER(AD226)),"INVALID – completion time missing",IF(TRIM(T226)="","INVALID – PIC missing",IF(TRIM(Z226)="","INVALID – evidence missing",IF(TRIM(AE226)="","INVALID – verifier missing",IF(AND(AQ226=1,TRIM(W226)=""),"INVALID – batch ID missing",IF(AND(AR226=1,OR(NOT(ISNUMBER(X226)),NOT(ISNUMBER(Y226)))),"INVALID – expected/actual qty missing",IF(IF(AND(TRIM(U226)="Pass",ISNUMBER(AF226)),IF(AF226&lt;&gt;0,"INVALID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recorded/closed","")&lt;&gt;"",IF(AND(TRIM(U226)="Pass",ISNUMBER(AF226)),IF(AF226&lt;&gt;0,"INVALID – qty variance: use Fail or Pass after CA",""),"")&amp;IF(AND(TRIM(U226)="Pass",AB226="Open"),"INVALID – corrective action still open: use Fail, then Pass after CA","")&amp;IF(AND(TRIM(U226)="Pass after CA",OR(TRIM(AA226)="",AB226&lt;&gt;"Closed")),"INVALID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window"),IF(AG226&gt;Flights!$AA$11,"INVALID – completed after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f>
        <v/>
      </c>
      <c r="AI226" s="67">
        <f>IF(OR(AH226="N/A – RULE",AH226="N/A – JUSTIFIED"),0,1)</f>
        <v/>
      </c>
      <c r="AJ226" s="67">
        <f>IF(LEFT(AH226,8)="COMPLETE",1,0)</f>
        <v/>
      </c>
      <c r="AK226" s="67">
        <f>IF(AND(AI226=1,AJ226=0,AsOfUTC&gt;Q226),1,0)</f>
        <v/>
      </c>
      <c r="AL226" s="67">
        <f>IF(AND(AI226=1,OR(TRIM(U226)="Fail",AB226="Open",AND(ISNUMBER(AF226),AF226&lt;&gt;0,TRIM(U226)&lt;&gt;"Pass after CA"))),1,0)</f>
        <v/>
      </c>
      <c r="AM226" s="67">
        <f>IF(LEFT(AH226,7)="INVALID",1,0)</f>
        <v/>
      </c>
      <c r="AN226" s="67">
        <f>IF(AND(N226="Clarification required",AI226=1,AJ226=0),1,0)</f>
        <v/>
      </c>
      <c r="AO226" s="67">
        <f>IF(AK226=1,SUM(AK$5:AK226),"")</f>
        <v/>
      </c>
      <c r="AP226" s="67">
        <f>IF(AL226=1,SUM(AL$5:AL226),"")</f>
        <v/>
      </c>
      <c r="AQ226" s="67" t="n">
        <v>0</v>
      </c>
      <c r="AR226" s="67" t="n">
        <v>0</v>
      </c>
      <c r="AS226" s="67" t="n">
        <v>0</v>
      </c>
      <c r="AT226" s="67" t="n">
        <v>0</v>
      </c>
    </row>
    <row r="227" ht="40" customHeight="1">
      <c r="A227" s="63" t="inlineStr">
        <is>
          <t>F07-T12-04</t>
        </is>
      </c>
      <c r="B227" s="63" t="inlineStr">
        <is>
          <t>F07</t>
        </is>
      </c>
      <c r="C227" s="63">
        <f>Flights!$F$11</f>
        <v/>
      </c>
      <c r="D227" s="64">
        <f>Flights!$D$11</f>
        <v/>
      </c>
      <c r="E227" s="63">
        <f>Flights!$G$11&amp;"-"&amp;Flights!$H$11</f>
        <v/>
      </c>
      <c r="F227" s="63">
        <f>Flights!$K$11</f>
        <v/>
      </c>
      <c r="G227" s="63" t="inlineStr">
        <is>
          <t>T-12H PREP</t>
        </is>
      </c>
      <c r="H227" s="63" t="inlineStr">
        <is>
          <t>Preparation</t>
        </is>
      </c>
      <c r="I227" s="63" t="inlineStr">
        <is>
          <t>Equipment</t>
        </is>
      </c>
      <c r="J227" s="63" t="inlineStr">
        <is>
          <t>Equipment presentation vs GLD</t>
        </is>
      </c>
      <c r="K227" s="73" t="inlineStr"/>
      <c r="L227" s="73" t="inlineStr">
        <is>
          <t>User brief (T-12 hours)</t>
        </is>
      </c>
      <c r="M227" s="73" t="inlineStr"/>
      <c r="N227" s="73" t="inlineStr">
        <is>
          <t>Required</t>
        </is>
      </c>
      <c r="O227" s="73" t="inlineStr">
        <is>
          <t>Preparation check at caterer - does NOT confirm loading.</t>
        </is>
      </c>
      <c r="P227" s="63" t="inlineStr">
        <is>
          <t>LHR</t>
        </is>
      </c>
      <c r="Q227" s="65">
        <f>Flights!$AE$11</f>
        <v/>
      </c>
      <c r="R227" s="65">
        <f>Q227+(IF(AND(INDEX(TZ_DSTS,MATCH(P227,TZ_STN,0))&lt;&gt;"",Q227&gt;=INDEX(TZ_DSTS,MATCH(P227,TZ_STN,0)),Q227&lt;INDEX(TZ_DSTE,MATCH(P227,TZ_STN,0))),INDEX(TZ_DST,MATCH(P227,TZ_STN,0)),INDEX(TZ_STD,MATCH(P227,TZ_STN,0))))/24</f>
        <v/>
      </c>
      <c r="S227" s="65">
        <f>Q227-T12EarlyH/24</f>
        <v/>
      </c>
      <c r="T227" s="66" t="n"/>
      <c r="U227" s="66" t="n"/>
      <c r="V227" s="66" t="n"/>
      <c r="W227" s="67" t="n"/>
      <c r="X227" s="66" t="n"/>
      <c r="Y227" s="66" t="n"/>
      <c r="Z227" s="66" t="n"/>
      <c r="AA227" s="66" t="n"/>
      <c r="AB227" s="66" t="n"/>
      <c r="AC227" s="66" t="n"/>
      <c r="AD227" s="72" t="n"/>
      <c r="AE227" s="66" t="n"/>
      <c r="AF227" s="67">
        <f>IF(AND(ISNUMBER(X227),ISNUMBER(Y227)),Y227-X227,"")</f>
        <v/>
      </c>
      <c r="AG227" s="68">
        <f>IF(ISNUMBER(AD227),AD227-(IF(AND(INDEX(TZ_DSTS,MATCH(P227,TZ_STN,0))&lt;&gt;"",(AD227-INDEX(TZ_STD,MATCH(P227,TZ_STN,0))/24)&gt;=INDEX(TZ_DSTS,MATCH(P227,TZ_STN,0)),(AD227-INDEX(TZ_STD,MATCH(P227,TZ_STN,0))/24)&lt;INDEX(TZ_DSTE,MATCH(P227,TZ_STN,0))),INDEX(TZ_DST,MATCH(P227,TZ_STN,0)),INDEX(TZ_STD,MATCH(P227,TZ_STN,0))))/24,"")</f>
        <v/>
      </c>
      <c r="AH227" s="71">
        <f>IF(N227="N/A – rule","N/A – RULE",IF(TRIM(U227)="N/A",IF(AT227=0,"INVALID – N/A not permitted for this mandatory check",IF(AND(TRIM(AC227)&lt;&gt;"",TRIM(AE227)&lt;&gt;"",TRIM(T227)&lt;&gt;""),"N/A – JUSTIFIED","INVALID – N/A needs justification, PIC and verifier")),IF(OR(TRIM(U227)="Pass",TRIM(U227)="Pass after CA"),IF(NOT(ISNUMBER(AD227)),"INVALID – completion time missing",IF(TRIM(T227)="","INVALID – PIC missing",IF(TRIM(Z227)="","INVALID – evidence missing",IF(TRIM(AE227)="","INVALID – verifier missing",IF(AND(AQ227=1,TRIM(W227)=""),"INVALID – batch ID missing",IF(AND(AR227=1,OR(NOT(ISNUMBER(X227)),NOT(ISNUMBER(Y227)))),"INVALID – expected/actual qty missing",IF(IF(AND(TRIM(U227)="Pass",ISNUMBER(AF227)),IF(AF227&lt;&gt;0,"INVALID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recorded/closed","")&lt;&gt;"",IF(AND(TRIM(U227)="Pass",ISNUMBER(AF227)),IF(AF227&lt;&gt;0,"INVALID – qty variance: use Fail or Pass after CA",""),"")&amp;IF(AND(TRIM(U227)="Pass",AB227="Open"),"INVALID – corrective action still open: use Fail, then Pass after CA","")&amp;IF(AND(TRIM(U227)="Pass after CA",OR(TRIM(AA227)="",AB227&lt;&gt;"Closed")),"INVALID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window"),IF(AG227&gt;Flights!$AA$11,"INVALID – completed after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f>
        <v/>
      </c>
      <c r="AI227" s="67">
        <f>IF(OR(AH227="N/A – RULE",AH227="N/A – JUSTIFIED"),0,1)</f>
        <v/>
      </c>
      <c r="AJ227" s="67">
        <f>IF(LEFT(AH227,8)="COMPLETE",1,0)</f>
        <v/>
      </c>
      <c r="AK227" s="67">
        <f>IF(AND(AI227=1,AJ227=0,AsOfUTC&gt;Q227),1,0)</f>
        <v/>
      </c>
      <c r="AL227" s="67">
        <f>IF(AND(AI227=1,OR(TRIM(U227)="Fail",AB227="Open",AND(ISNUMBER(AF227),AF227&lt;&gt;0,TRIM(U227)&lt;&gt;"Pass after CA"))),1,0)</f>
        <v/>
      </c>
      <c r="AM227" s="67">
        <f>IF(LEFT(AH227,7)="INVALID",1,0)</f>
        <v/>
      </c>
      <c r="AN227" s="67">
        <f>IF(AND(N227="Clarification required",AI227=1,AJ227=0),1,0)</f>
        <v/>
      </c>
      <c r="AO227" s="67">
        <f>IF(AK227=1,SUM(AK$5:AK227),"")</f>
        <v/>
      </c>
      <c r="AP227" s="67">
        <f>IF(AL227=1,SUM(AL$5:AL227),"")</f>
        <v/>
      </c>
      <c r="AQ227" s="67" t="n">
        <v>0</v>
      </c>
      <c r="AR227" s="67" t="n">
        <v>0</v>
      </c>
      <c r="AS227" s="67" t="n">
        <v>0</v>
      </c>
      <c r="AT227" s="67" t="n">
        <v>0</v>
      </c>
    </row>
    <row r="228" ht="40" customHeight="1">
      <c r="A228" s="63" t="inlineStr">
        <is>
          <t>F07-T12-05</t>
        </is>
      </c>
      <c r="B228" s="63" t="inlineStr">
        <is>
          <t>F07</t>
        </is>
      </c>
      <c r="C228" s="63">
        <f>Flights!$F$11</f>
        <v/>
      </c>
      <c r="D228" s="64">
        <f>Flights!$D$11</f>
        <v/>
      </c>
      <c r="E228" s="63">
        <f>Flights!$G$11&amp;"-"&amp;Flights!$H$11</f>
        <v/>
      </c>
      <c r="F228" s="63">
        <f>Flights!$K$11</f>
        <v/>
      </c>
      <c r="G228" s="63" t="inlineStr">
        <is>
          <t>T-12H PREP</t>
        </is>
      </c>
      <c r="H228" s="63" t="inlineStr">
        <is>
          <t>Preparation</t>
        </is>
      </c>
      <c r="I228" s="63" t="inlineStr">
        <is>
          <t>Equipment</t>
        </is>
      </c>
      <c r="J228" s="63" t="inlineStr">
        <is>
          <t>Equipment serviceability vs GLD</t>
        </is>
      </c>
      <c r="K228" s="73" t="inlineStr"/>
      <c r="L228" s="73" t="inlineStr">
        <is>
          <t>User brief (T-12 hours)</t>
        </is>
      </c>
      <c r="M228" s="73" t="inlineStr"/>
      <c r="N228" s="73" t="inlineStr">
        <is>
          <t>Required</t>
        </is>
      </c>
      <c r="O228" s="73" t="inlineStr">
        <is>
          <t>Preparation check at caterer - does NOT confirm loading.</t>
        </is>
      </c>
      <c r="P228" s="63" t="inlineStr">
        <is>
          <t>LHR</t>
        </is>
      </c>
      <c r="Q228" s="65">
        <f>Flights!$AE$11</f>
        <v/>
      </c>
      <c r="R228" s="65">
        <f>Q228+(IF(AND(INDEX(TZ_DSTS,MATCH(P228,TZ_STN,0))&lt;&gt;"",Q228&gt;=INDEX(TZ_DSTS,MATCH(P228,TZ_STN,0)),Q228&lt;INDEX(TZ_DSTE,MATCH(P228,TZ_STN,0))),INDEX(TZ_DST,MATCH(P228,TZ_STN,0)),INDEX(TZ_STD,MATCH(P228,TZ_STN,0))))/24</f>
        <v/>
      </c>
      <c r="S228" s="65">
        <f>Q228-T12EarlyH/24</f>
        <v/>
      </c>
      <c r="T228" s="66" t="n"/>
      <c r="U228" s="66" t="n"/>
      <c r="V228" s="66" t="n"/>
      <c r="W228" s="67" t="n"/>
      <c r="X228" s="66" t="n"/>
      <c r="Y228" s="66" t="n"/>
      <c r="Z228" s="66" t="n"/>
      <c r="AA228" s="66" t="n"/>
      <c r="AB228" s="66" t="n"/>
      <c r="AC228" s="66" t="n"/>
      <c r="AD228" s="72" t="n"/>
      <c r="AE228" s="66" t="n"/>
      <c r="AF228" s="67">
        <f>IF(AND(ISNUMBER(X228),ISNUMBER(Y228)),Y228-X228,"")</f>
        <v/>
      </c>
      <c r="AG228" s="68">
        <f>IF(ISNUMBER(AD228),AD228-(IF(AND(INDEX(TZ_DSTS,MATCH(P228,TZ_STN,0))&lt;&gt;"",(AD228-INDEX(TZ_STD,MATCH(P228,TZ_STN,0))/24)&gt;=INDEX(TZ_DSTS,MATCH(P228,TZ_STN,0)),(AD228-INDEX(TZ_STD,MATCH(P228,TZ_STN,0))/24)&lt;INDEX(TZ_DSTE,MATCH(P228,TZ_STN,0))),INDEX(TZ_DST,MATCH(P228,TZ_STN,0)),INDEX(TZ_STD,MATCH(P228,TZ_STN,0))))/24,"")</f>
        <v/>
      </c>
      <c r="AH228" s="71">
        <f>IF(N228="N/A – rule","N/A – RULE",IF(TRIM(U228)="N/A",IF(AT228=0,"INVALID – N/A not permitted for this mandatory check",IF(AND(TRIM(AC228)&lt;&gt;"",TRIM(AE228)&lt;&gt;"",TRIM(T228)&lt;&gt;""),"N/A – JUSTIFIED","INVALID – N/A needs justification, PIC and verifier")),IF(OR(TRIM(U228)="Pass",TRIM(U228)="Pass after CA"),IF(NOT(ISNUMBER(AD228)),"INVALID – completion time missing",IF(TRIM(T228)="","INVALID – PIC missing",IF(TRIM(Z228)="","INVALID – evidence missing",IF(TRIM(AE228)="","INVALID – verifier missing",IF(AND(AQ228=1,TRIM(W228)=""),"INVALID – batch ID missing",IF(AND(AR228=1,OR(NOT(ISNUMBER(X228)),NOT(ISNUMBER(Y228)))),"INVALID – expected/actual qty missing",IF(IF(AND(TRIM(U228)="Pass",ISNUMBER(AF228)),IF(AF228&lt;&gt;0,"INVALID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recorded/closed","")&lt;&gt;"",IF(AND(TRIM(U228)="Pass",ISNUMBER(AF228)),IF(AF228&lt;&gt;0,"INVALID – qty variance: use Fail or Pass after CA",""),"")&amp;IF(AND(TRIM(U228)="Pass",AB228="Open"),"INVALID – corrective action still open: use Fail, then Pass after CA","")&amp;IF(AND(TRIM(U228)="Pass after CA",OR(TRIM(AA228)="",AB228&lt;&gt;"Closed")),"INVALID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window"),IF(AG228&gt;Flights!$AA$11,"INVALID – completed after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f>
        <v/>
      </c>
      <c r="AI228" s="67">
        <f>IF(OR(AH228="N/A – RULE",AH228="N/A – JUSTIFIED"),0,1)</f>
        <v/>
      </c>
      <c r="AJ228" s="67">
        <f>IF(LEFT(AH228,8)="COMPLETE",1,0)</f>
        <v/>
      </c>
      <c r="AK228" s="67">
        <f>IF(AND(AI228=1,AJ228=0,AsOfUTC&gt;Q228),1,0)</f>
        <v/>
      </c>
      <c r="AL228" s="67">
        <f>IF(AND(AI228=1,OR(TRIM(U228)="Fail",AB228="Open",AND(ISNUMBER(AF228),AF228&lt;&gt;0,TRIM(U228)&lt;&gt;"Pass after CA"))),1,0)</f>
        <v/>
      </c>
      <c r="AM228" s="67">
        <f>IF(LEFT(AH228,7)="INVALID",1,0)</f>
        <v/>
      </c>
      <c r="AN228" s="67">
        <f>IF(AND(N228="Clarification required",AI228=1,AJ228=0),1,0)</f>
        <v/>
      </c>
      <c r="AO228" s="67">
        <f>IF(AK228=1,SUM(AK$5:AK228),"")</f>
        <v/>
      </c>
      <c r="AP228" s="67">
        <f>IF(AL228=1,SUM(AL$5:AL228),"")</f>
        <v/>
      </c>
      <c r="AQ228" s="67" t="n">
        <v>0</v>
      </c>
      <c r="AR228" s="67" t="n">
        <v>0</v>
      </c>
      <c r="AS228" s="67" t="n">
        <v>0</v>
      </c>
      <c r="AT228" s="67" t="n">
        <v>0</v>
      </c>
    </row>
    <row r="229" ht="141.5" customHeight="1">
      <c r="A229" s="63" t="inlineStr">
        <is>
          <t>F07-T12-06</t>
        </is>
      </c>
      <c r="B229" s="63" t="inlineStr">
        <is>
          <t>F07</t>
        </is>
      </c>
      <c r="C229" s="63">
        <f>Flights!$F$11</f>
        <v/>
      </c>
      <c r="D229" s="64">
        <f>Flights!$D$11</f>
        <v/>
      </c>
      <c r="E229" s="63">
        <f>Flights!$G$11&amp;"-"&amp;Flights!$H$11</f>
        <v/>
      </c>
      <c r="F229" s="63">
        <f>Flights!$K$11</f>
        <v/>
      </c>
      <c r="G229" s="63" t="inlineStr">
        <is>
          <t>T-12H PREP</t>
        </is>
      </c>
      <c r="H229" s="63" t="inlineStr">
        <is>
          <t>Preparation</t>
        </is>
      </c>
      <c r="I229" s="63" t="inlineStr">
        <is>
          <t>Equipment</t>
        </is>
      </c>
      <c r="J229" s="63" t="inlineStr">
        <is>
          <t>Equipment quantities vs GLD</t>
        </is>
      </c>
      <c r="K229"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229" s="73" t="inlineStr">
        <is>
          <t>User brief (T-12 hours)</t>
        </is>
      </c>
      <c r="M229" s="73" t="inlineStr"/>
      <c r="N229" s="73" t="inlineStr">
        <is>
          <t>Required</t>
        </is>
      </c>
      <c r="O229" s="73" t="inlineStr">
        <is>
          <t>Preparation check at caterer - does NOT confirm loading.</t>
        </is>
      </c>
      <c r="P229" s="63" t="inlineStr">
        <is>
          <t>LHR</t>
        </is>
      </c>
      <c r="Q229" s="65">
        <f>Flights!$AE$11</f>
        <v/>
      </c>
      <c r="R229" s="65">
        <f>Q229+(IF(AND(INDEX(TZ_DSTS,MATCH(P229,TZ_STN,0))&lt;&gt;"",Q229&gt;=INDEX(TZ_DSTS,MATCH(P229,TZ_STN,0)),Q229&lt;INDEX(TZ_DSTE,MATCH(P229,TZ_STN,0))),INDEX(TZ_DST,MATCH(P229,TZ_STN,0)),INDEX(TZ_STD,MATCH(P229,TZ_STN,0))))/24</f>
        <v/>
      </c>
      <c r="S229" s="65">
        <f>Q229-T12EarlyH/24</f>
        <v/>
      </c>
      <c r="T229" s="66" t="n"/>
      <c r="U229" s="66" t="n"/>
      <c r="V229" s="66" t="n"/>
      <c r="W229" s="67" t="n"/>
      <c r="X229" s="66" t="n"/>
      <c r="Y229" s="66" t="n"/>
      <c r="Z229" s="66" t="n"/>
      <c r="AA229" s="66" t="n"/>
      <c r="AB229" s="66" t="n"/>
      <c r="AC229" s="66" t="n"/>
      <c r="AD229" s="72" t="n"/>
      <c r="AE229" s="66" t="n"/>
      <c r="AF229" s="67">
        <f>IF(AND(ISNUMBER(X229),ISNUMBER(Y229)),Y229-X229,"")</f>
        <v/>
      </c>
      <c r="AG229" s="68">
        <f>IF(ISNUMBER(AD229),AD229-(IF(AND(INDEX(TZ_DSTS,MATCH(P229,TZ_STN,0))&lt;&gt;"",(AD229-INDEX(TZ_STD,MATCH(P229,TZ_STN,0))/24)&gt;=INDEX(TZ_DSTS,MATCH(P229,TZ_STN,0)),(AD229-INDEX(TZ_STD,MATCH(P229,TZ_STN,0))/24)&lt;INDEX(TZ_DSTE,MATCH(P229,TZ_STN,0))),INDEX(TZ_DST,MATCH(P229,TZ_STN,0)),INDEX(TZ_STD,MATCH(P229,TZ_STN,0))))/24,"")</f>
        <v/>
      </c>
      <c r="AH229" s="71">
        <f>IF(N229="N/A – rule","N/A – RULE",IF(TRIM(U229)="N/A",IF(AT229=0,"INVALID – N/A not permitted for this mandatory check",IF(AND(TRIM(AC229)&lt;&gt;"",TRIM(AE229)&lt;&gt;"",TRIM(T229)&lt;&gt;""),"N/A – JUSTIFIED","INVALID – N/A needs justification, PIC and verifier")),IF(OR(TRIM(U229)="Pass",TRIM(U229)="Pass after CA"),IF(NOT(ISNUMBER(AD229)),"INVALID – completion time missing",IF(TRIM(T229)="","INVALID – PIC missing",IF(TRIM(Z229)="","INVALID – evidence missing",IF(TRIM(AE229)="","INVALID – verifier missing",IF(AND(AQ229=1,TRIM(W229)=""),"INVALID – batch ID missing",IF(AND(AR229=1,OR(NOT(ISNUMBER(X229)),NOT(ISNUMBER(Y229)))),"INVALID – expected/actual qty missing",IF(IF(AND(TRIM(U229)="Pass",ISNUMBER(AF229)),IF(AF229&lt;&gt;0,"INVALID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recorded/closed","")&lt;&gt;"",IF(AND(TRIM(U229)="Pass",ISNUMBER(AF229)),IF(AF229&lt;&gt;0,"INVALID – qty variance: use Fail or Pass after CA",""),"")&amp;IF(AND(TRIM(U229)="Pass",AB229="Open"),"INVALID – corrective action still open: use Fail, then Pass after CA","")&amp;IF(AND(TRIM(U229)="Pass after CA",OR(TRIM(AA229)="",AB229&lt;&gt;"Closed")),"INVALID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window"),IF(AG229&gt;Flights!$AA$11,"INVALID – completed after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f>
        <v/>
      </c>
      <c r="AI229" s="67">
        <f>IF(OR(AH229="N/A – RULE",AH229="N/A – JUSTIFIED"),0,1)</f>
        <v/>
      </c>
      <c r="AJ229" s="67">
        <f>IF(LEFT(AH229,8)="COMPLETE",1,0)</f>
        <v/>
      </c>
      <c r="AK229" s="67">
        <f>IF(AND(AI229=1,AJ229=0,AsOfUTC&gt;Q229),1,0)</f>
        <v/>
      </c>
      <c r="AL229" s="67">
        <f>IF(AND(AI229=1,OR(TRIM(U229)="Fail",AB229="Open",AND(ISNUMBER(AF229),AF229&lt;&gt;0,TRIM(U229)&lt;&gt;"Pass after CA"))),1,0)</f>
        <v/>
      </c>
      <c r="AM229" s="67">
        <f>IF(LEFT(AH229,7)="INVALID",1,0)</f>
        <v/>
      </c>
      <c r="AN229" s="67">
        <f>IF(AND(N229="Clarification required",AI229=1,AJ229=0),1,0)</f>
        <v/>
      </c>
      <c r="AO229" s="67">
        <f>IF(AK229=1,SUM(AK$5:AK229),"")</f>
        <v/>
      </c>
      <c r="AP229" s="67">
        <f>IF(AL229=1,SUM(AL$5:AL229),"")</f>
        <v/>
      </c>
      <c r="AQ229" s="67" t="n">
        <v>0</v>
      </c>
      <c r="AR229" s="67" t="n">
        <v>1</v>
      </c>
      <c r="AS229" s="67" t="n">
        <v>0</v>
      </c>
      <c r="AT229" s="67" t="n">
        <v>0</v>
      </c>
    </row>
    <row r="230" ht="40" customHeight="1">
      <c r="A230" s="63" t="inlineStr">
        <is>
          <t>F07-T12-07</t>
        </is>
      </c>
      <c r="B230" s="63" t="inlineStr">
        <is>
          <t>F07</t>
        </is>
      </c>
      <c r="C230" s="63">
        <f>Flights!$F$11</f>
        <v/>
      </c>
      <c r="D230" s="64">
        <f>Flights!$D$11</f>
        <v/>
      </c>
      <c r="E230" s="63">
        <f>Flights!$G$11&amp;"-"&amp;Flights!$H$11</f>
        <v/>
      </c>
      <c r="F230" s="63">
        <f>Flights!$K$11</f>
        <v/>
      </c>
      <c r="G230" s="63" t="inlineStr">
        <is>
          <t>T-12H PREP</t>
        </is>
      </c>
      <c r="H230" s="63" t="inlineStr">
        <is>
          <t>Preparation</t>
        </is>
      </c>
      <c r="I230" s="63" t="inlineStr">
        <is>
          <t>Equipment</t>
        </is>
      </c>
      <c r="J230" s="63" t="inlineStr">
        <is>
          <t>Loading positions planned vs GLD</t>
        </is>
      </c>
      <c r="K230" s="73" t="inlineStr"/>
      <c r="L230" s="73" t="inlineStr">
        <is>
          <t>User brief (T-12 hours)</t>
        </is>
      </c>
      <c r="M230" s="73" t="inlineStr"/>
      <c r="N230" s="73" t="inlineStr">
        <is>
          <t>Required</t>
        </is>
      </c>
      <c r="O230" s="73" t="inlineStr">
        <is>
          <t>Preparation check at caterer - does NOT confirm loading.</t>
        </is>
      </c>
      <c r="P230" s="63" t="inlineStr">
        <is>
          <t>LHR</t>
        </is>
      </c>
      <c r="Q230" s="65">
        <f>Flights!$AE$11</f>
        <v/>
      </c>
      <c r="R230" s="65">
        <f>Q230+(IF(AND(INDEX(TZ_DSTS,MATCH(P230,TZ_STN,0))&lt;&gt;"",Q230&gt;=INDEX(TZ_DSTS,MATCH(P230,TZ_STN,0)),Q230&lt;INDEX(TZ_DSTE,MATCH(P230,TZ_STN,0))),INDEX(TZ_DST,MATCH(P230,TZ_STN,0)),INDEX(TZ_STD,MATCH(P230,TZ_STN,0))))/24</f>
        <v/>
      </c>
      <c r="S230" s="65">
        <f>Q230-T12EarlyH/24</f>
        <v/>
      </c>
      <c r="T230" s="66" t="n"/>
      <c r="U230" s="66" t="n"/>
      <c r="V230" s="66" t="n"/>
      <c r="W230" s="67" t="n"/>
      <c r="X230" s="66" t="n"/>
      <c r="Y230" s="66" t="n"/>
      <c r="Z230" s="66" t="n"/>
      <c r="AA230" s="66" t="n"/>
      <c r="AB230" s="66" t="n"/>
      <c r="AC230" s="66" t="n"/>
      <c r="AD230" s="72" t="n"/>
      <c r="AE230" s="66" t="n"/>
      <c r="AF230" s="67">
        <f>IF(AND(ISNUMBER(X230),ISNUMBER(Y230)),Y230-X230,"")</f>
        <v/>
      </c>
      <c r="AG230" s="68">
        <f>IF(ISNUMBER(AD230),AD230-(IF(AND(INDEX(TZ_DSTS,MATCH(P230,TZ_STN,0))&lt;&gt;"",(AD230-INDEX(TZ_STD,MATCH(P230,TZ_STN,0))/24)&gt;=INDEX(TZ_DSTS,MATCH(P230,TZ_STN,0)),(AD230-INDEX(TZ_STD,MATCH(P230,TZ_STN,0))/24)&lt;INDEX(TZ_DSTE,MATCH(P230,TZ_STN,0))),INDEX(TZ_DST,MATCH(P230,TZ_STN,0)),INDEX(TZ_STD,MATCH(P230,TZ_STN,0))))/24,"")</f>
        <v/>
      </c>
      <c r="AH230" s="71">
        <f>IF(N230="N/A – rule","N/A – RULE",IF(TRIM(U230)="N/A",IF(AT230=0,"INVALID – N/A not permitted for this mandatory check",IF(AND(TRIM(AC230)&lt;&gt;"",TRIM(AE230)&lt;&gt;"",TRIM(T230)&lt;&gt;""),"N/A – JUSTIFIED","INVALID – N/A needs justification, PIC and verifier")),IF(OR(TRIM(U230)="Pass",TRIM(U230)="Pass after CA"),IF(NOT(ISNUMBER(AD230)),"INVALID – completion time missing",IF(TRIM(T230)="","INVALID – PIC missing",IF(TRIM(Z230)="","INVALID – evidence missing",IF(TRIM(AE230)="","INVALID – verifier missing",IF(AND(AQ230=1,TRIM(W230)=""),"INVALID – batch ID missing",IF(AND(AR230=1,OR(NOT(ISNUMBER(X230)),NOT(ISNUMBER(Y230)))),"INVALID – expected/actual qty missing",IF(IF(AND(TRIM(U230)="Pass",ISNUMBER(AF230)),IF(AF230&lt;&gt;0,"INVALID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recorded/closed","")&lt;&gt;"",IF(AND(TRIM(U230)="Pass",ISNUMBER(AF230)),IF(AF230&lt;&gt;0,"INVALID – qty variance: use Fail or Pass after CA",""),"")&amp;IF(AND(TRIM(U230)="Pass",AB230="Open"),"INVALID – corrective action still open: use Fail, then Pass after CA","")&amp;IF(AND(TRIM(U230)="Pass after CA",OR(TRIM(AA230)="",AB230&lt;&gt;"Closed")),"INVALID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window"),IF(AG230&gt;Flights!$AA$11,"INVALID – completed after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f>
        <v/>
      </c>
      <c r="AI230" s="67">
        <f>IF(OR(AH230="N/A – RULE",AH230="N/A – JUSTIFIED"),0,1)</f>
        <v/>
      </c>
      <c r="AJ230" s="67">
        <f>IF(LEFT(AH230,8)="COMPLETE",1,0)</f>
        <v/>
      </c>
      <c r="AK230" s="67">
        <f>IF(AND(AI230=1,AJ230=0,AsOfUTC&gt;Q230),1,0)</f>
        <v/>
      </c>
      <c r="AL230" s="67">
        <f>IF(AND(AI230=1,OR(TRIM(U230)="Fail",AB230="Open",AND(ISNUMBER(AF230),AF230&lt;&gt;0,TRIM(U230)&lt;&gt;"Pass after CA"))),1,0)</f>
        <v/>
      </c>
      <c r="AM230" s="67">
        <f>IF(LEFT(AH230,7)="INVALID",1,0)</f>
        <v/>
      </c>
      <c r="AN230" s="67">
        <f>IF(AND(N230="Clarification required",AI230=1,AJ230=0),1,0)</f>
        <v/>
      </c>
      <c r="AO230" s="67">
        <f>IF(AK230=1,SUM(AK$5:AK230),"")</f>
        <v/>
      </c>
      <c r="AP230" s="67">
        <f>IF(AL230=1,SUM(AL$5:AL230),"")</f>
        <v/>
      </c>
      <c r="AQ230" s="67" t="n">
        <v>0</v>
      </c>
      <c r="AR230" s="67" t="n">
        <v>0</v>
      </c>
      <c r="AS230" s="67" t="n">
        <v>0</v>
      </c>
      <c r="AT230" s="67" t="n">
        <v>0</v>
      </c>
    </row>
    <row r="231" ht="40" customHeight="1">
      <c r="A231" s="63" t="inlineStr">
        <is>
          <t>F07-T12-08</t>
        </is>
      </c>
      <c r="B231" s="63" t="inlineStr">
        <is>
          <t>F07</t>
        </is>
      </c>
      <c r="C231" s="63">
        <f>Flights!$F$11</f>
        <v/>
      </c>
      <c r="D231" s="64">
        <f>Flights!$D$11</f>
        <v/>
      </c>
      <c r="E231" s="63">
        <f>Flights!$G$11&amp;"-"&amp;Flights!$H$11</f>
        <v/>
      </c>
      <c r="F231" s="63">
        <f>Flights!$K$11</f>
        <v/>
      </c>
      <c r="G231" s="63" t="inlineStr">
        <is>
          <t>T-12H PREP</t>
        </is>
      </c>
      <c r="H231" s="63" t="inlineStr">
        <is>
          <t>Preparation</t>
        </is>
      </c>
      <c r="I231" s="63" t="inlineStr">
        <is>
          <t>Amenities</t>
        </is>
      </c>
      <c r="J231" s="63" t="inlineStr">
        <is>
          <t>Toiletry kits - prepared</t>
        </is>
      </c>
      <c r="K231" s="73" t="inlineStr">
        <is>
          <t>Available (ticked in reference)</t>
        </is>
      </c>
      <c r="L231" s="73" t="inlineStr">
        <is>
          <t>STD UPLIFT INFORMATION.xlsx &gt; AMENITIES!D12 / H12</t>
        </is>
      </c>
      <c r="M231" s="73" t="inlineStr">
        <is>
          <t>LHR</t>
        </is>
      </c>
      <c r="N231" s="73" t="inlineStr">
        <is>
          <t>Required</t>
        </is>
      </c>
      <c r="O231" s="73" t="inlineStr"/>
      <c r="P231" s="63" t="inlineStr">
        <is>
          <t>LHR</t>
        </is>
      </c>
      <c r="Q231" s="65">
        <f>Flights!$AE$11</f>
        <v/>
      </c>
      <c r="R231" s="65">
        <f>Q231+(IF(AND(INDEX(TZ_DSTS,MATCH(P231,TZ_STN,0))&lt;&gt;"",Q231&gt;=INDEX(TZ_DSTS,MATCH(P231,TZ_STN,0)),Q231&lt;INDEX(TZ_DSTE,MATCH(P231,TZ_STN,0))),INDEX(TZ_DST,MATCH(P231,TZ_STN,0)),INDEX(TZ_STD,MATCH(P231,TZ_STN,0))))/24</f>
        <v/>
      </c>
      <c r="S231" s="65">
        <f>Q231-T12EarlyH/24</f>
        <v/>
      </c>
      <c r="T231" s="66" t="n"/>
      <c r="U231" s="66" t="n"/>
      <c r="V231" s="66" t="n"/>
      <c r="W231" s="67" t="n"/>
      <c r="X231" s="66" t="n"/>
      <c r="Y231" s="66" t="n"/>
      <c r="Z231" s="66" t="n"/>
      <c r="AA231" s="66" t="n"/>
      <c r="AB231" s="66" t="n"/>
      <c r="AC231" s="66" t="n"/>
      <c r="AD231" s="72" t="n"/>
      <c r="AE231" s="66" t="n"/>
      <c r="AF231" s="67">
        <f>IF(AND(ISNUMBER(X231),ISNUMBER(Y231)),Y231-X231,"")</f>
        <v/>
      </c>
      <c r="AG231" s="68">
        <f>IF(ISNUMBER(AD231),AD231-(IF(AND(INDEX(TZ_DSTS,MATCH(P231,TZ_STN,0))&lt;&gt;"",(AD231-INDEX(TZ_STD,MATCH(P231,TZ_STN,0))/24)&gt;=INDEX(TZ_DSTS,MATCH(P231,TZ_STN,0)),(AD231-INDEX(TZ_STD,MATCH(P231,TZ_STN,0))/24)&lt;INDEX(TZ_DSTE,MATCH(P231,TZ_STN,0))),INDEX(TZ_DST,MATCH(P231,TZ_STN,0)),INDEX(TZ_STD,MATCH(P231,TZ_STN,0))))/24,"")</f>
        <v/>
      </c>
      <c r="AH231" s="71">
        <f>IF(N231="N/A – rule","N/A – RULE",IF(TRIM(U231)="N/A",IF(AT231=0,"INVALID – N/A not permitted for this mandatory check",IF(AND(TRIM(AC231)&lt;&gt;"",TRIM(AE231)&lt;&gt;"",TRIM(T231)&lt;&gt;""),"N/A – JUSTIFIED","INVALID – N/A needs justification, PIC and verifier")),IF(OR(TRIM(U231)="Pass",TRIM(U231)="Pass after CA"),IF(NOT(ISNUMBER(AD231)),"INVALID – completion time missing",IF(TRIM(T231)="","INVALID – PIC missing",IF(TRIM(Z231)="","INVALID – evidence missing",IF(TRIM(AE231)="","INVALID – verifier missing",IF(AND(AQ231=1,TRIM(W231)=""),"INVALID – batch ID missing",IF(AND(AR231=1,OR(NOT(ISNUMBER(X231)),NOT(ISNUMBER(Y231)))),"INVALID – expected/actual qty missing",IF(IF(AND(TRIM(U231)="Pass",ISNUMBER(AF231)),IF(AF231&lt;&gt;0,"INVALID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recorded/closed","")&lt;&gt;"",IF(AND(TRIM(U231)="Pass",ISNUMBER(AF231)),IF(AF231&lt;&gt;0,"INVALID – qty variance: use Fail or Pass after CA",""),"")&amp;IF(AND(TRIM(U231)="Pass",AB231="Open"),"INVALID – corrective action still open: use Fail, then Pass after CA","")&amp;IF(AND(TRIM(U231)="Pass after CA",OR(TRIM(AA231)="",AB231&lt;&gt;"Closed")),"INVALID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window"),IF(AG231&gt;Flights!$AA$11,"INVALID – completed after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f>
        <v/>
      </c>
      <c r="AI231" s="67">
        <f>IF(OR(AH231="N/A – RULE",AH231="N/A – JUSTIFIED"),0,1)</f>
        <v/>
      </c>
      <c r="AJ231" s="67">
        <f>IF(LEFT(AH231,8)="COMPLETE",1,0)</f>
        <v/>
      </c>
      <c r="AK231" s="67">
        <f>IF(AND(AI231=1,AJ231=0,AsOfUTC&gt;Q231),1,0)</f>
        <v/>
      </c>
      <c r="AL231" s="67">
        <f>IF(AND(AI231=1,OR(TRIM(U231)="Fail",AB231="Open",AND(ISNUMBER(AF231),AF231&lt;&gt;0,TRIM(U231)&lt;&gt;"Pass after CA"))),1,0)</f>
        <v/>
      </c>
      <c r="AM231" s="67">
        <f>IF(LEFT(AH231,7)="INVALID",1,0)</f>
        <v/>
      </c>
      <c r="AN231" s="67">
        <f>IF(AND(N231="Clarification required",AI231=1,AJ231=0),1,0)</f>
        <v/>
      </c>
      <c r="AO231" s="67">
        <f>IF(AK231=1,SUM(AK$5:AK231),"")</f>
        <v/>
      </c>
      <c r="AP231" s="67">
        <f>IF(AL231=1,SUM(AL$5:AL231),"")</f>
        <v/>
      </c>
      <c r="AQ231" s="67" t="n">
        <v>0</v>
      </c>
      <c r="AR231" s="67" t="n">
        <v>0</v>
      </c>
      <c r="AS231" s="67" t="n">
        <v>0</v>
      </c>
      <c r="AT231" s="67" t="n">
        <v>1</v>
      </c>
    </row>
    <row r="232" ht="79" customHeight="1">
      <c r="A232" s="63" t="inlineStr">
        <is>
          <t>F07-T12-09</t>
        </is>
      </c>
      <c r="B232" s="63" t="inlineStr">
        <is>
          <t>F07</t>
        </is>
      </c>
      <c r="C232" s="63">
        <f>Flights!$F$11</f>
        <v/>
      </c>
      <c r="D232" s="64">
        <f>Flights!$D$11</f>
        <v/>
      </c>
      <c r="E232" s="63">
        <f>Flights!$G$11&amp;"-"&amp;Flights!$H$11</f>
        <v/>
      </c>
      <c r="F232" s="63">
        <f>Flights!$K$11</f>
        <v/>
      </c>
      <c r="G232" s="63" t="inlineStr">
        <is>
          <t>T-12H PREP</t>
        </is>
      </c>
      <c r="H232" s="63" t="inlineStr">
        <is>
          <t>Preparation</t>
        </is>
      </c>
      <c r="I232" s="63" t="inlineStr">
        <is>
          <t>Amenities</t>
        </is>
      </c>
      <c r="J232" s="63" t="inlineStr">
        <is>
          <t>Pajamas (BC) - prepared</t>
        </is>
      </c>
      <c r="K232" s="73" t="inlineStr">
        <is>
          <t>Available - BC red-eye only</t>
        </is>
      </c>
      <c r="L232" s="73" t="inlineStr">
        <is>
          <t>STD UPLIFT INFORMATION.xlsx &gt; AMENITIES!F13 / H13</t>
        </is>
      </c>
      <c r="M232" s="73" t="inlineStr">
        <is>
          <t>KUL</t>
        </is>
      </c>
      <c r="N232" s="73" t="inlineStr">
        <is>
          <t>Clarification required</t>
        </is>
      </c>
      <c r="O232" s="73" t="inlineStr">
        <is>
          <t>Reference limits BC pajamas to red-eye flights; STD 1100 local arriving 0645+1 - confirm whether this leg counts as red-eye. Loaded at KUL on the inbound KUL-LHR flight: due = that flight's KUL departure (Flights AX) minus the uplift window.</t>
        </is>
      </c>
      <c r="P232" s="63" t="inlineStr">
        <is>
          <t>KUL</t>
        </is>
      </c>
      <c r="Q232" s="65">
        <f>MIN(Flights!$AE$11,Flights!$AY$11)</f>
        <v/>
      </c>
      <c r="R232" s="65">
        <f>Q232+(IF(AND(INDEX(TZ_DSTS,MATCH(P232,TZ_STN,0))&lt;&gt;"",Q232&gt;=INDEX(TZ_DSTS,MATCH(P232,TZ_STN,0)),Q232&lt;INDEX(TZ_DSTE,MATCH(P232,TZ_STN,0))),INDEX(TZ_DST,MATCH(P232,TZ_STN,0)),INDEX(TZ_STD,MATCH(P232,TZ_STN,0))))/24</f>
        <v/>
      </c>
      <c r="S232" s="65">
        <f>Q232-T12EarlyH/24</f>
        <v/>
      </c>
      <c r="T232" s="66" t="n"/>
      <c r="U232" s="66" t="n"/>
      <c r="V232" s="66" t="n"/>
      <c r="W232" s="67" t="n"/>
      <c r="X232" s="66" t="n"/>
      <c r="Y232" s="66" t="n"/>
      <c r="Z232" s="66" t="n"/>
      <c r="AA232" s="66" t="n"/>
      <c r="AB232" s="66" t="n"/>
      <c r="AC232" s="66" t="n"/>
      <c r="AD232" s="72" t="n"/>
      <c r="AE232" s="66" t="n"/>
      <c r="AF232" s="67">
        <f>IF(AND(ISNUMBER(X232),ISNUMBER(Y232)),Y232-X232,"")</f>
        <v/>
      </c>
      <c r="AG232" s="68">
        <f>IF(ISNUMBER(AD232),AD232-(IF(AND(INDEX(TZ_DSTS,MATCH(P232,TZ_STN,0))&lt;&gt;"",(AD232-INDEX(TZ_STD,MATCH(P232,TZ_STN,0))/24)&gt;=INDEX(TZ_DSTS,MATCH(P232,TZ_STN,0)),(AD232-INDEX(TZ_STD,MATCH(P232,TZ_STN,0))/24)&lt;INDEX(TZ_DSTE,MATCH(P232,TZ_STN,0))),INDEX(TZ_DST,MATCH(P232,TZ_STN,0)),INDEX(TZ_STD,MATCH(P232,TZ_STN,0))))/24,"")</f>
        <v/>
      </c>
      <c r="AH232" s="71">
        <f>IF(N232="N/A – rule","N/A – RULE",IF(TRIM(U232)="N/A",IF(AT232=0,"INVALID – N/A not permitted for this mandatory check",IF(AND(TRIM(AC232)&lt;&gt;"",TRIM(AE232)&lt;&gt;"",TRIM(T232)&lt;&gt;""),"N/A – JUSTIFIED","INVALID – N/A needs justification, PIC and verifier")),IF(OR(TRIM(U232)="Pass",TRIM(U232)="Pass after CA"),IF(NOT(ISNUMBER(AD232)),"INVALID – completion time missing",IF(TRIM(T232)="","INVALID – PIC missing",IF(TRIM(Z232)="","INVALID – evidence missing",IF(TRIM(AE232)="","INVALID – verifier missing",IF(AND(AQ232=1,TRIM(W232)=""),"INVALID – batch ID missing",IF(AND(AR232=1,OR(NOT(ISNUMBER(X232)),NOT(ISNUMBER(Y232)))),"INVALID – expected/actual qty missing",IF(IF(AND(TRIM(U232)="Pass",ISNUMBER(AF232)),IF(AF232&lt;&gt;0,"INVALID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recorded/closed","")&lt;&gt;"",IF(AND(TRIM(U232)="Pass",ISNUMBER(AF232)),IF(AF232&lt;&gt;0,"INVALID – qty variance: use Fail or Pass after CA",""),"")&amp;IF(AND(TRIM(U232)="Pass",AB232="Open"),"INVALID – corrective action still open: use Fail, then Pass after CA","")&amp;IF(AND(TRIM(U232)="Pass after CA",OR(TRIM(AA232)="",AB232&lt;&gt;"Closed")),"INVALID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window"),IF(AG232&gt;Flights!$AA$11,"INVALID – completed after departure (cannot establish readiness)",IF(AND(H232="Physical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f>
        <v/>
      </c>
      <c r="AI232" s="67">
        <f>IF(OR(AH232="N/A – RULE",AH232="N/A – JUSTIFIED"),0,1)</f>
        <v/>
      </c>
      <c r="AJ232" s="67">
        <f>IF(LEFT(AH232,8)="COMPLETE",1,0)</f>
        <v/>
      </c>
      <c r="AK232" s="67">
        <f>IF(AND(AI232=1,AJ232=0,AsOfUTC&gt;Q232),1,0)</f>
        <v/>
      </c>
      <c r="AL232" s="67">
        <f>IF(AND(AI232=1,OR(TRIM(U232)="Fail",AB232="Open",AND(ISNUMBER(AF232),AF232&lt;&gt;0,TRIM(U232)&lt;&gt;"Pass after CA"))),1,0)</f>
        <v/>
      </c>
      <c r="AM232" s="67">
        <f>IF(LEFT(AH232,7)="INVALID",1,0)</f>
        <v/>
      </c>
      <c r="AN232" s="67">
        <f>IF(AND(N232="Clarification required",AI232=1,AJ232=0),1,0)</f>
        <v/>
      </c>
      <c r="AO232" s="67">
        <f>IF(AK232=1,SUM(AK$5:AK232),"")</f>
        <v/>
      </c>
      <c r="AP232" s="67">
        <f>IF(AL232=1,SUM(AL$5:AL232),"")</f>
        <v/>
      </c>
      <c r="AQ232" s="67" t="n">
        <v>0</v>
      </c>
      <c r="AR232" s="67" t="n">
        <v>0</v>
      </c>
      <c r="AS232" s="67" t="n">
        <v>0</v>
      </c>
      <c r="AT232" s="67" t="n">
        <v>1</v>
      </c>
    </row>
    <row r="233" ht="41.5" customHeight="1">
      <c r="A233" s="63" t="inlineStr">
        <is>
          <t>F07-T12-10</t>
        </is>
      </c>
      <c r="B233" s="63" t="inlineStr">
        <is>
          <t>F07</t>
        </is>
      </c>
      <c r="C233" s="63">
        <f>Flights!$F$11</f>
        <v/>
      </c>
      <c r="D233" s="64">
        <f>Flights!$D$11</f>
        <v/>
      </c>
      <c r="E233" s="63">
        <f>Flights!$G$11&amp;"-"&amp;Flights!$H$11</f>
        <v/>
      </c>
      <c r="F233" s="63">
        <f>Flights!$K$11</f>
        <v/>
      </c>
      <c r="G233" s="63" t="inlineStr">
        <is>
          <t>T-12H PREP</t>
        </is>
      </c>
      <c r="H233" s="63" t="inlineStr">
        <is>
          <t>Preparation</t>
        </is>
      </c>
      <c r="I233" s="63" t="inlineStr">
        <is>
          <t>Amenities</t>
        </is>
      </c>
      <c r="J233" s="63" t="inlineStr">
        <is>
          <t>Slippers (BS/BC) - prepared</t>
        </is>
      </c>
      <c r="K233" s="73" t="inlineStr">
        <is>
          <t>Available (ticked in reference)</t>
        </is>
      </c>
      <c r="L233" s="73" t="inlineStr">
        <is>
          <t>STD UPLIFT INFORMATION.xlsx &gt; AMENITIES!G13 / H13</t>
        </is>
      </c>
      <c r="M233" s="73" t="inlineStr">
        <is>
          <t>KUL</t>
        </is>
      </c>
      <c r="N233" s="73" t="inlineStr">
        <is>
          <t>Required</t>
        </is>
      </c>
      <c r="O233" s="73" t="inlineStr">
        <is>
          <t>Loaded at KUL on the inbound KUL-LHR flight: due = that flight's KUL departure (Flights AX) minus the uplift window.</t>
        </is>
      </c>
      <c r="P233" s="63" t="inlineStr">
        <is>
          <t>KUL</t>
        </is>
      </c>
      <c r="Q233" s="65">
        <f>MIN(Flights!$AE$11,Flights!$AY$11)</f>
        <v/>
      </c>
      <c r="R233" s="65">
        <f>Q233+(IF(AND(INDEX(TZ_DSTS,MATCH(P233,TZ_STN,0))&lt;&gt;"",Q233&gt;=INDEX(TZ_DSTS,MATCH(P233,TZ_STN,0)),Q233&lt;INDEX(TZ_DSTE,MATCH(P233,TZ_STN,0))),INDEX(TZ_DST,MATCH(P233,TZ_STN,0)),INDEX(TZ_STD,MATCH(P233,TZ_STN,0))))/24</f>
        <v/>
      </c>
      <c r="S233" s="65">
        <f>Q233-T12EarlyH/24</f>
        <v/>
      </c>
      <c r="T233" s="66" t="n"/>
      <c r="U233" s="66" t="n"/>
      <c r="V233" s="66" t="n"/>
      <c r="W233" s="67" t="n"/>
      <c r="X233" s="66" t="n"/>
      <c r="Y233" s="66" t="n"/>
      <c r="Z233" s="66" t="n"/>
      <c r="AA233" s="66" t="n"/>
      <c r="AB233" s="66" t="n"/>
      <c r="AC233" s="66" t="n"/>
      <c r="AD233" s="72" t="n"/>
      <c r="AE233" s="66" t="n"/>
      <c r="AF233" s="67">
        <f>IF(AND(ISNUMBER(X233),ISNUMBER(Y233)),Y233-X233,"")</f>
        <v/>
      </c>
      <c r="AG233" s="68">
        <f>IF(ISNUMBER(AD233),AD233-(IF(AND(INDEX(TZ_DSTS,MATCH(P233,TZ_STN,0))&lt;&gt;"",(AD233-INDEX(TZ_STD,MATCH(P233,TZ_STN,0))/24)&gt;=INDEX(TZ_DSTS,MATCH(P233,TZ_STN,0)),(AD233-INDEX(TZ_STD,MATCH(P233,TZ_STN,0))/24)&lt;INDEX(TZ_DSTE,MATCH(P233,TZ_STN,0))),INDEX(TZ_DST,MATCH(P233,TZ_STN,0)),INDEX(TZ_STD,MATCH(P233,TZ_STN,0))))/24,"")</f>
        <v/>
      </c>
      <c r="AH233" s="71">
        <f>IF(N233="N/A – rule","N/A – RULE",IF(TRIM(U233)="N/A",IF(AT233=0,"INVALID – N/A not permitted for this mandatory check",IF(AND(TRIM(AC233)&lt;&gt;"",TRIM(AE233)&lt;&gt;"",TRIM(T233)&lt;&gt;""),"N/A – JUSTIFIED","INVALID – N/A needs justification, PIC and verifier")),IF(OR(TRIM(U233)="Pass",TRIM(U233)="Pass after CA"),IF(NOT(ISNUMBER(AD233)),"INVALID – completion time missing",IF(TRIM(T233)="","INVALID – PIC missing",IF(TRIM(Z233)="","INVALID – evidence missing",IF(TRIM(AE233)="","INVALID – verifier missing",IF(AND(AQ233=1,TRIM(W233)=""),"INVALID – batch ID missing",IF(AND(AR233=1,OR(NOT(ISNUMBER(X233)),NOT(ISNUMBER(Y233)))),"INVALID – expected/actual qty missing",IF(IF(AND(TRIM(U233)="Pass",ISNUMBER(AF233)),IF(AF233&lt;&gt;0,"INVALID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recorded/closed","")&lt;&gt;"",IF(AND(TRIM(U233)="Pass",ISNUMBER(AF233)),IF(AF233&lt;&gt;0,"INVALID – qty variance: use Fail or Pass after CA",""),"")&amp;IF(AND(TRIM(U233)="Pass",AB233="Open"),"INVALID – corrective action still open: use Fail, then Pass after CA","")&amp;IF(AND(TRIM(U233)="Pass after CA",OR(TRIM(AA233)="",AB233&lt;&gt;"Closed")),"INVALID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window"),IF(AG233&gt;Flights!$AA$11,"INVALID – completed after departure (cannot establish readiness)",IF(AND(H233="Physical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f>
        <v/>
      </c>
      <c r="AI233" s="67">
        <f>IF(OR(AH233="N/A – RULE",AH233="N/A – JUSTIFIED"),0,1)</f>
        <v/>
      </c>
      <c r="AJ233" s="67">
        <f>IF(LEFT(AH233,8)="COMPLETE",1,0)</f>
        <v/>
      </c>
      <c r="AK233" s="67">
        <f>IF(AND(AI233=1,AJ233=0,AsOfUTC&gt;Q233),1,0)</f>
        <v/>
      </c>
      <c r="AL233" s="67">
        <f>IF(AND(AI233=1,OR(TRIM(U233)="Fail",AB233="Open",AND(ISNUMBER(AF233),AF233&lt;&gt;0,TRIM(U233)&lt;&gt;"Pass after CA"))),1,0)</f>
        <v/>
      </c>
      <c r="AM233" s="67">
        <f>IF(LEFT(AH233,7)="INVALID",1,0)</f>
        <v/>
      </c>
      <c r="AN233" s="67">
        <f>IF(AND(N233="Clarification required",AI233=1,AJ233=0),1,0)</f>
        <v/>
      </c>
      <c r="AO233" s="67">
        <f>IF(AK233=1,SUM(AK$5:AK233),"")</f>
        <v/>
      </c>
      <c r="AP233" s="67">
        <f>IF(AL233=1,SUM(AL$5:AL233),"")</f>
        <v/>
      </c>
      <c r="AQ233" s="67" t="n">
        <v>0</v>
      </c>
      <c r="AR233" s="67" t="n">
        <v>0</v>
      </c>
      <c r="AS233" s="67" t="n">
        <v>0</v>
      </c>
      <c r="AT233" s="67" t="n">
        <v>1</v>
      </c>
    </row>
    <row r="234" ht="41.5" customHeight="1">
      <c r="A234" s="63" t="inlineStr">
        <is>
          <t>F07-T12-11</t>
        </is>
      </c>
      <c r="B234" s="63" t="inlineStr">
        <is>
          <t>F07</t>
        </is>
      </c>
      <c r="C234" s="63">
        <f>Flights!$F$11</f>
        <v/>
      </c>
      <c r="D234" s="64">
        <f>Flights!$D$11</f>
        <v/>
      </c>
      <c r="E234" s="63">
        <f>Flights!$G$11&amp;"-"&amp;Flights!$H$11</f>
        <v/>
      </c>
      <c r="F234" s="63">
        <f>Flights!$K$11</f>
        <v/>
      </c>
      <c r="G234" s="63" t="inlineStr">
        <is>
          <t>T-12H PREP</t>
        </is>
      </c>
      <c r="H234" s="63" t="inlineStr">
        <is>
          <t>Preparation</t>
        </is>
      </c>
      <c r="I234" s="63" t="inlineStr">
        <is>
          <t>F&amp;B Linen</t>
        </is>
      </c>
      <c r="J234" s="63" t="inlineStr">
        <is>
          <t>Towel - prepared</t>
        </is>
      </c>
      <c r="K234" s="73" t="inlineStr">
        <is>
          <t>Available (ticked in reference)</t>
        </is>
      </c>
      <c r="L234" s="73" t="inlineStr">
        <is>
          <t>STD UPLIFT INFORMATION.xlsx &gt; F&amp;B LINEN!D7</t>
        </is>
      </c>
      <c r="M234" s="73" t="inlineStr">
        <is>
          <t>Not stated in reference</t>
        </is>
      </c>
      <c r="N234" s="73" t="inlineStr">
        <is>
          <t>Required</t>
        </is>
      </c>
      <c r="O234" s="73" t="inlineStr">
        <is>
          <t>Reference gives no uplift stn for this item: preparation checked at the meal uplift stn (LHR) - confirm with caterer.</t>
        </is>
      </c>
      <c r="P234" s="63" t="inlineStr">
        <is>
          <t>LHR</t>
        </is>
      </c>
      <c r="Q234" s="65">
        <f>Flights!$AE$11</f>
        <v/>
      </c>
      <c r="R234" s="65">
        <f>Q234+(IF(AND(INDEX(TZ_DSTS,MATCH(P234,TZ_STN,0))&lt;&gt;"",Q234&gt;=INDEX(TZ_DSTS,MATCH(P234,TZ_STN,0)),Q234&lt;INDEX(TZ_DSTE,MATCH(P234,TZ_STN,0))),INDEX(TZ_DST,MATCH(P234,TZ_STN,0)),INDEX(TZ_STD,MATCH(P234,TZ_STN,0))))/24</f>
        <v/>
      </c>
      <c r="S234" s="65">
        <f>Q234-T12EarlyH/24</f>
        <v/>
      </c>
      <c r="T234" s="66" t="n"/>
      <c r="U234" s="66" t="n"/>
      <c r="V234" s="66" t="n"/>
      <c r="W234" s="67" t="n"/>
      <c r="X234" s="66" t="n"/>
      <c r="Y234" s="66" t="n"/>
      <c r="Z234" s="66" t="n"/>
      <c r="AA234" s="66" t="n"/>
      <c r="AB234" s="66" t="n"/>
      <c r="AC234" s="66" t="n"/>
      <c r="AD234" s="72" t="n"/>
      <c r="AE234" s="66" t="n"/>
      <c r="AF234" s="67">
        <f>IF(AND(ISNUMBER(X234),ISNUMBER(Y234)),Y234-X234,"")</f>
        <v/>
      </c>
      <c r="AG234" s="68">
        <f>IF(ISNUMBER(AD234),AD234-(IF(AND(INDEX(TZ_DSTS,MATCH(P234,TZ_STN,0))&lt;&gt;"",(AD234-INDEX(TZ_STD,MATCH(P234,TZ_STN,0))/24)&gt;=INDEX(TZ_DSTS,MATCH(P234,TZ_STN,0)),(AD234-INDEX(TZ_STD,MATCH(P234,TZ_STN,0))/24)&lt;INDEX(TZ_DSTE,MATCH(P234,TZ_STN,0))),INDEX(TZ_DST,MATCH(P234,TZ_STN,0)),INDEX(TZ_STD,MATCH(P234,TZ_STN,0))))/24,"")</f>
        <v/>
      </c>
      <c r="AH234" s="71">
        <f>IF(N234="N/A – rule","N/A – RULE",IF(TRIM(U234)="N/A",IF(AT234=0,"INVALID – N/A not permitted for this mandatory check",IF(AND(TRIM(AC234)&lt;&gt;"",TRIM(AE234)&lt;&gt;"",TRIM(T234)&lt;&gt;""),"N/A – JUSTIFIED","INVALID – N/A needs justification, PIC and verifier")),IF(OR(TRIM(U234)="Pass",TRIM(U234)="Pass after CA"),IF(NOT(ISNUMBER(AD234)),"INVALID – completion time missing",IF(TRIM(T234)="","INVALID – PIC missing",IF(TRIM(Z234)="","INVALID – evidence missing",IF(TRIM(AE234)="","INVALID – verifier missing",IF(AND(AQ234=1,TRIM(W234)=""),"INVALID – batch ID missing",IF(AND(AR234=1,OR(NOT(ISNUMBER(X234)),NOT(ISNUMBER(Y234)))),"INVALID – expected/actual qty missing",IF(IF(AND(TRIM(U234)="Pass",ISNUMBER(AF234)),IF(AF234&lt;&gt;0,"INVALID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recorded/closed","")&lt;&gt;"",IF(AND(TRIM(U234)="Pass",ISNUMBER(AF234)),IF(AF234&lt;&gt;0,"INVALID – qty variance: use Fail or Pass after CA",""),"")&amp;IF(AND(TRIM(U234)="Pass",AB234="Open"),"INVALID – corrective action still open: use Fail, then Pass after CA","")&amp;IF(AND(TRIM(U234)="Pass after CA",OR(TRIM(AA234)="",AB234&lt;&gt;"Closed")),"INVALID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window"),IF(AG234&gt;Flights!$AA$11,"INVALID – completed after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f>
        <v/>
      </c>
      <c r="AI234" s="67">
        <f>IF(OR(AH234="N/A – RULE",AH234="N/A – JUSTIFIED"),0,1)</f>
        <v/>
      </c>
      <c r="AJ234" s="67">
        <f>IF(LEFT(AH234,8)="COMPLETE",1,0)</f>
        <v/>
      </c>
      <c r="AK234" s="67">
        <f>IF(AND(AI234=1,AJ234=0,AsOfUTC&gt;Q234),1,0)</f>
        <v/>
      </c>
      <c r="AL234" s="67">
        <f>IF(AND(AI234=1,OR(TRIM(U234)="Fail",AB234="Open",AND(ISNUMBER(AF234),AF234&lt;&gt;0,TRIM(U234)&lt;&gt;"Pass after CA"))),1,0)</f>
        <v/>
      </c>
      <c r="AM234" s="67">
        <f>IF(LEFT(AH234,7)="INVALID",1,0)</f>
        <v/>
      </c>
      <c r="AN234" s="67">
        <f>IF(AND(N234="Clarification required",AI234=1,AJ234=0),1,0)</f>
        <v/>
      </c>
      <c r="AO234" s="67">
        <f>IF(AK234=1,SUM(AK$5:AK234),"")</f>
        <v/>
      </c>
      <c r="AP234" s="67">
        <f>IF(AL234=1,SUM(AL$5:AL234),"")</f>
        <v/>
      </c>
      <c r="AQ234" s="67" t="n">
        <v>0</v>
      </c>
      <c r="AR234" s="67" t="n">
        <v>0</v>
      </c>
      <c r="AS234" s="67" t="n">
        <v>0</v>
      </c>
      <c r="AT234" s="67" t="n">
        <v>1</v>
      </c>
    </row>
    <row r="235" ht="41.5" customHeight="1">
      <c r="A235" s="63" t="inlineStr">
        <is>
          <t>F07-T12-12</t>
        </is>
      </c>
      <c r="B235" s="63" t="inlineStr">
        <is>
          <t>F07</t>
        </is>
      </c>
      <c r="C235" s="63">
        <f>Flights!$F$11</f>
        <v/>
      </c>
      <c r="D235" s="64">
        <f>Flights!$D$11</f>
        <v/>
      </c>
      <c r="E235" s="63">
        <f>Flights!$G$11&amp;"-"&amp;Flights!$H$11</f>
        <v/>
      </c>
      <c r="F235" s="63">
        <f>Flights!$K$11</f>
        <v/>
      </c>
      <c r="G235" s="63" t="inlineStr">
        <is>
          <t>T-12H PREP</t>
        </is>
      </c>
      <c r="H235" s="63" t="inlineStr">
        <is>
          <t>Preparation</t>
        </is>
      </c>
      <c r="I235" s="63" t="inlineStr">
        <is>
          <t>F&amp;B Linen</t>
        </is>
      </c>
      <c r="J235" s="63" t="inlineStr">
        <is>
          <t>Tray cloth - prepared</t>
        </is>
      </c>
      <c r="K235" s="73" t="inlineStr">
        <is>
          <t>Available (ticked in reference)</t>
        </is>
      </c>
      <c r="L235" s="73" t="inlineStr">
        <is>
          <t>STD UPLIFT INFORMATION.xlsx &gt; F&amp;B LINEN!E7</t>
        </is>
      </c>
      <c r="M235" s="73" t="inlineStr">
        <is>
          <t>Not stated in reference</t>
        </is>
      </c>
      <c r="N235" s="73" t="inlineStr">
        <is>
          <t>Required</t>
        </is>
      </c>
      <c r="O235" s="73" t="inlineStr">
        <is>
          <t>Reference gives no uplift stn for this item: preparation checked at the meal uplift stn (LHR) - confirm with caterer.</t>
        </is>
      </c>
      <c r="P235" s="63" t="inlineStr">
        <is>
          <t>LHR</t>
        </is>
      </c>
      <c r="Q235" s="65">
        <f>Flights!$AE$11</f>
        <v/>
      </c>
      <c r="R235" s="65">
        <f>Q235+(IF(AND(INDEX(TZ_DSTS,MATCH(P235,TZ_STN,0))&lt;&gt;"",Q235&gt;=INDEX(TZ_DSTS,MATCH(P235,TZ_STN,0)),Q235&lt;INDEX(TZ_DSTE,MATCH(P235,TZ_STN,0))),INDEX(TZ_DST,MATCH(P235,TZ_STN,0)),INDEX(TZ_STD,MATCH(P235,TZ_STN,0))))/24</f>
        <v/>
      </c>
      <c r="S235" s="65">
        <f>Q235-T12EarlyH/24</f>
        <v/>
      </c>
      <c r="T235" s="66" t="n"/>
      <c r="U235" s="66" t="n"/>
      <c r="V235" s="66" t="n"/>
      <c r="W235" s="67" t="n"/>
      <c r="X235" s="66" t="n"/>
      <c r="Y235" s="66" t="n"/>
      <c r="Z235" s="66" t="n"/>
      <c r="AA235" s="66" t="n"/>
      <c r="AB235" s="66" t="n"/>
      <c r="AC235" s="66" t="n"/>
      <c r="AD235" s="72" t="n"/>
      <c r="AE235" s="66" t="n"/>
      <c r="AF235" s="67">
        <f>IF(AND(ISNUMBER(X235),ISNUMBER(Y235)),Y235-X235,"")</f>
        <v/>
      </c>
      <c r="AG235" s="68">
        <f>IF(ISNUMBER(AD235),AD235-(IF(AND(INDEX(TZ_DSTS,MATCH(P235,TZ_STN,0))&lt;&gt;"",(AD235-INDEX(TZ_STD,MATCH(P235,TZ_STN,0))/24)&gt;=INDEX(TZ_DSTS,MATCH(P235,TZ_STN,0)),(AD235-INDEX(TZ_STD,MATCH(P235,TZ_STN,0))/24)&lt;INDEX(TZ_DSTE,MATCH(P235,TZ_STN,0))),INDEX(TZ_DST,MATCH(P235,TZ_STN,0)),INDEX(TZ_STD,MATCH(P235,TZ_STN,0))))/24,"")</f>
        <v/>
      </c>
      <c r="AH235" s="71">
        <f>IF(N235="N/A – rule","N/A – RULE",IF(TRIM(U235)="N/A",IF(AT235=0,"INVALID – N/A not permitted for this mandatory check",IF(AND(TRIM(AC235)&lt;&gt;"",TRIM(AE235)&lt;&gt;"",TRIM(T235)&lt;&gt;""),"N/A – JUSTIFIED","INVALID – N/A needs justification, PIC and verifier")),IF(OR(TRIM(U235)="Pass",TRIM(U235)="Pass after CA"),IF(NOT(ISNUMBER(AD235)),"INVALID – completion time missing",IF(TRIM(T235)="","INVALID – PIC missing",IF(TRIM(Z235)="","INVALID – evidence missing",IF(TRIM(AE235)="","INVALID – verifier missing",IF(AND(AQ235=1,TRIM(W235)=""),"INVALID – batch ID missing",IF(AND(AR235=1,OR(NOT(ISNUMBER(X235)),NOT(ISNUMBER(Y235)))),"INVALID – expected/actual qty missing",IF(IF(AND(TRIM(U235)="Pass",ISNUMBER(AF235)),IF(AF235&lt;&gt;0,"INVALID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recorded/closed","")&lt;&gt;"",IF(AND(TRIM(U235)="Pass",ISNUMBER(AF235)),IF(AF235&lt;&gt;0,"INVALID – qty variance: use Fail or Pass after CA",""),"")&amp;IF(AND(TRIM(U235)="Pass",AB235="Open"),"INVALID – corrective action still open: use Fail, then Pass after CA","")&amp;IF(AND(TRIM(U235)="Pass after CA",OR(TRIM(AA235)="",AB235&lt;&gt;"Closed")),"INVALID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window"),IF(AG235&gt;Flights!$AA$11,"INVALID – completed after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f>
        <v/>
      </c>
      <c r="AI235" s="67">
        <f>IF(OR(AH235="N/A – RULE",AH235="N/A – JUSTIFIED"),0,1)</f>
        <v/>
      </c>
      <c r="AJ235" s="67">
        <f>IF(LEFT(AH235,8)="COMPLETE",1,0)</f>
        <v/>
      </c>
      <c r="AK235" s="67">
        <f>IF(AND(AI235=1,AJ235=0,AsOfUTC&gt;Q235),1,0)</f>
        <v/>
      </c>
      <c r="AL235" s="67">
        <f>IF(AND(AI235=1,OR(TRIM(U235)="Fail",AB235="Open",AND(ISNUMBER(AF235),AF235&lt;&gt;0,TRIM(U235)&lt;&gt;"Pass after CA"))),1,0)</f>
        <v/>
      </c>
      <c r="AM235" s="67">
        <f>IF(LEFT(AH235,7)="INVALID",1,0)</f>
        <v/>
      </c>
      <c r="AN235" s="67">
        <f>IF(AND(N235="Clarification required",AI235=1,AJ235=0),1,0)</f>
        <v/>
      </c>
      <c r="AO235" s="67">
        <f>IF(AK235=1,SUM(AK$5:AK235),"")</f>
        <v/>
      </c>
      <c r="AP235" s="67">
        <f>IF(AL235=1,SUM(AL$5:AL235),"")</f>
        <v/>
      </c>
      <c r="AQ235" s="67" t="n">
        <v>0</v>
      </c>
      <c r="AR235" s="67" t="n">
        <v>0</v>
      </c>
      <c r="AS235" s="67" t="n">
        <v>0</v>
      </c>
      <c r="AT235" s="67" t="n">
        <v>1</v>
      </c>
    </row>
    <row r="236" ht="41.5" customHeight="1">
      <c r="A236" s="63" t="inlineStr">
        <is>
          <t>F07-T12-13</t>
        </is>
      </c>
      <c r="B236" s="63" t="inlineStr">
        <is>
          <t>F07</t>
        </is>
      </c>
      <c r="C236" s="63">
        <f>Flights!$F$11</f>
        <v/>
      </c>
      <c r="D236" s="64">
        <f>Flights!$D$11</f>
        <v/>
      </c>
      <c r="E236" s="63">
        <f>Flights!$G$11&amp;"-"&amp;Flights!$H$11</f>
        <v/>
      </c>
      <c r="F236" s="63">
        <f>Flights!$K$11</f>
        <v/>
      </c>
      <c r="G236" s="63" t="inlineStr">
        <is>
          <t>T-12H PREP</t>
        </is>
      </c>
      <c r="H236" s="63" t="inlineStr">
        <is>
          <t>Preparation</t>
        </is>
      </c>
      <c r="I236" s="63" t="inlineStr">
        <is>
          <t>F&amp;B Linen</t>
        </is>
      </c>
      <c r="J236" s="63" t="inlineStr">
        <is>
          <t>Napkin - prepared</t>
        </is>
      </c>
      <c r="K236" s="73" t="inlineStr">
        <is>
          <t>Available (ticked in reference)</t>
        </is>
      </c>
      <c r="L236" s="73" t="inlineStr">
        <is>
          <t>STD UPLIFT INFORMATION.xlsx &gt; F&amp;B LINEN!F7</t>
        </is>
      </c>
      <c r="M236" s="73" t="inlineStr">
        <is>
          <t>Not stated in reference</t>
        </is>
      </c>
      <c r="N236" s="73" t="inlineStr">
        <is>
          <t>Required</t>
        </is>
      </c>
      <c r="O236" s="73" t="inlineStr">
        <is>
          <t>Reference gives no uplift stn for this item: preparation checked at the meal uplift stn (LHR) - confirm with caterer.</t>
        </is>
      </c>
      <c r="P236" s="63" t="inlineStr">
        <is>
          <t>LHR</t>
        </is>
      </c>
      <c r="Q236" s="65">
        <f>Flights!$AE$11</f>
        <v/>
      </c>
      <c r="R236" s="65">
        <f>Q236+(IF(AND(INDEX(TZ_DSTS,MATCH(P236,TZ_STN,0))&lt;&gt;"",Q236&gt;=INDEX(TZ_DSTS,MATCH(P236,TZ_STN,0)),Q236&lt;INDEX(TZ_DSTE,MATCH(P236,TZ_STN,0))),INDEX(TZ_DST,MATCH(P236,TZ_STN,0)),INDEX(TZ_STD,MATCH(P236,TZ_STN,0))))/24</f>
        <v/>
      </c>
      <c r="S236" s="65">
        <f>Q236-T12EarlyH/24</f>
        <v/>
      </c>
      <c r="T236" s="66" t="n"/>
      <c r="U236" s="66" t="n"/>
      <c r="V236" s="66" t="n"/>
      <c r="W236" s="67" t="n"/>
      <c r="X236" s="66" t="n"/>
      <c r="Y236" s="66" t="n"/>
      <c r="Z236" s="66" t="n"/>
      <c r="AA236" s="66" t="n"/>
      <c r="AB236" s="66" t="n"/>
      <c r="AC236" s="66" t="n"/>
      <c r="AD236" s="72" t="n"/>
      <c r="AE236" s="66" t="n"/>
      <c r="AF236" s="67">
        <f>IF(AND(ISNUMBER(X236),ISNUMBER(Y236)),Y236-X236,"")</f>
        <v/>
      </c>
      <c r="AG236" s="68">
        <f>IF(ISNUMBER(AD236),AD236-(IF(AND(INDEX(TZ_DSTS,MATCH(P236,TZ_STN,0))&lt;&gt;"",(AD236-INDEX(TZ_STD,MATCH(P236,TZ_STN,0))/24)&gt;=INDEX(TZ_DSTS,MATCH(P236,TZ_STN,0)),(AD236-INDEX(TZ_STD,MATCH(P236,TZ_STN,0))/24)&lt;INDEX(TZ_DSTE,MATCH(P236,TZ_STN,0))),INDEX(TZ_DST,MATCH(P236,TZ_STN,0)),INDEX(TZ_STD,MATCH(P236,TZ_STN,0))))/24,"")</f>
        <v/>
      </c>
      <c r="AH236" s="71">
        <f>IF(N236="N/A – rule","N/A – RULE",IF(TRIM(U236)="N/A",IF(AT236=0,"INVALID – N/A not permitted for this mandatory check",IF(AND(TRIM(AC236)&lt;&gt;"",TRIM(AE236)&lt;&gt;"",TRIM(T236)&lt;&gt;""),"N/A – JUSTIFIED","INVALID – N/A needs justification, PIC and verifier")),IF(OR(TRIM(U236)="Pass",TRIM(U236)="Pass after CA"),IF(NOT(ISNUMBER(AD236)),"INVALID – completion time missing",IF(TRIM(T236)="","INVALID – PIC missing",IF(TRIM(Z236)="","INVALID – evidence missing",IF(TRIM(AE236)="","INVALID – verifier missing",IF(AND(AQ236=1,TRIM(W236)=""),"INVALID – batch ID missing",IF(AND(AR236=1,OR(NOT(ISNUMBER(X236)),NOT(ISNUMBER(Y236)))),"INVALID – expected/actual qty missing",IF(IF(AND(TRIM(U236)="Pass",ISNUMBER(AF236)),IF(AF236&lt;&gt;0,"INVALID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recorded/closed","")&lt;&gt;"",IF(AND(TRIM(U236)="Pass",ISNUMBER(AF236)),IF(AF236&lt;&gt;0,"INVALID – qty variance: use Fail or Pass after CA",""),"")&amp;IF(AND(TRIM(U236)="Pass",AB236="Open"),"INVALID – corrective action still open: use Fail, then Pass after CA","")&amp;IF(AND(TRIM(U236)="Pass after CA",OR(TRIM(AA236)="",AB236&lt;&gt;"Closed")),"INVALID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window"),IF(AG236&gt;Flights!$AA$11,"INVALID – completed after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f>
        <v/>
      </c>
      <c r="AI236" s="67">
        <f>IF(OR(AH236="N/A – RULE",AH236="N/A – JUSTIFIED"),0,1)</f>
        <v/>
      </c>
      <c r="AJ236" s="67">
        <f>IF(LEFT(AH236,8)="COMPLETE",1,0)</f>
        <v/>
      </c>
      <c r="AK236" s="67">
        <f>IF(AND(AI236=1,AJ236=0,AsOfUTC&gt;Q236),1,0)</f>
        <v/>
      </c>
      <c r="AL236" s="67">
        <f>IF(AND(AI236=1,OR(TRIM(U236)="Fail",AB236="Open",AND(ISNUMBER(AF236),AF236&lt;&gt;0,TRIM(U236)&lt;&gt;"Pass after CA"))),1,0)</f>
        <v/>
      </c>
      <c r="AM236" s="67">
        <f>IF(LEFT(AH236,7)="INVALID",1,0)</f>
        <v/>
      </c>
      <c r="AN236" s="67">
        <f>IF(AND(N236="Clarification required",AI236=1,AJ236=0),1,0)</f>
        <v/>
      </c>
      <c r="AO236" s="67">
        <f>IF(AK236=1,SUM(AK$5:AK236),"")</f>
        <v/>
      </c>
      <c r="AP236" s="67">
        <f>IF(AL236=1,SUM(AL$5:AL236),"")</f>
        <v/>
      </c>
      <c r="AQ236" s="67" t="n">
        <v>0</v>
      </c>
      <c r="AR236" s="67" t="n">
        <v>0</v>
      </c>
      <c r="AS236" s="67" t="n">
        <v>0</v>
      </c>
      <c r="AT236" s="67" t="n">
        <v>1</v>
      </c>
    </row>
    <row r="237" ht="41.5" customHeight="1">
      <c r="A237" s="63" t="inlineStr">
        <is>
          <t>F07-T12-14</t>
        </is>
      </c>
      <c r="B237" s="63" t="inlineStr">
        <is>
          <t>F07</t>
        </is>
      </c>
      <c r="C237" s="63">
        <f>Flights!$F$11</f>
        <v/>
      </c>
      <c r="D237" s="64">
        <f>Flights!$D$11</f>
        <v/>
      </c>
      <c r="E237" s="63">
        <f>Flights!$G$11&amp;"-"&amp;Flights!$H$11</f>
        <v/>
      </c>
      <c r="F237" s="63">
        <f>Flights!$K$11</f>
        <v/>
      </c>
      <c r="G237" s="63" t="inlineStr">
        <is>
          <t>T-12H PREP</t>
        </is>
      </c>
      <c r="H237" s="63" t="inlineStr">
        <is>
          <t>Preparation</t>
        </is>
      </c>
      <c r="I237" s="63" t="inlineStr">
        <is>
          <t>F&amp;B Linen</t>
        </is>
      </c>
      <c r="J237" s="63" t="inlineStr">
        <is>
          <t>Table cloth - prepared</t>
        </is>
      </c>
      <c r="K237" s="73" t="inlineStr">
        <is>
          <t>Available (ticked in reference)</t>
        </is>
      </c>
      <c r="L237" s="73" t="inlineStr">
        <is>
          <t>STD UPLIFT INFORMATION.xlsx &gt; F&amp;B LINEN!G7</t>
        </is>
      </c>
      <c r="M237" s="73" t="inlineStr">
        <is>
          <t>Not stated in reference</t>
        </is>
      </c>
      <c r="N237" s="73" t="inlineStr">
        <is>
          <t>Required</t>
        </is>
      </c>
      <c r="O237" s="73" t="inlineStr">
        <is>
          <t>Reference gives no uplift stn for this item: preparation checked at the meal uplift stn (LHR) - confirm with caterer.</t>
        </is>
      </c>
      <c r="P237" s="63" t="inlineStr">
        <is>
          <t>LHR</t>
        </is>
      </c>
      <c r="Q237" s="65">
        <f>Flights!$AE$11</f>
        <v/>
      </c>
      <c r="R237" s="65">
        <f>Q237+(IF(AND(INDEX(TZ_DSTS,MATCH(P237,TZ_STN,0))&lt;&gt;"",Q237&gt;=INDEX(TZ_DSTS,MATCH(P237,TZ_STN,0)),Q237&lt;INDEX(TZ_DSTE,MATCH(P237,TZ_STN,0))),INDEX(TZ_DST,MATCH(P237,TZ_STN,0)),INDEX(TZ_STD,MATCH(P237,TZ_STN,0))))/24</f>
        <v/>
      </c>
      <c r="S237" s="65">
        <f>Q237-T12EarlyH/24</f>
        <v/>
      </c>
      <c r="T237" s="66" t="n"/>
      <c r="U237" s="66" t="n"/>
      <c r="V237" s="66" t="n"/>
      <c r="W237" s="67" t="n"/>
      <c r="X237" s="66" t="n"/>
      <c r="Y237" s="66" t="n"/>
      <c r="Z237" s="66" t="n"/>
      <c r="AA237" s="66" t="n"/>
      <c r="AB237" s="66" t="n"/>
      <c r="AC237" s="66" t="n"/>
      <c r="AD237" s="72" t="n"/>
      <c r="AE237" s="66" t="n"/>
      <c r="AF237" s="67">
        <f>IF(AND(ISNUMBER(X237),ISNUMBER(Y237)),Y237-X237,"")</f>
        <v/>
      </c>
      <c r="AG237" s="68">
        <f>IF(ISNUMBER(AD237),AD237-(IF(AND(INDEX(TZ_DSTS,MATCH(P237,TZ_STN,0))&lt;&gt;"",(AD237-INDEX(TZ_STD,MATCH(P237,TZ_STN,0))/24)&gt;=INDEX(TZ_DSTS,MATCH(P237,TZ_STN,0)),(AD237-INDEX(TZ_STD,MATCH(P237,TZ_STN,0))/24)&lt;INDEX(TZ_DSTE,MATCH(P237,TZ_STN,0))),INDEX(TZ_DST,MATCH(P237,TZ_STN,0)),INDEX(TZ_STD,MATCH(P237,TZ_STN,0))))/24,"")</f>
        <v/>
      </c>
      <c r="AH237" s="71">
        <f>IF(N237="N/A – rule","N/A – RULE",IF(TRIM(U237)="N/A",IF(AT237=0,"INVALID – N/A not permitted for this mandatory check",IF(AND(TRIM(AC237)&lt;&gt;"",TRIM(AE237)&lt;&gt;"",TRIM(T237)&lt;&gt;""),"N/A – JUSTIFIED","INVALID – N/A needs justification, PIC and verifier")),IF(OR(TRIM(U237)="Pass",TRIM(U237)="Pass after CA"),IF(NOT(ISNUMBER(AD237)),"INVALID – completion time missing",IF(TRIM(T237)="","INVALID – PIC missing",IF(TRIM(Z237)="","INVALID – evidence missing",IF(TRIM(AE237)="","INVALID – verifier missing",IF(AND(AQ237=1,TRIM(W237)=""),"INVALID – batch ID missing",IF(AND(AR237=1,OR(NOT(ISNUMBER(X237)),NOT(ISNUMBER(Y237)))),"INVALID – expected/actual qty missing",IF(IF(AND(TRIM(U237)="Pass",ISNUMBER(AF237)),IF(AF237&lt;&gt;0,"INVALID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recorded/closed","")&lt;&gt;"",IF(AND(TRIM(U237)="Pass",ISNUMBER(AF237)),IF(AF237&lt;&gt;0,"INVALID – qty variance: use Fail or Pass after CA",""),"")&amp;IF(AND(TRIM(U237)="Pass",AB237="Open"),"INVALID – corrective action still open: use Fail, then Pass after CA","")&amp;IF(AND(TRIM(U237)="Pass after CA",OR(TRIM(AA237)="",AB237&lt;&gt;"Closed")),"INVALID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window"),IF(AG237&gt;Flights!$AA$11,"INVALID – completed after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f>
        <v/>
      </c>
      <c r="AI237" s="67">
        <f>IF(OR(AH237="N/A – RULE",AH237="N/A – JUSTIFIED"),0,1)</f>
        <v/>
      </c>
      <c r="AJ237" s="67">
        <f>IF(LEFT(AH237,8)="COMPLETE",1,0)</f>
        <v/>
      </c>
      <c r="AK237" s="67">
        <f>IF(AND(AI237=1,AJ237=0,AsOfUTC&gt;Q237),1,0)</f>
        <v/>
      </c>
      <c r="AL237" s="67">
        <f>IF(AND(AI237=1,OR(TRIM(U237)="Fail",AB237="Open",AND(ISNUMBER(AF237),AF237&lt;&gt;0,TRIM(U237)&lt;&gt;"Pass after CA"))),1,0)</f>
        <v/>
      </c>
      <c r="AM237" s="67">
        <f>IF(LEFT(AH237,7)="INVALID",1,0)</f>
        <v/>
      </c>
      <c r="AN237" s="67">
        <f>IF(AND(N237="Clarification required",AI237=1,AJ237=0),1,0)</f>
        <v/>
      </c>
      <c r="AO237" s="67">
        <f>IF(AK237=1,SUM(AK$5:AK237),"")</f>
        <v/>
      </c>
      <c r="AP237" s="67">
        <f>IF(AL237=1,SUM(AL$5:AL237),"")</f>
        <v/>
      </c>
      <c r="AQ237" s="67" t="n">
        <v>0</v>
      </c>
      <c r="AR237" s="67" t="n">
        <v>0</v>
      </c>
      <c r="AS237" s="67" t="n">
        <v>0</v>
      </c>
      <c r="AT237" s="67" t="n">
        <v>1</v>
      </c>
    </row>
    <row r="238" ht="41.5" customHeight="1">
      <c r="A238" s="63" t="inlineStr">
        <is>
          <t>F07-T12-15</t>
        </is>
      </c>
      <c r="B238" s="63" t="inlineStr">
        <is>
          <t>F07</t>
        </is>
      </c>
      <c r="C238" s="63">
        <f>Flights!$F$11</f>
        <v/>
      </c>
      <c r="D238" s="64">
        <f>Flights!$D$11</f>
        <v/>
      </c>
      <c r="E238" s="63">
        <f>Flights!$G$11&amp;"-"&amp;Flights!$H$11</f>
        <v/>
      </c>
      <c r="F238" s="63">
        <f>Flights!$K$11</f>
        <v/>
      </c>
      <c r="G238" s="63" t="inlineStr">
        <is>
          <t>T-12H PREP</t>
        </is>
      </c>
      <c r="H238" s="63" t="inlineStr">
        <is>
          <t>Preparation</t>
        </is>
      </c>
      <c r="I238" s="63" t="inlineStr">
        <is>
          <t>F&amp;B Linen</t>
        </is>
      </c>
      <c r="J238" s="63" t="inlineStr">
        <is>
          <t>Bread linen (using table cloth) - prepared</t>
        </is>
      </c>
      <c r="K238" s="73" t="inlineStr">
        <is>
          <t>Available (ticked in reference)</t>
        </is>
      </c>
      <c r="L238" s="73" t="inlineStr">
        <is>
          <t>STD UPLIFT INFORMATION.xlsx &gt; F&amp;B LINEN!H7</t>
        </is>
      </c>
      <c r="M238" s="73" t="inlineStr">
        <is>
          <t>Not stated in reference</t>
        </is>
      </c>
      <c r="N238" s="73" t="inlineStr">
        <is>
          <t>Required</t>
        </is>
      </c>
      <c r="O238" s="73" t="inlineStr">
        <is>
          <t>Reference gives no uplift stn for this item: preparation checked at the meal uplift stn (LHR) - confirm with caterer.</t>
        </is>
      </c>
      <c r="P238" s="63" t="inlineStr">
        <is>
          <t>LHR</t>
        </is>
      </c>
      <c r="Q238" s="65">
        <f>Flights!$AE$11</f>
        <v/>
      </c>
      <c r="R238" s="65">
        <f>Q238+(IF(AND(INDEX(TZ_DSTS,MATCH(P238,TZ_STN,0))&lt;&gt;"",Q238&gt;=INDEX(TZ_DSTS,MATCH(P238,TZ_STN,0)),Q238&lt;INDEX(TZ_DSTE,MATCH(P238,TZ_STN,0))),INDEX(TZ_DST,MATCH(P238,TZ_STN,0)),INDEX(TZ_STD,MATCH(P238,TZ_STN,0))))/24</f>
        <v/>
      </c>
      <c r="S238" s="65">
        <f>Q238-T12EarlyH/24</f>
        <v/>
      </c>
      <c r="T238" s="66" t="n"/>
      <c r="U238" s="66" t="n"/>
      <c r="V238" s="66" t="n"/>
      <c r="W238" s="67" t="n"/>
      <c r="X238" s="66" t="n"/>
      <c r="Y238" s="66" t="n"/>
      <c r="Z238" s="66" t="n"/>
      <c r="AA238" s="66" t="n"/>
      <c r="AB238" s="66" t="n"/>
      <c r="AC238" s="66" t="n"/>
      <c r="AD238" s="72" t="n"/>
      <c r="AE238" s="66" t="n"/>
      <c r="AF238" s="67">
        <f>IF(AND(ISNUMBER(X238),ISNUMBER(Y238)),Y238-X238,"")</f>
        <v/>
      </c>
      <c r="AG238" s="68">
        <f>IF(ISNUMBER(AD238),AD238-(IF(AND(INDEX(TZ_DSTS,MATCH(P238,TZ_STN,0))&lt;&gt;"",(AD238-INDEX(TZ_STD,MATCH(P238,TZ_STN,0))/24)&gt;=INDEX(TZ_DSTS,MATCH(P238,TZ_STN,0)),(AD238-INDEX(TZ_STD,MATCH(P238,TZ_STN,0))/24)&lt;INDEX(TZ_DSTE,MATCH(P238,TZ_STN,0))),INDEX(TZ_DST,MATCH(P238,TZ_STN,0)),INDEX(TZ_STD,MATCH(P238,TZ_STN,0))))/24,"")</f>
        <v/>
      </c>
      <c r="AH238" s="71">
        <f>IF(N238="N/A – rule","N/A – RULE",IF(TRIM(U238)="N/A",IF(AT238=0,"INVALID – N/A not permitted for this mandatory check",IF(AND(TRIM(AC238)&lt;&gt;"",TRIM(AE238)&lt;&gt;"",TRIM(T238)&lt;&gt;""),"N/A – JUSTIFIED","INVALID – N/A needs justification, PIC and verifier")),IF(OR(TRIM(U238)="Pass",TRIM(U238)="Pass after CA"),IF(NOT(ISNUMBER(AD238)),"INVALID – completion time missing",IF(TRIM(T238)="","INVALID – PIC missing",IF(TRIM(Z238)="","INVALID – evidence missing",IF(TRIM(AE238)="","INVALID – verifier missing",IF(AND(AQ238=1,TRIM(W238)=""),"INVALID – batch ID missing",IF(AND(AR238=1,OR(NOT(ISNUMBER(X238)),NOT(ISNUMBER(Y238)))),"INVALID – expected/actual qty missing",IF(IF(AND(TRIM(U238)="Pass",ISNUMBER(AF238)),IF(AF238&lt;&gt;0,"INVALID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recorded/closed","")&lt;&gt;"",IF(AND(TRIM(U238)="Pass",ISNUMBER(AF238)),IF(AF238&lt;&gt;0,"INVALID – qty variance: use Fail or Pass after CA",""),"")&amp;IF(AND(TRIM(U238)="Pass",AB238="Open"),"INVALID – corrective action still open: use Fail, then Pass after CA","")&amp;IF(AND(TRIM(U238)="Pass after CA",OR(TRIM(AA238)="",AB238&lt;&gt;"Closed")),"INVALID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window"),IF(AG238&gt;Flights!$AA$11,"INVALID – completed after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f>
        <v/>
      </c>
      <c r="AI238" s="67">
        <f>IF(OR(AH238="N/A – RULE",AH238="N/A – JUSTIFIED"),0,1)</f>
        <v/>
      </c>
      <c r="AJ238" s="67">
        <f>IF(LEFT(AH238,8)="COMPLETE",1,0)</f>
        <v/>
      </c>
      <c r="AK238" s="67">
        <f>IF(AND(AI238=1,AJ238=0,AsOfUTC&gt;Q238),1,0)</f>
        <v/>
      </c>
      <c r="AL238" s="67">
        <f>IF(AND(AI238=1,OR(TRIM(U238)="Fail",AB238="Open",AND(ISNUMBER(AF238),AF238&lt;&gt;0,TRIM(U238)&lt;&gt;"Pass after CA"))),1,0)</f>
        <v/>
      </c>
      <c r="AM238" s="67">
        <f>IF(LEFT(AH238,7)="INVALID",1,0)</f>
        <v/>
      </c>
      <c r="AN238" s="67">
        <f>IF(AND(N238="Clarification required",AI238=1,AJ238=0),1,0)</f>
        <v/>
      </c>
      <c r="AO238" s="67">
        <f>IF(AK238=1,SUM(AK$5:AK238),"")</f>
        <v/>
      </c>
      <c r="AP238" s="67">
        <f>IF(AL238=1,SUM(AL$5:AL238),"")</f>
        <v/>
      </c>
      <c r="AQ238" s="67" t="n">
        <v>0</v>
      </c>
      <c r="AR238" s="67" t="n">
        <v>0</v>
      </c>
      <c r="AS238" s="67" t="n">
        <v>0</v>
      </c>
      <c r="AT238" s="67" t="n">
        <v>1</v>
      </c>
    </row>
    <row r="239" ht="54" customHeight="1">
      <c r="A239" s="63" t="inlineStr">
        <is>
          <t>F07-T12-16</t>
        </is>
      </c>
      <c r="B239" s="63" t="inlineStr">
        <is>
          <t>F07</t>
        </is>
      </c>
      <c r="C239" s="63">
        <f>Flights!$F$11</f>
        <v/>
      </c>
      <c r="D239" s="64">
        <f>Flights!$D$11</f>
        <v/>
      </c>
      <c r="E239" s="63">
        <f>Flights!$G$11&amp;"-"&amp;Flights!$H$11</f>
        <v/>
      </c>
      <c r="F239" s="63">
        <f>Flights!$K$11</f>
        <v/>
      </c>
      <c r="G239" s="63" t="inlineStr">
        <is>
          <t>T-12H PREP</t>
        </is>
      </c>
      <c r="H239" s="63" t="inlineStr">
        <is>
          <t>Preparation</t>
        </is>
      </c>
      <c r="I239" s="63" t="inlineStr">
        <is>
          <t>F&amp;B Linen</t>
        </is>
      </c>
      <c r="J239" s="63" t="inlineStr">
        <is>
          <t>Trolley cloth - prepared</t>
        </is>
      </c>
      <c r="K239" s="73" t="inlineStr">
        <is>
          <t>Wide body: Top/Middle &amp; Bottom</t>
        </is>
      </c>
      <c r="L239" s="73" t="inlineStr">
        <is>
          <t>STD UPLIFT INFORMATION.xlsx &gt; F&amp;B LINEN!I7</t>
        </is>
      </c>
      <c r="M239" s="73" t="inlineStr">
        <is>
          <t>Not stated in reference</t>
        </is>
      </c>
      <c r="N239" s="73" t="inlineStr">
        <is>
          <t>Required</t>
        </is>
      </c>
      <c r="O239" s="73" t="inlineStr">
        <is>
          <t>Per note F&amp;B LINEN!B79:C80. Reference gives no uplift stn for this item: preparation checked at the meal uplift stn (LHR) - confirm with caterer.</t>
        </is>
      </c>
      <c r="P239" s="63" t="inlineStr">
        <is>
          <t>LHR</t>
        </is>
      </c>
      <c r="Q239" s="65">
        <f>Flights!$AE$11</f>
        <v/>
      </c>
      <c r="R239" s="65">
        <f>Q239+(IF(AND(INDEX(TZ_DSTS,MATCH(P239,TZ_STN,0))&lt;&gt;"",Q239&gt;=INDEX(TZ_DSTS,MATCH(P239,TZ_STN,0)),Q239&lt;INDEX(TZ_DSTE,MATCH(P239,TZ_STN,0))),INDEX(TZ_DST,MATCH(P239,TZ_STN,0)),INDEX(TZ_STD,MATCH(P239,TZ_STN,0))))/24</f>
        <v/>
      </c>
      <c r="S239" s="65">
        <f>Q239-T12EarlyH/24</f>
        <v/>
      </c>
      <c r="T239" s="66" t="n"/>
      <c r="U239" s="66" t="n"/>
      <c r="V239" s="66" t="n"/>
      <c r="W239" s="67" t="n"/>
      <c r="X239" s="66" t="n"/>
      <c r="Y239" s="66" t="n"/>
      <c r="Z239" s="66" t="n"/>
      <c r="AA239" s="66" t="n"/>
      <c r="AB239" s="66" t="n"/>
      <c r="AC239" s="66" t="n"/>
      <c r="AD239" s="72" t="n"/>
      <c r="AE239" s="66" t="n"/>
      <c r="AF239" s="67">
        <f>IF(AND(ISNUMBER(X239),ISNUMBER(Y239)),Y239-X239,"")</f>
        <v/>
      </c>
      <c r="AG239" s="68">
        <f>IF(ISNUMBER(AD239),AD239-(IF(AND(INDEX(TZ_DSTS,MATCH(P239,TZ_STN,0))&lt;&gt;"",(AD239-INDEX(TZ_STD,MATCH(P239,TZ_STN,0))/24)&gt;=INDEX(TZ_DSTS,MATCH(P239,TZ_STN,0)),(AD239-INDEX(TZ_STD,MATCH(P239,TZ_STN,0))/24)&lt;INDEX(TZ_DSTE,MATCH(P239,TZ_STN,0))),INDEX(TZ_DST,MATCH(P239,TZ_STN,0)),INDEX(TZ_STD,MATCH(P239,TZ_STN,0))))/24,"")</f>
        <v/>
      </c>
      <c r="AH239" s="71">
        <f>IF(N239="N/A – rule","N/A – RULE",IF(TRIM(U239)="N/A",IF(AT239=0,"INVALID – N/A not permitted for this mandatory check",IF(AND(TRIM(AC239)&lt;&gt;"",TRIM(AE239)&lt;&gt;"",TRIM(T239)&lt;&gt;""),"N/A – JUSTIFIED","INVALID – N/A needs justification, PIC and verifier")),IF(OR(TRIM(U239)="Pass",TRIM(U239)="Pass after CA"),IF(NOT(ISNUMBER(AD239)),"INVALID – completion time missing",IF(TRIM(T239)="","INVALID – PIC missing",IF(TRIM(Z239)="","INVALID – evidence missing",IF(TRIM(AE239)="","INVALID – verifier missing",IF(AND(AQ239=1,TRIM(W239)=""),"INVALID – batch ID missing",IF(AND(AR239=1,OR(NOT(ISNUMBER(X239)),NOT(ISNUMBER(Y239)))),"INVALID – expected/actual qty missing",IF(IF(AND(TRIM(U239)="Pass",ISNUMBER(AF239)),IF(AF239&lt;&gt;0,"INVALID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recorded/closed","")&lt;&gt;"",IF(AND(TRIM(U239)="Pass",ISNUMBER(AF239)),IF(AF239&lt;&gt;0,"INVALID – qty variance: use Fail or Pass after CA",""),"")&amp;IF(AND(TRIM(U239)="Pass",AB239="Open"),"INVALID – corrective action still open: use Fail, then Pass after CA","")&amp;IF(AND(TRIM(U239)="Pass after CA",OR(TRIM(AA239)="",AB239&lt;&gt;"Closed")),"INVALID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window"),IF(AG239&gt;Flights!$AA$11,"INVALID – completed after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f>
        <v/>
      </c>
      <c r="AI239" s="67">
        <f>IF(OR(AH239="N/A – RULE",AH239="N/A – JUSTIFIED"),0,1)</f>
        <v/>
      </c>
      <c r="AJ239" s="67">
        <f>IF(LEFT(AH239,8)="COMPLETE",1,0)</f>
        <v/>
      </c>
      <c r="AK239" s="67">
        <f>IF(AND(AI239=1,AJ239=0,AsOfUTC&gt;Q239),1,0)</f>
        <v/>
      </c>
      <c r="AL239" s="67">
        <f>IF(AND(AI239=1,OR(TRIM(U239)="Fail",AB239="Open",AND(ISNUMBER(AF239),AF239&lt;&gt;0,TRIM(U239)&lt;&gt;"Pass after CA"))),1,0)</f>
        <v/>
      </c>
      <c r="AM239" s="67">
        <f>IF(LEFT(AH239,7)="INVALID",1,0)</f>
        <v/>
      </c>
      <c r="AN239" s="67">
        <f>IF(AND(N239="Clarification required",AI239=1,AJ239=0),1,0)</f>
        <v/>
      </c>
      <c r="AO239" s="67">
        <f>IF(AK239=1,SUM(AK$5:AK239),"")</f>
        <v/>
      </c>
      <c r="AP239" s="67">
        <f>IF(AL239=1,SUM(AL$5:AL239),"")</f>
        <v/>
      </c>
      <c r="AQ239" s="67" t="n">
        <v>0</v>
      </c>
      <c r="AR239" s="67" t="n">
        <v>0</v>
      </c>
      <c r="AS239" s="67" t="n">
        <v>0</v>
      </c>
      <c r="AT239" s="67" t="n">
        <v>1</v>
      </c>
    </row>
    <row r="240" ht="41.5" customHeight="1">
      <c r="A240" s="63" t="inlineStr">
        <is>
          <t>F07-T12-17</t>
        </is>
      </c>
      <c r="B240" s="63" t="inlineStr">
        <is>
          <t>F07</t>
        </is>
      </c>
      <c r="C240" s="63">
        <f>Flights!$F$11</f>
        <v/>
      </c>
      <c r="D240" s="64">
        <f>Flights!$D$11</f>
        <v/>
      </c>
      <c r="E240" s="63">
        <f>Flights!$G$11&amp;"-"&amp;Flights!$H$11</f>
        <v/>
      </c>
      <c r="F240" s="63">
        <f>Flights!$K$11</f>
        <v/>
      </c>
      <c r="G240" s="63" t="inlineStr">
        <is>
          <t>T-12H PREP</t>
        </is>
      </c>
      <c r="H240" s="63" t="inlineStr">
        <is>
          <t>Preparation</t>
        </is>
      </c>
      <c r="I240" s="63" t="inlineStr">
        <is>
          <t>F&amp;B Linen</t>
        </is>
      </c>
      <c r="J240" s="63" t="inlineStr">
        <is>
          <t>Linen bag - prepared</t>
        </is>
      </c>
      <c r="K240" s="73" t="inlineStr">
        <is>
          <t>Available (ticked in reference)</t>
        </is>
      </c>
      <c r="L240" s="73" t="inlineStr">
        <is>
          <t>STD UPLIFT INFORMATION.xlsx &gt; F&amp;B LINEN!J7</t>
        </is>
      </c>
      <c r="M240" s="73" t="inlineStr">
        <is>
          <t>Not stated in reference</t>
        </is>
      </c>
      <c r="N240" s="73" t="inlineStr">
        <is>
          <t>Required</t>
        </is>
      </c>
      <c r="O240" s="73" t="inlineStr">
        <is>
          <t>Reference gives no uplift stn for this item: preparation checked at the meal uplift stn (LHR) - confirm with caterer.</t>
        </is>
      </c>
      <c r="P240" s="63" t="inlineStr">
        <is>
          <t>LHR</t>
        </is>
      </c>
      <c r="Q240" s="65">
        <f>Flights!$AE$11</f>
        <v/>
      </c>
      <c r="R240" s="65">
        <f>Q240+(IF(AND(INDEX(TZ_DSTS,MATCH(P240,TZ_STN,0))&lt;&gt;"",Q240&gt;=INDEX(TZ_DSTS,MATCH(P240,TZ_STN,0)),Q240&lt;INDEX(TZ_DSTE,MATCH(P240,TZ_STN,0))),INDEX(TZ_DST,MATCH(P240,TZ_STN,0)),INDEX(TZ_STD,MATCH(P240,TZ_STN,0))))/24</f>
        <v/>
      </c>
      <c r="S240" s="65">
        <f>Q240-T12EarlyH/24</f>
        <v/>
      </c>
      <c r="T240" s="66" t="n"/>
      <c r="U240" s="66" t="n"/>
      <c r="V240" s="66" t="n"/>
      <c r="W240" s="67" t="n"/>
      <c r="X240" s="66" t="n"/>
      <c r="Y240" s="66" t="n"/>
      <c r="Z240" s="66" t="n"/>
      <c r="AA240" s="66" t="n"/>
      <c r="AB240" s="66" t="n"/>
      <c r="AC240" s="66" t="n"/>
      <c r="AD240" s="72" t="n"/>
      <c r="AE240" s="66" t="n"/>
      <c r="AF240" s="67">
        <f>IF(AND(ISNUMBER(X240),ISNUMBER(Y240)),Y240-X240,"")</f>
        <v/>
      </c>
      <c r="AG240" s="68">
        <f>IF(ISNUMBER(AD240),AD240-(IF(AND(INDEX(TZ_DSTS,MATCH(P240,TZ_STN,0))&lt;&gt;"",(AD240-INDEX(TZ_STD,MATCH(P240,TZ_STN,0))/24)&gt;=INDEX(TZ_DSTS,MATCH(P240,TZ_STN,0)),(AD240-INDEX(TZ_STD,MATCH(P240,TZ_STN,0))/24)&lt;INDEX(TZ_DSTE,MATCH(P240,TZ_STN,0))),INDEX(TZ_DST,MATCH(P240,TZ_STN,0)),INDEX(TZ_STD,MATCH(P240,TZ_STN,0))))/24,"")</f>
        <v/>
      </c>
      <c r="AH240" s="71">
        <f>IF(N240="N/A – rule","N/A – RULE",IF(TRIM(U240)="N/A",IF(AT240=0,"INVALID – N/A not permitted for this mandatory check",IF(AND(TRIM(AC240)&lt;&gt;"",TRIM(AE240)&lt;&gt;"",TRIM(T240)&lt;&gt;""),"N/A – JUSTIFIED","INVALID – N/A needs justification, PIC and verifier")),IF(OR(TRIM(U240)="Pass",TRIM(U240)="Pass after CA"),IF(NOT(ISNUMBER(AD240)),"INVALID – completion time missing",IF(TRIM(T240)="","INVALID – PIC missing",IF(TRIM(Z240)="","INVALID – evidence missing",IF(TRIM(AE240)="","INVALID – verifier missing",IF(AND(AQ240=1,TRIM(W240)=""),"INVALID – batch ID missing",IF(AND(AR240=1,OR(NOT(ISNUMBER(X240)),NOT(ISNUMBER(Y240)))),"INVALID – expected/actual qty missing",IF(IF(AND(TRIM(U240)="Pass",ISNUMBER(AF240)),IF(AF240&lt;&gt;0,"INVALID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recorded/closed","")&lt;&gt;"",IF(AND(TRIM(U240)="Pass",ISNUMBER(AF240)),IF(AF240&lt;&gt;0,"INVALID – qty variance: use Fail or Pass after CA",""),"")&amp;IF(AND(TRIM(U240)="Pass",AB240="Open"),"INVALID – corrective action still open: use Fail, then Pass after CA","")&amp;IF(AND(TRIM(U240)="Pass after CA",OR(TRIM(AA240)="",AB240&lt;&gt;"Closed")),"INVALID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window"),IF(AG240&gt;Flights!$AA$11,"INVALID – completed after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f>
        <v/>
      </c>
      <c r="AI240" s="67">
        <f>IF(OR(AH240="N/A – RULE",AH240="N/A – JUSTIFIED"),0,1)</f>
        <v/>
      </c>
      <c r="AJ240" s="67">
        <f>IF(LEFT(AH240,8)="COMPLETE",1,0)</f>
        <v/>
      </c>
      <c r="AK240" s="67">
        <f>IF(AND(AI240=1,AJ240=0,AsOfUTC&gt;Q240),1,0)</f>
        <v/>
      </c>
      <c r="AL240" s="67">
        <f>IF(AND(AI240=1,OR(TRIM(U240)="Fail",AB240="Open",AND(ISNUMBER(AF240),AF240&lt;&gt;0,TRIM(U240)&lt;&gt;"Pass after CA"))),1,0)</f>
        <v/>
      </c>
      <c r="AM240" s="67">
        <f>IF(LEFT(AH240,7)="INVALID",1,0)</f>
        <v/>
      </c>
      <c r="AN240" s="67">
        <f>IF(AND(N240="Clarification required",AI240=1,AJ240=0),1,0)</f>
        <v/>
      </c>
      <c r="AO240" s="67">
        <f>IF(AK240=1,SUM(AK$5:AK240),"")</f>
        <v/>
      </c>
      <c r="AP240" s="67">
        <f>IF(AL240=1,SUM(AL$5:AL240),"")</f>
        <v/>
      </c>
      <c r="AQ240" s="67" t="n">
        <v>0</v>
      </c>
      <c r="AR240" s="67" t="n">
        <v>0</v>
      </c>
      <c r="AS240" s="67" t="n">
        <v>0</v>
      </c>
      <c r="AT240" s="67" t="n">
        <v>1</v>
      </c>
    </row>
    <row r="241" ht="41.5" customHeight="1">
      <c r="A241" s="63" t="inlineStr">
        <is>
          <t>F07-T12-18</t>
        </is>
      </c>
      <c r="B241" s="63" t="inlineStr">
        <is>
          <t>F07</t>
        </is>
      </c>
      <c r="C241" s="63">
        <f>Flights!$F$11</f>
        <v/>
      </c>
      <c r="D241" s="64">
        <f>Flights!$D$11</f>
        <v/>
      </c>
      <c r="E241" s="63">
        <f>Flights!$G$11&amp;"-"&amp;Flights!$H$11</f>
        <v/>
      </c>
      <c r="F241" s="63">
        <f>Flights!$K$11</f>
        <v/>
      </c>
      <c r="G241" s="63" t="inlineStr">
        <is>
          <t>T-12H PREP</t>
        </is>
      </c>
      <c r="H241" s="63" t="inlineStr">
        <is>
          <t>Preparation</t>
        </is>
      </c>
      <c r="I241" s="63" t="inlineStr">
        <is>
          <t>Seat Linen</t>
        </is>
      </c>
      <c r="J241" s="63" t="inlineStr">
        <is>
          <t>Seat pillow (BS &amp; BC) - prepared</t>
        </is>
      </c>
      <c r="K241" s="73" t="inlineStr">
        <is>
          <t>Available 100% (ticked in reference)</t>
        </is>
      </c>
      <c r="L241" s="73" t="inlineStr">
        <is>
          <t>STD UPLIFT INFORMATION.xlsx &gt; SEAT LINEN!E7</t>
        </is>
      </c>
      <c r="M241" s="73" t="inlineStr">
        <is>
          <t>Not stated in reference</t>
        </is>
      </c>
      <c r="N241" s="73" t="inlineStr">
        <is>
          <t>Required</t>
        </is>
      </c>
      <c r="O241" s="73" t="inlineStr">
        <is>
          <t>Reference gives no uplift stn for this item: preparation checked at the meal uplift stn (LHR) - confirm with caterer.</t>
        </is>
      </c>
      <c r="P241" s="63" t="inlineStr">
        <is>
          <t>LHR</t>
        </is>
      </c>
      <c r="Q241" s="65">
        <f>Flights!$AE$11</f>
        <v/>
      </c>
      <c r="R241" s="65">
        <f>Q241+(IF(AND(INDEX(TZ_DSTS,MATCH(P241,TZ_STN,0))&lt;&gt;"",Q241&gt;=INDEX(TZ_DSTS,MATCH(P241,TZ_STN,0)),Q241&lt;INDEX(TZ_DSTE,MATCH(P241,TZ_STN,0))),INDEX(TZ_DST,MATCH(P241,TZ_STN,0)),INDEX(TZ_STD,MATCH(P241,TZ_STN,0))))/24</f>
        <v/>
      </c>
      <c r="S241" s="65">
        <f>Q241-T12EarlyH/24</f>
        <v/>
      </c>
      <c r="T241" s="66" t="n"/>
      <c r="U241" s="66" t="n"/>
      <c r="V241" s="66" t="n"/>
      <c r="W241" s="67" t="n"/>
      <c r="X241" s="66" t="n"/>
      <c r="Y241" s="66" t="n"/>
      <c r="Z241" s="66" t="n"/>
      <c r="AA241" s="66" t="n"/>
      <c r="AB241" s="66" t="n"/>
      <c r="AC241" s="66" t="n"/>
      <c r="AD241" s="72" t="n"/>
      <c r="AE241" s="66" t="n"/>
      <c r="AF241" s="67">
        <f>IF(AND(ISNUMBER(X241),ISNUMBER(Y241)),Y241-X241,"")</f>
        <v/>
      </c>
      <c r="AG241" s="68">
        <f>IF(ISNUMBER(AD241),AD241-(IF(AND(INDEX(TZ_DSTS,MATCH(P241,TZ_STN,0))&lt;&gt;"",(AD241-INDEX(TZ_STD,MATCH(P241,TZ_STN,0))/24)&gt;=INDEX(TZ_DSTS,MATCH(P241,TZ_STN,0)),(AD241-INDEX(TZ_STD,MATCH(P241,TZ_STN,0))/24)&lt;INDEX(TZ_DSTE,MATCH(P241,TZ_STN,0))),INDEX(TZ_DST,MATCH(P241,TZ_STN,0)),INDEX(TZ_STD,MATCH(P241,TZ_STN,0))))/24,"")</f>
        <v/>
      </c>
      <c r="AH241" s="71">
        <f>IF(N241="N/A – rule","N/A – RULE",IF(TRIM(U241)="N/A",IF(AT241=0,"INVALID – N/A not permitted for this mandatory check",IF(AND(TRIM(AC241)&lt;&gt;"",TRIM(AE241)&lt;&gt;"",TRIM(T241)&lt;&gt;""),"N/A – JUSTIFIED","INVALID – N/A needs justification, PIC and verifier")),IF(OR(TRIM(U241)="Pass",TRIM(U241)="Pass after CA"),IF(NOT(ISNUMBER(AD241)),"INVALID – completion time missing",IF(TRIM(T241)="","INVALID – PIC missing",IF(TRIM(Z241)="","INVALID – evidence missing",IF(TRIM(AE241)="","INVALID – verifier missing",IF(AND(AQ241=1,TRIM(W241)=""),"INVALID – batch ID missing",IF(AND(AR241=1,OR(NOT(ISNUMBER(X241)),NOT(ISNUMBER(Y241)))),"INVALID – expected/actual qty missing",IF(IF(AND(TRIM(U241)="Pass",ISNUMBER(AF241)),IF(AF241&lt;&gt;0,"INVALID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recorded/closed","")&lt;&gt;"",IF(AND(TRIM(U241)="Pass",ISNUMBER(AF241)),IF(AF241&lt;&gt;0,"INVALID – qty variance: use Fail or Pass after CA",""),"")&amp;IF(AND(TRIM(U241)="Pass",AB241="Open"),"INVALID – corrective action still open: use Fail, then Pass after CA","")&amp;IF(AND(TRIM(U241)="Pass after CA",OR(TRIM(AA241)="",AB241&lt;&gt;"Closed")),"INVALID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window"),IF(AG241&gt;Flights!$AA$11,"INVALID – completed after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f>
        <v/>
      </c>
      <c r="AI241" s="67">
        <f>IF(OR(AH241="N/A – RULE",AH241="N/A – JUSTIFIED"),0,1)</f>
        <v/>
      </c>
      <c r="AJ241" s="67">
        <f>IF(LEFT(AH241,8)="COMPLETE",1,0)</f>
        <v/>
      </c>
      <c r="AK241" s="67">
        <f>IF(AND(AI241=1,AJ241=0,AsOfUTC&gt;Q241),1,0)</f>
        <v/>
      </c>
      <c r="AL241" s="67">
        <f>IF(AND(AI241=1,OR(TRIM(U241)="Fail",AB241="Open",AND(ISNUMBER(AF241),AF241&lt;&gt;0,TRIM(U241)&lt;&gt;"Pass after CA"))),1,0)</f>
        <v/>
      </c>
      <c r="AM241" s="67">
        <f>IF(LEFT(AH241,7)="INVALID",1,0)</f>
        <v/>
      </c>
      <c r="AN241" s="67">
        <f>IF(AND(N241="Clarification required",AI241=1,AJ241=0),1,0)</f>
        <v/>
      </c>
      <c r="AO241" s="67">
        <f>IF(AK241=1,SUM(AK$5:AK241),"")</f>
        <v/>
      </c>
      <c r="AP241" s="67">
        <f>IF(AL241=1,SUM(AL$5:AL241),"")</f>
        <v/>
      </c>
      <c r="AQ241" s="67" t="n">
        <v>0</v>
      </c>
      <c r="AR241" s="67" t="n">
        <v>0</v>
      </c>
      <c r="AS241" s="67" t="n">
        <v>0</v>
      </c>
      <c r="AT241" s="67" t="n">
        <v>1</v>
      </c>
    </row>
    <row r="242" ht="41.5" customHeight="1">
      <c r="A242" s="63" t="inlineStr">
        <is>
          <t>F07-T12-19</t>
        </is>
      </c>
      <c r="B242" s="63" t="inlineStr">
        <is>
          <t>F07</t>
        </is>
      </c>
      <c r="C242" s="63">
        <f>Flights!$F$11</f>
        <v/>
      </c>
      <c r="D242" s="64">
        <f>Flights!$D$11</f>
        <v/>
      </c>
      <c r="E242" s="63">
        <f>Flights!$G$11&amp;"-"&amp;Flights!$H$11</f>
        <v/>
      </c>
      <c r="F242" s="63">
        <f>Flights!$K$11</f>
        <v/>
      </c>
      <c r="G242" s="63" t="inlineStr">
        <is>
          <t>T-12H PREP</t>
        </is>
      </c>
      <c r="H242" s="63" t="inlineStr">
        <is>
          <t>Preparation</t>
        </is>
      </c>
      <c r="I242" s="63" t="inlineStr">
        <is>
          <t>Seat Linen</t>
        </is>
      </c>
      <c r="J242" s="63" t="inlineStr">
        <is>
          <t>Duvet (BS &amp; BC) - prepared</t>
        </is>
      </c>
      <c r="K242" s="73" t="inlineStr">
        <is>
          <t>Available 100% (ticked in reference)</t>
        </is>
      </c>
      <c r="L242" s="73" t="inlineStr">
        <is>
          <t>STD UPLIFT INFORMATION.xlsx &gt; SEAT LINEN!F7</t>
        </is>
      </c>
      <c r="M242" s="73" t="inlineStr">
        <is>
          <t>Not stated in reference</t>
        </is>
      </c>
      <c r="N242" s="73" t="inlineStr">
        <is>
          <t>Required</t>
        </is>
      </c>
      <c r="O242" s="73" t="inlineStr">
        <is>
          <t>Reference gives no uplift stn for this item: preparation checked at the meal uplift stn (LHR) - confirm with caterer.</t>
        </is>
      </c>
      <c r="P242" s="63" t="inlineStr">
        <is>
          <t>LHR</t>
        </is>
      </c>
      <c r="Q242" s="65">
        <f>Flights!$AE$11</f>
        <v/>
      </c>
      <c r="R242" s="65">
        <f>Q242+(IF(AND(INDEX(TZ_DSTS,MATCH(P242,TZ_STN,0))&lt;&gt;"",Q242&gt;=INDEX(TZ_DSTS,MATCH(P242,TZ_STN,0)),Q242&lt;INDEX(TZ_DSTE,MATCH(P242,TZ_STN,0))),INDEX(TZ_DST,MATCH(P242,TZ_STN,0)),INDEX(TZ_STD,MATCH(P242,TZ_STN,0))))/24</f>
        <v/>
      </c>
      <c r="S242" s="65">
        <f>Q242-T12EarlyH/24</f>
        <v/>
      </c>
      <c r="T242" s="66" t="n"/>
      <c r="U242" s="66" t="n"/>
      <c r="V242" s="66" t="n"/>
      <c r="W242" s="67" t="n"/>
      <c r="X242" s="66" t="n"/>
      <c r="Y242" s="66" t="n"/>
      <c r="Z242" s="66" t="n"/>
      <c r="AA242" s="66" t="n"/>
      <c r="AB242" s="66" t="n"/>
      <c r="AC242" s="66" t="n"/>
      <c r="AD242" s="72" t="n"/>
      <c r="AE242" s="66" t="n"/>
      <c r="AF242" s="67">
        <f>IF(AND(ISNUMBER(X242),ISNUMBER(Y242)),Y242-X242,"")</f>
        <v/>
      </c>
      <c r="AG242" s="68">
        <f>IF(ISNUMBER(AD242),AD242-(IF(AND(INDEX(TZ_DSTS,MATCH(P242,TZ_STN,0))&lt;&gt;"",(AD242-INDEX(TZ_STD,MATCH(P242,TZ_STN,0))/24)&gt;=INDEX(TZ_DSTS,MATCH(P242,TZ_STN,0)),(AD242-INDEX(TZ_STD,MATCH(P242,TZ_STN,0))/24)&lt;INDEX(TZ_DSTE,MATCH(P242,TZ_STN,0))),INDEX(TZ_DST,MATCH(P242,TZ_STN,0)),INDEX(TZ_STD,MATCH(P242,TZ_STN,0))))/24,"")</f>
        <v/>
      </c>
      <c r="AH242" s="71">
        <f>IF(N242="N/A – rule","N/A – RULE",IF(TRIM(U242)="N/A",IF(AT242=0,"INVALID – N/A not permitted for this mandatory check",IF(AND(TRIM(AC242)&lt;&gt;"",TRIM(AE242)&lt;&gt;"",TRIM(T242)&lt;&gt;""),"N/A – JUSTIFIED","INVALID – N/A needs justification, PIC and verifier")),IF(OR(TRIM(U242)="Pass",TRIM(U242)="Pass after CA"),IF(NOT(ISNUMBER(AD242)),"INVALID – completion time missing",IF(TRIM(T242)="","INVALID – PIC missing",IF(TRIM(Z242)="","INVALID – evidence missing",IF(TRIM(AE242)="","INVALID – verifier missing",IF(AND(AQ242=1,TRIM(W242)=""),"INVALID – batch ID missing",IF(AND(AR242=1,OR(NOT(ISNUMBER(X242)),NOT(ISNUMBER(Y242)))),"INVALID – expected/actual qty missing",IF(IF(AND(TRIM(U242)="Pass",ISNUMBER(AF242)),IF(AF242&lt;&gt;0,"INVALID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recorded/closed","")&lt;&gt;"",IF(AND(TRIM(U242)="Pass",ISNUMBER(AF242)),IF(AF242&lt;&gt;0,"INVALID – qty variance: use Fail or Pass after CA",""),"")&amp;IF(AND(TRIM(U242)="Pass",AB242="Open"),"INVALID – corrective action still open: use Fail, then Pass after CA","")&amp;IF(AND(TRIM(U242)="Pass after CA",OR(TRIM(AA242)="",AB242&lt;&gt;"Closed")),"INVALID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window"),IF(AG242&gt;Flights!$AA$11,"INVALID – completed after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f>
        <v/>
      </c>
      <c r="AI242" s="67">
        <f>IF(OR(AH242="N/A – RULE",AH242="N/A – JUSTIFIED"),0,1)</f>
        <v/>
      </c>
      <c r="AJ242" s="67">
        <f>IF(LEFT(AH242,8)="COMPLETE",1,0)</f>
        <v/>
      </c>
      <c r="AK242" s="67">
        <f>IF(AND(AI242=1,AJ242=0,AsOfUTC&gt;Q242),1,0)</f>
        <v/>
      </c>
      <c r="AL242" s="67">
        <f>IF(AND(AI242=1,OR(TRIM(U242)="Fail",AB242="Open",AND(ISNUMBER(AF242),AF242&lt;&gt;0,TRIM(U242)&lt;&gt;"Pass after CA"))),1,0)</f>
        <v/>
      </c>
      <c r="AM242" s="67">
        <f>IF(LEFT(AH242,7)="INVALID",1,0)</f>
        <v/>
      </c>
      <c r="AN242" s="67">
        <f>IF(AND(N242="Clarification required",AI242=1,AJ242=0),1,0)</f>
        <v/>
      </c>
      <c r="AO242" s="67">
        <f>IF(AK242=1,SUM(AK$5:AK242),"")</f>
        <v/>
      </c>
      <c r="AP242" s="67">
        <f>IF(AL242=1,SUM(AL$5:AL242),"")</f>
        <v/>
      </c>
      <c r="AQ242" s="67" t="n">
        <v>0</v>
      </c>
      <c r="AR242" s="67" t="n">
        <v>0</v>
      </c>
      <c r="AS242" s="67" t="n">
        <v>0</v>
      </c>
      <c r="AT242" s="67" t="n">
        <v>1</v>
      </c>
    </row>
    <row r="243" ht="41.5" customHeight="1">
      <c r="A243" s="63" t="inlineStr">
        <is>
          <t>F07-T12-20</t>
        </is>
      </c>
      <c r="B243" s="63" t="inlineStr">
        <is>
          <t>F07</t>
        </is>
      </c>
      <c r="C243" s="63">
        <f>Flights!$F$11</f>
        <v/>
      </c>
      <c r="D243" s="64">
        <f>Flights!$D$11</f>
        <v/>
      </c>
      <c r="E243" s="63">
        <f>Flights!$G$11&amp;"-"&amp;Flights!$H$11</f>
        <v/>
      </c>
      <c r="F243" s="63">
        <f>Flights!$K$11</f>
        <v/>
      </c>
      <c r="G243" s="63" t="inlineStr">
        <is>
          <t>T-12H PREP</t>
        </is>
      </c>
      <c r="H243" s="63" t="inlineStr">
        <is>
          <t>Preparation</t>
        </is>
      </c>
      <c r="I243" s="63" t="inlineStr">
        <is>
          <t>Seat Linen</t>
        </is>
      </c>
      <c r="J243" s="63" t="inlineStr">
        <is>
          <t>Mattress (BS &amp; BC) - prepared</t>
        </is>
      </c>
      <c r="K243" s="73" t="inlineStr">
        <is>
          <t>Available 100% (ticked in reference)</t>
        </is>
      </c>
      <c r="L243" s="73" t="inlineStr">
        <is>
          <t>STD UPLIFT INFORMATION.xlsx &gt; SEAT LINEN!G7</t>
        </is>
      </c>
      <c r="M243" s="73" t="inlineStr">
        <is>
          <t>Not stated in reference</t>
        </is>
      </c>
      <c r="N243" s="73" t="inlineStr">
        <is>
          <t>Required</t>
        </is>
      </c>
      <c r="O243" s="73" t="inlineStr">
        <is>
          <t>Reference gives no uplift stn for this item: preparation checked at the meal uplift stn (LHR) - confirm with caterer.</t>
        </is>
      </c>
      <c r="P243" s="63" t="inlineStr">
        <is>
          <t>LHR</t>
        </is>
      </c>
      <c r="Q243" s="65">
        <f>Flights!$AE$11</f>
        <v/>
      </c>
      <c r="R243" s="65">
        <f>Q243+(IF(AND(INDEX(TZ_DSTS,MATCH(P243,TZ_STN,0))&lt;&gt;"",Q243&gt;=INDEX(TZ_DSTS,MATCH(P243,TZ_STN,0)),Q243&lt;INDEX(TZ_DSTE,MATCH(P243,TZ_STN,0))),INDEX(TZ_DST,MATCH(P243,TZ_STN,0)),INDEX(TZ_STD,MATCH(P243,TZ_STN,0))))/24</f>
        <v/>
      </c>
      <c r="S243" s="65">
        <f>Q243-T12EarlyH/24</f>
        <v/>
      </c>
      <c r="T243" s="66" t="n"/>
      <c r="U243" s="66" t="n"/>
      <c r="V243" s="66" t="n"/>
      <c r="W243" s="67" t="n"/>
      <c r="X243" s="66" t="n"/>
      <c r="Y243" s="66" t="n"/>
      <c r="Z243" s="66" t="n"/>
      <c r="AA243" s="66" t="n"/>
      <c r="AB243" s="66" t="n"/>
      <c r="AC243" s="66" t="n"/>
      <c r="AD243" s="72" t="n"/>
      <c r="AE243" s="66" t="n"/>
      <c r="AF243" s="67">
        <f>IF(AND(ISNUMBER(X243),ISNUMBER(Y243)),Y243-X243,"")</f>
        <v/>
      </c>
      <c r="AG243" s="68">
        <f>IF(ISNUMBER(AD243),AD243-(IF(AND(INDEX(TZ_DSTS,MATCH(P243,TZ_STN,0))&lt;&gt;"",(AD243-INDEX(TZ_STD,MATCH(P243,TZ_STN,0))/24)&gt;=INDEX(TZ_DSTS,MATCH(P243,TZ_STN,0)),(AD243-INDEX(TZ_STD,MATCH(P243,TZ_STN,0))/24)&lt;INDEX(TZ_DSTE,MATCH(P243,TZ_STN,0))),INDEX(TZ_DST,MATCH(P243,TZ_STN,0)),INDEX(TZ_STD,MATCH(P243,TZ_STN,0))))/24,"")</f>
        <v/>
      </c>
      <c r="AH243" s="71">
        <f>IF(N243="N/A – rule","N/A – RULE",IF(TRIM(U243)="N/A",IF(AT243=0,"INVALID – N/A not permitted for this mandatory check",IF(AND(TRIM(AC243)&lt;&gt;"",TRIM(AE243)&lt;&gt;"",TRIM(T243)&lt;&gt;""),"N/A – JUSTIFIED","INVALID – N/A needs justification, PIC and verifier")),IF(OR(TRIM(U243)="Pass",TRIM(U243)="Pass after CA"),IF(NOT(ISNUMBER(AD243)),"INVALID – completion time missing",IF(TRIM(T243)="","INVALID – PIC missing",IF(TRIM(Z243)="","INVALID – evidence missing",IF(TRIM(AE243)="","INVALID – verifier missing",IF(AND(AQ243=1,TRIM(W243)=""),"INVALID – batch ID missing",IF(AND(AR243=1,OR(NOT(ISNUMBER(X243)),NOT(ISNUMBER(Y243)))),"INVALID – expected/actual qty missing",IF(IF(AND(TRIM(U243)="Pass",ISNUMBER(AF243)),IF(AF243&lt;&gt;0,"INVALID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recorded/closed","")&lt;&gt;"",IF(AND(TRIM(U243)="Pass",ISNUMBER(AF243)),IF(AF243&lt;&gt;0,"INVALID – qty variance: use Fail or Pass after CA",""),"")&amp;IF(AND(TRIM(U243)="Pass",AB243="Open"),"INVALID – corrective action still open: use Fail, then Pass after CA","")&amp;IF(AND(TRIM(U243)="Pass after CA",OR(TRIM(AA243)="",AB243&lt;&gt;"Closed")),"INVALID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window"),IF(AG243&gt;Flights!$AA$11,"INVALID – completed after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f>
        <v/>
      </c>
      <c r="AI243" s="67">
        <f>IF(OR(AH243="N/A – RULE",AH243="N/A – JUSTIFIED"),0,1)</f>
        <v/>
      </c>
      <c r="AJ243" s="67">
        <f>IF(LEFT(AH243,8)="COMPLETE",1,0)</f>
        <v/>
      </c>
      <c r="AK243" s="67">
        <f>IF(AND(AI243=1,AJ243=0,AsOfUTC&gt;Q243),1,0)</f>
        <v/>
      </c>
      <c r="AL243" s="67">
        <f>IF(AND(AI243=1,OR(TRIM(U243)="Fail",AB243="Open",AND(ISNUMBER(AF243),AF243&lt;&gt;0,TRIM(U243)&lt;&gt;"Pass after CA"))),1,0)</f>
        <v/>
      </c>
      <c r="AM243" s="67">
        <f>IF(LEFT(AH243,7)="INVALID",1,0)</f>
        <v/>
      </c>
      <c r="AN243" s="67">
        <f>IF(AND(N243="Clarification required",AI243=1,AJ243=0),1,0)</f>
        <v/>
      </c>
      <c r="AO243" s="67">
        <f>IF(AK243=1,SUM(AK$5:AK243),"")</f>
        <v/>
      </c>
      <c r="AP243" s="67">
        <f>IF(AL243=1,SUM(AL$5:AL243),"")</f>
        <v/>
      </c>
      <c r="AQ243" s="67" t="n">
        <v>0</v>
      </c>
      <c r="AR243" s="67" t="n">
        <v>0</v>
      </c>
      <c r="AS243" s="67" t="n">
        <v>0</v>
      </c>
      <c r="AT243" s="67" t="n">
        <v>1</v>
      </c>
    </row>
    <row r="244" ht="54" customHeight="1">
      <c r="A244" s="63" t="inlineStr">
        <is>
          <t>F07-T12-21</t>
        </is>
      </c>
      <c r="B244" s="63" t="inlineStr">
        <is>
          <t>F07</t>
        </is>
      </c>
      <c r="C244" s="63">
        <f>Flights!$F$11</f>
        <v/>
      </c>
      <c r="D244" s="64">
        <f>Flights!$D$11</f>
        <v/>
      </c>
      <c r="E244" s="63">
        <f>Flights!$G$11&amp;"-"&amp;Flights!$H$11</f>
        <v/>
      </c>
      <c r="F244" s="63">
        <f>Flights!$K$11</f>
        <v/>
      </c>
      <c r="G244" s="63" t="inlineStr">
        <is>
          <t>T-12H PREP</t>
        </is>
      </c>
      <c r="H244" s="63" t="inlineStr">
        <is>
          <t>Preparation</t>
        </is>
      </c>
      <c r="I244" s="63" t="inlineStr">
        <is>
          <t>Signature Drinks</t>
        </is>
      </c>
      <c r="J244" s="63" t="inlineStr">
        <is>
          <t>Signature drink &amp; garnish (BC) - prepared</t>
        </is>
      </c>
      <c r="K244" s="73" t="inlineStr">
        <is>
          <t>Available (ticked in reference)</t>
        </is>
      </c>
      <c r="L244" s="73" t="inlineStr">
        <is>
          <t>STD UPLIFT INFORMATION.xlsx &gt; Signature Drinks!F6 / G6 / D79</t>
        </is>
      </c>
      <c r="M244" s="73" t="inlineStr">
        <is>
          <t>KUL</t>
        </is>
      </c>
      <c r="N244" s="73" t="inlineStr">
        <is>
          <t>Required</t>
        </is>
      </c>
      <c r="O244" s="73" t="inlineStr">
        <is>
          <t>Signature drinks &amp; garnish uplifted from KUL (note D79). Loaded at KUL on the inbound KUL-LHR flight: due = that flight's KUL departure (Flights AX) minus the uplift window.</t>
        </is>
      </c>
      <c r="P244" s="63" t="inlineStr">
        <is>
          <t>KUL</t>
        </is>
      </c>
      <c r="Q244" s="65">
        <f>MIN(Flights!$AE$11,Flights!$AY$11)</f>
        <v/>
      </c>
      <c r="R244" s="65">
        <f>Q244+(IF(AND(INDEX(TZ_DSTS,MATCH(P244,TZ_STN,0))&lt;&gt;"",Q244&gt;=INDEX(TZ_DSTS,MATCH(P244,TZ_STN,0)),Q244&lt;INDEX(TZ_DSTE,MATCH(P244,TZ_STN,0))),INDEX(TZ_DST,MATCH(P244,TZ_STN,0)),INDEX(TZ_STD,MATCH(P244,TZ_STN,0))))/24</f>
        <v/>
      </c>
      <c r="S244" s="65">
        <f>Q244-T12EarlyH/24</f>
        <v/>
      </c>
      <c r="T244" s="66" t="n"/>
      <c r="U244" s="66" t="n"/>
      <c r="V244" s="66" t="n"/>
      <c r="W244" s="67" t="n"/>
      <c r="X244" s="66" t="n"/>
      <c r="Y244" s="66" t="n"/>
      <c r="Z244" s="66" t="n"/>
      <c r="AA244" s="66" t="n"/>
      <c r="AB244" s="66" t="n"/>
      <c r="AC244" s="66" t="n"/>
      <c r="AD244" s="72" t="n"/>
      <c r="AE244" s="66" t="n"/>
      <c r="AF244" s="67">
        <f>IF(AND(ISNUMBER(X244),ISNUMBER(Y244)),Y244-X244,"")</f>
        <v/>
      </c>
      <c r="AG244" s="68">
        <f>IF(ISNUMBER(AD244),AD244-(IF(AND(INDEX(TZ_DSTS,MATCH(P244,TZ_STN,0))&lt;&gt;"",(AD244-INDEX(TZ_STD,MATCH(P244,TZ_STN,0))/24)&gt;=INDEX(TZ_DSTS,MATCH(P244,TZ_STN,0)),(AD244-INDEX(TZ_STD,MATCH(P244,TZ_STN,0))/24)&lt;INDEX(TZ_DSTE,MATCH(P244,TZ_STN,0))),INDEX(TZ_DST,MATCH(P244,TZ_STN,0)),INDEX(TZ_STD,MATCH(P244,TZ_STN,0))))/24,"")</f>
        <v/>
      </c>
      <c r="AH244" s="71">
        <f>IF(N244="N/A – rule","N/A – RULE",IF(TRIM(U244)="N/A",IF(AT244=0,"INVALID – N/A not permitted for this mandatory check",IF(AND(TRIM(AC244)&lt;&gt;"",TRIM(AE244)&lt;&gt;"",TRIM(T244)&lt;&gt;""),"N/A – JUSTIFIED","INVALID – N/A needs justification, PIC and verifier")),IF(OR(TRIM(U244)="Pass",TRIM(U244)="Pass after CA"),IF(NOT(ISNUMBER(AD244)),"INVALID – completion time missing",IF(TRIM(T244)="","INVALID – PIC missing",IF(TRIM(Z244)="","INVALID – evidence missing",IF(TRIM(AE244)="","INVALID – verifier missing",IF(AND(AQ244=1,TRIM(W244)=""),"INVALID – batch ID missing",IF(AND(AR244=1,OR(NOT(ISNUMBER(X244)),NOT(ISNUMBER(Y244)))),"INVALID – expected/actual qty missing",IF(IF(AND(TRIM(U244)="Pass",ISNUMBER(AF244)),IF(AF244&lt;&gt;0,"INVALID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recorded/closed","")&lt;&gt;"",IF(AND(TRIM(U244)="Pass",ISNUMBER(AF244)),IF(AF244&lt;&gt;0,"INVALID – qty variance: use Fail or Pass after CA",""),"")&amp;IF(AND(TRIM(U244)="Pass",AB244="Open"),"INVALID – corrective action still open: use Fail, then Pass after CA","")&amp;IF(AND(TRIM(U244)="Pass after CA",OR(TRIM(AA244)="",AB244&lt;&gt;"Closed")),"INVALID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window"),IF(AG244&gt;Flights!$AA$11,"INVALID – completed after departure (cannot establish readiness)",IF(AND(H244="Physical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f>
        <v/>
      </c>
      <c r="AI244" s="67">
        <f>IF(OR(AH244="N/A – RULE",AH244="N/A – JUSTIFIED"),0,1)</f>
        <v/>
      </c>
      <c r="AJ244" s="67">
        <f>IF(LEFT(AH244,8)="COMPLETE",1,0)</f>
        <v/>
      </c>
      <c r="AK244" s="67">
        <f>IF(AND(AI244=1,AJ244=0,AsOfUTC&gt;Q244),1,0)</f>
        <v/>
      </c>
      <c r="AL244" s="67">
        <f>IF(AND(AI244=1,OR(TRIM(U244)="Fail",AB244="Open",AND(ISNUMBER(AF244),AF244&lt;&gt;0,TRIM(U244)&lt;&gt;"Pass after CA"))),1,0)</f>
        <v/>
      </c>
      <c r="AM244" s="67">
        <f>IF(LEFT(AH244,7)="INVALID",1,0)</f>
        <v/>
      </c>
      <c r="AN244" s="67">
        <f>IF(AND(N244="Clarification required",AI244=1,AJ244=0),1,0)</f>
        <v/>
      </c>
      <c r="AO244" s="67">
        <f>IF(AK244=1,SUM(AK$5:AK244),"")</f>
        <v/>
      </c>
      <c r="AP244" s="67">
        <f>IF(AL244=1,SUM(AL$5:AL244),"")</f>
        <v/>
      </c>
      <c r="AQ244" s="67" t="n">
        <v>0</v>
      </c>
      <c r="AR244" s="67" t="n">
        <v>0</v>
      </c>
      <c r="AS244" s="67" t="n">
        <v>0</v>
      </c>
      <c r="AT244" s="67" t="n">
        <v>1</v>
      </c>
    </row>
    <row r="245" ht="40" customHeight="1">
      <c r="A245" s="63" t="inlineStr">
        <is>
          <t>F07-UPL-01</t>
        </is>
      </c>
      <c r="B245" s="63" t="inlineStr">
        <is>
          <t>F07</t>
        </is>
      </c>
      <c r="C245" s="63">
        <f>Flights!$F$11</f>
        <v/>
      </c>
      <c r="D245" s="64">
        <f>Flights!$D$11</f>
        <v/>
      </c>
      <c r="E245" s="63">
        <f>Flights!$G$11&amp;"-"&amp;Flights!$H$11</f>
        <v/>
      </c>
      <c r="F245" s="63">
        <f>Flights!$K$11</f>
        <v/>
      </c>
      <c r="G245" s="63" t="inlineStr">
        <is>
          <t>UPLIFT</t>
        </is>
      </c>
      <c r="H245" s="63" t="inlineStr">
        <is>
          <t>Physical uplift</t>
        </is>
      </c>
      <c r="I245" s="63" t="inlineStr">
        <is>
          <t>Meal</t>
        </is>
      </c>
      <c r="J245" s="63" t="inlineStr">
        <is>
          <t>Meals physically uplifted on board - quantity vs menu checklist</t>
        </is>
      </c>
      <c r="K245" s="73" t="inlineStr">
        <is>
          <t>Enter expected &amp; actual</t>
        </is>
      </c>
      <c r="L245" s="73" t="inlineStr">
        <is>
          <t>User brief (T-12 hours - physical uplift)</t>
        </is>
      </c>
      <c r="M245" s="73" t="inlineStr"/>
      <c r="N245" s="73" t="inlineStr">
        <is>
          <t>Required</t>
        </is>
      </c>
      <c r="O245" s="73" t="inlineStr">
        <is>
          <t>Confirm on board before departure; completion time must fall inside the uplift window.</t>
        </is>
      </c>
      <c r="P245" s="63" t="inlineStr">
        <is>
          <t>LHR</t>
        </is>
      </c>
      <c r="Q245" s="65">
        <f>Flights!$AF$11</f>
        <v/>
      </c>
      <c r="R245" s="65">
        <f>Q245+(IF(AND(INDEX(TZ_DSTS,MATCH(P245,TZ_STN,0))&lt;&gt;"",Q245&gt;=INDEX(TZ_DSTS,MATCH(P245,TZ_STN,0)),Q245&lt;INDEX(TZ_DSTE,MATCH(P245,TZ_STN,0))),INDEX(TZ_DST,MATCH(P245,TZ_STN,0)),INDEX(TZ_STD,MATCH(P245,TZ_STN,0))))/24</f>
        <v/>
      </c>
      <c r="S245" s="65">
        <f>Q245-UpliftWindowH/24</f>
        <v/>
      </c>
      <c r="T245" s="66" t="n"/>
      <c r="U245" s="66" t="n"/>
      <c r="V245" s="66" t="n"/>
      <c r="W245" s="67" t="n"/>
      <c r="X245" s="66" t="n"/>
      <c r="Y245" s="66" t="n"/>
      <c r="Z245" s="66" t="n"/>
      <c r="AA245" s="66" t="n"/>
      <c r="AB245" s="66" t="n"/>
      <c r="AC245" s="66" t="n"/>
      <c r="AD245" s="72" t="n"/>
      <c r="AE245" s="66" t="n"/>
      <c r="AF245" s="67">
        <f>IF(AND(ISNUMBER(X245),ISNUMBER(Y245)),Y245-X245,"")</f>
        <v/>
      </c>
      <c r="AG245" s="68">
        <f>IF(ISNUMBER(AD245),AD245-(IF(AND(INDEX(TZ_DSTS,MATCH(P245,TZ_STN,0))&lt;&gt;"",(AD245-INDEX(TZ_STD,MATCH(P245,TZ_STN,0))/24)&gt;=INDEX(TZ_DSTS,MATCH(P245,TZ_STN,0)),(AD245-INDEX(TZ_STD,MATCH(P245,TZ_STN,0))/24)&lt;INDEX(TZ_DSTE,MATCH(P245,TZ_STN,0))),INDEX(TZ_DST,MATCH(P245,TZ_STN,0)),INDEX(TZ_STD,MATCH(P245,TZ_STN,0))))/24,"")</f>
        <v/>
      </c>
      <c r="AH245" s="71">
        <f>IF(N245="N/A – rule","N/A – RULE",IF(TRIM(U245)="N/A",IF(AT245=0,"INVALID – N/A not permitted for this mandatory check",IF(AND(TRIM(AC245)&lt;&gt;"",TRIM(AE245)&lt;&gt;"",TRIM(T245)&lt;&gt;""),"N/A – JUSTIFIED","INVALID – N/A needs justification, PIC and verifier")),IF(OR(TRIM(U245)="Pass",TRIM(U245)="Pass after CA"),IF(NOT(ISNUMBER(AD245)),"INVALID – completion time missing",IF(TRIM(T245)="","INVALID – PIC missing",IF(TRIM(Z245)="","INVALID – evidence missing",IF(TRIM(AE245)="","INVALID – verifier missing",IF(AND(AQ245=1,TRIM(W245)=""),"INVALID – batch ID missing",IF(AND(AR245=1,OR(NOT(ISNUMBER(X245)),NOT(ISNUMBER(Y245)))),"INVALID – expected/actual qty missing",IF(IF(AND(TRIM(U245)="Pass",ISNUMBER(AF245)),IF(AF245&lt;&gt;0,"INVALID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recorded/closed","")&lt;&gt;"",IF(AND(TRIM(U245)="Pass",ISNUMBER(AF245)),IF(AF245&lt;&gt;0,"INVALID – qty variance: use Fail or Pass after CA",""),"")&amp;IF(AND(TRIM(U245)="Pass",AB245="Open"),"INVALID – corrective action still open: use Fail, then Pass after CA","")&amp;IF(AND(TRIM(U245)="Pass after CA",OR(TRIM(AA245)="",AB245&lt;&gt;"Closed")),"INVALID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window"),IF(AG245&gt;Flights!$AA$11,"INVALID – completed after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f>
        <v/>
      </c>
      <c r="AI245" s="67">
        <f>IF(OR(AH245="N/A – RULE",AH245="N/A – JUSTIFIED"),0,1)</f>
        <v/>
      </c>
      <c r="AJ245" s="67">
        <f>IF(LEFT(AH245,8)="COMPLETE",1,0)</f>
        <v/>
      </c>
      <c r="AK245" s="67">
        <f>IF(AND(AI245=1,AJ245=0,AsOfUTC&gt;Q245),1,0)</f>
        <v/>
      </c>
      <c r="AL245" s="67">
        <f>IF(AND(AI245=1,OR(TRIM(U245)="Fail",AB245="Open",AND(ISNUMBER(AF245),AF245&lt;&gt;0,TRIM(U245)&lt;&gt;"Pass after CA"))),1,0)</f>
        <v/>
      </c>
      <c r="AM245" s="67">
        <f>IF(LEFT(AH245,7)="INVALID",1,0)</f>
        <v/>
      </c>
      <c r="AN245" s="67">
        <f>IF(AND(N245="Clarification required",AI245=1,AJ245=0),1,0)</f>
        <v/>
      </c>
      <c r="AO245" s="67">
        <f>IF(AK245=1,SUM(AK$5:AK245),"")</f>
        <v/>
      </c>
      <c r="AP245" s="67">
        <f>IF(AL245=1,SUM(AL$5:AL245),"")</f>
        <v/>
      </c>
      <c r="AQ245" s="67" t="n">
        <v>0</v>
      </c>
      <c r="AR245" s="67" t="n">
        <v>1</v>
      </c>
      <c r="AS245" s="67" t="n">
        <v>0</v>
      </c>
      <c r="AT245" s="67" t="n">
        <v>0</v>
      </c>
    </row>
    <row r="246" ht="40" customHeight="1">
      <c r="A246" s="63" t="inlineStr">
        <is>
          <t>F07-UPL-02</t>
        </is>
      </c>
      <c r="B246" s="63" t="inlineStr">
        <is>
          <t>F07</t>
        </is>
      </c>
      <c r="C246" s="63">
        <f>Flights!$F$11</f>
        <v/>
      </c>
      <c r="D246" s="64">
        <f>Flights!$D$11</f>
        <v/>
      </c>
      <c r="E246" s="63">
        <f>Flights!$G$11&amp;"-"&amp;Flights!$H$11</f>
        <v/>
      </c>
      <c r="F246" s="63">
        <f>Flights!$K$11</f>
        <v/>
      </c>
      <c r="G246" s="63" t="inlineStr">
        <is>
          <t>UPLIFT</t>
        </is>
      </c>
      <c r="H246" s="63" t="inlineStr">
        <is>
          <t>Physical uplift</t>
        </is>
      </c>
      <c r="I246" s="63" t="inlineStr">
        <is>
          <t>Equipment</t>
        </is>
      </c>
      <c r="J246" s="63" t="inlineStr">
        <is>
          <t>Equipment physically loaded at GLD positions - quantity &amp; positions</t>
        </is>
      </c>
      <c r="K246" s="73" t="inlineStr">
        <is>
          <t>Enter expected &amp; actual</t>
        </is>
      </c>
      <c r="L246" s="73" t="inlineStr">
        <is>
          <t>User brief (T-12 hours - physical uplift)</t>
        </is>
      </c>
      <c r="M246" s="73" t="inlineStr"/>
      <c r="N246" s="73" t="inlineStr">
        <is>
          <t>Required</t>
        </is>
      </c>
      <c r="O246" s="73" t="inlineStr">
        <is>
          <t>Confirm on board before departure; completion time must fall inside the uplift window.</t>
        </is>
      </c>
      <c r="P246" s="63" t="inlineStr">
        <is>
          <t>LHR</t>
        </is>
      </c>
      <c r="Q246" s="65">
        <f>Flights!$AF$11</f>
        <v/>
      </c>
      <c r="R246" s="65">
        <f>Q246+(IF(AND(INDEX(TZ_DSTS,MATCH(P246,TZ_STN,0))&lt;&gt;"",Q246&gt;=INDEX(TZ_DSTS,MATCH(P246,TZ_STN,0)),Q246&lt;INDEX(TZ_DSTE,MATCH(P246,TZ_STN,0))),INDEX(TZ_DST,MATCH(P246,TZ_STN,0)),INDEX(TZ_STD,MATCH(P246,TZ_STN,0))))/24</f>
        <v/>
      </c>
      <c r="S246" s="65">
        <f>Q246-UpliftWindowH/24</f>
        <v/>
      </c>
      <c r="T246" s="66" t="n"/>
      <c r="U246" s="66" t="n"/>
      <c r="V246" s="66" t="n"/>
      <c r="W246" s="67" t="n"/>
      <c r="X246" s="66" t="n"/>
      <c r="Y246" s="66" t="n"/>
      <c r="Z246" s="66" t="n"/>
      <c r="AA246" s="66" t="n"/>
      <c r="AB246" s="66" t="n"/>
      <c r="AC246" s="66" t="n"/>
      <c r="AD246" s="72" t="n"/>
      <c r="AE246" s="66" t="n"/>
      <c r="AF246" s="67">
        <f>IF(AND(ISNUMBER(X246),ISNUMBER(Y246)),Y246-X246,"")</f>
        <v/>
      </c>
      <c r="AG246" s="68">
        <f>IF(ISNUMBER(AD246),AD246-(IF(AND(INDEX(TZ_DSTS,MATCH(P246,TZ_STN,0))&lt;&gt;"",(AD246-INDEX(TZ_STD,MATCH(P246,TZ_STN,0))/24)&gt;=INDEX(TZ_DSTS,MATCH(P246,TZ_STN,0)),(AD246-INDEX(TZ_STD,MATCH(P246,TZ_STN,0))/24)&lt;INDEX(TZ_DSTE,MATCH(P246,TZ_STN,0))),INDEX(TZ_DST,MATCH(P246,TZ_STN,0)),INDEX(TZ_STD,MATCH(P246,TZ_STN,0))))/24,"")</f>
        <v/>
      </c>
      <c r="AH246" s="71">
        <f>IF(N246="N/A – rule","N/A – RULE",IF(TRIM(U246)="N/A",IF(AT246=0,"INVALID – N/A not permitted for this mandatory check",IF(AND(TRIM(AC246)&lt;&gt;"",TRIM(AE246)&lt;&gt;"",TRIM(T246)&lt;&gt;""),"N/A – JUSTIFIED","INVALID – N/A needs justification, PIC and verifier")),IF(OR(TRIM(U246)="Pass",TRIM(U246)="Pass after CA"),IF(NOT(ISNUMBER(AD246)),"INVALID – completion time missing",IF(TRIM(T246)="","INVALID – PIC missing",IF(TRIM(Z246)="","INVALID – evidence missing",IF(TRIM(AE246)="","INVALID – verifier missing",IF(AND(AQ246=1,TRIM(W246)=""),"INVALID – batch ID missing",IF(AND(AR246=1,OR(NOT(ISNUMBER(X246)),NOT(ISNUMBER(Y246)))),"INVALID – expected/actual qty missing",IF(IF(AND(TRIM(U246)="Pass",ISNUMBER(AF246)),IF(AF246&lt;&gt;0,"INVALID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recorded/closed","")&lt;&gt;"",IF(AND(TRIM(U246)="Pass",ISNUMBER(AF246)),IF(AF246&lt;&gt;0,"INVALID – qty variance: use Fail or Pass after CA",""),"")&amp;IF(AND(TRIM(U246)="Pass",AB246="Open"),"INVALID – corrective action still open: use Fail, then Pass after CA","")&amp;IF(AND(TRIM(U246)="Pass after CA",OR(TRIM(AA246)="",AB246&lt;&gt;"Closed")),"INVALID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window"),IF(AG246&gt;Flights!$AA$11,"INVALID – completed after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f>
        <v/>
      </c>
      <c r="AI246" s="67">
        <f>IF(OR(AH246="N/A – RULE",AH246="N/A – JUSTIFIED"),0,1)</f>
        <v/>
      </c>
      <c r="AJ246" s="67">
        <f>IF(LEFT(AH246,8)="COMPLETE",1,0)</f>
        <v/>
      </c>
      <c r="AK246" s="67">
        <f>IF(AND(AI246=1,AJ246=0,AsOfUTC&gt;Q246),1,0)</f>
        <v/>
      </c>
      <c r="AL246" s="67">
        <f>IF(AND(AI246=1,OR(TRIM(U246)="Fail",AB246="Open",AND(ISNUMBER(AF246),AF246&lt;&gt;0,TRIM(U246)&lt;&gt;"Pass after CA"))),1,0)</f>
        <v/>
      </c>
      <c r="AM246" s="67">
        <f>IF(LEFT(AH246,7)="INVALID",1,0)</f>
        <v/>
      </c>
      <c r="AN246" s="67">
        <f>IF(AND(N246="Clarification required",AI246=1,AJ246=0),1,0)</f>
        <v/>
      </c>
      <c r="AO246" s="67">
        <f>IF(AK246=1,SUM(AK$5:AK246),"")</f>
        <v/>
      </c>
      <c r="AP246" s="67">
        <f>IF(AL246=1,SUM(AL$5:AL246),"")</f>
        <v/>
      </c>
      <c r="AQ246" s="67" t="n">
        <v>0</v>
      </c>
      <c r="AR246" s="67" t="n">
        <v>1</v>
      </c>
      <c r="AS246" s="67" t="n">
        <v>0</v>
      </c>
      <c r="AT246" s="67" t="n">
        <v>0</v>
      </c>
    </row>
    <row r="247" ht="41.5" customHeight="1">
      <c r="A247" s="63" t="inlineStr">
        <is>
          <t>F07-UPL-03</t>
        </is>
      </c>
      <c r="B247" s="63" t="inlineStr">
        <is>
          <t>F07</t>
        </is>
      </c>
      <c r="C247" s="63">
        <f>Flights!$F$11</f>
        <v/>
      </c>
      <c r="D247" s="64">
        <f>Flights!$D$11</f>
        <v/>
      </c>
      <c r="E247" s="63">
        <f>Flights!$G$11&amp;"-"&amp;Flights!$H$11</f>
        <v/>
      </c>
      <c r="F247" s="63">
        <f>Flights!$K$11</f>
        <v/>
      </c>
      <c r="G247" s="63" t="inlineStr">
        <is>
          <t>UPLIFT</t>
        </is>
      </c>
      <c r="H247" s="63" t="inlineStr">
        <is>
          <t>Physical uplift</t>
        </is>
      </c>
      <c r="I247" s="63" t="inlineStr">
        <is>
          <t>Uplift plan</t>
        </is>
      </c>
      <c r="J247" s="63" t="inlineStr">
        <is>
          <t>KUL-sourced items physically loaded at KUL on the inbound KUL-LHR flight</t>
        </is>
      </c>
      <c r="K247" s="73" t="inlineStr">
        <is>
          <t>Items: Pajamas (BC), Slippers (BS/BC), Signature drink &amp; garnish (BC). Quantities as per Requirements</t>
        </is>
      </c>
      <c r="L247" s="73" t="inlineStr">
        <is>
          <t>STD UPLIFT INFORMATION.xlsx &gt; item uplift stn columns</t>
        </is>
      </c>
      <c r="M247" s="73" t="inlineStr"/>
      <c r="N247" s="73" t="inlineStr">
        <is>
          <t>Required</t>
        </is>
      </c>
      <c r="O247" s="73" t="inlineStr">
        <is>
          <t>Confirmed at KUL inside the uplift window before the carrying flight's KUL departure (Flights AX).</t>
        </is>
      </c>
      <c r="P247" s="63" t="inlineStr">
        <is>
          <t>KUL</t>
        </is>
      </c>
      <c r="Q247" s="65">
        <f>Flights!$AY$11+UpliftWindowH/24</f>
        <v/>
      </c>
      <c r="R247" s="65">
        <f>Q247+(IF(AND(INDEX(TZ_DSTS,MATCH(P247,TZ_STN,0))&lt;&gt;"",Q247&gt;=INDEX(TZ_DSTS,MATCH(P247,TZ_STN,0)),Q247&lt;INDEX(TZ_DSTE,MATCH(P247,TZ_STN,0))),INDEX(TZ_DST,MATCH(P247,TZ_STN,0)),INDEX(TZ_STD,MATCH(P247,TZ_STN,0))))/24</f>
        <v/>
      </c>
      <c r="S247" s="65">
        <f>Q247-UpliftWindowH/24</f>
        <v/>
      </c>
      <c r="T247" s="66" t="n"/>
      <c r="U247" s="66" t="n"/>
      <c r="V247" s="66" t="n"/>
      <c r="W247" s="67" t="n"/>
      <c r="X247" s="66" t="n"/>
      <c r="Y247" s="66" t="n"/>
      <c r="Z247" s="66" t="n"/>
      <c r="AA247" s="66" t="n"/>
      <c r="AB247" s="66" t="n"/>
      <c r="AC247" s="66" t="n"/>
      <c r="AD247" s="72" t="n"/>
      <c r="AE247" s="66" t="n"/>
      <c r="AF247" s="67">
        <f>IF(AND(ISNUMBER(X247),ISNUMBER(Y247)),Y247-X247,"")</f>
        <v/>
      </c>
      <c r="AG247" s="68">
        <f>IF(ISNUMBER(AD247),AD247-(IF(AND(INDEX(TZ_DSTS,MATCH(P247,TZ_STN,0))&lt;&gt;"",(AD247-INDEX(TZ_STD,MATCH(P247,TZ_STN,0))/24)&gt;=INDEX(TZ_DSTS,MATCH(P247,TZ_STN,0)),(AD247-INDEX(TZ_STD,MATCH(P247,TZ_STN,0))/24)&lt;INDEX(TZ_DSTE,MATCH(P247,TZ_STN,0))),INDEX(TZ_DST,MATCH(P247,TZ_STN,0)),INDEX(TZ_STD,MATCH(P247,TZ_STN,0))))/24,"")</f>
        <v/>
      </c>
      <c r="AH247" s="71">
        <f>IF(N247="N/A – rule","N/A – RULE",IF(TRIM(U247)="N/A",IF(AT247=0,"INVALID – N/A not permitted for this mandatory check",IF(AND(TRIM(AC247)&lt;&gt;"",TRIM(AE247)&lt;&gt;"",TRIM(T247)&lt;&gt;""),"N/A – JUSTIFIED","INVALID – N/A needs justification, PIC and verifier")),IF(OR(TRIM(U247)="Pass",TRIM(U247)="Pass after CA"),IF(NOT(ISNUMBER(AD247)),"INVALID – completion time missing",IF(TRIM(T247)="","INVALID – PIC missing",IF(TRIM(Z247)="","INVALID – evidence missing",IF(TRIM(AE247)="","INVALID – verifier missing",IF(AND(AQ247=1,TRIM(W247)=""),"INVALID – batch ID missing",IF(AND(AR247=1,OR(NOT(ISNUMBER(X247)),NOT(ISNUMBER(Y247)))),"INVALID – expected/actual qty missing",IF(IF(AND(TRIM(U247)="Pass",ISNUMBER(AF247)),IF(AF247&lt;&gt;0,"INVALID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recorded/closed","")&lt;&gt;"",IF(AND(TRIM(U247)="Pass",ISNUMBER(AF247)),IF(AF247&lt;&gt;0,"INVALID – qty variance: use Fail or Pass after CA",""),"")&amp;IF(AND(TRIM(U247)="Pass",AB247="Open"),"INVALID – corrective action still open: use Fail, then Pass after CA","")&amp;IF(AND(TRIM(U247)="Pass after CA",OR(TRIM(AA247)="",AB247&lt;&gt;"Closed")),"INVALID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window"),IF(AG247&gt;Flights!$AA$11,"INVALID – completed after departure (cannot establish readiness)",IF(AND(H247="Physical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f>
        <v/>
      </c>
      <c r="AI247" s="67">
        <f>IF(OR(AH247="N/A – RULE",AH247="N/A – JUSTIFIED"),0,1)</f>
        <v/>
      </c>
      <c r="AJ247" s="67">
        <f>IF(LEFT(AH247,8)="COMPLETE",1,0)</f>
        <v/>
      </c>
      <c r="AK247" s="67">
        <f>IF(AND(AI247=1,AJ247=0,AsOfUTC&gt;Q247),1,0)</f>
        <v/>
      </c>
      <c r="AL247" s="67">
        <f>IF(AND(AI247=1,OR(TRIM(U247)="Fail",AB247="Open",AND(ISNUMBER(AF247),AF247&lt;&gt;0,TRIM(U247)&lt;&gt;"Pass after CA"))),1,0)</f>
        <v/>
      </c>
      <c r="AM247" s="67">
        <f>IF(LEFT(AH247,7)="INVALID",1,0)</f>
        <v/>
      </c>
      <c r="AN247" s="67">
        <f>IF(AND(N247="Clarification required",AI247=1,AJ247=0),1,0)</f>
        <v/>
      </c>
      <c r="AO247" s="67">
        <f>IF(AK247=1,SUM(AK$5:AK247),"")</f>
        <v/>
      </c>
      <c r="AP247" s="67">
        <f>IF(AL247=1,SUM(AL$5:AL247),"")</f>
        <v/>
      </c>
      <c r="AQ247" s="67" t="n">
        <v>0</v>
      </c>
      <c r="AR247" s="67" t="n">
        <v>0</v>
      </c>
      <c r="AS247" s="67" t="n">
        <v>0</v>
      </c>
      <c r="AT247" s="67" t="n">
        <v>0</v>
      </c>
    </row>
    <row r="248" ht="40" customHeight="1">
      <c r="A248" s="63" t="inlineStr">
        <is>
          <t>F07-UPL-04</t>
        </is>
      </c>
      <c r="B248" s="63" t="inlineStr">
        <is>
          <t>F07</t>
        </is>
      </c>
      <c r="C248" s="63">
        <f>Flights!$F$11</f>
        <v/>
      </c>
      <c r="D248" s="64">
        <f>Flights!$D$11</f>
        <v/>
      </c>
      <c r="E248" s="63">
        <f>Flights!$G$11&amp;"-"&amp;Flights!$H$11</f>
        <v/>
      </c>
      <c r="F248" s="63">
        <f>Flights!$K$11</f>
        <v/>
      </c>
      <c r="G248" s="63" t="inlineStr">
        <is>
          <t>UPLIFT</t>
        </is>
      </c>
      <c r="H248" s="63" t="inlineStr">
        <is>
          <t>Physical uplift</t>
        </is>
      </c>
      <c r="I248" s="63" t="inlineStr">
        <is>
          <t>Amenities</t>
        </is>
      </c>
      <c r="J248" s="63" t="inlineStr">
        <is>
          <t>Toiletry kits - on board</t>
        </is>
      </c>
      <c r="K248" s="73" t="inlineStr">
        <is>
          <t>Available (ticked in reference)</t>
        </is>
      </c>
      <c r="L248" s="73" t="inlineStr">
        <is>
          <t>STD UPLIFT INFORMATION.xlsx &gt; AMENITIES!D12 / H12</t>
        </is>
      </c>
      <c r="M248" s="73" t="inlineStr">
        <is>
          <t>LHR</t>
        </is>
      </c>
      <c r="N248" s="73" t="inlineStr">
        <is>
          <t>Required</t>
        </is>
      </c>
      <c r="O248" s="73" t="inlineStr"/>
      <c r="P248" s="63" t="inlineStr">
        <is>
          <t>LHR</t>
        </is>
      </c>
      <c r="Q248" s="65">
        <f>Flights!$AF$11</f>
        <v/>
      </c>
      <c r="R248" s="65">
        <f>Q248+(IF(AND(INDEX(TZ_DSTS,MATCH(P248,TZ_STN,0))&lt;&gt;"",Q248&gt;=INDEX(TZ_DSTS,MATCH(P248,TZ_STN,0)),Q248&lt;INDEX(TZ_DSTE,MATCH(P248,TZ_STN,0))),INDEX(TZ_DST,MATCH(P248,TZ_STN,0)),INDEX(TZ_STD,MATCH(P248,TZ_STN,0))))/24</f>
        <v/>
      </c>
      <c r="S248" s="65">
        <f>Q248-UpliftWindowH/24</f>
        <v/>
      </c>
      <c r="T248" s="66" t="n"/>
      <c r="U248" s="66" t="n"/>
      <c r="V248" s="66" t="n"/>
      <c r="W248" s="67" t="n"/>
      <c r="X248" s="66" t="n"/>
      <c r="Y248" s="66" t="n"/>
      <c r="Z248" s="66" t="n"/>
      <c r="AA248" s="66" t="n"/>
      <c r="AB248" s="66" t="n"/>
      <c r="AC248" s="66" t="n"/>
      <c r="AD248" s="72" t="n"/>
      <c r="AE248" s="66" t="n"/>
      <c r="AF248" s="67">
        <f>IF(AND(ISNUMBER(X248),ISNUMBER(Y248)),Y248-X248,"")</f>
        <v/>
      </c>
      <c r="AG248" s="68">
        <f>IF(ISNUMBER(AD248),AD248-(IF(AND(INDEX(TZ_DSTS,MATCH(P248,TZ_STN,0))&lt;&gt;"",(AD248-INDEX(TZ_STD,MATCH(P248,TZ_STN,0))/24)&gt;=INDEX(TZ_DSTS,MATCH(P248,TZ_STN,0)),(AD248-INDEX(TZ_STD,MATCH(P248,TZ_STN,0))/24)&lt;INDEX(TZ_DSTE,MATCH(P248,TZ_STN,0))),INDEX(TZ_DST,MATCH(P248,TZ_STN,0)),INDEX(TZ_STD,MATCH(P248,TZ_STN,0))))/24,"")</f>
        <v/>
      </c>
      <c r="AH248" s="71">
        <f>IF(N248="N/A – rule","N/A – RULE",IF(TRIM(U248)="N/A",IF(AT248=0,"INVALID – N/A not permitted for this mandatory check",IF(AND(TRIM(AC248)&lt;&gt;"",TRIM(AE248)&lt;&gt;"",TRIM(T248)&lt;&gt;""),"N/A – JUSTIFIED","INVALID – N/A needs justification, PIC and verifier")),IF(OR(TRIM(U248)="Pass",TRIM(U248)="Pass after CA"),IF(NOT(ISNUMBER(AD248)),"INVALID – completion time missing",IF(TRIM(T248)="","INVALID – PIC missing",IF(TRIM(Z248)="","INVALID – evidence missing",IF(TRIM(AE248)="","INVALID – verifier missing",IF(AND(AQ248=1,TRIM(W248)=""),"INVALID – batch ID missing",IF(AND(AR248=1,OR(NOT(ISNUMBER(X248)),NOT(ISNUMBER(Y248)))),"INVALID – expected/actual qty missing",IF(IF(AND(TRIM(U248)="Pass",ISNUMBER(AF248)),IF(AF248&lt;&gt;0,"INVALID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recorded/closed","")&lt;&gt;"",IF(AND(TRIM(U248)="Pass",ISNUMBER(AF248)),IF(AF248&lt;&gt;0,"INVALID – qty variance: use Fail or Pass after CA",""),"")&amp;IF(AND(TRIM(U248)="Pass",AB248="Open"),"INVALID – corrective action still open: use Fail, then Pass after CA","")&amp;IF(AND(TRIM(U248)="Pass after CA",OR(TRIM(AA248)="",AB248&lt;&gt;"Closed")),"INVALID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window"),IF(AG248&gt;Flights!$AA$11,"INVALID – completed after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f>
        <v/>
      </c>
      <c r="AI248" s="67">
        <f>IF(OR(AH248="N/A – RULE",AH248="N/A – JUSTIFIED"),0,1)</f>
        <v/>
      </c>
      <c r="AJ248" s="67">
        <f>IF(LEFT(AH248,8)="COMPLETE",1,0)</f>
        <v/>
      </c>
      <c r="AK248" s="67">
        <f>IF(AND(AI248=1,AJ248=0,AsOfUTC&gt;Q248),1,0)</f>
        <v/>
      </c>
      <c r="AL248" s="67">
        <f>IF(AND(AI248=1,OR(TRIM(U248)="Fail",AB248="Open",AND(ISNUMBER(AF248),AF248&lt;&gt;0,TRIM(U248)&lt;&gt;"Pass after CA"))),1,0)</f>
        <v/>
      </c>
      <c r="AM248" s="67">
        <f>IF(LEFT(AH248,7)="INVALID",1,0)</f>
        <v/>
      </c>
      <c r="AN248" s="67">
        <f>IF(AND(N248="Clarification required",AI248=1,AJ248=0),1,0)</f>
        <v/>
      </c>
      <c r="AO248" s="67">
        <f>IF(AK248=1,SUM(AK$5:AK248),"")</f>
        <v/>
      </c>
      <c r="AP248" s="67">
        <f>IF(AL248=1,SUM(AL$5:AL248),"")</f>
        <v/>
      </c>
      <c r="AQ248" s="67" t="n">
        <v>0</v>
      </c>
      <c r="AR248" s="67" t="n">
        <v>0</v>
      </c>
      <c r="AS248" s="67" t="n">
        <v>0</v>
      </c>
      <c r="AT248" s="67" t="n">
        <v>1</v>
      </c>
    </row>
    <row r="249" ht="41.5" customHeight="1">
      <c r="A249" s="63" t="inlineStr">
        <is>
          <t>F07-UPL-05</t>
        </is>
      </c>
      <c r="B249" s="63" t="inlineStr">
        <is>
          <t>F07</t>
        </is>
      </c>
      <c r="C249" s="63">
        <f>Flights!$F$11</f>
        <v/>
      </c>
      <c r="D249" s="64">
        <f>Flights!$D$11</f>
        <v/>
      </c>
      <c r="E249" s="63">
        <f>Flights!$G$11&amp;"-"&amp;Flights!$H$11</f>
        <v/>
      </c>
      <c r="F249" s="63">
        <f>Flights!$K$11</f>
        <v/>
      </c>
      <c r="G249" s="63" t="inlineStr">
        <is>
          <t>UPLIFT</t>
        </is>
      </c>
      <c r="H249" s="63" t="inlineStr">
        <is>
          <t>Physical uplift</t>
        </is>
      </c>
      <c r="I249" s="63" t="inlineStr">
        <is>
          <t>Amenities</t>
        </is>
      </c>
      <c r="J249" s="63" t="inlineStr">
        <is>
          <t>Pajamas (BC) - on board</t>
        </is>
      </c>
      <c r="K249" s="73" t="inlineStr">
        <is>
          <t>Available - BC red-eye only</t>
        </is>
      </c>
      <c r="L249" s="73" t="inlineStr">
        <is>
          <t>STD UPLIFT INFORMATION.xlsx &gt; AMENITIES!F13 / H13</t>
        </is>
      </c>
      <c r="M249" s="73" t="inlineStr">
        <is>
          <t>KUL</t>
        </is>
      </c>
      <c r="N249" s="73" t="inlineStr">
        <is>
          <t>Clarification required</t>
        </is>
      </c>
      <c r="O249" s="73" t="inlineStr">
        <is>
          <t>Reference limits BC pajamas to red-eye flights; STD 1100 local arriving 0645+1 - confirm whether this leg counts as red-eye.</t>
        </is>
      </c>
      <c r="P249" s="63" t="inlineStr">
        <is>
          <t>LHR</t>
        </is>
      </c>
      <c r="Q249" s="65">
        <f>Flights!$AF$11</f>
        <v/>
      </c>
      <c r="R249" s="65">
        <f>Q249+(IF(AND(INDEX(TZ_DSTS,MATCH(P249,TZ_STN,0))&lt;&gt;"",Q249&gt;=INDEX(TZ_DSTS,MATCH(P249,TZ_STN,0)),Q249&lt;INDEX(TZ_DSTE,MATCH(P249,TZ_STN,0))),INDEX(TZ_DST,MATCH(P249,TZ_STN,0)),INDEX(TZ_STD,MATCH(P249,TZ_STN,0))))/24</f>
        <v/>
      </c>
      <c r="S249" s="65">
        <f>Q249-UpliftWindowH/24</f>
        <v/>
      </c>
      <c r="T249" s="66" t="n"/>
      <c r="U249" s="66" t="n"/>
      <c r="V249" s="66" t="n"/>
      <c r="W249" s="67" t="n"/>
      <c r="X249" s="66" t="n"/>
      <c r="Y249" s="66" t="n"/>
      <c r="Z249" s="66" t="n"/>
      <c r="AA249" s="66" t="n"/>
      <c r="AB249" s="66" t="n"/>
      <c r="AC249" s="66" t="n"/>
      <c r="AD249" s="72" t="n"/>
      <c r="AE249" s="66" t="n"/>
      <c r="AF249" s="67">
        <f>IF(AND(ISNUMBER(X249),ISNUMBER(Y249)),Y249-X249,"")</f>
        <v/>
      </c>
      <c r="AG249" s="68">
        <f>IF(ISNUMBER(AD249),AD249-(IF(AND(INDEX(TZ_DSTS,MATCH(P249,TZ_STN,0))&lt;&gt;"",(AD249-INDEX(TZ_STD,MATCH(P249,TZ_STN,0))/24)&gt;=INDEX(TZ_DSTS,MATCH(P249,TZ_STN,0)),(AD249-INDEX(TZ_STD,MATCH(P249,TZ_STN,0))/24)&lt;INDEX(TZ_DSTE,MATCH(P249,TZ_STN,0))),INDEX(TZ_DST,MATCH(P249,TZ_STN,0)),INDEX(TZ_STD,MATCH(P249,TZ_STN,0))))/24,"")</f>
        <v/>
      </c>
      <c r="AH249" s="71">
        <f>IF(N249="N/A – rule","N/A – RULE",IF(TRIM(U249)="N/A",IF(AT249=0,"INVALID – N/A not permitted for this mandatory check",IF(AND(TRIM(AC249)&lt;&gt;"",TRIM(AE249)&lt;&gt;"",TRIM(T249)&lt;&gt;""),"N/A – JUSTIFIED","INVALID – N/A needs justification, PIC and verifier")),IF(OR(TRIM(U249)="Pass",TRIM(U249)="Pass after CA"),IF(NOT(ISNUMBER(AD249)),"INVALID – completion time missing",IF(TRIM(T249)="","INVALID – PIC missing",IF(TRIM(Z249)="","INVALID – evidence missing",IF(TRIM(AE249)="","INVALID – verifier missing",IF(AND(AQ249=1,TRIM(W249)=""),"INVALID – batch ID missing",IF(AND(AR249=1,OR(NOT(ISNUMBER(X249)),NOT(ISNUMBER(Y249)))),"INVALID – expected/actual qty missing",IF(IF(AND(TRIM(U249)="Pass",ISNUMBER(AF249)),IF(AF249&lt;&gt;0,"INVALID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recorded/closed","")&lt;&gt;"",IF(AND(TRIM(U249)="Pass",ISNUMBER(AF249)),IF(AF249&lt;&gt;0,"INVALID – qty variance: use Fail or Pass after CA",""),"")&amp;IF(AND(TRIM(U249)="Pass",AB249="Open"),"INVALID – corrective action still open: use Fail, then Pass after CA","")&amp;IF(AND(TRIM(U249)="Pass after CA",OR(TRIM(AA249)="",AB249&lt;&gt;"Closed")),"INVALID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window"),IF(AG249&gt;Flights!$AA$11,"INVALID – completed after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f>
        <v/>
      </c>
      <c r="AI249" s="67">
        <f>IF(OR(AH249="N/A – RULE",AH249="N/A – JUSTIFIED"),0,1)</f>
        <v/>
      </c>
      <c r="AJ249" s="67">
        <f>IF(LEFT(AH249,8)="COMPLETE",1,0)</f>
        <v/>
      </c>
      <c r="AK249" s="67">
        <f>IF(AND(AI249=1,AJ249=0,AsOfUTC&gt;Q249),1,0)</f>
        <v/>
      </c>
      <c r="AL249" s="67">
        <f>IF(AND(AI249=1,OR(TRIM(U249)="Fail",AB249="Open",AND(ISNUMBER(AF249),AF249&lt;&gt;0,TRIM(U249)&lt;&gt;"Pass after CA"))),1,0)</f>
        <v/>
      </c>
      <c r="AM249" s="67">
        <f>IF(LEFT(AH249,7)="INVALID",1,0)</f>
        <v/>
      </c>
      <c r="AN249" s="67">
        <f>IF(AND(N249="Clarification required",AI249=1,AJ249=0),1,0)</f>
        <v/>
      </c>
      <c r="AO249" s="67">
        <f>IF(AK249=1,SUM(AK$5:AK249),"")</f>
        <v/>
      </c>
      <c r="AP249" s="67">
        <f>IF(AL249=1,SUM(AL$5:AL249),"")</f>
        <v/>
      </c>
      <c r="AQ249" s="67" t="n">
        <v>0</v>
      </c>
      <c r="AR249" s="67" t="n">
        <v>0</v>
      </c>
      <c r="AS249" s="67" t="n">
        <v>0</v>
      </c>
      <c r="AT249" s="67" t="n">
        <v>1</v>
      </c>
    </row>
    <row r="250" ht="40" customHeight="1">
      <c r="A250" s="63" t="inlineStr">
        <is>
          <t>F07-UPL-06</t>
        </is>
      </c>
      <c r="B250" s="63" t="inlineStr">
        <is>
          <t>F07</t>
        </is>
      </c>
      <c r="C250" s="63">
        <f>Flights!$F$11</f>
        <v/>
      </c>
      <c r="D250" s="64">
        <f>Flights!$D$11</f>
        <v/>
      </c>
      <c r="E250" s="63">
        <f>Flights!$G$11&amp;"-"&amp;Flights!$H$11</f>
        <v/>
      </c>
      <c r="F250" s="63">
        <f>Flights!$K$11</f>
        <v/>
      </c>
      <c r="G250" s="63" t="inlineStr">
        <is>
          <t>UPLIFT</t>
        </is>
      </c>
      <c r="H250" s="63" t="inlineStr">
        <is>
          <t>Physical uplift</t>
        </is>
      </c>
      <c r="I250" s="63" t="inlineStr">
        <is>
          <t>Amenities</t>
        </is>
      </c>
      <c r="J250" s="63" t="inlineStr">
        <is>
          <t>Slippers (BS/BC) - on board</t>
        </is>
      </c>
      <c r="K250" s="73" t="inlineStr">
        <is>
          <t>Available (ticked in reference)</t>
        </is>
      </c>
      <c r="L250" s="73" t="inlineStr">
        <is>
          <t>STD UPLIFT INFORMATION.xlsx &gt; AMENITIES!G13 / H13</t>
        </is>
      </c>
      <c r="M250" s="73" t="inlineStr">
        <is>
          <t>KUL</t>
        </is>
      </c>
      <c r="N250" s="73" t="inlineStr">
        <is>
          <t>Required</t>
        </is>
      </c>
      <c r="O250" s="73" t="inlineStr"/>
      <c r="P250" s="63" t="inlineStr">
        <is>
          <t>LHR</t>
        </is>
      </c>
      <c r="Q250" s="65">
        <f>Flights!$AF$11</f>
        <v/>
      </c>
      <c r="R250" s="65">
        <f>Q250+(IF(AND(INDEX(TZ_DSTS,MATCH(P250,TZ_STN,0))&lt;&gt;"",Q250&gt;=INDEX(TZ_DSTS,MATCH(P250,TZ_STN,0)),Q250&lt;INDEX(TZ_DSTE,MATCH(P250,TZ_STN,0))),INDEX(TZ_DST,MATCH(P250,TZ_STN,0)),INDEX(TZ_STD,MATCH(P250,TZ_STN,0))))/24</f>
        <v/>
      </c>
      <c r="S250" s="65">
        <f>Q250-UpliftWindowH/24</f>
        <v/>
      </c>
      <c r="T250" s="66" t="n"/>
      <c r="U250" s="66" t="n"/>
      <c r="V250" s="66" t="n"/>
      <c r="W250" s="67" t="n"/>
      <c r="X250" s="66" t="n"/>
      <c r="Y250" s="66" t="n"/>
      <c r="Z250" s="66" t="n"/>
      <c r="AA250" s="66" t="n"/>
      <c r="AB250" s="66" t="n"/>
      <c r="AC250" s="66" t="n"/>
      <c r="AD250" s="72" t="n"/>
      <c r="AE250" s="66" t="n"/>
      <c r="AF250" s="67">
        <f>IF(AND(ISNUMBER(X250),ISNUMBER(Y250)),Y250-X250,"")</f>
        <v/>
      </c>
      <c r="AG250" s="68">
        <f>IF(ISNUMBER(AD250),AD250-(IF(AND(INDEX(TZ_DSTS,MATCH(P250,TZ_STN,0))&lt;&gt;"",(AD250-INDEX(TZ_STD,MATCH(P250,TZ_STN,0))/24)&gt;=INDEX(TZ_DSTS,MATCH(P250,TZ_STN,0)),(AD250-INDEX(TZ_STD,MATCH(P250,TZ_STN,0))/24)&lt;INDEX(TZ_DSTE,MATCH(P250,TZ_STN,0))),INDEX(TZ_DST,MATCH(P250,TZ_STN,0)),INDEX(TZ_STD,MATCH(P250,TZ_STN,0))))/24,"")</f>
        <v/>
      </c>
      <c r="AH250" s="71">
        <f>IF(N250="N/A – rule","N/A – RULE",IF(TRIM(U250)="N/A",IF(AT250=0,"INVALID – N/A not permitted for this mandatory check",IF(AND(TRIM(AC250)&lt;&gt;"",TRIM(AE250)&lt;&gt;"",TRIM(T250)&lt;&gt;""),"N/A – JUSTIFIED","INVALID – N/A needs justification, PIC and verifier")),IF(OR(TRIM(U250)="Pass",TRIM(U250)="Pass after CA"),IF(NOT(ISNUMBER(AD250)),"INVALID – completion time missing",IF(TRIM(T250)="","INVALID – PIC missing",IF(TRIM(Z250)="","INVALID – evidence missing",IF(TRIM(AE250)="","INVALID – verifier missing",IF(AND(AQ250=1,TRIM(W250)=""),"INVALID – batch ID missing",IF(AND(AR250=1,OR(NOT(ISNUMBER(X250)),NOT(ISNUMBER(Y250)))),"INVALID – expected/actual qty missing",IF(IF(AND(TRIM(U250)="Pass",ISNUMBER(AF250)),IF(AF250&lt;&gt;0,"INVALID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recorded/closed","")&lt;&gt;"",IF(AND(TRIM(U250)="Pass",ISNUMBER(AF250)),IF(AF250&lt;&gt;0,"INVALID – qty variance: use Fail or Pass after CA",""),"")&amp;IF(AND(TRIM(U250)="Pass",AB250="Open"),"INVALID – corrective action still open: use Fail, then Pass after CA","")&amp;IF(AND(TRIM(U250)="Pass after CA",OR(TRIM(AA250)="",AB250&lt;&gt;"Closed")),"INVALID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window"),IF(AG250&gt;Flights!$AA$11,"INVALID – completed after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f>
        <v/>
      </c>
      <c r="AI250" s="67">
        <f>IF(OR(AH250="N/A – RULE",AH250="N/A – JUSTIFIED"),0,1)</f>
        <v/>
      </c>
      <c r="AJ250" s="67">
        <f>IF(LEFT(AH250,8)="COMPLETE",1,0)</f>
        <v/>
      </c>
      <c r="AK250" s="67">
        <f>IF(AND(AI250=1,AJ250=0,AsOfUTC&gt;Q250),1,0)</f>
        <v/>
      </c>
      <c r="AL250" s="67">
        <f>IF(AND(AI250=1,OR(TRIM(U250)="Fail",AB250="Open",AND(ISNUMBER(AF250),AF250&lt;&gt;0,TRIM(U250)&lt;&gt;"Pass after CA"))),1,0)</f>
        <v/>
      </c>
      <c r="AM250" s="67">
        <f>IF(LEFT(AH250,7)="INVALID",1,0)</f>
        <v/>
      </c>
      <c r="AN250" s="67">
        <f>IF(AND(N250="Clarification required",AI250=1,AJ250=0),1,0)</f>
        <v/>
      </c>
      <c r="AO250" s="67">
        <f>IF(AK250=1,SUM(AK$5:AK250),"")</f>
        <v/>
      </c>
      <c r="AP250" s="67">
        <f>IF(AL250=1,SUM(AL$5:AL250),"")</f>
        <v/>
      </c>
      <c r="AQ250" s="67" t="n">
        <v>0</v>
      </c>
      <c r="AR250" s="67" t="n">
        <v>0</v>
      </c>
      <c r="AS250" s="67" t="n">
        <v>0</v>
      </c>
      <c r="AT250" s="67" t="n">
        <v>1</v>
      </c>
    </row>
    <row r="251" ht="40" customHeight="1">
      <c r="A251" s="63" t="inlineStr">
        <is>
          <t>F07-UPL-07</t>
        </is>
      </c>
      <c r="B251" s="63" t="inlineStr">
        <is>
          <t>F07</t>
        </is>
      </c>
      <c r="C251" s="63">
        <f>Flights!$F$11</f>
        <v/>
      </c>
      <c r="D251" s="64">
        <f>Flights!$D$11</f>
        <v/>
      </c>
      <c r="E251" s="63">
        <f>Flights!$G$11&amp;"-"&amp;Flights!$H$11</f>
        <v/>
      </c>
      <c r="F251" s="63">
        <f>Flights!$K$11</f>
        <v/>
      </c>
      <c r="G251" s="63" t="inlineStr">
        <is>
          <t>UPLIFT</t>
        </is>
      </c>
      <c r="H251" s="63" t="inlineStr">
        <is>
          <t>Physical uplift</t>
        </is>
      </c>
      <c r="I251" s="63" t="inlineStr">
        <is>
          <t>F&amp;B Linen</t>
        </is>
      </c>
      <c r="J251" s="63" t="inlineStr">
        <is>
          <t>Towel - on board</t>
        </is>
      </c>
      <c r="K251" s="73" t="inlineStr">
        <is>
          <t>Available (ticked in reference)</t>
        </is>
      </c>
      <c r="L251" s="73" t="inlineStr">
        <is>
          <t>STD UPLIFT INFORMATION.xlsx &gt; F&amp;B LINEN!D7</t>
        </is>
      </c>
      <c r="M251" s="73" t="inlineStr">
        <is>
          <t>Not stated in reference</t>
        </is>
      </c>
      <c r="N251" s="73" t="inlineStr">
        <is>
          <t>Required</t>
        </is>
      </c>
      <c r="O251" s="73" t="inlineStr"/>
      <c r="P251" s="63" t="inlineStr">
        <is>
          <t>LHR</t>
        </is>
      </c>
      <c r="Q251" s="65">
        <f>Flights!$AF$11</f>
        <v/>
      </c>
      <c r="R251" s="65">
        <f>Q251+(IF(AND(INDEX(TZ_DSTS,MATCH(P251,TZ_STN,0))&lt;&gt;"",Q251&gt;=INDEX(TZ_DSTS,MATCH(P251,TZ_STN,0)),Q251&lt;INDEX(TZ_DSTE,MATCH(P251,TZ_STN,0))),INDEX(TZ_DST,MATCH(P251,TZ_STN,0)),INDEX(TZ_STD,MATCH(P251,TZ_STN,0))))/24</f>
        <v/>
      </c>
      <c r="S251" s="65">
        <f>Q251-UpliftWindowH/24</f>
        <v/>
      </c>
      <c r="T251" s="66" t="n"/>
      <c r="U251" s="66" t="n"/>
      <c r="V251" s="66" t="n"/>
      <c r="W251" s="67" t="n"/>
      <c r="X251" s="66" t="n"/>
      <c r="Y251" s="66" t="n"/>
      <c r="Z251" s="66" t="n"/>
      <c r="AA251" s="66" t="n"/>
      <c r="AB251" s="66" t="n"/>
      <c r="AC251" s="66" t="n"/>
      <c r="AD251" s="72" t="n"/>
      <c r="AE251" s="66" t="n"/>
      <c r="AF251" s="67">
        <f>IF(AND(ISNUMBER(X251),ISNUMBER(Y251)),Y251-X251,"")</f>
        <v/>
      </c>
      <c r="AG251" s="68">
        <f>IF(ISNUMBER(AD251),AD251-(IF(AND(INDEX(TZ_DSTS,MATCH(P251,TZ_STN,0))&lt;&gt;"",(AD251-INDEX(TZ_STD,MATCH(P251,TZ_STN,0))/24)&gt;=INDEX(TZ_DSTS,MATCH(P251,TZ_STN,0)),(AD251-INDEX(TZ_STD,MATCH(P251,TZ_STN,0))/24)&lt;INDEX(TZ_DSTE,MATCH(P251,TZ_STN,0))),INDEX(TZ_DST,MATCH(P251,TZ_STN,0)),INDEX(TZ_STD,MATCH(P251,TZ_STN,0))))/24,"")</f>
        <v/>
      </c>
      <c r="AH251" s="71">
        <f>IF(N251="N/A – rule","N/A – RULE",IF(TRIM(U251)="N/A",IF(AT251=0,"INVALID – N/A not permitted for this mandatory check",IF(AND(TRIM(AC251)&lt;&gt;"",TRIM(AE251)&lt;&gt;"",TRIM(T251)&lt;&gt;""),"N/A – JUSTIFIED","INVALID – N/A needs justification, PIC and verifier")),IF(OR(TRIM(U251)="Pass",TRIM(U251)="Pass after CA"),IF(NOT(ISNUMBER(AD251)),"INVALID – completion time missing",IF(TRIM(T251)="","INVALID – PIC missing",IF(TRIM(Z251)="","INVALID – evidence missing",IF(TRIM(AE251)="","INVALID – verifier missing",IF(AND(AQ251=1,TRIM(W251)=""),"INVALID – batch ID missing",IF(AND(AR251=1,OR(NOT(ISNUMBER(X251)),NOT(ISNUMBER(Y251)))),"INVALID – expected/actual qty missing",IF(IF(AND(TRIM(U251)="Pass",ISNUMBER(AF251)),IF(AF251&lt;&gt;0,"INVALID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recorded/closed","")&lt;&gt;"",IF(AND(TRIM(U251)="Pass",ISNUMBER(AF251)),IF(AF251&lt;&gt;0,"INVALID – qty variance: use Fail or Pass after CA",""),"")&amp;IF(AND(TRIM(U251)="Pass",AB251="Open"),"INVALID – corrective action still open: use Fail, then Pass after CA","")&amp;IF(AND(TRIM(U251)="Pass after CA",OR(TRIM(AA251)="",AB251&lt;&gt;"Closed")),"INVALID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window"),IF(AG251&gt;Flights!$AA$11,"INVALID – completed after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f>
        <v/>
      </c>
      <c r="AI251" s="67">
        <f>IF(OR(AH251="N/A – RULE",AH251="N/A – JUSTIFIED"),0,1)</f>
        <v/>
      </c>
      <c r="AJ251" s="67">
        <f>IF(LEFT(AH251,8)="COMPLETE",1,0)</f>
        <v/>
      </c>
      <c r="AK251" s="67">
        <f>IF(AND(AI251=1,AJ251=0,AsOfUTC&gt;Q251),1,0)</f>
        <v/>
      </c>
      <c r="AL251" s="67">
        <f>IF(AND(AI251=1,OR(TRIM(U251)="Fail",AB251="Open",AND(ISNUMBER(AF251),AF251&lt;&gt;0,TRIM(U251)&lt;&gt;"Pass after CA"))),1,0)</f>
        <v/>
      </c>
      <c r="AM251" s="67">
        <f>IF(LEFT(AH251,7)="INVALID",1,0)</f>
        <v/>
      </c>
      <c r="AN251" s="67">
        <f>IF(AND(N251="Clarification required",AI251=1,AJ251=0),1,0)</f>
        <v/>
      </c>
      <c r="AO251" s="67">
        <f>IF(AK251=1,SUM(AK$5:AK251),"")</f>
        <v/>
      </c>
      <c r="AP251" s="67">
        <f>IF(AL251=1,SUM(AL$5:AL251),"")</f>
        <v/>
      </c>
      <c r="AQ251" s="67" t="n">
        <v>0</v>
      </c>
      <c r="AR251" s="67" t="n">
        <v>0</v>
      </c>
      <c r="AS251" s="67" t="n">
        <v>0</v>
      </c>
      <c r="AT251" s="67" t="n">
        <v>1</v>
      </c>
    </row>
    <row r="252" ht="40" customHeight="1">
      <c r="A252" s="63" t="inlineStr">
        <is>
          <t>F07-UPL-08</t>
        </is>
      </c>
      <c r="B252" s="63" t="inlineStr">
        <is>
          <t>F07</t>
        </is>
      </c>
      <c r="C252" s="63">
        <f>Flights!$F$11</f>
        <v/>
      </c>
      <c r="D252" s="64">
        <f>Flights!$D$11</f>
        <v/>
      </c>
      <c r="E252" s="63">
        <f>Flights!$G$11&amp;"-"&amp;Flights!$H$11</f>
        <v/>
      </c>
      <c r="F252" s="63">
        <f>Flights!$K$11</f>
        <v/>
      </c>
      <c r="G252" s="63" t="inlineStr">
        <is>
          <t>UPLIFT</t>
        </is>
      </c>
      <c r="H252" s="63" t="inlineStr">
        <is>
          <t>Physical uplift</t>
        </is>
      </c>
      <c r="I252" s="63" t="inlineStr">
        <is>
          <t>F&amp;B Linen</t>
        </is>
      </c>
      <c r="J252" s="63" t="inlineStr">
        <is>
          <t>Tray cloth - on board</t>
        </is>
      </c>
      <c r="K252" s="73" t="inlineStr">
        <is>
          <t>Available (ticked in reference)</t>
        </is>
      </c>
      <c r="L252" s="73" t="inlineStr">
        <is>
          <t>STD UPLIFT INFORMATION.xlsx &gt; F&amp;B LINEN!E7</t>
        </is>
      </c>
      <c r="M252" s="73" t="inlineStr">
        <is>
          <t>Not stated in reference</t>
        </is>
      </c>
      <c r="N252" s="73" t="inlineStr">
        <is>
          <t>Required</t>
        </is>
      </c>
      <c r="O252" s="73" t="inlineStr"/>
      <c r="P252" s="63" t="inlineStr">
        <is>
          <t>LHR</t>
        </is>
      </c>
      <c r="Q252" s="65">
        <f>Flights!$AF$11</f>
        <v/>
      </c>
      <c r="R252" s="65">
        <f>Q252+(IF(AND(INDEX(TZ_DSTS,MATCH(P252,TZ_STN,0))&lt;&gt;"",Q252&gt;=INDEX(TZ_DSTS,MATCH(P252,TZ_STN,0)),Q252&lt;INDEX(TZ_DSTE,MATCH(P252,TZ_STN,0))),INDEX(TZ_DST,MATCH(P252,TZ_STN,0)),INDEX(TZ_STD,MATCH(P252,TZ_STN,0))))/24</f>
        <v/>
      </c>
      <c r="S252" s="65">
        <f>Q252-UpliftWindowH/24</f>
        <v/>
      </c>
      <c r="T252" s="66" t="n"/>
      <c r="U252" s="66" t="n"/>
      <c r="V252" s="66" t="n"/>
      <c r="W252" s="67" t="n"/>
      <c r="X252" s="66" t="n"/>
      <c r="Y252" s="66" t="n"/>
      <c r="Z252" s="66" t="n"/>
      <c r="AA252" s="66" t="n"/>
      <c r="AB252" s="66" t="n"/>
      <c r="AC252" s="66" t="n"/>
      <c r="AD252" s="72" t="n"/>
      <c r="AE252" s="66" t="n"/>
      <c r="AF252" s="67">
        <f>IF(AND(ISNUMBER(X252),ISNUMBER(Y252)),Y252-X252,"")</f>
        <v/>
      </c>
      <c r="AG252" s="68">
        <f>IF(ISNUMBER(AD252),AD252-(IF(AND(INDEX(TZ_DSTS,MATCH(P252,TZ_STN,0))&lt;&gt;"",(AD252-INDEX(TZ_STD,MATCH(P252,TZ_STN,0))/24)&gt;=INDEX(TZ_DSTS,MATCH(P252,TZ_STN,0)),(AD252-INDEX(TZ_STD,MATCH(P252,TZ_STN,0))/24)&lt;INDEX(TZ_DSTE,MATCH(P252,TZ_STN,0))),INDEX(TZ_DST,MATCH(P252,TZ_STN,0)),INDEX(TZ_STD,MATCH(P252,TZ_STN,0))))/24,"")</f>
        <v/>
      </c>
      <c r="AH252" s="71">
        <f>IF(N252="N/A – rule","N/A – RULE",IF(TRIM(U252)="N/A",IF(AT252=0,"INVALID – N/A not permitted for this mandatory check",IF(AND(TRIM(AC252)&lt;&gt;"",TRIM(AE252)&lt;&gt;"",TRIM(T252)&lt;&gt;""),"N/A – JUSTIFIED","INVALID – N/A needs justification, PIC and verifier")),IF(OR(TRIM(U252)="Pass",TRIM(U252)="Pass after CA"),IF(NOT(ISNUMBER(AD252)),"INVALID – completion time missing",IF(TRIM(T252)="","INVALID – PIC missing",IF(TRIM(Z252)="","INVALID – evidence missing",IF(TRIM(AE252)="","INVALID – verifier missing",IF(AND(AQ252=1,TRIM(W252)=""),"INVALID – batch ID missing",IF(AND(AR252=1,OR(NOT(ISNUMBER(X252)),NOT(ISNUMBER(Y252)))),"INVALID – expected/actual qty missing",IF(IF(AND(TRIM(U252)="Pass",ISNUMBER(AF252)),IF(AF252&lt;&gt;0,"INVALID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recorded/closed","")&lt;&gt;"",IF(AND(TRIM(U252)="Pass",ISNUMBER(AF252)),IF(AF252&lt;&gt;0,"INVALID – qty variance: use Fail or Pass after CA",""),"")&amp;IF(AND(TRIM(U252)="Pass",AB252="Open"),"INVALID – corrective action still open: use Fail, then Pass after CA","")&amp;IF(AND(TRIM(U252)="Pass after CA",OR(TRIM(AA252)="",AB252&lt;&gt;"Closed")),"INVALID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window"),IF(AG252&gt;Flights!$AA$11,"INVALID – completed after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f>
        <v/>
      </c>
      <c r="AI252" s="67">
        <f>IF(OR(AH252="N/A – RULE",AH252="N/A – JUSTIFIED"),0,1)</f>
        <v/>
      </c>
      <c r="AJ252" s="67">
        <f>IF(LEFT(AH252,8)="COMPLETE",1,0)</f>
        <v/>
      </c>
      <c r="AK252" s="67">
        <f>IF(AND(AI252=1,AJ252=0,AsOfUTC&gt;Q252),1,0)</f>
        <v/>
      </c>
      <c r="AL252" s="67">
        <f>IF(AND(AI252=1,OR(TRIM(U252)="Fail",AB252="Open",AND(ISNUMBER(AF252),AF252&lt;&gt;0,TRIM(U252)&lt;&gt;"Pass after CA"))),1,0)</f>
        <v/>
      </c>
      <c r="AM252" s="67">
        <f>IF(LEFT(AH252,7)="INVALID",1,0)</f>
        <v/>
      </c>
      <c r="AN252" s="67">
        <f>IF(AND(N252="Clarification required",AI252=1,AJ252=0),1,0)</f>
        <v/>
      </c>
      <c r="AO252" s="67">
        <f>IF(AK252=1,SUM(AK$5:AK252),"")</f>
        <v/>
      </c>
      <c r="AP252" s="67">
        <f>IF(AL252=1,SUM(AL$5:AL252),"")</f>
        <v/>
      </c>
      <c r="AQ252" s="67" t="n">
        <v>0</v>
      </c>
      <c r="AR252" s="67" t="n">
        <v>0</v>
      </c>
      <c r="AS252" s="67" t="n">
        <v>0</v>
      </c>
      <c r="AT252" s="67" t="n">
        <v>1</v>
      </c>
    </row>
    <row r="253" ht="40" customHeight="1">
      <c r="A253" s="63" t="inlineStr">
        <is>
          <t>F07-UPL-09</t>
        </is>
      </c>
      <c r="B253" s="63" t="inlineStr">
        <is>
          <t>F07</t>
        </is>
      </c>
      <c r="C253" s="63">
        <f>Flights!$F$11</f>
        <v/>
      </c>
      <c r="D253" s="64">
        <f>Flights!$D$11</f>
        <v/>
      </c>
      <c r="E253" s="63">
        <f>Flights!$G$11&amp;"-"&amp;Flights!$H$11</f>
        <v/>
      </c>
      <c r="F253" s="63">
        <f>Flights!$K$11</f>
        <v/>
      </c>
      <c r="G253" s="63" t="inlineStr">
        <is>
          <t>UPLIFT</t>
        </is>
      </c>
      <c r="H253" s="63" t="inlineStr">
        <is>
          <t>Physical uplift</t>
        </is>
      </c>
      <c r="I253" s="63" t="inlineStr">
        <is>
          <t>F&amp;B Linen</t>
        </is>
      </c>
      <c r="J253" s="63" t="inlineStr">
        <is>
          <t>Napkin - on board</t>
        </is>
      </c>
      <c r="K253" s="73" t="inlineStr">
        <is>
          <t>Available (ticked in reference)</t>
        </is>
      </c>
      <c r="L253" s="73" t="inlineStr">
        <is>
          <t>STD UPLIFT INFORMATION.xlsx &gt; F&amp;B LINEN!F7</t>
        </is>
      </c>
      <c r="M253" s="73" t="inlineStr">
        <is>
          <t>Not stated in reference</t>
        </is>
      </c>
      <c r="N253" s="73" t="inlineStr">
        <is>
          <t>Required</t>
        </is>
      </c>
      <c r="O253" s="73" t="inlineStr"/>
      <c r="P253" s="63" t="inlineStr">
        <is>
          <t>LHR</t>
        </is>
      </c>
      <c r="Q253" s="65">
        <f>Flights!$AF$11</f>
        <v/>
      </c>
      <c r="R253" s="65">
        <f>Q253+(IF(AND(INDEX(TZ_DSTS,MATCH(P253,TZ_STN,0))&lt;&gt;"",Q253&gt;=INDEX(TZ_DSTS,MATCH(P253,TZ_STN,0)),Q253&lt;INDEX(TZ_DSTE,MATCH(P253,TZ_STN,0))),INDEX(TZ_DST,MATCH(P253,TZ_STN,0)),INDEX(TZ_STD,MATCH(P253,TZ_STN,0))))/24</f>
        <v/>
      </c>
      <c r="S253" s="65">
        <f>Q253-UpliftWindowH/24</f>
        <v/>
      </c>
      <c r="T253" s="66" t="n"/>
      <c r="U253" s="66" t="n"/>
      <c r="V253" s="66" t="n"/>
      <c r="W253" s="67" t="n"/>
      <c r="X253" s="66" t="n"/>
      <c r="Y253" s="66" t="n"/>
      <c r="Z253" s="66" t="n"/>
      <c r="AA253" s="66" t="n"/>
      <c r="AB253" s="66" t="n"/>
      <c r="AC253" s="66" t="n"/>
      <c r="AD253" s="72" t="n"/>
      <c r="AE253" s="66" t="n"/>
      <c r="AF253" s="67">
        <f>IF(AND(ISNUMBER(X253),ISNUMBER(Y253)),Y253-X253,"")</f>
        <v/>
      </c>
      <c r="AG253" s="68">
        <f>IF(ISNUMBER(AD253),AD253-(IF(AND(INDEX(TZ_DSTS,MATCH(P253,TZ_STN,0))&lt;&gt;"",(AD253-INDEX(TZ_STD,MATCH(P253,TZ_STN,0))/24)&gt;=INDEX(TZ_DSTS,MATCH(P253,TZ_STN,0)),(AD253-INDEX(TZ_STD,MATCH(P253,TZ_STN,0))/24)&lt;INDEX(TZ_DSTE,MATCH(P253,TZ_STN,0))),INDEX(TZ_DST,MATCH(P253,TZ_STN,0)),INDEX(TZ_STD,MATCH(P253,TZ_STN,0))))/24,"")</f>
        <v/>
      </c>
      <c r="AH253" s="71">
        <f>IF(N253="N/A – rule","N/A – RULE",IF(TRIM(U253)="N/A",IF(AT253=0,"INVALID – N/A not permitted for this mandatory check",IF(AND(TRIM(AC253)&lt;&gt;"",TRIM(AE253)&lt;&gt;"",TRIM(T253)&lt;&gt;""),"N/A – JUSTIFIED","INVALID – N/A needs justification, PIC and verifier")),IF(OR(TRIM(U253)="Pass",TRIM(U253)="Pass after CA"),IF(NOT(ISNUMBER(AD253)),"INVALID – completion time missing",IF(TRIM(T253)="","INVALID – PIC missing",IF(TRIM(Z253)="","INVALID – evidence missing",IF(TRIM(AE253)="","INVALID – verifier missing",IF(AND(AQ253=1,TRIM(W253)=""),"INVALID – batch ID missing",IF(AND(AR253=1,OR(NOT(ISNUMBER(X253)),NOT(ISNUMBER(Y253)))),"INVALID – expected/actual qty missing",IF(IF(AND(TRIM(U253)="Pass",ISNUMBER(AF253)),IF(AF253&lt;&gt;0,"INVALID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recorded/closed","")&lt;&gt;"",IF(AND(TRIM(U253)="Pass",ISNUMBER(AF253)),IF(AF253&lt;&gt;0,"INVALID – qty variance: use Fail or Pass after CA",""),"")&amp;IF(AND(TRIM(U253)="Pass",AB253="Open"),"INVALID – corrective action still open: use Fail, then Pass after CA","")&amp;IF(AND(TRIM(U253)="Pass after CA",OR(TRIM(AA253)="",AB253&lt;&gt;"Closed")),"INVALID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window"),IF(AG253&gt;Flights!$AA$11,"INVALID – completed after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f>
        <v/>
      </c>
      <c r="AI253" s="67">
        <f>IF(OR(AH253="N/A – RULE",AH253="N/A – JUSTIFIED"),0,1)</f>
        <v/>
      </c>
      <c r="AJ253" s="67">
        <f>IF(LEFT(AH253,8)="COMPLETE",1,0)</f>
        <v/>
      </c>
      <c r="AK253" s="67">
        <f>IF(AND(AI253=1,AJ253=0,AsOfUTC&gt;Q253),1,0)</f>
        <v/>
      </c>
      <c r="AL253" s="67">
        <f>IF(AND(AI253=1,OR(TRIM(U253)="Fail",AB253="Open",AND(ISNUMBER(AF253),AF253&lt;&gt;0,TRIM(U253)&lt;&gt;"Pass after CA"))),1,0)</f>
        <v/>
      </c>
      <c r="AM253" s="67">
        <f>IF(LEFT(AH253,7)="INVALID",1,0)</f>
        <v/>
      </c>
      <c r="AN253" s="67">
        <f>IF(AND(N253="Clarification required",AI253=1,AJ253=0),1,0)</f>
        <v/>
      </c>
      <c r="AO253" s="67">
        <f>IF(AK253=1,SUM(AK$5:AK253),"")</f>
        <v/>
      </c>
      <c r="AP253" s="67">
        <f>IF(AL253=1,SUM(AL$5:AL253),"")</f>
        <v/>
      </c>
      <c r="AQ253" s="67" t="n">
        <v>0</v>
      </c>
      <c r="AR253" s="67" t="n">
        <v>0</v>
      </c>
      <c r="AS253" s="67" t="n">
        <v>0</v>
      </c>
      <c r="AT253" s="67" t="n">
        <v>1</v>
      </c>
    </row>
    <row r="254" ht="40" customHeight="1">
      <c r="A254" s="63" t="inlineStr">
        <is>
          <t>F07-UPL-10</t>
        </is>
      </c>
      <c r="B254" s="63" t="inlineStr">
        <is>
          <t>F07</t>
        </is>
      </c>
      <c r="C254" s="63">
        <f>Flights!$F$11</f>
        <v/>
      </c>
      <c r="D254" s="64">
        <f>Flights!$D$11</f>
        <v/>
      </c>
      <c r="E254" s="63">
        <f>Flights!$G$11&amp;"-"&amp;Flights!$H$11</f>
        <v/>
      </c>
      <c r="F254" s="63">
        <f>Flights!$K$11</f>
        <v/>
      </c>
      <c r="G254" s="63" t="inlineStr">
        <is>
          <t>UPLIFT</t>
        </is>
      </c>
      <c r="H254" s="63" t="inlineStr">
        <is>
          <t>Physical uplift</t>
        </is>
      </c>
      <c r="I254" s="63" t="inlineStr">
        <is>
          <t>F&amp;B Linen</t>
        </is>
      </c>
      <c r="J254" s="63" t="inlineStr">
        <is>
          <t>Table cloth - on board</t>
        </is>
      </c>
      <c r="K254" s="73" t="inlineStr">
        <is>
          <t>Available (ticked in reference)</t>
        </is>
      </c>
      <c r="L254" s="73" t="inlineStr">
        <is>
          <t>STD UPLIFT INFORMATION.xlsx &gt; F&amp;B LINEN!G7</t>
        </is>
      </c>
      <c r="M254" s="73" t="inlineStr">
        <is>
          <t>Not stated in reference</t>
        </is>
      </c>
      <c r="N254" s="73" t="inlineStr">
        <is>
          <t>Required</t>
        </is>
      </c>
      <c r="O254" s="73" t="inlineStr"/>
      <c r="P254" s="63" t="inlineStr">
        <is>
          <t>LHR</t>
        </is>
      </c>
      <c r="Q254" s="65">
        <f>Flights!$AF$11</f>
        <v/>
      </c>
      <c r="R254" s="65">
        <f>Q254+(IF(AND(INDEX(TZ_DSTS,MATCH(P254,TZ_STN,0))&lt;&gt;"",Q254&gt;=INDEX(TZ_DSTS,MATCH(P254,TZ_STN,0)),Q254&lt;INDEX(TZ_DSTE,MATCH(P254,TZ_STN,0))),INDEX(TZ_DST,MATCH(P254,TZ_STN,0)),INDEX(TZ_STD,MATCH(P254,TZ_STN,0))))/24</f>
        <v/>
      </c>
      <c r="S254" s="65">
        <f>Q254-UpliftWindowH/24</f>
        <v/>
      </c>
      <c r="T254" s="66" t="n"/>
      <c r="U254" s="66" t="n"/>
      <c r="V254" s="66" t="n"/>
      <c r="W254" s="67" t="n"/>
      <c r="X254" s="66" t="n"/>
      <c r="Y254" s="66" t="n"/>
      <c r="Z254" s="66" t="n"/>
      <c r="AA254" s="66" t="n"/>
      <c r="AB254" s="66" t="n"/>
      <c r="AC254" s="66" t="n"/>
      <c r="AD254" s="72" t="n"/>
      <c r="AE254" s="66" t="n"/>
      <c r="AF254" s="67">
        <f>IF(AND(ISNUMBER(X254),ISNUMBER(Y254)),Y254-X254,"")</f>
        <v/>
      </c>
      <c r="AG254" s="68">
        <f>IF(ISNUMBER(AD254),AD254-(IF(AND(INDEX(TZ_DSTS,MATCH(P254,TZ_STN,0))&lt;&gt;"",(AD254-INDEX(TZ_STD,MATCH(P254,TZ_STN,0))/24)&gt;=INDEX(TZ_DSTS,MATCH(P254,TZ_STN,0)),(AD254-INDEX(TZ_STD,MATCH(P254,TZ_STN,0))/24)&lt;INDEX(TZ_DSTE,MATCH(P254,TZ_STN,0))),INDEX(TZ_DST,MATCH(P254,TZ_STN,0)),INDEX(TZ_STD,MATCH(P254,TZ_STN,0))))/24,"")</f>
        <v/>
      </c>
      <c r="AH254" s="71">
        <f>IF(N254="N/A – rule","N/A – RULE",IF(TRIM(U254)="N/A",IF(AT254=0,"INVALID – N/A not permitted for this mandatory check",IF(AND(TRIM(AC254)&lt;&gt;"",TRIM(AE254)&lt;&gt;"",TRIM(T254)&lt;&gt;""),"N/A – JUSTIFIED","INVALID – N/A needs justification, PIC and verifier")),IF(OR(TRIM(U254)="Pass",TRIM(U254)="Pass after CA"),IF(NOT(ISNUMBER(AD254)),"INVALID – completion time missing",IF(TRIM(T254)="","INVALID – PIC missing",IF(TRIM(Z254)="","INVALID – evidence missing",IF(TRIM(AE254)="","INVALID – verifier missing",IF(AND(AQ254=1,TRIM(W254)=""),"INVALID – batch ID missing",IF(AND(AR254=1,OR(NOT(ISNUMBER(X254)),NOT(ISNUMBER(Y254)))),"INVALID – expected/actual qty missing",IF(IF(AND(TRIM(U254)="Pass",ISNUMBER(AF254)),IF(AF254&lt;&gt;0,"INVALID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recorded/closed","")&lt;&gt;"",IF(AND(TRIM(U254)="Pass",ISNUMBER(AF254)),IF(AF254&lt;&gt;0,"INVALID – qty variance: use Fail or Pass after CA",""),"")&amp;IF(AND(TRIM(U254)="Pass",AB254="Open"),"INVALID – corrective action still open: use Fail, then Pass after CA","")&amp;IF(AND(TRIM(U254)="Pass after CA",OR(TRIM(AA254)="",AB254&lt;&gt;"Closed")),"INVALID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window"),IF(AG254&gt;Flights!$AA$11,"INVALID – completed after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f>
        <v/>
      </c>
      <c r="AI254" s="67">
        <f>IF(OR(AH254="N/A – RULE",AH254="N/A – JUSTIFIED"),0,1)</f>
        <v/>
      </c>
      <c r="AJ254" s="67">
        <f>IF(LEFT(AH254,8)="COMPLETE",1,0)</f>
        <v/>
      </c>
      <c r="AK254" s="67">
        <f>IF(AND(AI254=1,AJ254=0,AsOfUTC&gt;Q254),1,0)</f>
        <v/>
      </c>
      <c r="AL254" s="67">
        <f>IF(AND(AI254=1,OR(TRIM(U254)="Fail",AB254="Open",AND(ISNUMBER(AF254),AF254&lt;&gt;0,TRIM(U254)&lt;&gt;"Pass after CA"))),1,0)</f>
        <v/>
      </c>
      <c r="AM254" s="67">
        <f>IF(LEFT(AH254,7)="INVALID",1,0)</f>
        <v/>
      </c>
      <c r="AN254" s="67">
        <f>IF(AND(N254="Clarification required",AI254=1,AJ254=0),1,0)</f>
        <v/>
      </c>
      <c r="AO254" s="67">
        <f>IF(AK254=1,SUM(AK$5:AK254),"")</f>
        <v/>
      </c>
      <c r="AP254" s="67">
        <f>IF(AL254=1,SUM(AL$5:AL254),"")</f>
        <v/>
      </c>
      <c r="AQ254" s="67" t="n">
        <v>0</v>
      </c>
      <c r="AR254" s="67" t="n">
        <v>0</v>
      </c>
      <c r="AS254" s="67" t="n">
        <v>0</v>
      </c>
      <c r="AT254" s="67" t="n">
        <v>1</v>
      </c>
    </row>
    <row r="255" ht="40" customHeight="1">
      <c r="A255" s="63" t="inlineStr">
        <is>
          <t>F07-UPL-11</t>
        </is>
      </c>
      <c r="B255" s="63" t="inlineStr">
        <is>
          <t>F07</t>
        </is>
      </c>
      <c r="C255" s="63">
        <f>Flights!$F$11</f>
        <v/>
      </c>
      <c r="D255" s="64">
        <f>Flights!$D$11</f>
        <v/>
      </c>
      <c r="E255" s="63">
        <f>Flights!$G$11&amp;"-"&amp;Flights!$H$11</f>
        <v/>
      </c>
      <c r="F255" s="63">
        <f>Flights!$K$11</f>
        <v/>
      </c>
      <c r="G255" s="63" t="inlineStr">
        <is>
          <t>UPLIFT</t>
        </is>
      </c>
      <c r="H255" s="63" t="inlineStr">
        <is>
          <t>Physical uplift</t>
        </is>
      </c>
      <c r="I255" s="63" t="inlineStr">
        <is>
          <t>F&amp;B Linen</t>
        </is>
      </c>
      <c r="J255" s="63" t="inlineStr">
        <is>
          <t>Bread linen (using table cloth) - on board</t>
        </is>
      </c>
      <c r="K255" s="73" t="inlineStr">
        <is>
          <t>Available (ticked in reference)</t>
        </is>
      </c>
      <c r="L255" s="73" t="inlineStr">
        <is>
          <t>STD UPLIFT INFORMATION.xlsx &gt; F&amp;B LINEN!H7</t>
        </is>
      </c>
      <c r="M255" s="73" t="inlineStr">
        <is>
          <t>Not stated in reference</t>
        </is>
      </c>
      <c r="N255" s="73" t="inlineStr">
        <is>
          <t>Required</t>
        </is>
      </c>
      <c r="O255" s="73" t="inlineStr"/>
      <c r="P255" s="63" t="inlineStr">
        <is>
          <t>LHR</t>
        </is>
      </c>
      <c r="Q255" s="65">
        <f>Flights!$AF$11</f>
        <v/>
      </c>
      <c r="R255" s="65">
        <f>Q255+(IF(AND(INDEX(TZ_DSTS,MATCH(P255,TZ_STN,0))&lt;&gt;"",Q255&gt;=INDEX(TZ_DSTS,MATCH(P255,TZ_STN,0)),Q255&lt;INDEX(TZ_DSTE,MATCH(P255,TZ_STN,0))),INDEX(TZ_DST,MATCH(P255,TZ_STN,0)),INDEX(TZ_STD,MATCH(P255,TZ_STN,0))))/24</f>
        <v/>
      </c>
      <c r="S255" s="65">
        <f>Q255-UpliftWindowH/24</f>
        <v/>
      </c>
      <c r="T255" s="66" t="n"/>
      <c r="U255" s="66" t="n"/>
      <c r="V255" s="66" t="n"/>
      <c r="W255" s="67" t="n"/>
      <c r="X255" s="66" t="n"/>
      <c r="Y255" s="66" t="n"/>
      <c r="Z255" s="66" t="n"/>
      <c r="AA255" s="66" t="n"/>
      <c r="AB255" s="66" t="n"/>
      <c r="AC255" s="66" t="n"/>
      <c r="AD255" s="72" t="n"/>
      <c r="AE255" s="66" t="n"/>
      <c r="AF255" s="67">
        <f>IF(AND(ISNUMBER(X255),ISNUMBER(Y255)),Y255-X255,"")</f>
        <v/>
      </c>
      <c r="AG255" s="68">
        <f>IF(ISNUMBER(AD255),AD255-(IF(AND(INDEX(TZ_DSTS,MATCH(P255,TZ_STN,0))&lt;&gt;"",(AD255-INDEX(TZ_STD,MATCH(P255,TZ_STN,0))/24)&gt;=INDEX(TZ_DSTS,MATCH(P255,TZ_STN,0)),(AD255-INDEX(TZ_STD,MATCH(P255,TZ_STN,0))/24)&lt;INDEX(TZ_DSTE,MATCH(P255,TZ_STN,0))),INDEX(TZ_DST,MATCH(P255,TZ_STN,0)),INDEX(TZ_STD,MATCH(P255,TZ_STN,0))))/24,"")</f>
        <v/>
      </c>
      <c r="AH255" s="71">
        <f>IF(N255="N/A – rule","N/A – RULE",IF(TRIM(U255)="N/A",IF(AT255=0,"INVALID – N/A not permitted for this mandatory check",IF(AND(TRIM(AC255)&lt;&gt;"",TRIM(AE255)&lt;&gt;"",TRIM(T255)&lt;&gt;""),"N/A – JUSTIFIED","INVALID – N/A needs justification, PIC and verifier")),IF(OR(TRIM(U255)="Pass",TRIM(U255)="Pass after CA"),IF(NOT(ISNUMBER(AD255)),"INVALID – completion time missing",IF(TRIM(T255)="","INVALID – PIC missing",IF(TRIM(Z255)="","INVALID – evidence missing",IF(TRIM(AE255)="","INVALID – verifier missing",IF(AND(AQ255=1,TRIM(W255)=""),"INVALID – batch ID missing",IF(AND(AR255=1,OR(NOT(ISNUMBER(X255)),NOT(ISNUMBER(Y255)))),"INVALID – expected/actual qty missing",IF(IF(AND(TRIM(U255)="Pass",ISNUMBER(AF255)),IF(AF255&lt;&gt;0,"INVALID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recorded/closed","")&lt;&gt;"",IF(AND(TRIM(U255)="Pass",ISNUMBER(AF255)),IF(AF255&lt;&gt;0,"INVALID – qty variance: use Fail or Pass after CA",""),"")&amp;IF(AND(TRIM(U255)="Pass",AB255="Open"),"INVALID – corrective action still open: use Fail, then Pass after CA","")&amp;IF(AND(TRIM(U255)="Pass after CA",OR(TRIM(AA255)="",AB255&lt;&gt;"Closed")),"INVALID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window"),IF(AG255&gt;Flights!$AA$11,"INVALID – completed after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f>
        <v/>
      </c>
      <c r="AI255" s="67">
        <f>IF(OR(AH255="N/A – RULE",AH255="N/A – JUSTIFIED"),0,1)</f>
        <v/>
      </c>
      <c r="AJ255" s="67">
        <f>IF(LEFT(AH255,8)="COMPLETE",1,0)</f>
        <v/>
      </c>
      <c r="AK255" s="67">
        <f>IF(AND(AI255=1,AJ255=0,AsOfUTC&gt;Q255),1,0)</f>
        <v/>
      </c>
      <c r="AL255" s="67">
        <f>IF(AND(AI255=1,OR(TRIM(U255)="Fail",AB255="Open",AND(ISNUMBER(AF255),AF255&lt;&gt;0,TRIM(U255)&lt;&gt;"Pass after CA"))),1,0)</f>
        <v/>
      </c>
      <c r="AM255" s="67">
        <f>IF(LEFT(AH255,7)="INVALID",1,0)</f>
        <v/>
      </c>
      <c r="AN255" s="67">
        <f>IF(AND(N255="Clarification required",AI255=1,AJ255=0),1,0)</f>
        <v/>
      </c>
      <c r="AO255" s="67">
        <f>IF(AK255=1,SUM(AK$5:AK255),"")</f>
        <v/>
      </c>
      <c r="AP255" s="67">
        <f>IF(AL255=1,SUM(AL$5:AL255),"")</f>
        <v/>
      </c>
      <c r="AQ255" s="67" t="n">
        <v>0</v>
      </c>
      <c r="AR255" s="67" t="n">
        <v>0</v>
      </c>
      <c r="AS255" s="67" t="n">
        <v>0</v>
      </c>
      <c r="AT255" s="67" t="n">
        <v>1</v>
      </c>
    </row>
    <row r="256" ht="40" customHeight="1">
      <c r="A256" s="63" t="inlineStr">
        <is>
          <t>F07-UPL-12</t>
        </is>
      </c>
      <c r="B256" s="63" t="inlineStr">
        <is>
          <t>F07</t>
        </is>
      </c>
      <c r="C256" s="63">
        <f>Flights!$F$11</f>
        <v/>
      </c>
      <c r="D256" s="64">
        <f>Flights!$D$11</f>
        <v/>
      </c>
      <c r="E256" s="63">
        <f>Flights!$G$11&amp;"-"&amp;Flights!$H$11</f>
        <v/>
      </c>
      <c r="F256" s="63">
        <f>Flights!$K$11</f>
        <v/>
      </c>
      <c r="G256" s="63" t="inlineStr">
        <is>
          <t>UPLIFT</t>
        </is>
      </c>
      <c r="H256" s="63" t="inlineStr">
        <is>
          <t>Physical uplift</t>
        </is>
      </c>
      <c r="I256" s="63" t="inlineStr">
        <is>
          <t>F&amp;B Linen</t>
        </is>
      </c>
      <c r="J256" s="63" t="inlineStr">
        <is>
          <t>Trolley cloth - on board</t>
        </is>
      </c>
      <c r="K256" s="73" t="inlineStr">
        <is>
          <t>Wide body: Top/Middle &amp; Bottom</t>
        </is>
      </c>
      <c r="L256" s="73" t="inlineStr">
        <is>
          <t>STD UPLIFT INFORMATION.xlsx &gt; F&amp;B LINEN!I7</t>
        </is>
      </c>
      <c r="M256" s="73" t="inlineStr">
        <is>
          <t>Not stated in reference</t>
        </is>
      </c>
      <c r="N256" s="73" t="inlineStr">
        <is>
          <t>Required</t>
        </is>
      </c>
      <c r="O256" s="73" t="inlineStr">
        <is>
          <t>Per note F&amp;B LINEN!B79:C80.</t>
        </is>
      </c>
      <c r="P256" s="63" t="inlineStr">
        <is>
          <t>LHR</t>
        </is>
      </c>
      <c r="Q256" s="65">
        <f>Flights!$AF$11</f>
        <v/>
      </c>
      <c r="R256" s="65">
        <f>Q256+(IF(AND(INDEX(TZ_DSTS,MATCH(P256,TZ_STN,0))&lt;&gt;"",Q256&gt;=INDEX(TZ_DSTS,MATCH(P256,TZ_STN,0)),Q256&lt;INDEX(TZ_DSTE,MATCH(P256,TZ_STN,0))),INDEX(TZ_DST,MATCH(P256,TZ_STN,0)),INDEX(TZ_STD,MATCH(P256,TZ_STN,0))))/24</f>
        <v/>
      </c>
      <c r="S256" s="65">
        <f>Q256-UpliftWindowH/24</f>
        <v/>
      </c>
      <c r="T256" s="66" t="n"/>
      <c r="U256" s="66" t="n"/>
      <c r="V256" s="66" t="n"/>
      <c r="W256" s="67" t="n"/>
      <c r="X256" s="66" t="n"/>
      <c r="Y256" s="66" t="n"/>
      <c r="Z256" s="66" t="n"/>
      <c r="AA256" s="66" t="n"/>
      <c r="AB256" s="66" t="n"/>
      <c r="AC256" s="66" t="n"/>
      <c r="AD256" s="72" t="n"/>
      <c r="AE256" s="66" t="n"/>
      <c r="AF256" s="67">
        <f>IF(AND(ISNUMBER(X256),ISNUMBER(Y256)),Y256-X256,"")</f>
        <v/>
      </c>
      <c r="AG256" s="68">
        <f>IF(ISNUMBER(AD256),AD256-(IF(AND(INDEX(TZ_DSTS,MATCH(P256,TZ_STN,0))&lt;&gt;"",(AD256-INDEX(TZ_STD,MATCH(P256,TZ_STN,0))/24)&gt;=INDEX(TZ_DSTS,MATCH(P256,TZ_STN,0)),(AD256-INDEX(TZ_STD,MATCH(P256,TZ_STN,0))/24)&lt;INDEX(TZ_DSTE,MATCH(P256,TZ_STN,0))),INDEX(TZ_DST,MATCH(P256,TZ_STN,0)),INDEX(TZ_STD,MATCH(P256,TZ_STN,0))))/24,"")</f>
        <v/>
      </c>
      <c r="AH256" s="71">
        <f>IF(N256="N/A – rule","N/A – RULE",IF(TRIM(U256)="N/A",IF(AT256=0,"INVALID – N/A not permitted for this mandatory check",IF(AND(TRIM(AC256)&lt;&gt;"",TRIM(AE256)&lt;&gt;"",TRIM(T256)&lt;&gt;""),"N/A – JUSTIFIED","INVALID – N/A needs justification, PIC and verifier")),IF(OR(TRIM(U256)="Pass",TRIM(U256)="Pass after CA"),IF(NOT(ISNUMBER(AD256)),"INVALID – completion time missing",IF(TRIM(T256)="","INVALID – PIC missing",IF(TRIM(Z256)="","INVALID – evidence missing",IF(TRIM(AE256)="","INVALID – verifier missing",IF(AND(AQ256=1,TRIM(W256)=""),"INVALID – batch ID missing",IF(AND(AR256=1,OR(NOT(ISNUMBER(X256)),NOT(ISNUMBER(Y256)))),"INVALID – expected/actual qty missing",IF(IF(AND(TRIM(U256)="Pass",ISNUMBER(AF256)),IF(AF256&lt;&gt;0,"INVALID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recorded/closed","")&lt;&gt;"",IF(AND(TRIM(U256)="Pass",ISNUMBER(AF256)),IF(AF256&lt;&gt;0,"INVALID – qty variance: use Fail or Pass after CA",""),"")&amp;IF(AND(TRIM(U256)="Pass",AB256="Open"),"INVALID – corrective action still open: use Fail, then Pass after CA","")&amp;IF(AND(TRIM(U256)="Pass after CA",OR(TRIM(AA256)="",AB256&lt;&gt;"Closed")),"INVALID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window"),IF(AG256&gt;Flights!$AA$11,"INVALID – completed after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f>
        <v/>
      </c>
      <c r="AI256" s="67">
        <f>IF(OR(AH256="N/A – RULE",AH256="N/A – JUSTIFIED"),0,1)</f>
        <v/>
      </c>
      <c r="AJ256" s="67">
        <f>IF(LEFT(AH256,8)="COMPLETE",1,0)</f>
        <v/>
      </c>
      <c r="AK256" s="67">
        <f>IF(AND(AI256=1,AJ256=0,AsOfUTC&gt;Q256),1,0)</f>
        <v/>
      </c>
      <c r="AL256" s="67">
        <f>IF(AND(AI256=1,OR(TRIM(U256)="Fail",AB256="Open",AND(ISNUMBER(AF256),AF256&lt;&gt;0,TRIM(U256)&lt;&gt;"Pass after CA"))),1,0)</f>
        <v/>
      </c>
      <c r="AM256" s="67">
        <f>IF(LEFT(AH256,7)="INVALID",1,0)</f>
        <v/>
      </c>
      <c r="AN256" s="67">
        <f>IF(AND(N256="Clarification required",AI256=1,AJ256=0),1,0)</f>
        <v/>
      </c>
      <c r="AO256" s="67">
        <f>IF(AK256=1,SUM(AK$5:AK256),"")</f>
        <v/>
      </c>
      <c r="AP256" s="67">
        <f>IF(AL256=1,SUM(AL$5:AL256),"")</f>
        <v/>
      </c>
      <c r="AQ256" s="67" t="n">
        <v>0</v>
      </c>
      <c r="AR256" s="67" t="n">
        <v>0</v>
      </c>
      <c r="AS256" s="67" t="n">
        <v>0</v>
      </c>
      <c r="AT256" s="67" t="n">
        <v>1</v>
      </c>
    </row>
    <row r="257" ht="40" customHeight="1">
      <c r="A257" s="63" t="inlineStr">
        <is>
          <t>F07-UPL-13</t>
        </is>
      </c>
      <c r="B257" s="63" t="inlineStr">
        <is>
          <t>F07</t>
        </is>
      </c>
      <c r="C257" s="63">
        <f>Flights!$F$11</f>
        <v/>
      </c>
      <c r="D257" s="64">
        <f>Flights!$D$11</f>
        <v/>
      </c>
      <c r="E257" s="63">
        <f>Flights!$G$11&amp;"-"&amp;Flights!$H$11</f>
        <v/>
      </c>
      <c r="F257" s="63">
        <f>Flights!$K$11</f>
        <v/>
      </c>
      <c r="G257" s="63" t="inlineStr">
        <is>
          <t>UPLIFT</t>
        </is>
      </c>
      <c r="H257" s="63" t="inlineStr">
        <is>
          <t>Physical uplift</t>
        </is>
      </c>
      <c r="I257" s="63" t="inlineStr">
        <is>
          <t>F&amp;B Linen</t>
        </is>
      </c>
      <c r="J257" s="63" t="inlineStr">
        <is>
          <t>Linen bag - on board</t>
        </is>
      </c>
      <c r="K257" s="73" t="inlineStr">
        <is>
          <t>Available (ticked in reference)</t>
        </is>
      </c>
      <c r="L257" s="73" t="inlineStr">
        <is>
          <t>STD UPLIFT INFORMATION.xlsx &gt; F&amp;B LINEN!J7</t>
        </is>
      </c>
      <c r="M257" s="73" t="inlineStr">
        <is>
          <t>Not stated in reference</t>
        </is>
      </c>
      <c r="N257" s="73" t="inlineStr">
        <is>
          <t>Required</t>
        </is>
      </c>
      <c r="O257" s="73" t="inlineStr"/>
      <c r="P257" s="63" t="inlineStr">
        <is>
          <t>LHR</t>
        </is>
      </c>
      <c r="Q257" s="65">
        <f>Flights!$AF$11</f>
        <v/>
      </c>
      <c r="R257" s="65">
        <f>Q257+(IF(AND(INDEX(TZ_DSTS,MATCH(P257,TZ_STN,0))&lt;&gt;"",Q257&gt;=INDEX(TZ_DSTS,MATCH(P257,TZ_STN,0)),Q257&lt;INDEX(TZ_DSTE,MATCH(P257,TZ_STN,0))),INDEX(TZ_DST,MATCH(P257,TZ_STN,0)),INDEX(TZ_STD,MATCH(P257,TZ_STN,0))))/24</f>
        <v/>
      </c>
      <c r="S257" s="65">
        <f>Q257-UpliftWindowH/24</f>
        <v/>
      </c>
      <c r="T257" s="66" t="n"/>
      <c r="U257" s="66" t="n"/>
      <c r="V257" s="66" t="n"/>
      <c r="W257" s="67" t="n"/>
      <c r="X257" s="66" t="n"/>
      <c r="Y257" s="66" t="n"/>
      <c r="Z257" s="66" t="n"/>
      <c r="AA257" s="66" t="n"/>
      <c r="AB257" s="66" t="n"/>
      <c r="AC257" s="66" t="n"/>
      <c r="AD257" s="72" t="n"/>
      <c r="AE257" s="66" t="n"/>
      <c r="AF257" s="67">
        <f>IF(AND(ISNUMBER(X257),ISNUMBER(Y257)),Y257-X257,"")</f>
        <v/>
      </c>
      <c r="AG257" s="68">
        <f>IF(ISNUMBER(AD257),AD257-(IF(AND(INDEX(TZ_DSTS,MATCH(P257,TZ_STN,0))&lt;&gt;"",(AD257-INDEX(TZ_STD,MATCH(P257,TZ_STN,0))/24)&gt;=INDEX(TZ_DSTS,MATCH(P257,TZ_STN,0)),(AD257-INDEX(TZ_STD,MATCH(P257,TZ_STN,0))/24)&lt;INDEX(TZ_DSTE,MATCH(P257,TZ_STN,0))),INDEX(TZ_DST,MATCH(P257,TZ_STN,0)),INDEX(TZ_STD,MATCH(P257,TZ_STN,0))))/24,"")</f>
        <v/>
      </c>
      <c r="AH257" s="71">
        <f>IF(N257="N/A – rule","N/A – RULE",IF(TRIM(U257)="N/A",IF(AT257=0,"INVALID – N/A not permitted for this mandatory check",IF(AND(TRIM(AC257)&lt;&gt;"",TRIM(AE257)&lt;&gt;"",TRIM(T257)&lt;&gt;""),"N/A – JUSTIFIED","INVALID – N/A needs justification, PIC and verifier")),IF(OR(TRIM(U257)="Pass",TRIM(U257)="Pass after CA"),IF(NOT(ISNUMBER(AD257)),"INVALID – completion time missing",IF(TRIM(T257)="","INVALID – PIC missing",IF(TRIM(Z257)="","INVALID – evidence missing",IF(TRIM(AE257)="","INVALID – verifier missing",IF(AND(AQ257=1,TRIM(W257)=""),"INVALID – batch ID missing",IF(AND(AR257=1,OR(NOT(ISNUMBER(X257)),NOT(ISNUMBER(Y257)))),"INVALID – expected/actual qty missing",IF(IF(AND(TRIM(U257)="Pass",ISNUMBER(AF257)),IF(AF257&lt;&gt;0,"INVALID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recorded/closed","")&lt;&gt;"",IF(AND(TRIM(U257)="Pass",ISNUMBER(AF257)),IF(AF257&lt;&gt;0,"INVALID – qty variance: use Fail or Pass after CA",""),"")&amp;IF(AND(TRIM(U257)="Pass",AB257="Open"),"INVALID – corrective action still open: use Fail, then Pass after CA","")&amp;IF(AND(TRIM(U257)="Pass after CA",OR(TRIM(AA257)="",AB257&lt;&gt;"Closed")),"INVALID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window"),IF(AG257&gt;Flights!$AA$11,"INVALID – completed after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f>
        <v/>
      </c>
      <c r="AI257" s="67">
        <f>IF(OR(AH257="N/A – RULE",AH257="N/A – JUSTIFIED"),0,1)</f>
        <v/>
      </c>
      <c r="AJ257" s="67">
        <f>IF(LEFT(AH257,8)="COMPLETE",1,0)</f>
        <v/>
      </c>
      <c r="AK257" s="67">
        <f>IF(AND(AI257=1,AJ257=0,AsOfUTC&gt;Q257),1,0)</f>
        <v/>
      </c>
      <c r="AL257" s="67">
        <f>IF(AND(AI257=1,OR(TRIM(U257)="Fail",AB257="Open",AND(ISNUMBER(AF257),AF257&lt;&gt;0,TRIM(U257)&lt;&gt;"Pass after CA"))),1,0)</f>
        <v/>
      </c>
      <c r="AM257" s="67">
        <f>IF(LEFT(AH257,7)="INVALID",1,0)</f>
        <v/>
      </c>
      <c r="AN257" s="67">
        <f>IF(AND(N257="Clarification required",AI257=1,AJ257=0),1,0)</f>
        <v/>
      </c>
      <c r="AO257" s="67">
        <f>IF(AK257=1,SUM(AK$5:AK257),"")</f>
        <v/>
      </c>
      <c r="AP257" s="67">
        <f>IF(AL257=1,SUM(AL$5:AL257),"")</f>
        <v/>
      </c>
      <c r="AQ257" s="67" t="n">
        <v>0</v>
      </c>
      <c r="AR257" s="67" t="n">
        <v>0</v>
      </c>
      <c r="AS257" s="67" t="n">
        <v>0</v>
      </c>
      <c r="AT257" s="67" t="n">
        <v>1</v>
      </c>
    </row>
    <row r="258" ht="40" customHeight="1">
      <c r="A258" s="63" t="inlineStr">
        <is>
          <t>F07-UPL-14</t>
        </is>
      </c>
      <c r="B258" s="63" t="inlineStr">
        <is>
          <t>F07</t>
        </is>
      </c>
      <c r="C258" s="63">
        <f>Flights!$F$11</f>
        <v/>
      </c>
      <c r="D258" s="64">
        <f>Flights!$D$11</f>
        <v/>
      </c>
      <c r="E258" s="63">
        <f>Flights!$G$11&amp;"-"&amp;Flights!$H$11</f>
        <v/>
      </c>
      <c r="F258" s="63">
        <f>Flights!$K$11</f>
        <v/>
      </c>
      <c r="G258" s="63" t="inlineStr">
        <is>
          <t>UPLIFT</t>
        </is>
      </c>
      <c r="H258" s="63" t="inlineStr">
        <is>
          <t>Physical uplift</t>
        </is>
      </c>
      <c r="I258" s="63" t="inlineStr">
        <is>
          <t>Seat Linen</t>
        </is>
      </c>
      <c r="J258" s="63" t="inlineStr">
        <is>
          <t>Seat pillow (BS &amp; BC) - on board</t>
        </is>
      </c>
      <c r="K258" s="73" t="inlineStr">
        <is>
          <t>Available 100% (ticked in reference)</t>
        </is>
      </c>
      <c r="L258" s="73" t="inlineStr">
        <is>
          <t>STD UPLIFT INFORMATION.xlsx &gt; SEAT LINEN!E7</t>
        </is>
      </c>
      <c r="M258" s="73" t="inlineStr">
        <is>
          <t>Not stated in reference</t>
        </is>
      </c>
      <c r="N258" s="73" t="inlineStr">
        <is>
          <t>Required</t>
        </is>
      </c>
      <c r="O258" s="73" t="inlineStr"/>
      <c r="P258" s="63" t="inlineStr">
        <is>
          <t>LHR</t>
        </is>
      </c>
      <c r="Q258" s="65">
        <f>Flights!$AF$11</f>
        <v/>
      </c>
      <c r="R258" s="65">
        <f>Q258+(IF(AND(INDEX(TZ_DSTS,MATCH(P258,TZ_STN,0))&lt;&gt;"",Q258&gt;=INDEX(TZ_DSTS,MATCH(P258,TZ_STN,0)),Q258&lt;INDEX(TZ_DSTE,MATCH(P258,TZ_STN,0))),INDEX(TZ_DST,MATCH(P258,TZ_STN,0)),INDEX(TZ_STD,MATCH(P258,TZ_STN,0))))/24</f>
        <v/>
      </c>
      <c r="S258" s="65">
        <f>Q258-UpliftWindowH/24</f>
        <v/>
      </c>
      <c r="T258" s="66" t="n"/>
      <c r="U258" s="66" t="n"/>
      <c r="V258" s="66" t="n"/>
      <c r="W258" s="67" t="n"/>
      <c r="X258" s="66" t="n"/>
      <c r="Y258" s="66" t="n"/>
      <c r="Z258" s="66" t="n"/>
      <c r="AA258" s="66" t="n"/>
      <c r="AB258" s="66" t="n"/>
      <c r="AC258" s="66" t="n"/>
      <c r="AD258" s="72" t="n"/>
      <c r="AE258" s="66" t="n"/>
      <c r="AF258" s="67">
        <f>IF(AND(ISNUMBER(X258),ISNUMBER(Y258)),Y258-X258,"")</f>
        <v/>
      </c>
      <c r="AG258" s="68">
        <f>IF(ISNUMBER(AD258),AD258-(IF(AND(INDEX(TZ_DSTS,MATCH(P258,TZ_STN,0))&lt;&gt;"",(AD258-INDEX(TZ_STD,MATCH(P258,TZ_STN,0))/24)&gt;=INDEX(TZ_DSTS,MATCH(P258,TZ_STN,0)),(AD258-INDEX(TZ_STD,MATCH(P258,TZ_STN,0))/24)&lt;INDEX(TZ_DSTE,MATCH(P258,TZ_STN,0))),INDEX(TZ_DST,MATCH(P258,TZ_STN,0)),INDEX(TZ_STD,MATCH(P258,TZ_STN,0))))/24,"")</f>
        <v/>
      </c>
      <c r="AH258" s="71">
        <f>IF(N258="N/A – rule","N/A – RULE",IF(TRIM(U258)="N/A",IF(AT258=0,"INVALID – N/A not permitted for this mandatory check",IF(AND(TRIM(AC258)&lt;&gt;"",TRIM(AE258)&lt;&gt;"",TRIM(T258)&lt;&gt;""),"N/A – JUSTIFIED","INVALID – N/A needs justification, PIC and verifier")),IF(OR(TRIM(U258)="Pass",TRIM(U258)="Pass after CA"),IF(NOT(ISNUMBER(AD258)),"INVALID – completion time missing",IF(TRIM(T258)="","INVALID – PIC missing",IF(TRIM(Z258)="","INVALID – evidence missing",IF(TRIM(AE258)="","INVALID – verifier missing",IF(AND(AQ258=1,TRIM(W258)=""),"INVALID – batch ID missing",IF(AND(AR258=1,OR(NOT(ISNUMBER(X258)),NOT(ISNUMBER(Y258)))),"INVALID – expected/actual qty missing",IF(IF(AND(TRIM(U258)="Pass",ISNUMBER(AF258)),IF(AF258&lt;&gt;0,"INVALID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recorded/closed","")&lt;&gt;"",IF(AND(TRIM(U258)="Pass",ISNUMBER(AF258)),IF(AF258&lt;&gt;0,"INVALID – qty variance: use Fail or Pass after CA",""),"")&amp;IF(AND(TRIM(U258)="Pass",AB258="Open"),"INVALID – corrective action still open: use Fail, then Pass after CA","")&amp;IF(AND(TRIM(U258)="Pass after CA",OR(TRIM(AA258)="",AB258&lt;&gt;"Closed")),"INVALID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window"),IF(AG258&gt;Flights!$AA$11,"INVALID – completed after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f>
        <v/>
      </c>
      <c r="AI258" s="67">
        <f>IF(OR(AH258="N/A – RULE",AH258="N/A – JUSTIFIED"),0,1)</f>
        <v/>
      </c>
      <c r="AJ258" s="67">
        <f>IF(LEFT(AH258,8)="COMPLETE",1,0)</f>
        <v/>
      </c>
      <c r="AK258" s="67">
        <f>IF(AND(AI258=1,AJ258=0,AsOfUTC&gt;Q258),1,0)</f>
        <v/>
      </c>
      <c r="AL258" s="67">
        <f>IF(AND(AI258=1,OR(TRIM(U258)="Fail",AB258="Open",AND(ISNUMBER(AF258),AF258&lt;&gt;0,TRIM(U258)&lt;&gt;"Pass after CA"))),1,0)</f>
        <v/>
      </c>
      <c r="AM258" s="67">
        <f>IF(LEFT(AH258,7)="INVALID",1,0)</f>
        <v/>
      </c>
      <c r="AN258" s="67">
        <f>IF(AND(N258="Clarification required",AI258=1,AJ258=0),1,0)</f>
        <v/>
      </c>
      <c r="AO258" s="67">
        <f>IF(AK258=1,SUM(AK$5:AK258),"")</f>
        <v/>
      </c>
      <c r="AP258" s="67">
        <f>IF(AL258=1,SUM(AL$5:AL258),"")</f>
        <v/>
      </c>
      <c r="AQ258" s="67" t="n">
        <v>0</v>
      </c>
      <c r="AR258" s="67" t="n">
        <v>0</v>
      </c>
      <c r="AS258" s="67" t="n">
        <v>0</v>
      </c>
      <c r="AT258" s="67" t="n">
        <v>1</v>
      </c>
    </row>
    <row r="259" ht="40" customHeight="1">
      <c r="A259" s="63" t="inlineStr">
        <is>
          <t>F07-UPL-15</t>
        </is>
      </c>
      <c r="B259" s="63" t="inlineStr">
        <is>
          <t>F07</t>
        </is>
      </c>
      <c r="C259" s="63">
        <f>Flights!$F$11</f>
        <v/>
      </c>
      <c r="D259" s="64">
        <f>Flights!$D$11</f>
        <v/>
      </c>
      <c r="E259" s="63">
        <f>Flights!$G$11&amp;"-"&amp;Flights!$H$11</f>
        <v/>
      </c>
      <c r="F259" s="63">
        <f>Flights!$K$11</f>
        <v/>
      </c>
      <c r="G259" s="63" t="inlineStr">
        <is>
          <t>UPLIFT</t>
        </is>
      </c>
      <c r="H259" s="63" t="inlineStr">
        <is>
          <t>Physical uplift</t>
        </is>
      </c>
      <c r="I259" s="63" t="inlineStr">
        <is>
          <t>Seat Linen</t>
        </is>
      </c>
      <c r="J259" s="63" t="inlineStr">
        <is>
          <t>Duvet (BS &amp; BC) - on board</t>
        </is>
      </c>
      <c r="K259" s="73" t="inlineStr">
        <is>
          <t>Available 100% (ticked in reference)</t>
        </is>
      </c>
      <c r="L259" s="73" t="inlineStr">
        <is>
          <t>STD UPLIFT INFORMATION.xlsx &gt; SEAT LINEN!F7</t>
        </is>
      </c>
      <c r="M259" s="73" t="inlineStr">
        <is>
          <t>Not stated in reference</t>
        </is>
      </c>
      <c r="N259" s="73" t="inlineStr">
        <is>
          <t>Required</t>
        </is>
      </c>
      <c r="O259" s="73" t="inlineStr"/>
      <c r="P259" s="63" t="inlineStr">
        <is>
          <t>LHR</t>
        </is>
      </c>
      <c r="Q259" s="65">
        <f>Flights!$AF$11</f>
        <v/>
      </c>
      <c r="R259" s="65">
        <f>Q259+(IF(AND(INDEX(TZ_DSTS,MATCH(P259,TZ_STN,0))&lt;&gt;"",Q259&gt;=INDEX(TZ_DSTS,MATCH(P259,TZ_STN,0)),Q259&lt;INDEX(TZ_DSTE,MATCH(P259,TZ_STN,0))),INDEX(TZ_DST,MATCH(P259,TZ_STN,0)),INDEX(TZ_STD,MATCH(P259,TZ_STN,0))))/24</f>
        <v/>
      </c>
      <c r="S259" s="65">
        <f>Q259-UpliftWindowH/24</f>
        <v/>
      </c>
      <c r="T259" s="66" t="n"/>
      <c r="U259" s="66" t="n"/>
      <c r="V259" s="66" t="n"/>
      <c r="W259" s="67" t="n"/>
      <c r="X259" s="66" t="n"/>
      <c r="Y259" s="66" t="n"/>
      <c r="Z259" s="66" t="n"/>
      <c r="AA259" s="66" t="n"/>
      <c r="AB259" s="66" t="n"/>
      <c r="AC259" s="66" t="n"/>
      <c r="AD259" s="72" t="n"/>
      <c r="AE259" s="66" t="n"/>
      <c r="AF259" s="67">
        <f>IF(AND(ISNUMBER(X259),ISNUMBER(Y259)),Y259-X259,"")</f>
        <v/>
      </c>
      <c r="AG259" s="68">
        <f>IF(ISNUMBER(AD259),AD259-(IF(AND(INDEX(TZ_DSTS,MATCH(P259,TZ_STN,0))&lt;&gt;"",(AD259-INDEX(TZ_STD,MATCH(P259,TZ_STN,0))/24)&gt;=INDEX(TZ_DSTS,MATCH(P259,TZ_STN,0)),(AD259-INDEX(TZ_STD,MATCH(P259,TZ_STN,0))/24)&lt;INDEX(TZ_DSTE,MATCH(P259,TZ_STN,0))),INDEX(TZ_DST,MATCH(P259,TZ_STN,0)),INDEX(TZ_STD,MATCH(P259,TZ_STN,0))))/24,"")</f>
        <v/>
      </c>
      <c r="AH259" s="71">
        <f>IF(N259="N/A – rule","N/A – RULE",IF(TRIM(U259)="N/A",IF(AT259=0,"INVALID – N/A not permitted for this mandatory check",IF(AND(TRIM(AC259)&lt;&gt;"",TRIM(AE259)&lt;&gt;"",TRIM(T259)&lt;&gt;""),"N/A – JUSTIFIED","INVALID – N/A needs justification, PIC and verifier")),IF(OR(TRIM(U259)="Pass",TRIM(U259)="Pass after CA"),IF(NOT(ISNUMBER(AD259)),"INVALID – completion time missing",IF(TRIM(T259)="","INVALID – PIC missing",IF(TRIM(Z259)="","INVALID – evidence missing",IF(TRIM(AE259)="","INVALID – verifier missing",IF(AND(AQ259=1,TRIM(W259)=""),"INVALID – batch ID missing",IF(AND(AR259=1,OR(NOT(ISNUMBER(X259)),NOT(ISNUMBER(Y259)))),"INVALID – expected/actual qty missing",IF(IF(AND(TRIM(U259)="Pass",ISNUMBER(AF259)),IF(AF259&lt;&gt;0,"INVALID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recorded/closed","")&lt;&gt;"",IF(AND(TRIM(U259)="Pass",ISNUMBER(AF259)),IF(AF259&lt;&gt;0,"INVALID – qty variance: use Fail or Pass after CA",""),"")&amp;IF(AND(TRIM(U259)="Pass",AB259="Open"),"INVALID – corrective action still open: use Fail, then Pass after CA","")&amp;IF(AND(TRIM(U259)="Pass after CA",OR(TRIM(AA259)="",AB259&lt;&gt;"Closed")),"INVALID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window"),IF(AG259&gt;Flights!$AA$11,"INVALID – completed after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f>
        <v/>
      </c>
      <c r="AI259" s="67">
        <f>IF(OR(AH259="N/A – RULE",AH259="N/A – JUSTIFIED"),0,1)</f>
        <v/>
      </c>
      <c r="AJ259" s="67">
        <f>IF(LEFT(AH259,8)="COMPLETE",1,0)</f>
        <v/>
      </c>
      <c r="AK259" s="67">
        <f>IF(AND(AI259=1,AJ259=0,AsOfUTC&gt;Q259),1,0)</f>
        <v/>
      </c>
      <c r="AL259" s="67">
        <f>IF(AND(AI259=1,OR(TRIM(U259)="Fail",AB259="Open",AND(ISNUMBER(AF259),AF259&lt;&gt;0,TRIM(U259)&lt;&gt;"Pass after CA"))),1,0)</f>
        <v/>
      </c>
      <c r="AM259" s="67">
        <f>IF(LEFT(AH259,7)="INVALID",1,0)</f>
        <v/>
      </c>
      <c r="AN259" s="67">
        <f>IF(AND(N259="Clarification required",AI259=1,AJ259=0),1,0)</f>
        <v/>
      </c>
      <c r="AO259" s="67">
        <f>IF(AK259=1,SUM(AK$5:AK259),"")</f>
        <v/>
      </c>
      <c r="AP259" s="67">
        <f>IF(AL259=1,SUM(AL$5:AL259),"")</f>
        <v/>
      </c>
      <c r="AQ259" s="67" t="n">
        <v>0</v>
      </c>
      <c r="AR259" s="67" t="n">
        <v>0</v>
      </c>
      <c r="AS259" s="67" t="n">
        <v>0</v>
      </c>
      <c r="AT259" s="67" t="n">
        <v>1</v>
      </c>
    </row>
    <row r="260" ht="40" customHeight="1">
      <c r="A260" s="63" t="inlineStr">
        <is>
          <t>F07-UPL-16</t>
        </is>
      </c>
      <c r="B260" s="63" t="inlineStr">
        <is>
          <t>F07</t>
        </is>
      </c>
      <c r="C260" s="63">
        <f>Flights!$F$11</f>
        <v/>
      </c>
      <c r="D260" s="64">
        <f>Flights!$D$11</f>
        <v/>
      </c>
      <c r="E260" s="63">
        <f>Flights!$G$11&amp;"-"&amp;Flights!$H$11</f>
        <v/>
      </c>
      <c r="F260" s="63">
        <f>Flights!$K$11</f>
        <v/>
      </c>
      <c r="G260" s="63" t="inlineStr">
        <is>
          <t>UPLIFT</t>
        </is>
      </c>
      <c r="H260" s="63" t="inlineStr">
        <is>
          <t>Physical uplift</t>
        </is>
      </c>
      <c r="I260" s="63" t="inlineStr">
        <is>
          <t>Seat Linen</t>
        </is>
      </c>
      <c r="J260" s="63" t="inlineStr">
        <is>
          <t>Mattress (BS &amp; BC) - on board</t>
        </is>
      </c>
      <c r="K260" s="73" t="inlineStr">
        <is>
          <t>Available 100% (ticked in reference)</t>
        </is>
      </c>
      <c r="L260" s="73" t="inlineStr">
        <is>
          <t>STD UPLIFT INFORMATION.xlsx &gt; SEAT LINEN!G7</t>
        </is>
      </c>
      <c r="M260" s="73" t="inlineStr">
        <is>
          <t>Not stated in reference</t>
        </is>
      </c>
      <c r="N260" s="73" t="inlineStr">
        <is>
          <t>Required</t>
        </is>
      </c>
      <c r="O260" s="73" t="inlineStr"/>
      <c r="P260" s="63" t="inlineStr">
        <is>
          <t>LHR</t>
        </is>
      </c>
      <c r="Q260" s="65">
        <f>Flights!$AF$11</f>
        <v/>
      </c>
      <c r="R260" s="65">
        <f>Q260+(IF(AND(INDEX(TZ_DSTS,MATCH(P260,TZ_STN,0))&lt;&gt;"",Q260&gt;=INDEX(TZ_DSTS,MATCH(P260,TZ_STN,0)),Q260&lt;INDEX(TZ_DSTE,MATCH(P260,TZ_STN,0))),INDEX(TZ_DST,MATCH(P260,TZ_STN,0)),INDEX(TZ_STD,MATCH(P260,TZ_STN,0))))/24</f>
        <v/>
      </c>
      <c r="S260" s="65">
        <f>Q260-UpliftWindowH/24</f>
        <v/>
      </c>
      <c r="T260" s="66" t="n"/>
      <c r="U260" s="66" t="n"/>
      <c r="V260" s="66" t="n"/>
      <c r="W260" s="67" t="n"/>
      <c r="X260" s="66" t="n"/>
      <c r="Y260" s="66" t="n"/>
      <c r="Z260" s="66" t="n"/>
      <c r="AA260" s="66" t="n"/>
      <c r="AB260" s="66" t="n"/>
      <c r="AC260" s="66" t="n"/>
      <c r="AD260" s="72" t="n"/>
      <c r="AE260" s="66" t="n"/>
      <c r="AF260" s="67">
        <f>IF(AND(ISNUMBER(X260),ISNUMBER(Y260)),Y260-X260,"")</f>
        <v/>
      </c>
      <c r="AG260" s="68">
        <f>IF(ISNUMBER(AD260),AD260-(IF(AND(INDEX(TZ_DSTS,MATCH(P260,TZ_STN,0))&lt;&gt;"",(AD260-INDEX(TZ_STD,MATCH(P260,TZ_STN,0))/24)&gt;=INDEX(TZ_DSTS,MATCH(P260,TZ_STN,0)),(AD260-INDEX(TZ_STD,MATCH(P260,TZ_STN,0))/24)&lt;INDEX(TZ_DSTE,MATCH(P260,TZ_STN,0))),INDEX(TZ_DST,MATCH(P260,TZ_STN,0)),INDEX(TZ_STD,MATCH(P260,TZ_STN,0))))/24,"")</f>
        <v/>
      </c>
      <c r="AH260" s="71">
        <f>IF(N260="N/A – rule","N/A – RULE",IF(TRIM(U260)="N/A",IF(AT260=0,"INVALID – N/A not permitted for this mandatory check",IF(AND(TRIM(AC260)&lt;&gt;"",TRIM(AE260)&lt;&gt;"",TRIM(T260)&lt;&gt;""),"N/A – JUSTIFIED","INVALID – N/A needs justification, PIC and verifier")),IF(OR(TRIM(U260)="Pass",TRIM(U260)="Pass after CA"),IF(NOT(ISNUMBER(AD260)),"INVALID – completion time missing",IF(TRIM(T260)="","INVALID – PIC missing",IF(TRIM(Z260)="","INVALID – evidence missing",IF(TRIM(AE260)="","INVALID – verifier missing",IF(AND(AQ260=1,TRIM(W260)=""),"INVALID – batch ID missing",IF(AND(AR260=1,OR(NOT(ISNUMBER(X260)),NOT(ISNUMBER(Y260)))),"INVALID – expected/actual qty missing",IF(IF(AND(TRIM(U260)="Pass",ISNUMBER(AF260)),IF(AF260&lt;&gt;0,"INVALID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recorded/closed","")&lt;&gt;"",IF(AND(TRIM(U260)="Pass",ISNUMBER(AF260)),IF(AF260&lt;&gt;0,"INVALID – qty variance: use Fail or Pass after CA",""),"")&amp;IF(AND(TRIM(U260)="Pass",AB260="Open"),"INVALID – corrective action still open: use Fail, then Pass after CA","")&amp;IF(AND(TRIM(U260)="Pass after CA",OR(TRIM(AA260)="",AB260&lt;&gt;"Closed")),"INVALID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window"),IF(AG260&gt;Flights!$AA$11,"INVALID – completed after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f>
        <v/>
      </c>
      <c r="AI260" s="67">
        <f>IF(OR(AH260="N/A – RULE",AH260="N/A – JUSTIFIED"),0,1)</f>
        <v/>
      </c>
      <c r="AJ260" s="67">
        <f>IF(LEFT(AH260,8)="COMPLETE",1,0)</f>
        <v/>
      </c>
      <c r="AK260" s="67">
        <f>IF(AND(AI260=1,AJ260=0,AsOfUTC&gt;Q260),1,0)</f>
        <v/>
      </c>
      <c r="AL260" s="67">
        <f>IF(AND(AI260=1,OR(TRIM(U260)="Fail",AB260="Open",AND(ISNUMBER(AF260),AF260&lt;&gt;0,TRIM(U260)&lt;&gt;"Pass after CA"))),1,0)</f>
        <v/>
      </c>
      <c r="AM260" s="67">
        <f>IF(LEFT(AH260,7)="INVALID",1,0)</f>
        <v/>
      </c>
      <c r="AN260" s="67">
        <f>IF(AND(N260="Clarification required",AI260=1,AJ260=0),1,0)</f>
        <v/>
      </c>
      <c r="AO260" s="67">
        <f>IF(AK260=1,SUM(AK$5:AK260),"")</f>
        <v/>
      </c>
      <c r="AP260" s="67">
        <f>IF(AL260=1,SUM(AL$5:AL260),"")</f>
        <v/>
      </c>
      <c r="AQ260" s="67" t="n">
        <v>0</v>
      </c>
      <c r="AR260" s="67" t="n">
        <v>0</v>
      </c>
      <c r="AS260" s="67" t="n">
        <v>0</v>
      </c>
      <c r="AT260" s="67" t="n">
        <v>1</v>
      </c>
    </row>
    <row r="261" ht="40" customHeight="1">
      <c r="A261" s="63" t="inlineStr">
        <is>
          <t>F07-UPL-17</t>
        </is>
      </c>
      <c r="B261" s="63" t="inlineStr">
        <is>
          <t>F07</t>
        </is>
      </c>
      <c r="C261" s="63">
        <f>Flights!$F$11</f>
        <v/>
      </c>
      <c r="D261" s="64">
        <f>Flights!$D$11</f>
        <v/>
      </c>
      <c r="E261" s="63">
        <f>Flights!$G$11&amp;"-"&amp;Flights!$H$11</f>
        <v/>
      </c>
      <c r="F261" s="63">
        <f>Flights!$K$11</f>
        <v/>
      </c>
      <c r="G261" s="63" t="inlineStr">
        <is>
          <t>UPLIFT</t>
        </is>
      </c>
      <c r="H261" s="63" t="inlineStr">
        <is>
          <t>Physical uplift</t>
        </is>
      </c>
      <c r="I261" s="63" t="inlineStr">
        <is>
          <t>Signature Drinks</t>
        </is>
      </c>
      <c r="J261" s="63" t="inlineStr">
        <is>
          <t>Signature drink &amp; garnish (BC) - on board</t>
        </is>
      </c>
      <c r="K261" s="73" t="inlineStr">
        <is>
          <t>Available (ticked in reference)</t>
        </is>
      </c>
      <c r="L261" s="73" t="inlineStr">
        <is>
          <t>STD UPLIFT INFORMATION.xlsx &gt; Signature Drinks!F6 / G6 / D79</t>
        </is>
      </c>
      <c r="M261" s="73" t="inlineStr">
        <is>
          <t>KUL</t>
        </is>
      </c>
      <c r="N261" s="73" t="inlineStr">
        <is>
          <t>Required</t>
        </is>
      </c>
      <c r="O261" s="73" t="inlineStr">
        <is>
          <t>Signature drinks &amp; garnish uplifted from KUL (note D79).</t>
        </is>
      </c>
      <c r="P261" s="63" t="inlineStr">
        <is>
          <t>LHR</t>
        </is>
      </c>
      <c r="Q261" s="65">
        <f>Flights!$AF$11</f>
        <v/>
      </c>
      <c r="R261" s="65">
        <f>Q261+(IF(AND(INDEX(TZ_DSTS,MATCH(P261,TZ_STN,0))&lt;&gt;"",Q261&gt;=INDEX(TZ_DSTS,MATCH(P261,TZ_STN,0)),Q261&lt;INDEX(TZ_DSTE,MATCH(P261,TZ_STN,0))),INDEX(TZ_DST,MATCH(P261,TZ_STN,0)),INDEX(TZ_STD,MATCH(P261,TZ_STN,0))))/24</f>
        <v/>
      </c>
      <c r="S261" s="65">
        <f>Q261-UpliftWindowH/24</f>
        <v/>
      </c>
      <c r="T261" s="66" t="n"/>
      <c r="U261" s="66" t="n"/>
      <c r="V261" s="66" t="n"/>
      <c r="W261" s="67" t="n"/>
      <c r="X261" s="66" t="n"/>
      <c r="Y261" s="66" t="n"/>
      <c r="Z261" s="66" t="n"/>
      <c r="AA261" s="66" t="n"/>
      <c r="AB261" s="66" t="n"/>
      <c r="AC261" s="66" t="n"/>
      <c r="AD261" s="72" t="n"/>
      <c r="AE261" s="66" t="n"/>
      <c r="AF261" s="67">
        <f>IF(AND(ISNUMBER(X261),ISNUMBER(Y261)),Y261-X261,"")</f>
        <v/>
      </c>
      <c r="AG261" s="68">
        <f>IF(ISNUMBER(AD261),AD261-(IF(AND(INDEX(TZ_DSTS,MATCH(P261,TZ_STN,0))&lt;&gt;"",(AD261-INDEX(TZ_STD,MATCH(P261,TZ_STN,0))/24)&gt;=INDEX(TZ_DSTS,MATCH(P261,TZ_STN,0)),(AD261-INDEX(TZ_STD,MATCH(P261,TZ_STN,0))/24)&lt;INDEX(TZ_DSTE,MATCH(P261,TZ_STN,0))),INDEX(TZ_DST,MATCH(P261,TZ_STN,0)),INDEX(TZ_STD,MATCH(P261,TZ_STN,0))))/24,"")</f>
        <v/>
      </c>
      <c r="AH261" s="71">
        <f>IF(N261="N/A – rule","N/A – RULE",IF(TRIM(U261)="N/A",IF(AT261=0,"INVALID – N/A not permitted for this mandatory check",IF(AND(TRIM(AC261)&lt;&gt;"",TRIM(AE261)&lt;&gt;"",TRIM(T261)&lt;&gt;""),"N/A – JUSTIFIED","INVALID – N/A needs justification, PIC and verifier")),IF(OR(TRIM(U261)="Pass",TRIM(U261)="Pass after CA"),IF(NOT(ISNUMBER(AD261)),"INVALID – completion time missing",IF(TRIM(T261)="","INVALID – PIC missing",IF(TRIM(Z261)="","INVALID – evidence missing",IF(TRIM(AE261)="","INVALID – verifier missing",IF(AND(AQ261=1,TRIM(W261)=""),"INVALID – batch ID missing",IF(AND(AR261=1,OR(NOT(ISNUMBER(X261)),NOT(ISNUMBER(Y261)))),"INVALID – expected/actual qty missing",IF(IF(AND(TRIM(U261)="Pass",ISNUMBER(AF261)),IF(AF261&lt;&gt;0,"INVALID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recorded/closed","")&lt;&gt;"",IF(AND(TRIM(U261)="Pass",ISNUMBER(AF261)),IF(AF261&lt;&gt;0,"INVALID – qty variance: use Fail or Pass after CA",""),"")&amp;IF(AND(TRIM(U261)="Pass",AB261="Open"),"INVALID – corrective action still open: use Fail, then Pass after CA","")&amp;IF(AND(TRIM(U261)="Pass after CA",OR(TRIM(AA261)="",AB261&lt;&gt;"Closed")),"INVALID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window"),IF(AG261&gt;Flights!$AA$11,"INVALID – completed after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f>
        <v/>
      </c>
      <c r="AI261" s="67">
        <f>IF(OR(AH261="N/A – RULE",AH261="N/A – JUSTIFIED"),0,1)</f>
        <v/>
      </c>
      <c r="AJ261" s="67">
        <f>IF(LEFT(AH261,8)="COMPLETE",1,0)</f>
        <v/>
      </c>
      <c r="AK261" s="67">
        <f>IF(AND(AI261=1,AJ261=0,AsOfUTC&gt;Q261),1,0)</f>
        <v/>
      </c>
      <c r="AL261" s="67">
        <f>IF(AND(AI261=1,OR(TRIM(U261)="Fail",AB261="Open",AND(ISNUMBER(AF261),AF261&lt;&gt;0,TRIM(U261)&lt;&gt;"Pass after CA"))),1,0)</f>
        <v/>
      </c>
      <c r="AM261" s="67">
        <f>IF(LEFT(AH261,7)="INVALID",1,0)</f>
        <v/>
      </c>
      <c r="AN261" s="67">
        <f>IF(AND(N261="Clarification required",AI261=1,AJ261=0),1,0)</f>
        <v/>
      </c>
      <c r="AO261" s="67">
        <f>IF(AK261=1,SUM(AK$5:AK261),"")</f>
        <v/>
      </c>
      <c r="AP261" s="67">
        <f>IF(AL261=1,SUM(AL$5:AL261),"")</f>
        <v/>
      </c>
      <c r="AQ261" s="67" t="n">
        <v>0</v>
      </c>
      <c r="AR261" s="67" t="n">
        <v>0</v>
      </c>
      <c r="AS261" s="67" t="n">
        <v>0</v>
      </c>
      <c r="AT261" s="67" t="n">
        <v>1</v>
      </c>
    </row>
    <row r="262" ht="40" customHeight="1">
      <c r="A262" s="63" t="inlineStr">
        <is>
          <t>F08-T7-01</t>
        </is>
      </c>
      <c r="B262" s="63" t="inlineStr">
        <is>
          <t>F08</t>
        </is>
      </c>
      <c r="C262" s="63">
        <f>Flights!$F$12</f>
        <v/>
      </c>
      <c r="D262" s="64">
        <f>Flights!$D$12</f>
        <v/>
      </c>
      <c r="E262" s="63">
        <f>Flights!$G$12&amp;"-"&amp;Flights!$H$12</f>
        <v/>
      </c>
      <c r="F262" s="63">
        <f>Flights!$K$12</f>
        <v/>
      </c>
      <c r="G262" s="63" t="inlineStr">
        <is>
          <t>T-7D</t>
        </is>
      </c>
      <c r="H262" s="63" t="inlineStr">
        <is>
          <t>Preparation</t>
        </is>
      </c>
      <c r="I262" s="63" t="inlineStr">
        <is>
          <t>Meal</t>
        </is>
      </c>
      <c r="J262" s="63" t="inlineStr">
        <is>
          <t>Meal sensory testing completed for this flight's menu cycle (assessed class)</t>
        </is>
      </c>
      <c r="K262" s="73" t="inlineStr">
        <is>
          <t>Record panel result / score in Result</t>
        </is>
      </c>
      <c r="L262" s="73" t="inlineStr">
        <is>
          <t>User brief (T-7 days)</t>
        </is>
      </c>
      <c r="M262" s="73" t="inlineStr"/>
      <c r="N262" s="73" t="inlineStr">
        <is>
          <t>Required</t>
        </is>
      </c>
      <c r="O262" s="73" t="inlineStr"/>
      <c r="P262" s="63" t="inlineStr">
        <is>
          <t>KUL</t>
        </is>
      </c>
      <c r="Q262" s="65">
        <f>Flights!$AC$12</f>
        <v/>
      </c>
      <c r="R262" s="65">
        <f>Q262+(IF(AND(INDEX(TZ_DSTS,MATCH(P262,TZ_STN,0))&lt;&gt;"",Q262&gt;=INDEX(TZ_DSTS,MATCH(P262,TZ_STN,0)),Q262&lt;INDEX(TZ_DSTE,MATCH(P262,TZ_STN,0))),INDEX(TZ_DST,MATCH(P262,TZ_STN,0)),INDEX(TZ_STD,MATCH(P262,TZ_STN,0))))/24</f>
        <v/>
      </c>
      <c r="S262" s="65" t="inlineStr"/>
      <c r="T262" s="66" t="n"/>
      <c r="U262" s="66" t="n"/>
      <c r="V262" s="66" t="n"/>
      <c r="W262" s="67" t="n"/>
      <c r="X262" s="66" t="n"/>
      <c r="Y262" s="66" t="n"/>
      <c r="Z262" s="66" t="n"/>
      <c r="AA262" s="66" t="n"/>
      <c r="AB262" s="66" t="n"/>
      <c r="AC262" s="66" t="n"/>
      <c r="AD262" s="72" t="n"/>
      <c r="AE262" s="66" t="n"/>
      <c r="AF262" s="67">
        <f>IF(AND(ISNUMBER(X262),ISNUMBER(Y262)),Y262-X262,"")</f>
        <v/>
      </c>
      <c r="AG262" s="68">
        <f>IF(ISNUMBER(AD262),AD262-(IF(AND(INDEX(TZ_DSTS,MATCH(P262,TZ_STN,0))&lt;&gt;"",(AD262-INDEX(TZ_STD,MATCH(P262,TZ_STN,0))/24)&gt;=INDEX(TZ_DSTS,MATCH(P262,TZ_STN,0)),(AD262-INDEX(TZ_STD,MATCH(P262,TZ_STN,0))/24)&lt;INDEX(TZ_DSTE,MATCH(P262,TZ_STN,0))),INDEX(TZ_DST,MATCH(P262,TZ_STN,0)),INDEX(TZ_STD,MATCH(P262,TZ_STN,0))))/24,"")</f>
        <v/>
      </c>
      <c r="AH262" s="71">
        <f>IF(N262="N/A – rule","N/A – RULE",IF(TRIM(U262)="N/A",IF(AT262=0,"INVALID – N/A not permitted for this mandatory check",IF(AND(TRIM(AC262)&lt;&gt;"",TRIM(AE262)&lt;&gt;"",TRIM(T262)&lt;&gt;""),"N/A – JUSTIFIED","INVALID – N/A needs justification, PIC and verifier")),IF(OR(TRIM(U262)="Pass",TRIM(U262)="Pass after CA"),IF(NOT(ISNUMBER(AD262)),"INVALID – completion time missing",IF(TRIM(T262)="","INVALID – PIC missing",IF(TRIM(Z262)="","INVALID – evidence missing",IF(TRIM(AE262)="","INVALID – verifier missing",IF(AND(AQ262=1,TRIM(W262)=""),"INVALID – batch ID missing",IF(AND(AR262=1,OR(NOT(ISNUMBER(X262)),NOT(ISNUMBER(Y262)))),"INVALID – expected/actual qty missing",IF(IF(AND(TRIM(U262)="Pass",ISNUMBER(AF262)),IF(AF262&lt;&gt;0,"INVALID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recorded/closed","")&lt;&gt;"",IF(AND(TRIM(U262)="Pass",ISNUMBER(AF262)),IF(AF262&lt;&gt;0,"INVALID – qty variance: use Fail or Pass after CA",""),"")&amp;IF(AND(TRIM(U262)="Pass",AB262="Open"),"INVALID – corrective action still open: use Fail, then Pass after CA","")&amp;IF(AND(TRIM(U262)="Pass after CA",OR(TRIM(AA262)="",AB262&lt;&gt;"Closed")),"INVALID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window"),IF(AG262&gt;Flights!$AA$12,"INVALID – completed after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f>
        <v/>
      </c>
      <c r="AI262" s="67">
        <f>IF(OR(AH262="N/A – RULE",AH262="N/A – JUSTIFIED"),0,1)</f>
        <v/>
      </c>
      <c r="AJ262" s="67">
        <f>IF(LEFT(AH262,8)="COMPLETE",1,0)</f>
        <v/>
      </c>
      <c r="AK262" s="67">
        <f>IF(AND(AI262=1,AJ262=0,AsOfUTC&gt;Q262),1,0)</f>
        <v/>
      </c>
      <c r="AL262" s="67">
        <f>IF(AND(AI262=1,OR(TRIM(U262)="Fail",AB262="Open",AND(ISNUMBER(AF262),AF262&lt;&gt;0,TRIM(U262)&lt;&gt;"Pass after CA"))),1,0)</f>
        <v/>
      </c>
      <c r="AM262" s="67">
        <f>IF(LEFT(AH262,7)="INVALID",1,0)</f>
        <v/>
      </c>
      <c r="AN262" s="67">
        <f>IF(AND(N262="Clarification required",AI262=1,AJ262=0),1,0)</f>
        <v/>
      </c>
      <c r="AO262" s="67">
        <f>IF(AK262=1,SUM(AK$5:AK262),"")</f>
        <v/>
      </c>
      <c r="AP262" s="67">
        <f>IF(AL262=1,SUM(AL$5:AL262),"")</f>
        <v/>
      </c>
      <c r="AQ262" s="67" t="n">
        <v>0</v>
      </c>
      <c r="AR262" s="67" t="n">
        <v>0</v>
      </c>
      <c r="AS262" s="67" t="n">
        <v>0</v>
      </c>
      <c r="AT262" s="67" t="n">
        <v>0</v>
      </c>
    </row>
    <row r="263" ht="40" customHeight="1">
      <c r="A263" s="63" t="inlineStr">
        <is>
          <t>F08-T7-02</t>
        </is>
      </c>
      <c r="B263" s="63" t="inlineStr">
        <is>
          <t>F08</t>
        </is>
      </c>
      <c r="C263" s="63">
        <f>Flights!$F$12</f>
        <v/>
      </c>
      <c r="D263" s="64">
        <f>Flights!$D$12</f>
        <v/>
      </c>
      <c r="E263" s="63">
        <f>Flights!$G$12&amp;"-"&amp;Flights!$H$12</f>
        <v/>
      </c>
      <c r="F263" s="63">
        <f>Flights!$K$12</f>
        <v/>
      </c>
      <c r="G263" s="63" t="inlineStr">
        <is>
          <t>T-7D</t>
        </is>
      </c>
      <c r="H263" s="63" t="inlineStr">
        <is>
          <t>Preparation</t>
        </is>
      </c>
      <c r="I263" s="63" t="inlineStr">
        <is>
          <t>Menu</t>
        </is>
      </c>
      <c r="J263" s="63" t="inlineStr">
        <is>
          <t>Printed menu cards confirmed (content, cycle, language, quantity)</t>
        </is>
      </c>
      <c r="K263" s="73" t="inlineStr">
        <is>
          <t>Menu card matches approved menu for this flight</t>
        </is>
      </c>
      <c r="L263" s="73" t="inlineStr">
        <is>
          <t>User brief (T-7 days)</t>
        </is>
      </c>
      <c r="M263" s="73" t="inlineStr"/>
      <c r="N263" s="73" t="inlineStr">
        <is>
          <t>Required</t>
        </is>
      </c>
      <c r="O263" s="73" t="inlineStr"/>
      <c r="P263" s="63" t="inlineStr">
        <is>
          <t>KUL</t>
        </is>
      </c>
      <c r="Q263" s="65">
        <f>Flights!$AC$12</f>
        <v/>
      </c>
      <c r="R263" s="65">
        <f>Q263+(IF(AND(INDEX(TZ_DSTS,MATCH(P263,TZ_STN,0))&lt;&gt;"",Q263&gt;=INDEX(TZ_DSTS,MATCH(P263,TZ_STN,0)),Q263&lt;INDEX(TZ_DSTE,MATCH(P263,TZ_STN,0))),INDEX(TZ_DST,MATCH(P263,TZ_STN,0)),INDEX(TZ_STD,MATCH(P263,TZ_STN,0))))/24</f>
        <v/>
      </c>
      <c r="S263" s="65" t="inlineStr"/>
      <c r="T263" s="66" t="n"/>
      <c r="U263" s="66" t="n"/>
      <c r="V263" s="66" t="n"/>
      <c r="W263" s="67" t="n"/>
      <c r="X263" s="66" t="n"/>
      <c r="Y263" s="66" t="n"/>
      <c r="Z263" s="66" t="n"/>
      <c r="AA263" s="66" t="n"/>
      <c r="AB263" s="66" t="n"/>
      <c r="AC263" s="66" t="n"/>
      <c r="AD263" s="72" t="n"/>
      <c r="AE263" s="66" t="n"/>
      <c r="AF263" s="67">
        <f>IF(AND(ISNUMBER(X263),ISNUMBER(Y263)),Y263-X263,"")</f>
        <v/>
      </c>
      <c r="AG263" s="68">
        <f>IF(ISNUMBER(AD263),AD263-(IF(AND(INDEX(TZ_DSTS,MATCH(P263,TZ_STN,0))&lt;&gt;"",(AD263-INDEX(TZ_STD,MATCH(P263,TZ_STN,0))/24)&gt;=INDEX(TZ_DSTS,MATCH(P263,TZ_STN,0)),(AD263-INDEX(TZ_STD,MATCH(P263,TZ_STN,0))/24)&lt;INDEX(TZ_DSTE,MATCH(P263,TZ_STN,0))),INDEX(TZ_DST,MATCH(P263,TZ_STN,0)),INDEX(TZ_STD,MATCH(P263,TZ_STN,0))))/24,"")</f>
        <v/>
      </c>
      <c r="AH263" s="71">
        <f>IF(N263="N/A – rule","N/A – RULE",IF(TRIM(U263)="N/A",IF(AT263=0,"INVALID – N/A not permitted for this mandatory check",IF(AND(TRIM(AC263)&lt;&gt;"",TRIM(AE263)&lt;&gt;"",TRIM(T263)&lt;&gt;""),"N/A – JUSTIFIED","INVALID – N/A needs justification, PIC and verifier")),IF(OR(TRIM(U263)="Pass",TRIM(U263)="Pass after CA"),IF(NOT(ISNUMBER(AD263)),"INVALID – completion time missing",IF(TRIM(T263)="","INVALID – PIC missing",IF(TRIM(Z263)="","INVALID – evidence missing",IF(TRIM(AE263)="","INVALID – verifier missing",IF(AND(AQ263=1,TRIM(W263)=""),"INVALID – batch ID missing",IF(AND(AR263=1,OR(NOT(ISNUMBER(X263)),NOT(ISNUMBER(Y263)))),"INVALID – expected/actual qty missing",IF(IF(AND(TRIM(U263)="Pass",ISNUMBER(AF263)),IF(AF263&lt;&gt;0,"INVALID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recorded/closed","")&lt;&gt;"",IF(AND(TRIM(U263)="Pass",ISNUMBER(AF263)),IF(AF263&lt;&gt;0,"INVALID – qty variance: use Fail or Pass after CA",""),"")&amp;IF(AND(TRIM(U263)="Pass",AB263="Open"),"INVALID – corrective action still open: use Fail, then Pass after CA","")&amp;IF(AND(TRIM(U263)="Pass after CA",OR(TRIM(AA263)="",AB263&lt;&gt;"Closed")),"INVALID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window"),IF(AG263&gt;Flights!$AA$12,"INVALID – completed after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f>
        <v/>
      </c>
      <c r="AI263" s="67">
        <f>IF(OR(AH263="N/A – RULE",AH263="N/A – JUSTIFIED"),0,1)</f>
        <v/>
      </c>
      <c r="AJ263" s="67">
        <f>IF(LEFT(AH263,8)="COMPLETE",1,0)</f>
        <v/>
      </c>
      <c r="AK263" s="67">
        <f>IF(AND(AI263=1,AJ263=0,AsOfUTC&gt;Q263),1,0)</f>
        <v/>
      </c>
      <c r="AL263" s="67">
        <f>IF(AND(AI263=1,OR(TRIM(U263)="Fail",AB263="Open",AND(ISNUMBER(AF263),AF263&lt;&gt;0,TRIM(U263)&lt;&gt;"Pass after CA"))),1,0)</f>
        <v/>
      </c>
      <c r="AM263" s="67">
        <f>IF(LEFT(AH263,7)="INVALID",1,0)</f>
        <v/>
      </c>
      <c r="AN263" s="67">
        <f>IF(AND(N263="Clarification required",AI263=1,AJ263=0),1,0)</f>
        <v/>
      </c>
      <c r="AO263" s="67">
        <f>IF(AK263=1,SUM(AK$5:AK263),"")</f>
        <v/>
      </c>
      <c r="AP263" s="67">
        <f>IF(AL263=1,SUM(AL$5:AL263),"")</f>
        <v/>
      </c>
      <c r="AQ263" s="67" t="n">
        <v>0</v>
      </c>
      <c r="AR263" s="67" t="n">
        <v>0</v>
      </c>
      <c r="AS263" s="67" t="n">
        <v>0</v>
      </c>
      <c r="AT263" s="67" t="n">
        <v>1</v>
      </c>
    </row>
    <row r="264" ht="41.5" customHeight="1">
      <c r="A264" s="63" t="inlineStr">
        <is>
          <t>F08-T7-03</t>
        </is>
      </c>
      <c r="B264" s="63" t="inlineStr">
        <is>
          <t>F08</t>
        </is>
      </c>
      <c r="C264" s="63">
        <f>Flights!$F$12</f>
        <v/>
      </c>
      <c r="D264" s="64">
        <f>Flights!$D$12</f>
        <v/>
      </c>
      <c r="E264" s="63">
        <f>Flights!$G$12&amp;"-"&amp;Flights!$H$12</f>
        <v/>
      </c>
      <c r="F264" s="63">
        <f>Flights!$K$12</f>
        <v/>
      </c>
      <c r="G264" s="63" t="inlineStr">
        <is>
          <t>T-7D</t>
        </is>
      </c>
      <c r="H264" s="63" t="inlineStr">
        <is>
          <t>Preparation</t>
        </is>
      </c>
      <c r="I264" s="63" t="inlineStr">
        <is>
          <t>IFE</t>
        </is>
      </c>
      <c r="J264" s="63" t="inlineStr">
        <is>
          <t>Digital menu in IFE confirmed (A339 only)</t>
        </is>
      </c>
      <c r="K264" s="73" t="inlineStr">
        <is>
          <t>Applies when fleet = A339</t>
        </is>
      </c>
      <c r="L264" s="73" t="inlineStr">
        <is>
          <t>User brief (T-7 days)</t>
        </is>
      </c>
      <c r="M264" s="73" t="inlineStr"/>
      <c r="N264" s="73">
        <f>IF(TRIM(Flights!$L$12)="A339","Required","N/A – rule")</f>
        <v/>
      </c>
      <c r="O264" s="73" t="inlineStr">
        <is>
          <t>Digital IFE menu applies to A339 only (user brief). Applicability follows the Fleet cell on Flights.</t>
        </is>
      </c>
      <c r="P264" s="63" t="inlineStr">
        <is>
          <t>KUL</t>
        </is>
      </c>
      <c r="Q264" s="65">
        <f>Flights!$AC$12</f>
        <v/>
      </c>
      <c r="R264" s="65">
        <f>Q264+(IF(AND(INDEX(TZ_DSTS,MATCH(P264,TZ_STN,0))&lt;&gt;"",Q264&gt;=INDEX(TZ_DSTS,MATCH(P264,TZ_STN,0)),Q264&lt;INDEX(TZ_DSTE,MATCH(P264,TZ_STN,0))),INDEX(TZ_DST,MATCH(P264,TZ_STN,0)),INDEX(TZ_STD,MATCH(P264,TZ_STN,0))))/24</f>
        <v/>
      </c>
      <c r="S264" s="65" t="inlineStr"/>
      <c r="T264" s="66" t="n"/>
      <c r="U264" s="66" t="n"/>
      <c r="V264" s="66" t="n"/>
      <c r="W264" s="67" t="n"/>
      <c r="X264" s="66" t="n"/>
      <c r="Y264" s="66" t="n"/>
      <c r="Z264" s="66" t="n"/>
      <c r="AA264" s="66" t="n"/>
      <c r="AB264" s="66" t="n"/>
      <c r="AC264" s="66" t="n"/>
      <c r="AD264" s="72" t="n"/>
      <c r="AE264" s="66" t="n"/>
      <c r="AF264" s="67">
        <f>IF(AND(ISNUMBER(X264),ISNUMBER(Y264)),Y264-X264,"")</f>
        <v/>
      </c>
      <c r="AG264" s="68">
        <f>IF(ISNUMBER(AD264),AD264-(IF(AND(INDEX(TZ_DSTS,MATCH(P264,TZ_STN,0))&lt;&gt;"",(AD264-INDEX(TZ_STD,MATCH(P264,TZ_STN,0))/24)&gt;=INDEX(TZ_DSTS,MATCH(P264,TZ_STN,0)),(AD264-INDEX(TZ_STD,MATCH(P264,TZ_STN,0))/24)&lt;INDEX(TZ_DSTE,MATCH(P264,TZ_STN,0))),INDEX(TZ_DST,MATCH(P264,TZ_STN,0)),INDEX(TZ_STD,MATCH(P264,TZ_STN,0))))/24,"")</f>
        <v/>
      </c>
      <c r="AH264" s="71">
        <f>IF(N264="N/A – rule","N/A – RULE",IF(TRIM(U264)="N/A",IF(AT264=0,"INVALID – N/A not permitted for this mandatory check",IF(AND(TRIM(AC264)&lt;&gt;"",TRIM(AE264)&lt;&gt;"",TRIM(T264)&lt;&gt;""),"N/A – JUSTIFIED","INVALID – N/A needs justification, PIC and verifier")),IF(OR(TRIM(U264)="Pass",TRIM(U264)="Pass after CA"),IF(NOT(ISNUMBER(AD264)),"INVALID – completion time missing",IF(TRIM(T264)="","INVALID – PIC missing",IF(TRIM(Z264)="","INVALID – evidence missing",IF(TRIM(AE264)="","INVALID – verifier missing",IF(AND(AQ264=1,TRIM(W264)=""),"INVALID – batch ID missing",IF(AND(AR264=1,OR(NOT(ISNUMBER(X264)),NOT(ISNUMBER(Y264)))),"INVALID – expected/actual qty missing",IF(IF(AND(TRIM(U264)="Pass",ISNUMBER(AF264)),IF(AF264&lt;&gt;0,"INVALID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recorded/closed","")&lt;&gt;"",IF(AND(TRIM(U264)="Pass",ISNUMBER(AF264)),IF(AF264&lt;&gt;0,"INVALID – qty variance: use Fail or Pass after CA",""),"")&amp;IF(AND(TRIM(U264)="Pass",AB264="Open"),"INVALID – corrective action still open: use Fail, then Pass after CA","")&amp;IF(AND(TRIM(U264)="Pass after CA",OR(TRIM(AA264)="",AB264&lt;&gt;"Closed")),"INVALID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window"),IF(AG264&gt;Flights!$AA$12,"INVALID – completed after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f>
        <v/>
      </c>
      <c r="AI264" s="67">
        <f>IF(OR(AH264="N/A – RULE",AH264="N/A – JUSTIFIED"),0,1)</f>
        <v/>
      </c>
      <c r="AJ264" s="67">
        <f>IF(LEFT(AH264,8)="COMPLETE",1,0)</f>
        <v/>
      </c>
      <c r="AK264" s="67">
        <f>IF(AND(AI264=1,AJ264=0,AsOfUTC&gt;Q264),1,0)</f>
        <v/>
      </c>
      <c r="AL264" s="67">
        <f>IF(AND(AI264=1,OR(TRIM(U264)="Fail",AB264="Open",AND(ISNUMBER(AF264),AF264&lt;&gt;0,TRIM(U264)&lt;&gt;"Pass after CA"))),1,0)</f>
        <v/>
      </c>
      <c r="AM264" s="67">
        <f>IF(LEFT(AH264,7)="INVALID",1,0)</f>
        <v/>
      </c>
      <c r="AN264" s="67">
        <f>IF(AND(N264="Clarification required",AI264=1,AJ264=0),1,0)</f>
        <v/>
      </c>
      <c r="AO264" s="67">
        <f>IF(AK264=1,SUM(AK$5:AK264),"")</f>
        <v/>
      </c>
      <c r="AP264" s="67">
        <f>IF(AL264=1,SUM(AL$5:AL264),"")</f>
        <v/>
      </c>
      <c r="AQ264" s="67" t="n">
        <v>0</v>
      </c>
      <c r="AR264" s="67" t="n">
        <v>0</v>
      </c>
      <c r="AS264" s="67" t="n">
        <v>0</v>
      </c>
      <c r="AT264" s="67" t="n">
        <v>0</v>
      </c>
    </row>
    <row r="265" ht="40" customHeight="1">
      <c r="A265" s="63" t="inlineStr">
        <is>
          <t>F08-T7-04</t>
        </is>
      </c>
      <c r="B265" s="63" t="inlineStr">
        <is>
          <t>F08</t>
        </is>
      </c>
      <c r="C265" s="63">
        <f>Flights!$F$12</f>
        <v/>
      </c>
      <c r="D265" s="64">
        <f>Flights!$D$12</f>
        <v/>
      </c>
      <c r="E265" s="63">
        <f>Flights!$G$12&amp;"-"&amp;Flights!$H$12</f>
        <v/>
      </c>
      <c r="F265" s="63">
        <f>Flights!$K$12</f>
        <v/>
      </c>
      <c r="G265" s="63" t="inlineStr">
        <is>
          <t>T-7D</t>
        </is>
      </c>
      <c r="H265" s="63" t="inlineStr">
        <is>
          <t>Preparation</t>
        </is>
      </c>
      <c r="I265" s="63" t="inlineStr">
        <is>
          <t>Staffing</t>
        </is>
      </c>
      <c r="J265" s="63" t="inlineStr">
        <is>
          <t>Experienced catering officer assigned to this flight</t>
        </is>
      </c>
      <c r="K265" s="73" t="inlineStr">
        <is>
          <t>Record officer name in Result</t>
        </is>
      </c>
      <c r="L265" s="73" t="inlineStr">
        <is>
          <t>User brief (T-7 days)</t>
        </is>
      </c>
      <c r="M265" s="73" t="inlineStr"/>
      <c r="N265" s="73" t="inlineStr">
        <is>
          <t>Required</t>
        </is>
      </c>
      <c r="O265" s="73" t="inlineStr"/>
      <c r="P265" s="63" t="inlineStr">
        <is>
          <t>KUL</t>
        </is>
      </c>
      <c r="Q265" s="65">
        <f>Flights!$AC$12</f>
        <v/>
      </c>
      <c r="R265" s="65">
        <f>Q265+(IF(AND(INDEX(TZ_DSTS,MATCH(P265,TZ_STN,0))&lt;&gt;"",Q265&gt;=INDEX(TZ_DSTS,MATCH(P265,TZ_STN,0)),Q265&lt;INDEX(TZ_DSTE,MATCH(P265,TZ_STN,0))),INDEX(TZ_DST,MATCH(P265,TZ_STN,0)),INDEX(TZ_STD,MATCH(P265,TZ_STN,0))))/24</f>
        <v/>
      </c>
      <c r="S265" s="65" t="inlineStr"/>
      <c r="T265" s="66" t="n"/>
      <c r="U265" s="66" t="n"/>
      <c r="V265" s="66" t="n"/>
      <c r="W265" s="67" t="n"/>
      <c r="X265" s="66" t="n"/>
      <c r="Y265" s="66" t="n"/>
      <c r="Z265" s="66" t="n"/>
      <c r="AA265" s="66" t="n"/>
      <c r="AB265" s="66" t="n"/>
      <c r="AC265" s="66" t="n"/>
      <c r="AD265" s="72" t="n"/>
      <c r="AE265" s="66" t="n"/>
      <c r="AF265" s="67">
        <f>IF(AND(ISNUMBER(X265),ISNUMBER(Y265)),Y265-X265,"")</f>
        <v/>
      </c>
      <c r="AG265" s="68">
        <f>IF(ISNUMBER(AD265),AD265-(IF(AND(INDEX(TZ_DSTS,MATCH(P265,TZ_STN,0))&lt;&gt;"",(AD265-INDEX(TZ_STD,MATCH(P265,TZ_STN,0))/24)&gt;=INDEX(TZ_DSTS,MATCH(P265,TZ_STN,0)),(AD265-INDEX(TZ_STD,MATCH(P265,TZ_STN,0))/24)&lt;INDEX(TZ_DSTE,MATCH(P265,TZ_STN,0))),INDEX(TZ_DST,MATCH(P265,TZ_STN,0)),INDEX(TZ_STD,MATCH(P265,TZ_STN,0))))/24,"")</f>
        <v/>
      </c>
      <c r="AH265" s="71">
        <f>IF(N265="N/A – rule","N/A – RULE",IF(TRIM(U265)="N/A",IF(AT265=0,"INVALID – N/A not permitted for this mandatory check",IF(AND(TRIM(AC265)&lt;&gt;"",TRIM(AE265)&lt;&gt;"",TRIM(T265)&lt;&gt;""),"N/A – JUSTIFIED","INVALID – N/A needs justification, PIC and verifier")),IF(OR(TRIM(U265)="Pass",TRIM(U265)="Pass after CA"),IF(NOT(ISNUMBER(AD265)),"INVALID – completion time missing",IF(TRIM(T265)="","INVALID – PIC missing",IF(TRIM(Z265)="","INVALID – evidence missing",IF(TRIM(AE265)="","INVALID – verifier missing",IF(AND(AQ265=1,TRIM(W265)=""),"INVALID – batch ID missing",IF(AND(AR265=1,OR(NOT(ISNUMBER(X265)),NOT(ISNUMBER(Y265)))),"INVALID – expected/actual qty missing",IF(IF(AND(TRIM(U265)="Pass",ISNUMBER(AF265)),IF(AF265&lt;&gt;0,"INVALID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recorded/closed","")&lt;&gt;"",IF(AND(TRIM(U265)="Pass",ISNUMBER(AF265)),IF(AF265&lt;&gt;0,"INVALID – qty variance: use Fail or Pass after CA",""),"")&amp;IF(AND(TRIM(U265)="Pass",AB265="Open"),"INVALID – corrective action still open: use Fail, then Pass after CA","")&amp;IF(AND(TRIM(U265)="Pass after CA",OR(TRIM(AA265)="",AB265&lt;&gt;"Closed")),"INVALID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window"),IF(AG265&gt;Flights!$AA$12,"INVALID – completed after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f>
        <v/>
      </c>
      <c r="AI265" s="67">
        <f>IF(OR(AH265="N/A – RULE",AH265="N/A – JUSTIFIED"),0,1)</f>
        <v/>
      </c>
      <c r="AJ265" s="67">
        <f>IF(LEFT(AH265,8)="COMPLETE",1,0)</f>
        <v/>
      </c>
      <c r="AK265" s="67">
        <f>IF(AND(AI265=1,AJ265=0,AsOfUTC&gt;Q265),1,0)</f>
        <v/>
      </c>
      <c r="AL265" s="67">
        <f>IF(AND(AI265=1,OR(TRIM(U265)="Fail",AB265="Open",AND(ISNUMBER(AF265),AF265&lt;&gt;0,TRIM(U265)&lt;&gt;"Pass after CA"))),1,0)</f>
        <v/>
      </c>
      <c r="AM265" s="67">
        <f>IF(LEFT(AH265,7)="INVALID",1,0)</f>
        <v/>
      </c>
      <c r="AN265" s="67">
        <f>IF(AND(N265="Clarification required",AI265=1,AJ265=0),1,0)</f>
        <v/>
      </c>
      <c r="AO265" s="67">
        <f>IF(AK265=1,SUM(AK$5:AK265),"")</f>
        <v/>
      </c>
      <c r="AP265" s="67">
        <f>IF(AL265=1,SUM(AL$5:AL265),"")</f>
        <v/>
      </c>
      <c r="AQ265" s="67" t="n">
        <v>0</v>
      </c>
      <c r="AR265" s="67" t="n">
        <v>0</v>
      </c>
      <c r="AS265" s="67" t="n">
        <v>0</v>
      </c>
      <c r="AT265" s="67" t="n">
        <v>0</v>
      </c>
    </row>
    <row r="266" ht="40" customHeight="1">
      <c r="A266" s="63" t="inlineStr">
        <is>
          <t>F08-T7-05</t>
        </is>
      </c>
      <c r="B266" s="63" t="inlineStr">
        <is>
          <t>F08</t>
        </is>
      </c>
      <c r="C266" s="63">
        <f>Flights!$F$12</f>
        <v/>
      </c>
      <c r="D266" s="64">
        <f>Flights!$D$12</f>
        <v/>
      </c>
      <c r="E266" s="63">
        <f>Flights!$G$12&amp;"-"&amp;Flights!$H$12</f>
        <v/>
      </c>
      <c r="F266" s="63">
        <f>Flights!$K$12</f>
        <v/>
      </c>
      <c r="G266" s="63" t="inlineStr">
        <is>
          <t>T-7D</t>
        </is>
      </c>
      <c r="H266" s="63" t="inlineStr">
        <is>
          <t>Preparation</t>
        </is>
      </c>
      <c r="I266" s="63" t="inlineStr">
        <is>
          <t>ISOP</t>
        </is>
      </c>
      <c r="J266" s="63" t="inlineStr">
        <is>
          <t>All latest applicable ISOP revisions communicated to caterer</t>
        </is>
      </c>
      <c r="K266" s="73" t="inlineStr">
        <is>
          <t>List revision numbers in Result (see ISOP register)</t>
        </is>
      </c>
      <c r="L266" s="73" t="inlineStr">
        <is>
          <t>User brief (T-7 days)</t>
        </is>
      </c>
      <c r="M266" s="73" t="inlineStr"/>
      <c r="N266" s="73" t="inlineStr">
        <is>
          <t>Required</t>
        </is>
      </c>
      <c r="O266" s="73" t="inlineStr"/>
      <c r="P266" s="63" t="inlineStr">
        <is>
          <t>KUL</t>
        </is>
      </c>
      <c r="Q266" s="65">
        <f>Flights!$AC$12</f>
        <v/>
      </c>
      <c r="R266" s="65">
        <f>Q266+(IF(AND(INDEX(TZ_DSTS,MATCH(P266,TZ_STN,0))&lt;&gt;"",Q266&gt;=INDEX(TZ_DSTS,MATCH(P266,TZ_STN,0)),Q266&lt;INDEX(TZ_DSTE,MATCH(P266,TZ_STN,0))),INDEX(TZ_DST,MATCH(P266,TZ_STN,0)),INDEX(TZ_STD,MATCH(P266,TZ_STN,0))))/24</f>
        <v/>
      </c>
      <c r="S266" s="65" t="inlineStr"/>
      <c r="T266" s="66" t="n"/>
      <c r="U266" s="66" t="n"/>
      <c r="V266" s="66" t="n"/>
      <c r="W266" s="67" t="n"/>
      <c r="X266" s="66" t="n"/>
      <c r="Y266" s="66" t="n"/>
      <c r="Z266" s="66" t="n"/>
      <c r="AA266" s="66" t="n"/>
      <c r="AB266" s="66" t="n"/>
      <c r="AC266" s="66" t="n"/>
      <c r="AD266" s="72" t="n"/>
      <c r="AE266" s="66" t="n"/>
      <c r="AF266" s="67">
        <f>IF(AND(ISNUMBER(X266),ISNUMBER(Y266)),Y266-X266,"")</f>
        <v/>
      </c>
      <c r="AG266" s="68">
        <f>IF(ISNUMBER(AD266),AD266-(IF(AND(INDEX(TZ_DSTS,MATCH(P266,TZ_STN,0))&lt;&gt;"",(AD266-INDEX(TZ_STD,MATCH(P266,TZ_STN,0))/24)&gt;=INDEX(TZ_DSTS,MATCH(P266,TZ_STN,0)),(AD266-INDEX(TZ_STD,MATCH(P266,TZ_STN,0))/24)&lt;INDEX(TZ_DSTE,MATCH(P266,TZ_STN,0))),INDEX(TZ_DST,MATCH(P266,TZ_STN,0)),INDEX(TZ_STD,MATCH(P266,TZ_STN,0))))/24,"")</f>
        <v/>
      </c>
      <c r="AH266" s="71">
        <f>IF(N266="N/A – rule","N/A – RULE",IF(TRIM(U266)="N/A",IF(AT266=0,"INVALID – N/A not permitted for this mandatory check",IF(AND(TRIM(AC266)&lt;&gt;"",TRIM(AE266)&lt;&gt;"",TRIM(T266)&lt;&gt;""),"N/A – JUSTIFIED","INVALID – N/A needs justification, PIC and verifier")),IF(OR(TRIM(U266)="Pass",TRIM(U266)="Pass after CA"),IF(NOT(ISNUMBER(AD266)),"INVALID – completion time missing",IF(TRIM(T266)="","INVALID – PIC missing",IF(TRIM(Z266)="","INVALID – evidence missing",IF(TRIM(AE266)="","INVALID – verifier missing",IF(AND(AQ266=1,TRIM(W266)=""),"INVALID – batch ID missing",IF(AND(AR266=1,OR(NOT(ISNUMBER(X266)),NOT(ISNUMBER(Y266)))),"INVALID – expected/actual qty missing",IF(IF(AND(TRIM(U266)="Pass",ISNUMBER(AF266)),IF(AF266&lt;&gt;0,"INVALID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recorded/closed","")&lt;&gt;"",IF(AND(TRIM(U266)="Pass",ISNUMBER(AF266)),IF(AF266&lt;&gt;0,"INVALID – qty variance: use Fail or Pass after CA",""),"")&amp;IF(AND(TRIM(U266)="Pass",AB266="Open"),"INVALID – corrective action still open: use Fail, then Pass after CA","")&amp;IF(AND(TRIM(U266)="Pass after CA",OR(TRIM(AA266)="",AB266&lt;&gt;"Closed")),"INVALID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window"),IF(AG266&gt;Flights!$AA$12,"INVALID – completed after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f>
        <v/>
      </c>
      <c r="AI266" s="67">
        <f>IF(OR(AH266="N/A – RULE",AH266="N/A – JUSTIFIED"),0,1)</f>
        <v/>
      </c>
      <c r="AJ266" s="67">
        <f>IF(LEFT(AH266,8)="COMPLETE",1,0)</f>
        <v/>
      </c>
      <c r="AK266" s="67">
        <f>IF(AND(AI266=1,AJ266=0,AsOfUTC&gt;Q266),1,0)</f>
        <v/>
      </c>
      <c r="AL266" s="67">
        <f>IF(AND(AI266=1,OR(TRIM(U266)="Fail",AB266="Open",AND(ISNUMBER(AF266),AF266&lt;&gt;0,TRIM(U266)&lt;&gt;"Pass after CA"))),1,0)</f>
        <v/>
      </c>
      <c r="AM266" s="67">
        <f>IF(LEFT(AH266,7)="INVALID",1,0)</f>
        <v/>
      </c>
      <c r="AN266" s="67">
        <f>IF(AND(N266="Clarification required",AI266=1,AJ266=0),1,0)</f>
        <v/>
      </c>
      <c r="AO266" s="67">
        <f>IF(AK266=1,SUM(AK$5:AK266),"")</f>
        <v/>
      </c>
      <c r="AP266" s="67">
        <f>IF(AL266=1,SUM(AL$5:AL266),"")</f>
        <v/>
      </c>
      <c r="AQ266" s="67" t="n">
        <v>0</v>
      </c>
      <c r="AR266" s="67" t="n">
        <v>0</v>
      </c>
      <c r="AS266" s="67" t="n">
        <v>0</v>
      </c>
      <c r="AT266" s="67" t="n">
        <v>0</v>
      </c>
    </row>
    <row r="267" ht="40" customHeight="1">
      <c r="A267" s="63" t="inlineStr">
        <is>
          <t>F08-T7-06</t>
        </is>
      </c>
      <c r="B267" s="63" t="inlineStr">
        <is>
          <t>F08</t>
        </is>
      </c>
      <c r="C267" s="63">
        <f>Flights!$F$12</f>
        <v/>
      </c>
      <c r="D267" s="64">
        <f>Flights!$D$12</f>
        <v/>
      </c>
      <c r="E267" s="63">
        <f>Flights!$G$12&amp;"-"&amp;Flights!$H$12</f>
        <v/>
      </c>
      <c r="F267" s="63">
        <f>Flights!$K$12</f>
        <v/>
      </c>
      <c r="G267" s="63" t="inlineStr">
        <is>
          <t>T-7D</t>
        </is>
      </c>
      <c r="H267" s="63" t="inlineStr">
        <is>
          <t>Preparation</t>
        </is>
      </c>
      <c r="I267" s="63" t="inlineStr">
        <is>
          <t>ISOP</t>
        </is>
      </c>
      <c r="J267" s="63" t="inlineStr">
        <is>
          <t>Caterer acknowledgement of ISOP revisions recorded</t>
        </is>
      </c>
      <c r="K267" s="73" t="inlineStr">
        <is>
          <t>Record acknowledgement ref in Evidence</t>
        </is>
      </c>
      <c r="L267" s="73" t="inlineStr">
        <is>
          <t>User brief (T-7 days)</t>
        </is>
      </c>
      <c r="M267" s="73" t="inlineStr"/>
      <c r="N267" s="73" t="inlineStr">
        <is>
          <t>Required</t>
        </is>
      </c>
      <c r="O267" s="73" t="inlineStr"/>
      <c r="P267" s="63" t="inlineStr">
        <is>
          <t>KUL</t>
        </is>
      </c>
      <c r="Q267" s="65">
        <f>Flights!$AC$12</f>
        <v/>
      </c>
      <c r="R267" s="65">
        <f>Q267+(IF(AND(INDEX(TZ_DSTS,MATCH(P267,TZ_STN,0))&lt;&gt;"",Q267&gt;=INDEX(TZ_DSTS,MATCH(P267,TZ_STN,0)),Q267&lt;INDEX(TZ_DSTE,MATCH(P267,TZ_STN,0))),INDEX(TZ_DST,MATCH(P267,TZ_STN,0)),INDEX(TZ_STD,MATCH(P267,TZ_STN,0))))/24</f>
        <v/>
      </c>
      <c r="S267" s="65" t="inlineStr"/>
      <c r="T267" s="66" t="n"/>
      <c r="U267" s="66" t="n"/>
      <c r="V267" s="66" t="n"/>
      <c r="W267" s="67" t="n"/>
      <c r="X267" s="66" t="n"/>
      <c r="Y267" s="66" t="n"/>
      <c r="Z267" s="66" t="n"/>
      <c r="AA267" s="66" t="n"/>
      <c r="AB267" s="66" t="n"/>
      <c r="AC267" s="66" t="n"/>
      <c r="AD267" s="72" t="n"/>
      <c r="AE267" s="66" t="n"/>
      <c r="AF267" s="67">
        <f>IF(AND(ISNUMBER(X267),ISNUMBER(Y267)),Y267-X267,"")</f>
        <v/>
      </c>
      <c r="AG267" s="68">
        <f>IF(ISNUMBER(AD267),AD267-(IF(AND(INDEX(TZ_DSTS,MATCH(P267,TZ_STN,0))&lt;&gt;"",(AD267-INDEX(TZ_STD,MATCH(P267,TZ_STN,0))/24)&gt;=INDEX(TZ_DSTS,MATCH(P267,TZ_STN,0)),(AD267-INDEX(TZ_STD,MATCH(P267,TZ_STN,0))/24)&lt;INDEX(TZ_DSTE,MATCH(P267,TZ_STN,0))),INDEX(TZ_DST,MATCH(P267,TZ_STN,0)),INDEX(TZ_STD,MATCH(P267,TZ_STN,0))))/24,"")</f>
        <v/>
      </c>
      <c r="AH267" s="71">
        <f>IF(N267="N/A – rule","N/A – RULE",IF(TRIM(U267)="N/A",IF(AT267=0,"INVALID – N/A not permitted for this mandatory check",IF(AND(TRIM(AC267)&lt;&gt;"",TRIM(AE267)&lt;&gt;"",TRIM(T267)&lt;&gt;""),"N/A – JUSTIFIED","INVALID – N/A needs justification, PIC and verifier")),IF(OR(TRIM(U267)="Pass",TRIM(U267)="Pass after CA"),IF(NOT(ISNUMBER(AD267)),"INVALID – completion time missing",IF(TRIM(T267)="","INVALID – PIC missing",IF(TRIM(Z267)="","INVALID – evidence missing",IF(TRIM(AE267)="","INVALID – verifier missing",IF(AND(AQ267=1,TRIM(W267)=""),"INVALID – batch ID missing",IF(AND(AR267=1,OR(NOT(ISNUMBER(X267)),NOT(ISNUMBER(Y267)))),"INVALID – expected/actual qty missing",IF(IF(AND(TRIM(U267)="Pass",ISNUMBER(AF267)),IF(AF267&lt;&gt;0,"INVALID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recorded/closed","")&lt;&gt;"",IF(AND(TRIM(U267)="Pass",ISNUMBER(AF267)),IF(AF267&lt;&gt;0,"INVALID – qty variance: use Fail or Pass after CA",""),"")&amp;IF(AND(TRIM(U267)="Pass",AB267="Open"),"INVALID – corrective action still open: use Fail, then Pass after CA","")&amp;IF(AND(TRIM(U267)="Pass after CA",OR(TRIM(AA267)="",AB267&lt;&gt;"Closed")),"INVALID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window"),IF(AG267&gt;Flights!$AA$12,"INVALID – completed after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f>
        <v/>
      </c>
      <c r="AI267" s="67">
        <f>IF(OR(AH267="N/A – RULE",AH267="N/A – JUSTIFIED"),0,1)</f>
        <v/>
      </c>
      <c r="AJ267" s="67">
        <f>IF(LEFT(AH267,8)="COMPLETE",1,0)</f>
        <v/>
      </c>
      <c r="AK267" s="67">
        <f>IF(AND(AI267=1,AJ267=0,AsOfUTC&gt;Q267),1,0)</f>
        <v/>
      </c>
      <c r="AL267" s="67">
        <f>IF(AND(AI267=1,OR(TRIM(U267)="Fail",AB267="Open",AND(ISNUMBER(AF267),AF267&lt;&gt;0,TRIM(U267)&lt;&gt;"Pass after CA"))),1,0)</f>
        <v/>
      </c>
      <c r="AM267" s="67">
        <f>IF(LEFT(AH267,7)="INVALID",1,0)</f>
        <v/>
      </c>
      <c r="AN267" s="67">
        <f>IF(AND(N267="Clarification required",AI267=1,AJ267=0),1,0)</f>
        <v/>
      </c>
      <c r="AO267" s="67">
        <f>IF(AK267=1,SUM(AK$5:AK267),"")</f>
        <v/>
      </c>
      <c r="AP267" s="67">
        <f>IF(AL267=1,SUM(AL$5:AL267),"")</f>
        <v/>
      </c>
      <c r="AQ267" s="67" t="n">
        <v>0</v>
      </c>
      <c r="AR267" s="67" t="n">
        <v>0</v>
      </c>
      <c r="AS267" s="67" t="n">
        <v>0</v>
      </c>
      <c r="AT267" s="67" t="n">
        <v>0</v>
      </c>
    </row>
    <row r="268" ht="40" customHeight="1">
      <c r="A268" s="63" t="inlineStr">
        <is>
          <t>F08-T7-07</t>
        </is>
      </c>
      <c r="B268" s="63" t="inlineStr">
        <is>
          <t>F08</t>
        </is>
      </c>
      <c r="C268" s="63">
        <f>Flights!$F$12</f>
        <v/>
      </c>
      <c r="D268" s="64">
        <f>Flights!$D$12</f>
        <v/>
      </c>
      <c r="E268" s="63">
        <f>Flights!$G$12&amp;"-"&amp;Flights!$H$12</f>
        <v/>
      </c>
      <c r="F268" s="63">
        <f>Flights!$K$12</f>
        <v/>
      </c>
      <c r="G268" s="63" t="inlineStr">
        <is>
          <t>T-7D</t>
        </is>
      </c>
      <c r="H268" s="63" t="inlineStr">
        <is>
          <t>Preparation</t>
        </is>
      </c>
      <c r="I268" s="63" t="inlineStr">
        <is>
          <t>Documents</t>
        </is>
      </c>
      <c r="J268" s="63" t="inlineStr">
        <is>
          <t>Galley loading diagram (GLD) received, revision recorded &amp; attached</t>
        </is>
      </c>
      <c r="K268" s="73" t="inlineStr">
        <is>
          <t>Documents sheet row complete</t>
        </is>
      </c>
      <c r="L268" s="73" t="inlineStr">
        <is>
          <t>User brief (T-7 days)</t>
        </is>
      </c>
      <c r="M268" s="73" t="inlineStr"/>
      <c r="N268" s="73" t="inlineStr">
        <is>
          <t>Required</t>
        </is>
      </c>
      <c r="O268" s="73" t="inlineStr"/>
      <c r="P268" s="63" t="inlineStr">
        <is>
          <t>KUL</t>
        </is>
      </c>
      <c r="Q268" s="65">
        <f>Flights!$AC$12</f>
        <v/>
      </c>
      <c r="R268" s="65">
        <f>Q268+(IF(AND(INDEX(TZ_DSTS,MATCH(P268,TZ_STN,0))&lt;&gt;"",Q268&gt;=INDEX(TZ_DSTS,MATCH(P268,TZ_STN,0)),Q268&lt;INDEX(TZ_DSTE,MATCH(P268,TZ_STN,0))),INDEX(TZ_DST,MATCH(P268,TZ_STN,0)),INDEX(TZ_STD,MATCH(P268,TZ_STN,0))))/24</f>
        <v/>
      </c>
      <c r="S268" s="65" t="inlineStr"/>
      <c r="T268" s="66" t="n"/>
      <c r="U268" s="66" t="n"/>
      <c r="V268" s="66" t="n"/>
      <c r="W268" s="67" t="n"/>
      <c r="X268" s="66" t="n"/>
      <c r="Y268" s="66" t="n"/>
      <c r="Z268" s="66" t="n"/>
      <c r="AA268" s="66" t="n"/>
      <c r="AB268" s="66" t="n"/>
      <c r="AC268" s="66" t="n"/>
      <c r="AD268" s="72" t="n"/>
      <c r="AE268" s="66" t="n"/>
      <c r="AF268" s="67">
        <f>IF(AND(ISNUMBER(X268),ISNUMBER(Y268)),Y268-X268,"")</f>
        <v/>
      </c>
      <c r="AG268" s="68">
        <f>IF(ISNUMBER(AD268),AD268-(IF(AND(INDEX(TZ_DSTS,MATCH(P268,TZ_STN,0))&lt;&gt;"",(AD268-INDEX(TZ_STD,MATCH(P268,TZ_STN,0))/24)&gt;=INDEX(TZ_DSTS,MATCH(P268,TZ_STN,0)),(AD268-INDEX(TZ_STD,MATCH(P268,TZ_STN,0))/24)&lt;INDEX(TZ_DSTE,MATCH(P268,TZ_STN,0))),INDEX(TZ_DST,MATCH(P268,TZ_STN,0)),INDEX(TZ_STD,MATCH(P268,TZ_STN,0))))/24,"")</f>
        <v/>
      </c>
      <c r="AH268" s="71">
        <f>IF(N268="N/A – rule","N/A – RULE",IF(TRIM(U268)="N/A",IF(AT268=0,"INVALID – N/A not permitted for this mandatory check",IF(AND(TRIM(AC268)&lt;&gt;"",TRIM(AE268)&lt;&gt;"",TRIM(T268)&lt;&gt;""),"N/A – JUSTIFIED","INVALID – N/A needs justification, PIC and verifier")),IF(OR(TRIM(U268)="Pass",TRIM(U268)="Pass after CA"),IF(NOT(ISNUMBER(AD268)),"INVALID – completion time missing",IF(TRIM(T268)="","INVALID – PIC missing",IF(TRIM(Z268)="","INVALID – evidence missing",IF(TRIM(AE268)="","INVALID – verifier missing",IF(AND(AQ268=1,TRIM(W268)=""),"INVALID – batch ID missing",IF(AND(AR268=1,OR(NOT(ISNUMBER(X268)),NOT(ISNUMBER(Y268)))),"INVALID – expected/actual qty missing",IF(IF(AND(TRIM(U268)="Pass",ISNUMBER(AF268)),IF(AF268&lt;&gt;0,"INVALID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recorded/closed","")&lt;&gt;"",IF(AND(TRIM(U268)="Pass",ISNUMBER(AF268)),IF(AF268&lt;&gt;0,"INVALID – qty variance: use Fail or Pass after CA",""),"")&amp;IF(AND(TRIM(U268)="Pass",AB268="Open"),"INVALID – corrective action still open: use Fail, then Pass after CA","")&amp;IF(AND(TRIM(U268)="Pass after CA",OR(TRIM(AA268)="",AB268&lt;&gt;"Closed")),"INVALID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window"),IF(AG268&gt;Flights!$AA$12,"INVALID – completed after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f>
        <v/>
      </c>
      <c r="AI268" s="67">
        <f>IF(OR(AH268="N/A – RULE",AH268="N/A – JUSTIFIED"),0,1)</f>
        <v/>
      </c>
      <c r="AJ268" s="67">
        <f>IF(LEFT(AH268,8)="COMPLETE",1,0)</f>
        <v/>
      </c>
      <c r="AK268" s="67">
        <f>IF(AND(AI268=1,AJ268=0,AsOfUTC&gt;Q268),1,0)</f>
        <v/>
      </c>
      <c r="AL268" s="67">
        <f>IF(AND(AI268=1,OR(TRIM(U268)="Fail",AB268="Open",AND(ISNUMBER(AF268),AF268&lt;&gt;0,TRIM(U268)&lt;&gt;"Pass after CA"))),1,0)</f>
        <v/>
      </c>
      <c r="AM268" s="67">
        <f>IF(LEFT(AH268,7)="INVALID",1,0)</f>
        <v/>
      </c>
      <c r="AN268" s="67">
        <f>IF(AND(N268="Clarification required",AI268=1,AJ268=0),1,0)</f>
        <v/>
      </c>
      <c r="AO268" s="67">
        <f>IF(AK268=1,SUM(AK$5:AK268),"")</f>
        <v/>
      </c>
      <c r="AP268" s="67">
        <f>IF(AL268=1,SUM(AL$5:AL268),"")</f>
        <v/>
      </c>
      <c r="AQ268" s="67" t="n">
        <v>0</v>
      </c>
      <c r="AR268" s="67" t="n">
        <v>0</v>
      </c>
      <c r="AS268" s="67" t="n">
        <v>1</v>
      </c>
      <c r="AT268" s="67" t="n">
        <v>0</v>
      </c>
    </row>
    <row r="269" ht="40" customHeight="1">
      <c r="A269" s="63" t="inlineStr">
        <is>
          <t>F08-T7-08</t>
        </is>
      </c>
      <c r="B269" s="63" t="inlineStr">
        <is>
          <t>F08</t>
        </is>
      </c>
      <c r="C269" s="63">
        <f>Flights!$F$12</f>
        <v/>
      </c>
      <c r="D269" s="64">
        <f>Flights!$D$12</f>
        <v/>
      </c>
      <c r="E269" s="63">
        <f>Flights!$G$12&amp;"-"&amp;Flights!$H$12</f>
        <v/>
      </c>
      <c r="F269" s="63">
        <f>Flights!$K$12</f>
        <v/>
      </c>
      <c r="G269" s="63" t="inlineStr">
        <is>
          <t>T-7D</t>
        </is>
      </c>
      <c r="H269" s="63" t="inlineStr">
        <is>
          <t>Preparation</t>
        </is>
      </c>
      <c r="I269" s="63" t="inlineStr">
        <is>
          <t>Documents</t>
        </is>
      </c>
      <c r="J269" s="63" t="inlineStr">
        <is>
          <t>Menu checklist received, revision recorded &amp; attached</t>
        </is>
      </c>
      <c r="K269" s="73" t="inlineStr">
        <is>
          <t>Documents sheet row complete</t>
        </is>
      </c>
      <c r="L269" s="73" t="inlineStr">
        <is>
          <t>User brief (T-7 days)</t>
        </is>
      </c>
      <c r="M269" s="73" t="inlineStr"/>
      <c r="N269" s="73" t="inlineStr">
        <is>
          <t>Required</t>
        </is>
      </c>
      <c r="O269" s="73" t="inlineStr"/>
      <c r="P269" s="63" t="inlineStr">
        <is>
          <t>KUL</t>
        </is>
      </c>
      <c r="Q269" s="65">
        <f>Flights!$AC$12</f>
        <v/>
      </c>
      <c r="R269" s="65">
        <f>Q269+(IF(AND(INDEX(TZ_DSTS,MATCH(P269,TZ_STN,0))&lt;&gt;"",Q269&gt;=INDEX(TZ_DSTS,MATCH(P269,TZ_STN,0)),Q269&lt;INDEX(TZ_DSTE,MATCH(P269,TZ_STN,0))),INDEX(TZ_DST,MATCH(P269,TZ_STN,0)),INDEX(TZ_STD,MATCH(P269,TZ_STN,0))))/24</f>
        <v/>
      </c>
      <c r="S269" s="65" t="inlineStr"/>
      <c r="T269" s="66" t="n"/>
      <c r="U269" s="66" t="n"/>
      <c r="V269" s="66" t="n"/>
      <c r="W269" s="67" t="n"/>
      <c r="X269" s="66" t="n"/>
      <c r="Y269" s="66" t="n"/>
      <c r="Z269" s="66" t="n"/>
      <c r="AA269" s="66" t="n"/>
      <c r="AB269" s="66" t="n"/>
      <c r="AC269" s="66" t="n"/>
      <c r="AD269" s="72" t="n"/>
      <c r="AE269" s="66" t="n"/>
      <c r="AF269" s="67">
        <f>IF(AND(ISNUMBER(X269),ISNUMBER(Y269)),Y269-X269,"")</f>
        <v/>
      </c>
      <c r="AG269" s="68">
        <f>IF(ISNUMBER(AD269),AD269-(IF(AND(INDEX(TZ_DSTS,MATCH(P269,TZ_STN,0))&lt;&gt;"",(AD269-INDEX(TZ_STD,MATCH(P269,TZ_STN,0))/24)&gt;=INDEX(TZ_DSTS,MATCH(P269,TZ_STN,0)),(AD269-INDEX(TZ_STD,MATCH(P269,TZ_STN,0))/24)&lt;INDEX(TZ_DSTE,MATCH(P269,TZ_STN,0))),INDEX(TZ_DST,MATCH(P269,TZ_STN,0)),INDEX(TZ_STD,MATCH(P269,TZ_STN,0))))/24,"")</f>
        <v/>
      </c>
      <c r="AH269" s="71">
        <f>IF(N269="N/A – rule","N/A – RULE",IF(TRIM(U269)="N/A",IF(AT269=0,"INVALID – N/A not permitted for this mandatory check",IF(AND(TRIM(AC269)&lt;&gt;"",TRIM(AE269)&lt;&gt;"",TRIM(T269)&lt;&gt;""),"N/A – JUSTIFIED","INVALID – N/A needs justification, PIC and verifier")),IF(OR(TRIM(U269)="Pass",TRIM(U269)="Pass after CA"),IF(NOT(ISNUMBER(AD269)),"INVALID – completion time missing",IF(TRIM(T269)="","INVALID – PIC missing",IF(TRIM(Z269)="","INVALID – evidence missing",IF(TRIM(AE269)="","INVALID – verifier missing",IF(AND(AQ269=1,TRIM(W269)=""),"INVALID – batch ID missing",IF(AND(AR269=1,OR(NOT(ISNUMBER(X269)),NOT(ISNUMBER(Y269)))),"INVALID – expected/actual qty missing",IF(IF(AND(TRIM(U269)="Pass",ISNUMBER(AF269)),IF(AF269&lt;&gt;0,"INVALID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recorded/closed","")&lt;&gt;"",IF(AND(TRIM(U269)="Pass",ISNUMBER(AF269)),IF(AF269&lt;&gt;0,"INVALID – qty variance: use Fail or Pass after CA",""),"")&amp;IF(AND(TRIM(U269)="Pass",AB269="Open"),"INVALID – corrective action still open: use Fail, then Pass after CA","")&amp;IF(AND(TRIM(U269)="Pass after CA",OR(TRIM(AA269)="",AB269&lt;&gt;"Closed")),"INVALID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window"),IF(AG269&gt;Flights!$AA$12,"INVALID – completed after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f>
        <v/>
      </c>
      <c r="AI269" s="67">
        <f>IF(OR(AH269="N/A – RULE",AH269="N/A – JUSTIFIED"),0,1)</f>
        <v/>
      </c>
      <c r="AJ269" s="67">
        <f>IF(LEFT(AH269,8)="COMPLETE",1,0)</f>
        <v/>
      </c>
      <c r="AK269" s="67">
        <f>IF(AND(AI269=1,AJ269=0,AsOfUTC&gt;Q269),1,0)</f>
        <v/>
      </c>
      <c r="AL269" s="67">
        <f>IF(AND(AI269=1,OR(TRIM(U269)="Fail",AB269="Open",AND(ISNUMBER(AF269),AF269&lt;&gt;0,TRIM(U269)&lt;&gt;"Pass after CA"))),1,0)</f>
        <v/>
      </c>
      <c r="AM269" s="67">
        <f>IF(LEFT(AH269,7)="INVALID",1,0)</f>
        <v/>
      </c>
      <c r="AN269" s="67">
        <f>IF(AND(N269="Clarification required",AI269=1,AJ269=0),1,0)</f>
        <v/>
      </c>
      <c r="AO269" s="67">
        <f>IF(AK269=1,SUM(AK$5:AK269),"")</f>
        <v/>
      </c>
      <c r="AP269" s="67">
        <f>IF(AL269=1,SUM(AL$5:AL269),"")</f>
        <v/>
      </c>
      <c r="AQ269" s="67" t="n">
        <v>0</v>
      </c>
      <c r="AR269" s="67" t="n">
        <v>0</v>
      </c>
      <c r="AS269" s="67" t="n">
        <v>2</v>
      </c>
      <c r="AT269" s="67" t="n">
        <v>0</v>
      </c>
    </row>
    <row r="270" ht="40" customHeight="1">
      <c r="A270" s="63" t="inlineStr">
        <is>
          <t>F08-T7-09</t>
        </is>
      </c>
      <c r="B270" s="63" t="inlineStr">
        <is>
          <t>F08</t>
        </is>
      </c>
      <c r="C270" s="63">
        <f>Flights!$F$12</f>
        <v/>
      </c>
      <c r="D270" s="64">
        <f>Flights!$D$12</f>
        <v/>
      </c>
      <c r="E270" s="63">
        <f>Flights!$G$12&amp;"-"&amp;Flights!$H$12</f>
        <v/>
      </c>
      <c r="F270" s="63">
        <f>Flights!$K$12</f>
        <v/>
      </c>
      <c r="G270" s="63" t="inlineStr">
        <is>
          <t>T-7D</t>
        </is>
      </c>
      <c r="H270" s="63" t="inlineStr">
        <is>
          <t>Preparation</t>
        </is>
      </c>
      <c r="I270" s="63" t="inlineStr">
        <is>
          <t>Uplift plan</t>
        </is>
      </c>
      <c r="J270" s="63" t="inlineStr">
        <is>
          <t>Uplift plan confirmed with caterer vs STD Uplift Information</t>
        </is>
      </c>
      <c r="K270" s="73" t="inlineStr">
        <is>
          <t>Service: 1 Meal (Meal); meal uplift stn KUL (ref lists KUL/HAN)</t>
        </is>
      </c>
      <c r="L270" s="73" t="inlineStr">
        <is>
          <t>STD UPLIFT INFORMATION.xlsx &gt; CATERING UPLIFT STN!C51:G51</t>
        </is>
      </c>
      <c r="M270" s="73" t="inlineStr"/>
      <c r="N270" s="73" t="inlineStr">
        <is>
          <t>Required</t>
        </is>
      </c>
      <c r="O270" s="73" t="inlineStr"/>
      <c r="P270" s="63" t="inlineStr">
        <is>
          <t>KUL</t>
        </is>
      </c>
      <c r="Q270" s="65">
        <f>Flights!$AC$12</f>
        <v/>
      </c>
      <c r="R270" s="65">
        <f>Q270+(IF(AND(INDEX(TZ_DSTS,MATCH(P270,TZ_STN,0))&lt;&gt;"",Q270&gt;=INDEX(TZ_DSTS,MATCH(P270,TZ_STN,0)),Q270&lt;INDEX(TZ_DSTE,MATCH(P270,TZ_STN,0))),INDEX(TZ_DST,MATCH(P270,TZ_STN,0)),INDEX(TZ_STD,MATCH(P270,TZ_STN,0))))/24</f>
        <v/>
      </c>
      <c r="S270" s="65" t="inlineStr"/>
      <c r="T270" s="66" t="n"/>
      <c r="U270" s="66" t="n"/>
      <c r="V270" s="66" t="n"/>
      <c r="W270" s="67" t="n"/>
      <c r="X270" s="66" t="n"/>
      <c r="Y270" s="66" t="n"/>
      <c r="Z270" s="66" t="n"/>
      <c r="AA270" s="66" t="n"/>
      <c r="AB270" s="66" t="n"/>
      <c r="AC270" s="66" t="n"/>
      <c r="AD270" s="72" t="n"/>
      <c r="AE270" s="66" t="n"/>
      <c r="AF270" s="67">
        <f>IF(AND(ISNUMBER(X270),ISNUMBER(Y270)),Y270-X270,"")</f>
        <v/>
      </c>
      <c r="AG270" s="68">
        <f>IF(ISNUMBER(AD270),AD270-(IF(AND(INDEX(TZ_DSTS,MATCH(P270,TZ_STN,0))&lt;&gt;"",(AD270-INDEX(TZ_STD,MATCH(P270,TZ_STN,0))/24)&gt;=INDEX(TZ_DSTS,MATCH(P270,TZ_STN,0)),(AD270-INDEX(TZ_STD,MATCH(P270,TZ_STN,0))/24)&lt;INDEX(TZ_DSTE,MATCH(P270,TZ_STN,0))),INDEX(TZ_DST,MATCH(P270,TZ_STN,0)),INDEX(TZ_STD,MATCH(P270,TZ_STN,0))))/24,"")</f>
        <v/>
      </c>
      <c r="AH270" s="71">
        <f>IF(N270="N/A – rule","N/A – RULE",IF(TRIM(U270)="N/A",IF(AT270=0,"INVALID – N/A not permitted for this mandatory check",IF(AND(TRIM(AC270)&lt;&gt;"",TRIM(AE270)&lt;&gt;"",TRIM(T270)&lt;&gt;""),"N/A – JUSTIFIED","INVALID – N/A needs justification, PIC and verifier")),IF(OR(TRIM(U270)="Pass",TRIM(U270)="Pass after CA"),IF(NOT(ISNUMBER(AD270)),"INVALID – completion time missing",IF(TRIM(T270)="","INVALID – PIC missing",IF(TRIM(Z270)="","INVALID – evidence missing",IF(TRIM(AE270)="","INVALID – verifier missing",IF(AND(AQ270=1,TRIM(W270)=""),"INVALID – batch ID missing",IF(AND(AR270=1,OR(NOT(ISNUMBER(X270)),NOT(ISNUMBER(Y270)))),"INVALID – expected/actual qty missing",IF(IF(AND(TRIM(U270)="Pass",ISNUMBER(AF270)),IF(AF270&lt;&gt;0,"INVALID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recorded/closed","")&lt;&gt;"",IF(AND(TRIM(U270)="Pass",ISNUMBER(AF270)),IF(AF270&lt;&gt;0,"INVALID – qty variance: use Fail or Pass after CA",""),"")&amp;IF(AND(TRIM(U270)="Pass",AB270="Open"),"INVALID – corrective action still open: use Fail, then Pass after CA","")&amp;IF(AND(TRIM(U270)="Pass after CA",OR(TRIM(AA270)="",AB270&lt;&gt;"Closed")),"INVALID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window"),IF(AG270&gt;Flights!$AA$12,"INVALID – completed after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f>
        <v/>
      </c>
      <c r="AI270" s="67">
        <f>IF(OR(AH270="N/A – RULE",AH270="N/A – JUSTIFIED"),0,1)</f>
        <v/>
      </c>
      <c r="AJ270" s="67">
        <f>IF(LEFT(AH270,8)="COMPLETE",1,0)</f>
        <v/>
      </c>
      <c r="AK270" s="67">
        <f>IF(AND(AI270=1,AJ270=0,AsOfUTC&gt;Q270),1,0)</f>
        <v/>
      </c>
      <c r="AL270" s="67">
        <f>IF(AND(AI270=1,OR(TRIM(U270)="Fail",AB270="Open",AND(ISNUMBER(AF270),AF270&lt;&gt;0,TRIM(U270)&lt;&gt;"Pass after CA"))),1,0)</f>
        <v/>
      </c>
      <c r="AM270" s="67">
        <f>IF(LEFT(AH270,7)="INVALID",1,0)</f>
        <v/>
      </c>
      <c r="AN270" s="67">
        <f>IF(AND(N270="Clarification required",AI270=1,AJ270=0),1,0)</f>
        <v/>
      </c>
      <c r="AO270" s="67">
        <f>IF(AK270=1,SUM(AK$5:AK270),"")</f>
        <v/>
      </c>
      <c r="AP270" s="67">
        <f>IF(AL270=1,SUM(AL$5:AL270),"")</f>
        <v/>
      </c>
      <c r="AQ270" s="67" t="n">
        <v>0</v>
      </c>
      <c r="AR270" s="67" t="n">
        <v>0</v>
      </c>
      <c r="AS270" s="67" t="n">
        <v>0</v>
      </c>
      <c r="AT270" s="67" t="n">
        <v>0</v>
      </c>
    </row>
    <row r="271" ht="40" customHeight="1">
      <c r="A271" s="63" t="inlineStr">
        <is>
          <t>F08-T24-01</t>
        </is>
      </c>
      <c r="B271" s="63" t="inlineStr">
        <is>
          <t>F08</t>
        </is>
      </c>
      <c r="C271" s="63">
        <f>Flights!$F$12</f>
        <v/>
      </c>
      <c r="D271" s="64">
        <f>Flights!$D$12</f>
        <v/>
      </c>
      <c r="E271" s="63">
        <f>Flights!$G$12&amp;"-"&amp;Flights!$H$12</f>
        <v/>
      </c>
      <c r="F271" s="63">
        <f>Flights!$K$12</f>
        <v/>
      </c>
      <c r="G271" s="63" t="inlineStr">
        <is>
          <t>T-24H</t>
        </is>
      </c>
      <c r="H271" s="63" t="inlineStr">
        <is>
          <t>Preparation</t>
        </is>
      </c>
      <c r="I271" s="63" t="inlineStr">
        <is>
          <t>Meal</t>
        </is>
      </c>
      <c r="J271" s="63" t="inlineStr">
        <is>
          <t>Sensory test repeated on ACTUAL production batch for this flight</t>
        </is>
      </c>
      <c r="K271" s="73" t="inlineStr">
        <is>
          <t>Batch ID, result, CA and acceptance mandatory</t>
        </is>
      </c>
      <c r="L271" s="73" t="inlineStr">
        <is>
          <t>User brief (T-24 hours)</t>
        </is>
      </c>
      <c r="M271" s="73" t="inlineStr"/>
      <c r="N271" s="73" t="inlineStr">
        <is>
          <t>Required</t>
        </is>
      </c>
      <c r="O271" s="73" t="inlineStr"/>
      <c r="P271" s="63" t="inlineStr">
        <is>
          <t>KUL</t>
        </is>
      </c>
      <c r="Q271" s="65">
        <f>Flights!$AD$12</f>
        <v/>
      </c>
      <c r="R271" s="65">
        <f>Q271+(IF(AND(INDEX(TZ_DSTS,MATCH(P271,TZ_STN,0))&lt;&gt;"",Q271&gt;=INDEX(TZ_DSTS,MATCH(P271,TZ_STN,0)),Q271&lt;INDEX(TZ_DSTE,MATCH(P271,TZ_STN,0))),INDEX(TZ_DST,MATCH(P271,TZ_STN,0)),INDEX(TZ_STD,MATCH(P271,TZ_STN,0))))/24</f>
        <v/>
      </c>
      <c r="S271" s="65">
        <f>Q271-T24EarlyH/24</f>
        <v/>
      </c>
      <c r="T271" s="66" t="n"/>
      <c r="U271" s="66" t="n"/>
      <c r="V271" s="66" t="n"/>
      <c r="W271" s="66" t="n"/>
      <c r="X271" s="66" t="n"/>
      <c r="Y271" s="66" t="n"/>
      <c r="Z271" s="66" t="n"/>
      <c r="AA271" s="66" t="n"/>
      <c r="AB271" s="66" t="n"/>
      <c r="AC271" s="66" t="n"/>
      <c r="AD271" s="72" t="n"/>
      <c r="AE271" s="66" t="n"/>
      <c r="AF271" s="67">
        <f>IF(AND(ISNUMBER(X271),ISNUMBER(Y271)),Y271-X271,"")</f>
        <v/>
      </c>
      <c r="AG271" s="68">
        <f>IF(ISNUMBER(AD271),AD271-(IF(AND(INDEX(TZ_DSTS,MATCH(P271,TZ_STN,0))&lt;&gt;"",(AD271-INDEX(TZ_STD,MATCH(P271,TZ_STN,0))/24)&gt;=INDEX(TZ_DSTS,MATCH(P271,TZ_STN,0)),(AD271-INDEX(TZ_STD,MATCH(P271,TZ_STN,0))/24)&lt;INDEX(TZ_DSTE,MATCH(P271,TZ_STN,0))),INDEX(TZ_DST,MATCH(P271,TZ_STN,0)),INDEX(TZ_STD,MATCH(P271,TZ_STN,0))))/24,"")</f>
        <v/>
      </c>
      <c r="AH271" s="71">
        <f>IF(N271="N/A – rule","N/A – RULE",IF(TRIM(U271)="N/A",IF(AT271=0,"INVALID – N/A not permitted for this mandatory check",IF(AND(TRIM(AC271)&lt;&gt;"",TRIM(AE271)&lt;&gt;"",TRIM(T271)&lt;&gt;""),"N/A – JUSTIFIED","INVALID – N/A needs justification, PIC and verifier")),IF(OR(TRIM(U271)="Pass",TRIM(U271)="Pass after CA"),IF(NOT(ISNUMBER(AD271)),"INVALID – completion time missing",IF(TRIM(T271)="","INVALID – PIC missing",IF(TRIM(Z271)="","INVALID – evidence missing",IF(TRIM(AE271)="","INVALID – verifier missing",IF(AND(AQ271=1,TRIM(W271)=""),"INVALID – batch ID missing",IF(AND(AR271=1,OR(NOT(ISNUMBER(X271)),NOT(ISNUMBER(Y271)))),"INVALID – expected/actual qty missing",IF(IF(AND(TRIM(U271)="Pass",ISNUMBER(AF271)),IF(AF271&lt;&gt;0,"INVALID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recorded/closed","")&lt;&gt;"",IF(AND(TRIM(U271)="Pass",ISNUMBER(AF271)),IF(AF271&lt;&gt;0,"INVALID – qty variance: use Fail or Pass after CA",""),"")&amp;IF(AND(TRIM(U271)="Pass",AB271="Open"),"INVALID – corrective action still open: use Fail, then Pass after CA","")&amp;IF(AND(TRIM(U271)="Pass after CA",OR(TRIM(AA271)="",AB271&lt;&gt;"Closed")),"INVALID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window"),IF(AG271&gt;Flights!$AA$12,"INVALID – completed after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f>
        <v/>
      </c>
      <c r="AI271" s="67">
        <f>IF(OR(AH271="N/A – RULE",AH271="N/A – JUSTIFIED"),0,1)</f>
        <v/>
      </c>
      <c r="AJ271" s="67">
        <f>IF(LEFT(AH271,8)="COMPLETE",1,0)</f>
        <v/>
      </c>
      <c r="AK271" s="67">
        <f>IF(AND(AI271=1,AJ271=0,AsOfUTC&gt;Q271),1,0)</f>
        <v/>
      </c>
      <c r="AL271" s="67">
        <f>IF(AND(AI271=1,OR(TRIM(U271)="Fail",AB271="Open",AND(ISNUMBER(AF271),AF271&lt;&gt;0,TRIM(U271)&lt;&gt;"Pass after CA"))),1,0)</f>
        <v/>
      </c>
      <c r="AM271" s="67">
        <f>IF(LEFT(AH271,7)="INVALID",1,0)</f>
        <v/>
      </c>
      <c r="AN271" s="67">
        <f>IF(AND(N271="Clarification required",AI271=1,AJ271=0),1,0)</f>
        <v/>
      </c>
      <c r="AO271" s="67">
        <f>IF(AK271=1,SUM(AK$5:AK271),"")</f>
        <v/>
      </c>
      <c r="AP271" s="67">
        <f>IF(AL271=1,SUM(AL$5:AL271),"")</f>
        <v/>
      </c>
      <c r="AQ271" s="67" t="n">
        <v>1</v>
      </c>
      <c r="AR271" s="67" t="n">
        <v>0</v>
      </c>
      <c r="AS271" s="67" t="n">
        <v>0</v>
      </c>
      <c r="AT271" s="67" t="n">
        <v>0</v>
      </c>
    </row>
    <row r="272" ht="40" customHeight="1">
      <c r="A272" s="63" t="inlineStr">
        <is>
          <t>F08-T12-01</t>
        </is>
      </c>
      <c r="B272" s="63" t="inlineStr">
        <is>
          <t>F08</t>
        </is>
      </c>
      <c r="C272" s="63">
        <f>Flights!$F$12</f>
        <v/>
      </c>
      <c r="D272" s="64">
        <f>Flights!$D$12</f>
        <v/>
      </c>
      <c r="E272" s="63">
        <f>Flights!$G$12&amp;"-"&amp;Flights!$H$12</f>
        <v/>
      </c>
      <c r="F272" s="63">
        <f>Flights!$K$12</f>
        <v/>
      </c>
      <c r="G272" s="63" t="inlineStr">
        <is>
          <t>T-12H PREP</t>
        </is>
      </c>
      <c r="H272" s="63" t="inlineStr">
        <is>
          <t>Preparation</t>
        </is>
      </c>
      <c r="I272" s="63" t="inlineStr">
        <is>
          <t>Meal</t>
        </is>
      </c>
      <c r="J272" s="63" t="inlineStr">
        <is>
          <t>Meal quality vs menu checklist</t>
        </is>
      </c>
      <c r="K272" s="73" t="inlineStr"/>
      <c r="L272" s="73" t="inlineStr">
        <is>
          <t>User brief (T-12 hours)</t>
        </is>
      </c>
      <c r="M272" s="73" t="inlineStr"/>
      <c r="N272" s="73" t="inlineStr">
        <is>
          <t>Required</t>
        </is>
      </c>
      <c r="O272" s="73" t="inlineStr">
        <is>
          <t>Preparation check at caterer - does NOT confirm loading.</t>
        </is>
      </c>
      <c r="P272" s="63" t="inlineStr">
        <is>
          <t>KUL</t>
        </is>
      </c>
      <c r="Q272" s="65">
        <f>Flights!$AE$12</f>
        <v/>
      </c>
      <c r="R272" s="65">
        <f>Q272+(IF(AND(INDEX(TZ_DSTS,MATCH(P272,TZ_STN,0))&lt;&gt;"",Q272&gt;=INDEX(TZ_DSTS,MATCH(P272,TZ_STN,0)),Q272&lt;INDEX(TZ_DSTE,MATCH(P272,TZ_STN,0))),INDEX(TZ_DST,MATCH(P272,TZ_STN,0)),INDEX(TZ_STD,MATCH(P272,TZ_STN,0))))/24</f>
        <v/>
      </c>
      <c r="S272" s="65">
        <f>Q272-T12EarlyH/24</f>
        <v/>
      </c>
      <c r="T272" s="66" t="n"/>
      <c r="U272" s="66" t="n"/>
      <c r="V272" s="66" t="n"/>
      <c r="W272" s="67" t="n"/>
      <c r="X272" s="66" t="n"/>
      <c r="Y272" s="66" t="n"/>
      <c r="Z272" s="66" t="n"/>
      <c r="AA272" s="66" t="n"/>
      <c r="AB272" s="66" t="n"/>
      <c r="AC272" s="66" t="n"/>
      <c r="AD272" s="72" t="n"/>
      <c r="AE272" s="66" t="n"/>
      <c r="AF272" s="67">
        <f>IF(AND(ISNUMBER(X272),ISNUMBER(Y272)),Y272-X272,"")</f>
        <v/>
      </c>
      <c r="AG272" s="68">
        <f>IF(ISNUMBER(AD272),AD272-(IF(AND(INDEX(TZ_DSTS,MATCH(P272,TZ_STN,0))&lt;&gt;"",(AD272-INDEX(TZ_STD,MATCH(P272,TZ_STN,0))/24)&gt;=INDEX(TZ_DSTS,MATCH(P272,TZ_STN,0)),(AD272-INDEX(TZ_STD,MATCH(P272,TZ_STN,0))/24)&lt;INDEX(TZ_DSTE,MATCH(P272,TZ_STN,0))),INDEX(TZ_DST,MATCH(P272,TZ_STN,0)),INDEX(TZ_STD,MATCH(P272,TZ_STN,0))))/24,"")</f>
        <v/>
      </c>
      <c r="AH272" s="71">
        <f>IF(N272="N/A – rule","N/A – RULE",IF(TRIM(U272)="N/A",IF(AT272=0,"INVALID – N/A not permitted for this mandatory check",IF(AND(TRIM(AC272)&lt;&gt;"",TRIM(AE272)&lt;&gt;"",TRIM(T272)&lt;&gt;""),"N/A – JUSTIFIED","INVALID – N/A needs justification, PIC and verifier")),IF(OR(TRIM(U272)="Pass",TRIM(U272)="Pass after CA"),IF(NOT(ISNUMBER(AD272)),"INVALID – completion time missing",IF(TRIM(T272)="","INVALID – PIC missing",IF(TRIM(Z272)="","INVALID – evidence missing",IF(TRIM(AE272)="","INVALID – verifier missing",IF(AND(AQ272=1,TRIM(W272)=""),"INVALID – batch ID missing",IF(AND(AR272=1,OR(NOT(ISNUMBER(X272)),NOT(ISNUMBER(Y272)))),"INVALID – expected/actual qty missing",IF(IF(AND(TRIM(U272)="Pass",ISNUMBER(AF272)),IF(AF272&lt;&gt;0,"INVALID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recorded/closed","")&lt;&gt;"",IF(AND(TRIM(U272)="Pass",ISNUMBER(AF272)),IF(AF272&lt;&gt;0,"INVALID – qty variance: use Fail or Pass after CA",""),"")&amp;IF(AND(TRIM(U272)="Pass",AB272="Open"),"INVALID – corrective action still open: use Fail, then Pass after CA","")&amp;IF(AND(TRIM(U272)="Pass after CA",OR(TRIM(AA272)="",AB272&lt;&gt;"Closed")),"INVALID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window"),IF(AG272&gt;Flights!$AA$12,"INVALID – completed after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f>
        <v/>
      </c>
      <c r="AI272" s="67">
        <f>IF(OR(AH272="N/A – RULE",AH272="N/A – JUSTIFIED"),0,1)</f>
        <v/>
      </c>
      <c r="AJ272" s="67">
        <f>IF(LEFT(AH272,8)="COMPLETE",1,0)</f>
        <v/>
      </c>
      <c r="AK272" s="67">
        <f>IF(AND(AI272=1,AJ272=0,AsOfUTC&gt;Q272),1,0)</f>
        <v/>
      </c>
      <c r="AL272" s="67">
        <f>IF(AND(AI272=1,OR(TRIM(U272)="Fail",AB272="Open",AND(ISNUMBER(AF272),AF272&lt;&gt;0,TRIM(U272)&lt;&gt;"Pass after CA"))),1,0)</f>
        <v/>
      </c>
      <c r="AM272" s="67">
        <f>IF(LEFT(AH272,7)="INVALID",1,0)</f>
        <v/>
      </c>
      <c r="AN272" s="67">
        <f>IF(AND(N272="Clarification required",AI272=1,AJ272=0),1,0)</f>
        <v/>
      </c>
      <c r="AO272" s="67">
        <f>IF(AK272=1,SUM(AK$5:AK272),"")</f>
        <v/>
      </c>
      <c r="AP272" s="67">
        <f>IF(AL272=1,SUM(AL$5:AL272),"")</f>
        <v/>
      </c>
      <c r="AQ272" s="67" t="n">
        <v>0</v>
      </c>
      <c r="AR272" s="67" t="n">
        <v>0</v>
      </c>
      <c r="AS272" s="67" t="n">
        <v>0</v>
      </c>
      <c r="AT272" s="67" t="n">
        <v>0</v>
      </c>
    </row>
    <row r="273" ht="40" customHeight="1">
      <c r="A273" s="63" t="inlineStr">
        <is>
          <t>F08-T12-02</t>
        </is>
      </c>
      <c r="B273" s="63" t="inlineStr">
        <is>
          <t>F08</t>
        </is>
      </c>
      <c r="C273" s="63">
        <f>Flights!$F$12</f>
        <v/>
      </c>
      <c r="D273" s="64">
        <f>Flights!$D$12</f>
        <v/>
      </c>
      <c r="E273" s="63">
        <f>Flights!$G$12&amp;"-"&amp;Flights!$H$12</f>
        <v/>
      </c>
      <c r="F273" s="63">
        <f>Flights!$K$12</f>
        <v/>
      </c>
      <c r="G273" s="63" t="inlineStr">
        <is>
          <t>T-12H PREP</t>
        </is>
      </c>
      <c r="H273" s="63" t="inlineStr">
        <is>
          <t>Preparation</t>
        </is>
      </c>
      <c r="I273" s="63" t="inlineStr">
        <is>
          <t>Meal</t>
        </is>
      </c>
      <c r="J273" s="63" t="inlineStr">
        <is>
          <t>Meal quantities vs menu checklist</t>
        </is>
      </c>
      <c r="K273" s="73" t="inlineStr">
        <is>
          <t>Enter expected &amp; actual</t>
        </is>
      </c>
      <c r="L273" s="73" t="inlineStr">
        <is>
          <t>User brief (T-12 hours)</t>
        </is>
      </c>
      <c r="M273" s="73" t="inlineStr"/>
      <c r="N273" s="73" t="inlineStr">
        <is>
          <t>Required</t>
        </is>
      </c>
      <c r="O273" s="73" t="inlineStr">
        <is>
          <t>Preparation check at caterer - does NOT confirm loading.</t>
        </is>
      </c>
      <c r="P273" s="63" t="inlineStr">
        <is>
          <t>KUL</t>
        </is>
      </c>
      <c r="Q273" s="65">
        <f>Flights!$AE$12</f>
        <v/>
      </c>
      <c r="R273" s="65">
        <f>Q273+(IF(AND(INDEX(TZ_DSTS,MATCH(P273,TZ_STN,0))&lt;&gt;"",Q273&gt;=INDEX(TZ_DSTS,MATCH(P273,TZ_STN,0)),Q273&lt;INDEX(TZ_DSTE,MATCH(P273,TZ_STN,0))),INDEX(TZ_DST,MATCH(P273,TZ_STN,0)),INDEX(TZ_STD,MATCH(P273,TZ_STN,0))))/24</f>
        <v/>
      </c>
      <c r="S273" s="65">
        <f>Q273-T12EarlyH/24</f>
        <v/>
      </c>
      <c r="T273" s="66" t="n"/>
      <c r="U273" s="66" t="n"/>
      <c r="V273" s="66" t="n"/>
      <c r="W273" s="67" t="n"/>
      <c r="X273" s="66" t="n"/>
      <c r="Y273" s="66" t="n"/>
      <c r="Z273" s="66" t="n"/>
      <c r="AA273" s="66" t="n"/>
      <c r="AB273" s="66" t="n"/>
      <c r="AC273" s="66" t="n"/>
      <c r="AD273" s="72" t="n"/>
      <c r="AE273" s="66" t="n"/>
      <c r="AF273" s="67">
        <f>IF(AND(ISNUMBER(X273),ISNUMBER(Y273)),Y273-X273,"")</f>
        <v/>
      </c>
      <c r="AG273" s="68">
        <f>IF(ISNUMBER(AD273),AD273-(IF(AND(INDEX(TZ_DSTS,MATCH(P273,TZ_STN,0))&lt;&gt;"",(AD273-INDEX(TZ_STD,MATCH(P273,TZ_STN,0))/24)&gt;=INDEX(TZ_DSTS,MATCH(P273,TZ_STN,0)),(AD273-INDEX(TZ_STD,MATCH(P273,TZ_STN,0))/24)&lt;INDEX(TZ_DSTE,MATCH(P273,TZ_STN,0))),INDEX(TZ_DST,MATCH(P273,TZ_STN,0)),INDEX(TZ_STD,MATCH(P273,TZ_STN,0))))/24,"")</f>
        <v/>
      </c>
      <c r="AH273" s="71">
        <f>IF(N273="N/A – rule","N/A – RULE",IF(TRIM(U273)="N/A",IF(AT273=0,"INVALID – N/A not permitted for this mandatory check",IF(AND(TRIM(AC273)&lt;&gt;"",TRIM(AE273)&lt;&gt;"",TRIM(T273)&lt;&gt;""),"N/A – JUSTIFIED","INVALID – N/A needs justification, PIC and verifier")),IF(OR(TRIM(U273)="Pass",TRIM(U273)="Pass after CA"),IF(NOT(ISNUMBER(AD273)),"INVALID – completion time missing",IF(TRIM(T273)="","INVALID – PIC missing",IF(TRIM(Z273)="","INVALID – evidence missing",IF(TRIM(AE273)="","INVALID – verifier missing",IF(AND(AQ273=1,TRIM(W273)=""),"INVALID – batch ID missing",IF(AND(AR273=1,OR(NOT(ISNUMBER(X273)),NOT(ISNUMBER(Y273)))),"INVALID – expected/actual qty missing",IF(IF(AND(TRIM(U273)="Pass",ISNUMBER(AF273)),IF(AF273&lt;&gt;0,"INVALID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recorded/closed","")&lt;&gt;"",IF(AND(TRIM(U273)="Pass",ISNUMBER(AF273)),IF(AF273&lt;&gt;0,"INVALID – qty variance: use Fail or Pass after CA",""),"")&amp;IF(AND(TRIM(U273)="Pass",AB273="Open"),"INVALID – corrective action still open: use Fail, then Pass after CA","")&amp;IF(AND(TRIM(U273)="Pass after CA",OR(TRIM(AA273)="",AB273&lt;&gt;"Closed")),"INVALID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window"),IF(AG273&gt;Flights!$AA$12,"INVALID – completed after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f>
        <v/>
      </c>
      <c r="AI273" s="67">
        <f>IF(OR(AH273="N/A – RULE",AH273="N/A – JUSTIFIED"),0,1)</f>
        <v/>
      </c>
      <c r="AJ273" s="67">
        <f>IF(LEFT(AH273,8)="COMPLETE",1,0)</f>
        <v/>
      </c>
      <c r="AK273" s="67">
        <f>IF(AND(AI273=1,AJ273=0,AsOfUTC&gt;Q273),1,0)</f>
        <v/>
      </c>
      <c r="AL273" s="67">
        <f>IF(AND(AI273=1,OR(TRIM(U273)="Fail",AB273="Open",AND(ISNUMBER(AF273),AF273&lt;&gt;0,TRIM(U273)&lt;&gt;"Pass after CA"))),1,0)</f>
        <v/>
      </c>
      <c r="AM273" s="67">
        <f>IF(LEFT(AH273,7)="INVALID",1,0)</f>
        <v/>
      </c>
      <c r="AN273" s="67">
        <f>IF(AND(N273="Clarification required",AI273=1,AJ273=0),1,0)</f>
        <v/>
      </c>
      <c r="AO273" s="67">
        <f>IF(AK273=1,SUM(AK$5:AK273),"")</f>
        <v/>
      </c>
      <c r="AP273" s="67">
        <f>IF(AL273=1,SUM(AL$5:AL273),"")</f>
        <v/>
      </c>
      <c r="AQ273" s="67" t="n">
        <v>0</v>
      </c>
      <c r="AR273" s="67" t="n">
        <v>1</v>
      </c>
      <c r="AS273" s="67" t="n">
        <v>0</v>
      </c>
      <c r="AT273" s="67" t="n">
        <v>0</v>
      </c>
    </row>
    <row r="274" ht="40" customHeight="1">
      <c r="A274" s="63" t="inlineStr">
        <is>
          <t>F08-T12-03</t>
        </is>
      </c>
      <c r="B274" s="63" t="inlineStr">
        <is>
          <t>F08</t>
        </is>
      </c>
      <c r="C274" s="63">
        <f>Flights!$F$12</f>
        <v/>
      </c>
      <c r="D274" s="64">
        <f>Flights!$D$12</f>
        <v/>
      </c>
      <c r="E274" s="63">
        <f>Flights!$G$12&amp;"-"&amp;Flights!$H$12</f>
        <v/>
      </c>
      <c r="F274" s="63">
        <f>Flights!$K$12</f>
        <v/>
      </c>
      <c r="G274" s="63" t="inlineStr">
        <is>
          <t>T-12H PREP</t>
        </is>
      </c>
      <c r="H274" s="63" t="inlineStr">
        <is>
          <t>Preparation</t>
        </is>
      </c>
      <c r="I274" s="63" t="inlineStr">
        <is>
          <t>Equipment</t>
        </is>
      </c>
      <c r="J274" s="63" t="inlineStr">
        <is>
          <t>Equipment cleanliness vs GLD</t>
        </is>
      </c>
      <c r="K274" s="73" t="inlineStr"/>
      <c r="L274" s="73" t="inlineStr">
        <is>
          <t>User brief (T-12 hours)</t>
        </is>
      </c>
      <c r="M274" s="73" t="inlineStr"/>
      <c r="N274" s="73" t="inlineStr">
        <is>
          <t>Required</t>
        </is>
      </c>
      <c r="O274" s="73" t="inlineStr">
        <is>
          <t>Preparation check at caterer - does NOT confirm loading.</t>
        </is>
      </c>
      <c r="P274" s="63" t="inlineStr">
        <is>
          <t>KUL</t>
        </is>
      </c>
      <c r="Q274" s="65">
        <f>Flights!$AE$12</f>
        <v/>
      </c>
      <c r="R274" s="65">
        <f>Q274+(IF(AND(INDEX(TZ_DSTS,MATCH(P274,TZ_STN,0))&lt;&gt;"",Q274&gt;=INDEX(TZ_DSTS,MATCH(P274,TZ_STN,0)),Q274&lt;INDEX(TZ_DSTE,MATCH(P274,TZ_STN,0))),INDEX(TZ_DST,MATCH(P274,TZ_STN,0)),INDEX(TZ_STD,MATCH(P274,TZ_STN,0))))/24</f>
        <v/>
      </c>
      <c r="S274" s="65">
        <f>Q274-T12EarlyH/24</f>
        <v/>
      </c>
      <c r="T274" s="66" t="n"/>
      <c r="U274" s="66" t="n"/>
      <c r="V274" s="66" t="n"/>
      <c r="W274" s="67" t="n"/>
      <c r="X274" s="66" t="n"/>
      <c r="Y274" s="66" t="n"/>
      <c r="Z274" s="66" t="n"/>
      <c r="AA274" s="66" t="n"/>
      <c r="AB274" s="66" t="n"/>
      <c r="AC274" s="66" t="n"/>
      <c r="AD274" s="72" t="n"/>
      <c r="AE274" s="66" t="n"/>
      <c r="AF274" s="67">
        <f>IF(AND(ISNUMBER(X274),ISNUMBER(Y274)),Y274-X274,"")</f>
        <v/>
      </c>
      <c r="AG274" s="68">
        <f>IF(ISNUMBER(AD274),AD274-(IF(AND(INDEX(TZ_DSTS,MATCH(P274,TZ_STN,0))&lt;&gt;"",(AD274-INDEX(TZ_STD,MATCH(P274,TZ_STN,0))/24)&gt;=INDEX(TZ_DSTS,MATCH(P274,TZ_STN,0)),(AD274-INDEX(TZ_STD,MATCH(P274,TZ_STN,0))/24)&lt;INDEX(TZ_DSTE,MATCH(P274,TZ_STN,0))),INDEX(TZ_DST,MATCH(P274,TZ_STN,0)),INDEX(TZ_STD,MATCH(P274,TZ_STN,0))))/24,"")</f>
        <v/>
      </c>
      <c r="AH274" s="71">
        <f>IF(N274="N/A – rule","N/A – RULE",IF(TRIM(U274)="N/A",IF(AT274=0,"INVALID – N/A not permitted for this mandatory check",IF(AND(TRIM(AC274)&lt;&gt;"",TRIM(AE274)&lt;&gt;"",TRIM(T274)&lt;&gt;""),"N/A – JUSTIFIED","INVALID – N/A needs justification, PIC and verifier")),IF(OR(TRIM(U274)="Pass",TRIM(U274)="Pass after CA"),IF(NOT(ISNUMBER(AD274)),"INVALID – completion time missing",IF(TRIM(T274)="","INVALID – PIC missing",IF(TRIM(Z274)="","INVALID – evidence missing",IF(TRIM(AE274)="","INVALID – verifier missing",IF(AND(AQ274=1,TRIM(W274)=""),"INVALID – batch ID missing",IF(AND(AR274=1,OR(NOT(ISNUMBER(X274)),NOT(ISNUMBER(Y274)))),"INVALID – expected/actual qty missing",IF(IF(AND(TRIM(U274)="Pass",ISNUMBER(AF274)),IF(AF274&lt;&gt;0,"INVALID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recorded/closed","")&lt;&gt;"",IF(AND(TRIM(U274)="Pass",ISNUMBER(AF274)),IF(AF274&lt;&gt;0,"INVALID – qty variance: use Fail or Pass after CA",""),"")&amp;IF(AND(TRIM(U274)="Pass",AB274="Open"),"INVALID – corrective action still open: use Fail, then Pass after CA","")&amp;IF(AND(TRIM(U274)="Pass after CA",OR(TRIM(AA274)="",AB274&lt;&gt;"Closed")),"INVALID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window"),IF(AG274&gt;Flights!$AA$12,"INVALID – completed after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f>
        <v/>
      </c>
      <c r="AI274" s="67">
        <f>IF(OR(AH274="N/A – RULE",AH274="N/A – JUSTIFIED"),0,1)</f>
        <v/>
      </c>
      <c r="AJ274" s="67">
        <f>IF(LEFT(AH274,8)="COMPLETE",1,0)</f>
        <v/>
      </c>
      <c r="AK274" s="67">
        <f>IF(AND(AI274=1,AJ274=0,AsOfUTC&gt;Q274),1,0)</f>
        <v/>
      </c>
      <c r="AL274" s="67">
        <f>IF(AND(AI274=1,OR(TRIM(U274)="Fail",AB274="Open",AND(ISNUMBER(AF274),AF274&lt;&gt;0,TRIM(U274)&lt;&gt;"Pass after CA"))),1,0)</f>
        <v/>
      </c>
      <c r="AM274" s="67">
        <f>IF(LEFT(AH274,7)="INVALID",1,0)</f>
        <v/>
      </c>
      <c r="AN274" s="67">
        <f>IF(AND(N274="Clarification required",AI274=1,AJ274=0),1,0)</f>
        <v/>
      </c>
      <c r="AO274" s="67">
        <f>IF(AK274=1,SUM(AK$5:AK274),"")</f>
        <v/>
      </c>
      <c r="AP274" s="67">
        <f>IF(AL274=1,SUM(AL$5:AL274),"")</f>
        <v/>
      </c>
      <c r="AQ274" s="67" t="n">
        <v>0</v>
      </c>
      <c r="AR274" s="67" t="n">
        <v>0</v>
      </c>
      <c r="AS274" s="67" t="n">
        <v>0</v>
      </c>
      <c r="AT274" s="67" t="n">
        <v>0</v>
      </c>
    </row>
    <row r="275" ht="40" customHeight="1">
      <c r="A275" s="63" t="inlineStr">
        <is>
          <t>F08-T12-04</t>
        </is>
      </c>
      <c r="B275" s="63" t="inlineStr">
        <is>
          <t>F08</t>
        </is>
      </c>
      <c r="C275" s="63">
        <f>Flights!$F$12</f>
        <v/>
      </c>
      <c r="D275" s="64">
        <f>Flights!$D$12</f>
        <v/>
      </c>
      <c r="E275" s="63">
        <f>Flights!$G$12&amp;"-"&amp;Flights!$H$12</f>
        <v/>
      </c>
      <c r="F275" s="63">
        <f>Flights!$K$12</f>
        <v/>
      </c>
      <c r="G275" s="63" t="inlineStr">
        <is>
          <t>T-12H PREP</t>
        </is>
      </c>
      <c r="H275" s="63" t="inlineStr">
        <is>
          <t>Preparation</t>
        </is>
      </c>
      <c r="I275" s="63" t="inlineStr">
        <is>
          <t>Equipment</t>
        </is>
      </c>
      <c r="J275" s="63" t="inlineStr">
        <is>
          <t>Equipment presentation vs GLD</t>
        </is>
      </c>
      <c r="K275" s="73" t="inlineStr"/>
      <c r="L275" s="73" t="inlineStr">
        <is>
          <t>User brief (T-12 hours)</t>
        </is>
      </c>
      <c r="M275" s="73" t="inlineStr"/>
      <c r="N275" s="73" t="inlineStr">
        <is>
          <t>Required</t>
        </is>
      </c>
      <c r="O275" s="73" t="inlineStr">
        <is>
          <t>Preparation check at caterer - does NOT confirm loading.</t>
        </is>
      </c>
      <c r="P275" s="63" t="inlineStr">
        <is>
          <t>KUL</t>
        </is>
      </c>
      <c r="Q275" s="65">
        <f>Flights!$AE$12</f>
        <v/>
      </c>
      <c r="R275" s="65">
        <f>Q275+(IF(AND(INDEX(TZ_DSTS,MATCH(P275,TZ_STN,0))&lt;&gt;"",Q275&gt;=INDEX(TZ_DSTS,MATCH(P275,TZ_STN,0)),Q275&lt;INDEX(TZ_DSTE,MATCH(P275,TZ_STN,0))),INDEX(TZ_DST,MATCH(P275,TZ_STN,0)),INDEX(TZ_STD,MATCH(P275,TZ_STN,0))))/24</f>
        <v/>
      </c>
      <c r="S275" s="65">
        <f>Q275-T12EarlyH/24</f>
        <v/>
      </c>
      <c r="T275" s="66" t="n"/>
      <c r="U275" s="66" t="n"/>
      <c r="V275" s="66" t="n"/>
      <c r="W275" s="67" t="n"/>
      <c r="X275" s="66" t="n"/>
      <c r="Y275" s="66" t="n"/>
      <c r="Z275" s="66" t="n"/>
      <c r="AA275" s="66" t="n"/>
      <c r="AB275" s="66" t="n"/>
      <c r="AC275" s="66" t="n"/>
      <c r="AD275" s="72" t="n"/>
      <c r="AE275" s="66" t="n"/>
      <c r="AF275" s="67">
        <f>IF(AND(ISNUMBER(X275),ISNUMBER(Y275)),Y275-X275,"")</f>
        <v/>
      </c>
      <c r="AG275" s="68">
        <f>IF(ISNUMBER(AD275),AD275-(IF(AND(INDEX(TZ_DSTS,MATCH(P275,TZ_STN,0))&lt;&gt;"",(AD275-INDEX(TZ_STD,MATCH(P275,TZ_STN,0))/24)&gt;=INDEX(TZ_DSTS,MATCH(P275,TZ_STN,0)),(AD275-INDEX(TZ_STD,MATCH(P275,TZ_STN,0))/24)&lt;INDEX(TZ_DSTE,MATCH(P275,TZ_STN,0))),INDEX(TZ_DST,MATCH(P275,TZ_STN,0)),INDEX(TZ_STD,MATCH(P275,TZ_STN,0))))/24,"")</f>
        <v/>
      </c>
      <c r="AH275" s="71">
        <f>IF(N275="N/A – rule","N/A – RULE",IF(TRIM(U275)="N/A",IF(AT275=0,"INVALID – N/A not permitted for this mandatory check",IF(AND(TRIM(AC275)&lt;&gt;"",TRIM(AE275)&lt;&gt;"",TRIM(T275)&lt;&gt;""),"N/A – JUSTIFIED","INVALID – N/A needs justification, PIC and verifier")),IF(OR(TRIM(U275)="Pass",TRIM(U275)="Pass after CA"),IF(NOT(ISNUMBER(AD275)),"INVALID – completion time missing",IF(TRIM(T275)="","INVALID – PIC missing",IF(TRIM(Z275)="","INVALID – evidence missing",IF(TRIM(AE275)="","INVALID – verifier missing",IF(AND(AQ275=1,TRIM(W275)=""),"INVALID – batch ID missing",IF(AND(AR275=1,OR(NOT(ISNUMBER(X275)),NOT(ISNUMBER(Y275)))),"INVALID – expected/actual qty missing",IF(IF(AND(TRIM(U275)="Pass",ISNUMBER(AF275)),IF(AF275&lt;&gt;0,"INVALID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recorded/closed","")&lt;&gt;"",IF(AND(TRIM(U275)="Pass",ISNUMBER(AF275)),IF(AF275&lt;&gt;0,"INVALID – qty variance: use Fail or Pass after CA",""),"")&amp;IF(AND(TRIM(U275)="Pass",AB275="Open"),"INVALID – corrective action still open: use Fail, then Pass after CA","")&amp;IF(AND(TRIM(U275)="Pass after CA",OR(TRIM(AA275)="",AB275&lt;&gt;"Closed")),"INVALID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window"),IF(AG275&gt;Flights!$AA$12,"INVALID – completed after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f>
        <v/>
      </c>
      <c r="AI275" s="67">
        <f>IF(OR(AH275="N/A – RULE",AH275="N/A – JUSTIFIED"),0,1)</f>
        <v/>
      </c>
      <c r="AJ275" s="67">
        <f>IF(LEFT(AH275,8)="COMPLETE",1,0)</f>
        <v/>
      </c>
      <c r="AK275" s="67">
        <f>IF(AND(AI275=1,AJ275=0,AsOfUTC&gt;Q275),1,0)</f>
        <v/>
      </c>
      <c r="AL275" s="67">
        <f>IF(AND(AI275=1,OR(TRIM(U275)="Fail",AB275="Open",AND(ISNUMBER(AF275),AF275&lt;&gt;0,TRIM(U275)&lt;&gt;"Pass after CA"))),1,0)</f>
        <v/>
      </c>
      <c r="AM275" s="67">
        <f>IF(LEFT(AH275,7)="INVALID",1,0)</f>
        <v/>
      </c>
      <c r="AN275" s="67">
        <f>IF(AND(N275="Clarification required",AI275=1,AJ275=0),1,0)</f>
        <v/>
      </c>
      <c r="AO275" s="67">
        <f>IF(AK275=1,SUM(AK$5:AK275),"")</f>
        <v/>
      </c>
      <c r="AP275" s="67">
        <f>IF(AL275=1,SUM(AL$5:AL275),"")</f>
        <v/>
      </c>
      <c r="AQ275" s="67" t="n">
        <v>0</v>
      </c>
      <c r="AR275" s="67" t="n">
        <v>0</v>
      </c>
      <c r="AS275" s="67" t="n">
        <v>0</v>
      </c>
      <c r="AT275" s="67" t="n">
        <v>0</v>
      </c>
    </row>
    <row r="276" ht="40" customHeight="1">
      <c r="A276" s="63" t="inlineStr">
        <is>
          <t>F08-T12-05</t>
        </is>
      </c>
      <c r="B276" s="63" t="inlineStr">
        <is>
          <t>F08</t>
        </is>
      </c>
      <c r="C276" s="63">
        <f>Flights!$F$12</f>
        <v/>
      </c>
      <c r="D276" s="64">
        <f>Flights!$D$12</f>
        <v/>
      </c>
      <c r="E276" s="63">
        <f>Flights!$G$12&amp;"-"&amp;Flights!$H$12</f>
        <v/>
      </c>
      <c r="F276" s="63">
        <f>Flights!$K$12</f>
        <v/>
      </c>
      <c r="G276" s="63" t="inlineStr">
        <is>
          <t>T-12H PREP</t>
        </is>
      </c>
      <c r="H276" s="63" t="inlineStr">
        <is>
          <t>Preparation</t>
        </is>
      </c>
      <c r="I276" s="63" t="inlineStr">
        <is>
          <t>Equipment</t>
        </is>
      </c>
      <c r="J276" s="63" t="inlineStr">
        <is>
          <t>Equipment serviceability vs GLD</t>
        </is>
      </c>
      <c r="K276" s="73" t="inlineStr"/>
      <c r="L276" s="73" t="inlineStr">
        <is>
          <t>User brief (T-12 hours)</t>
        </is>
      </c>
      <c r="M276" s="73" t="inlineStr"/>
      <c r="N276" s="73" t="inlineStr">
        <is>
          <t>Required</t>
        </is>
      </c>
      <c r="O276" s="73" t="inlineStr">
        <is>
          <t>Preparation check at caterer - does NOT confirm loading.</t>
        </is>
      </c>
      <c r="P276" s="63" t="inlineStr">
        <is>
          <t>KUL</t>
        </is>
      </c>
      <c r="Q276" s="65">
        <f>Flights!$AE$12</f>
        <v/>
      </c>
      <c r="R276" s="65">
        <f>Q276+(IF(AND(INDEX(TZ_DSTS,MATCH(P276,TZ_STN,0))&lt;&gt;"",Q276&gt;=INDEX(TZ_DSTS,MATCH(P276,TZ_STN,0)),Q276&lt;INDEX(TZ_DSTE,MATCH(P276,TZ_STN,0))),INDEX(TZ_DST,MATCH(P276,TZ_STN,0)),INDEX(TZ_STD,MATCH(P276,TZ_STN,0))))/24</f>
        <v/>
      </c>
      <c r="S276" s="65">
        <f>Q276-T12EarlyH/24</f>
        <v/>
      </c>
      <c r="T276" s="66" t="n"/>
      <c r="U276" s="66" t="n"/>
      <c r="V276" s="66" t="n"/>
      <c r="W276" s="67" t="n"/>
      <c r="X276" s="66" t="n"/>
      <c r="Y276" s="66" t="n"/>
      <c r="Z276" s="66" t="n"/>
      <c r="AA276" s="66" t="n"/>
      <c r="AB276" s="66" t="n"/>
      <c r="AC276" s="66" t="n"/>
      <c r="AD276" s="72" t="n"/>
      <c r="AE276" s="66" t="n"/>
      <c r="AF276" s="67">
        <f>IF(AND(ISNUMBER(X276),ISNUMBER(Y276)),Y276-X276,"")</f>
        <v/>
      </c>
      <c r="AG276" s="68">
        <f>IF(ISNUMBER(AD276),AD276-(IF(AND(INDEX(TZ_DSTS,MATCH(P276,TZ_STN,0))&lt;&gt;"",(AD276-INDEX(TZ_STD,MATCH(P276,TZ_STN,0))/24)&gt;=INDEX(TZ_DSTS,MATCH(P276,TZ_STN,0)),(AD276-INDEX(TZ_STD,MATCH(P276,TZ_STN,0))/24)&lt;INDEX(TZ_DSTE,MATCH(P276,TZ_STN,0))),INDEX(TZ_DST,MATCH(P276,TZ_STN,0)),INDEX(TZ_STD,MATCH(P276,TZ_STN,0))))/24,"")</f>
        <v/>
      </c>
      <c r="AH276" s="71">
        <f>IF(N276="N/A – rule","N/A – RULE",IF(TRIM(U276)="N/A",IF(AT276=0,"INVALID – N/A not permitted for this mandatory check",IF(AND(TRIM(AC276)&lt;&gt;"",TRIM(AE276)&lt;&gt;"",TRIM(T276)&lt;&gt;""),"N/A – JUSTIFIED","INVALID – N/A needs justification, PIC and verifier")),IF(OR(TRIM(U276)="Pass",TRIM(U276)="Pass after CA"),IF(NOT(ISNUMBER(AD276)),"INVALID – completion time missing",IF(TRIM(T276)="","INVALID – PIC missing",IF(TRIM(Z276)="","INVALID – evidence missing",IF(TRIM(AE276)="","INVALID – verifier missing",IF(AND(AQ276=1,TRIM(W276)=""),"INVALID – batch ID missing",IF(AND(AR276=1,OR(NOT(ISNUMBER(X276)),NOT(ISNUMBER(Y276)))),"INVALID – expected/actual qty missing",IF(IF(AND(TRIM(U276)="Pass",ISNUMBER(AF276)),IF(AF276&lt;&gt;0,"INVALID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recorded/closed","")&lt;&gt;"",IF(AND(TRIM(U276)="Pass",ISNUMBER(AF276)),IF(AF276&lt;&gt;0,"INVALID – qty variance: use Fail or Pass after CA",""),"")&amp;IF(AND(TRIM(U276)="Pass",AB276="Open"),"INVALID – corrective action still open: use Fail, then Pass after CA","")&amp;IF(AND(TRIM(U276)="Pass after CA",OR(TRIM(AA276)="",AB276&lt;&gt;"Closed")),"INVALID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window"),IF(AG276&gt;Flights!$AA$12,"INVALID – completed after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f>
        <v/>
      </c>
      <c r="AI276" s="67">
        <f>IF(OR(AH276="N/A – RULE",AH276="N/A – JUSTIFIED"),0,1)</f>
        <v/>
      </c>
      <c r="AJ276" s="67">
        <f>IF(LEFT(AH276,8)="COMPLETE",1,0)</f>
        <v/>
      </c>
      <c r="AK276" s="67">
        <f>IF(AND(AI276=1,AJ276=0,AsOfUTC&gt;Q276),1,0)</f>
        <v/>
      </c>
      <c r="AL276" s="67">
        <f>IF(AND(AI276=1,OR(TRIM(U276)="Fail",AB276="Open",AND(ISNUMBER(AF276),AF276&lt;&gt;0,TRIM(U276)&lt;&gt;"Pass after CA"))),1,0)</f>
        <v/>
      </c>
      <c r="AM276" s="67">
        <f>IF(LEFT(AH276,7)="INVALID",1,0)</f>
        <v/>
      </c>
      <c r="AN276" s="67">
        <f>IF(AND(N276="Clarification required",AI276=1,AJ276=0),1,0)</f>
        <v/>
      </c>
      <c r="AO276" s="67">
        <f>IF(AK276=1,SUM(AK$5:AK276),"")</f>
        <v/>
      </c>
      <c r="AP276" s="67">
        <f>IF(AL276=1,SUM(AL$5:AL276),"")</f>
        <v/>
      </c>
      <c r="AQ276" s="67" t="n">
        <v>0</v>
      </c>
      <c r="AR276" s="67" t="n">
        <v>0</v>
      </c>
      <c r="AS276" s="67" t="n">
        <v>0</v>
      </c>
      <c r="AT276" s="67" t="n">
        <v>0</v>
      </c>
    </row>
    <row r="277" ht="79" customHeight="1">
      <c r="A277" s="63" t="inlineStr">
        <is>
          <t>F08-T12-06</t>
        </is>
      </c>
      <c r="B277" s="63" t="inlineStr">
        <is>
          <t>F08</t>
        </is>
      </c>
      <c r="C277" s="63">
        <f>Flights!$F$12</f>
        <v/>
      </c>
      <c r="D277" s="64">
        <f>Flights!$D$12</f>
        <v/>
      </c>
      <c r="E277" s="63">
        <f>Flights!$G$12&amp;"-"&amp;Flights!$H$12</f>
        <v/>
      </c>
      <c r="F277" s="63">
        <f>Flights!$K$12</f>
        <v/>
      </c>
      <c r="G277" s="63" t="inlineStr">
        <is>
          <t>T-12H PREP</t>
        </is>
      </c>
      <c r="H277" s="63" t="inlineStr">
        <is>
          <t>Preparation</t>
        </is>
      </c>
      <c r="I277" s="63" t="inlineStr">
        <is>
          <t>Equipment</t>
        </is>
      </c>
      <c r="J277" s="63" t="inlineStr">
        <is>
          <t>Equipment quantities vs GLD</t>
        </is>
      </c>
      <c r="K277" s="73" t="inlineStr">
        <is>
          <t>Enter expected &amp; actual. Aircraft galley data: B737-8 (B7M8): carts 10.5, SU 25, ovens 6, warming ovens -, fridges -, water heaters 3, beverage makers -, espresso -, folding trolleys -, headsets - (AIRCRAFT TYPE!C16:R16)</t>
        </is>
      </c>
      <c r="L277" s="73" t="inlineStr">
        <is>
          <t>User brief (T-12 hours)</t>
        </is>
      </c>
      <c r="M277" s="73" t="inlineStr"/>
      <c r="N277" s="73" t="inlineStr">
        <is>
          <t>Required</t>
        </is>
      </c>
      <c r="O277" s="73" t="inlineStr">
        <is>
          <t>Preparation check at caterer - does NOT confirm loading.</t>
        </is>
      </c>
      <c r="P277" s="63" t="inlineStr">
        <is>
          <t>KUL</t>
        </is>
      </c>
      <c r="Q277" s="65">
        <f>Flights!$AE$12</f>
        <v/>
      </c>
      <c r="R277" s="65">
        <f>Q277+(IF(AND(INDEX(TZ_DSTS,MATCH(P277,TZ_STN,0))&lt;&gt;"",Q277&gt;=INDEX(TZ_DSTS,MATCH(P277,TZ_STN,0)),Q277&lt;INDEX(TZ_DSTE,MATCH(P277,TZ_STN,0))),INDEX(TZ_DST,MATCH(P277,TZ_STN,0)),INDEX(TZ_STD,MATCH(P277,TZ_STN,0))))/24</f>
        <v/>
      </c>
      <c r="S277" s="65">
        <f>Q277-T12EarlyH/24</f>
        <v/>
      </c>
      <c r="T277" s="66" t="n"/>
      <c r="U277" s="66" t="n"/>
      <c r="V277" s="66" t="n"/>
      <c r="W277" s="67" t="n"/>
      <c r="X277" s="66" t="n"/>
      <c r="Y277" s="66" t="n"/>
      <c r="Z277" s="66" t="n"/>
      <c r="AA277" s="66" t="n"/>
      <c r="AB277" s="66" t="n"/>
      <c r="AC277" s="66" t="n"/>
      <c r="AD277" s="72" t="n"/>
      <c r="AE277" s="66" t="n"/>
      <c r="AF277" s="67">
        <f>IF(AND(ISNUMBER(X277),ISNUMBER(Y277)),Y277-X277,"")</f>
        <v/>
      </c>
      <c r="AG277" s="68">
        <f>IF(ISNUMBER(AD277),AD277-(IF(AND(INDEX(TZ_DSTS,MATCH(P277,TZ_STN,0))&lt;&gt;"",(AD277-INDEX(TZ_STD,MATCH(P277,TZ_STN,0))/24)&gt;=INDEX(TZ_DSTS,MATCH(P277,TZ_STN,0)),(AD277-INDEX(TZ_STD,MATCH(P277,TZ_STN,0))/24)&lt;INDEX(TZ_DSTE,MATCH(P277,TZ_STN,0))),INDEX(TZ_DST,MATCH(P277,TZ_STN,0)),INDEX(TZ_STD,MATCH(P277,TZ_STN,0))))/24,"")</f>
        <v/>
      </c>
      <c r="AH277" s="71">
        <f>IF(N277="N/A – rule","N/A – RULE",IF(TRIM(U277)="N/A",IF(AT277=0,"INVALID – N/A not permitted for this mandatory check",IF(AND(TRIM(AC277)&lt;&gt;"",TRIM(AE277)&lt;&gt;"",TRIM(T277)&lt;&gt;""),"N/A – JUSTIFIED","INVALID – N/A needs justification, PIC and verifier")),IF(OR(TRIM(U277)="Pass",TRIM(U277)="Pass after CA"),IF(NOT(ISNUMBER(AD277)),"INVALID – completion time missing",IF(TRIM(T277)="","INVALID – PIC missing",IF(TRIM(Z277)="","INVALID – evidence missing",IF(TRIM(AE277)="","INVALID – verifier missing",IF(AND(AQ277=1,TRIM(W277)=""),"INVALID – batch ID missing",IF(AND(AR277=1,OR(NOT(ISNUMBER(X277)),NOT(ISNUMBER(Y277)))),"INVALID – expected/actual qty missing",IF(IF(AND(TRIM(U277)="Pass",ISNUMBER(AF277)),IF(AF277&lt;&gt;0,"INVALID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recorded/closed","")&lt;&gt;"",IF(AND(TRIM(U277)="Pass",ISNUMBER(AF277)),IF(AF277&lt;&gt;0,"INVALID – qty variance: use Fail or Pass after CA",""),"")&amp;IF(AND(TRIM(U277)="Pass",AB277="Open"),"INVALID – corrective action still open: use Fail, then Pass after CA","")&amp;IF(AND(TRIM(U277)="Pass after CA",OR(TRIM(AA277)="",AB277&lt;&gt;"Closed")),"INVALID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window"),IF(AG277&gt;Flights!$AA$12,"INVALID – completed after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f>
        <v/>
      </c>
      <c r="AI277" s="67">
        <f>IF(OR(AH277="N/A – RULE",AH277="N/A – JUSTIFIED"),0,1)</f>
        <v/>
      </c>
      <c r="AJ277" s="67">
        <f>IF(LEFT(AH277,8)="COMPLETE",1,0)</f>
        <v/>
      </c>
      <c r="AK277" s="67">
        <f>IF(AND(AI277=1,AJ277=0,AsOfUTC&gt;Q277),1,0)</f>
        <v/>
      </c>
      <c r="AL277" s="67">
        <f>IF(AND(AI277=1,OR(TRIM(U277)="Fail",AB277="Open",AND(ISNUMBER(AF277),AF277&lt;&gt;0,TRIM(U277)&lt;&gt;"Pass after CA"))),1,0)</f>
        <v/>
      </c>
      <c r="AM277" s="67">
        <f>IF(LEFT(AH277,7)="INVALID",1,0)</f>
        <v/>
      </c>
      <c r="AN277" s="67">
        <f>IF(AND(N277="Clarification required",AI277=1,AJ277=0),1,0)</f>
        <v/>
      </c>
      <c r="AO277" s="67">
        <f>IF(AK277=1,SUM(AK$5:AK277),"")</f>
        <v/>
      </c>
      <c r="AP277" s="67">
        <f>IF(AL277=1,SUM(AL$5:AL277),"")</f>
        <v/>
      </c>
      <c r="AQ277" s="67" t="n">
        <v>0</v>
      </c>
      <c r="AR277" s="67" t="n">
        <v>1</v>
      </c>
      <c r="AS277" s="67" t="n">
        <v>0</v>
      </c>
      <c r="AT277" s="67" t="n">
        <v>0</v>
      </c>
    </row>
    <row r="278" ht="40" customHeight="1">
      <c r="A278" s="63" t="inlineStr">
        <is>
          <t>F08-T12-07</t>
        </is>
      </c>
      <c r="B278" s="63" t="inlineStr">
        <is>
          <t>F08</t>
        </is>
      </c>
      <c r="C278" s="63">
        <f>Flights!$F$12</f>
        <v/>
      </c>
      <c r="D278" s="64">
        <f>Flights!$D$12</f>
        <v/>
      </c>
      <c r="E278" s="63">
        <f>Flights!$G$12&amp;"-"&amp;Flights!$H$12</f>
        <v/>
      </c>
      <c r="F278" s="63">
        <f>Flights!$K$12</f>
        <v/>
      </c>
      <c r="G278" s="63" t="inlineStr">
        <is>
          <t>T-12H PREP</t>
        </is>
      </c>
      <c r="H278" s="63" t="inlineStr">
        <is>
          <t>Preparation</t>
        </is>
      </c>
      <c r="I278" s="63" t="inlineStr">
        <is>
          <t>Equipment</t>
        </is>
      </c>
      <c r="J278" s="63" t="inlineStr">
        <is>
          <t>Loading positions planned vs GLD</t>
        </is>
      </c>
      <c r="K278" s="73" t="inlineStr"/>
      <c r="L278" s="73" t="inlineStr">
        <is>
          <t>User brief (T-12 hours)</t>
        </is>
      </c>
      <c r="M278" s="73" t="inlineStr"/>
      <c r="N278" s="73" t="inlineStr">
        <is>
          <t>Required</t>
        </is>
      </c>
      <c r="O278" s="73" t="inlineStr">
        <is>
          <t>Preparation check at caterer - does NOT confirm loading.</t>
        </is>
      </c>
      <c r="P278" s="63" t="inlineStr">
        <is>
          <t>KUL</t>
        </is>
      </c>
      <c r="Q278" s="65">
        <f>Flights!$AE$12</f>
        <v/>
      </c>
      <c r="R278" s="65">
        <f>Q278+(IF(AND(INDEX(TZ_DSTS,MATCH(P278,TZ_STN,0))&lt;&gt;"",Q278&gt;=INDEX(TZ_DSTS,MATCH(P278,TZ_STN,0)),Q278&lt;INDEX(TZ_DSTE,MATCH(P278,TZ_STN,0))),INDEX(TZ_DST,MATCH(P278,TZ_STN,0)),INDEX(TZ_STD,MATCH(P278,TZ_STN,0))))/24</f>
        <v/>
      </c>
      <c r="S278" s="65">
        <f>Q278-T12EarlyH/24</f>
        <v/>
      </c>
      <c r="T278" s="66" t="n"/>
      <c r="U278" s="66" t="n"/>
      <c r="V278" s="66" t="n"/>
      <c r="W278" s="67" t="n"/>
      <c r="X278" s="66" t="n"/>
      <c r="Y278" s="66" t="n"/>
      <c r="Z278" s="66" t="n"/>
      <c r="AA278" s="66" t="n"/>
      <c r="AB278" s="66" t="n"/>
      <c r="AC278" s="66" t="n"/>
      <c r="AD278" s="72" t="n"/>
      <c r="AE278" s="66" t="n"/>
      <c r="AF278" s="67">
        <f>IF(AND(ISNUMBER(X278),ISNUMBER(Y278)),Y278-X278,"")</f>
        <v/>
      </c>
      <c r="AG278" s="68">
        <f>IF(ISNUMBER(AD278),AD278-(IF(AND(INDEX(TZ_DSTS,MATCH(P278,TZ_STN,0))&lt;&gt;"",(AD278-INDEX(TZ_STD,MATCH(P278,TZ_STN,0))/24)&gt;=INDEX(TZ_DSTS,MATCH(P278,TZ_STN,0)),(AD278-INDEX(TZ_STD,MATCH(P278,TZ_STN,0))/24)&lt;INDEX(TZ_DSTE,MATCH(P278,TZ_STN,0))),INDEX(TZ_DST,MATCH(P278,TZ_STN,0)),INDEX(TZ_STD,MATCH(P278,TZ_STN,0))))/24,"")</f>
        <v/>
      </c>
      <c r="AH278" s="71">
        <f>IF(N278="N/A – rule","N/A – RULE",IF(TRIM(U278)="N/A",IF(AT278=0,"INVALID – N/A not permitted for this mandatory check",IF(AND(TRIM(AC278)&lt;&gt;"",TRIM(AE278)&lt;&gt;"",TRIM(T278)&lt;&gt;""),"N/A – JUSTIFIED","INVALID – N/A needs justification, PIC and verifier")),IF(OR(TRIM(U278)="Pass",TRIM(U278)="Pass after CA"),IF(NOT(ISNUMBER(AD278)),"INVALID – completion time missing",IF(TRIM(T278)="","INVALID – PIC missing",IF(TRIM(Z278)="","INVALID – evidence missing",IF(TRIM(AE278)="","INVALID – verifier missing",IF(AND(AQ278=1,TRIM(W278)=""),"INVALID – batch ID missing",IF(AND(AR278=1,OR(NOT(ISNUMBER(X278)),NOT(ISNUMBER(Y278)))),"INVALID – expected/actual qty missing",IF(IF(AND(TRIM(U278)="Pass",ISNUMBER(AF278)),IF(AF278&lt;&gt;0,"INVALID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recorded/closed","")&lt;&gt;"",IF(AND(TRIM(U278)="Pass",ISNUMBER(AF278)),IF(AF278&lt;&gt;0,"INVALID – qty variance: use Fail or Pass after CA",""),"")&amp;IF(AND(TRIM(U278)="Pass",AB278="Open"),"INVALID – corrective action still open: use Fail, then Pass after CA","")&amp;IF(AND(TRIM(U278)="Pass after CA",OR(TRIM(AA278)="",AB278&lt;&gt;"Closed")),"INVALID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window"),IF(AG278&gt;Flights!$AA$12,"INVALID – completed after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f>
        <v/>
      </c>
      <c r="AI278" s="67">
        <f>IF(OR(AH278="N/A – RULE",AH278="N/A – JUSTIFIED"),0,1)</f>
        <v/>
      </c>
      <c r="AJ278" s="67">
        <f>IF(LEFT(AH278,8)="COMPLETE",1,0)</f>
        <v/>
      </c>
      <c r="AK278" s="67">
        <f>IF(AND(AI278=1,AJ278=0,AsOfUTC&gt;Q278),1,0)</f>
        <v/>
      </c>
      <c r="AL278" s="67">
        <f>IF(AND(AI278=1,OR(TRIM(U278)="Fail",AB278="Open",AND(ISNUMBER(AF278),AF278&lt;&gt;0,TRIM(U278)&lt;&gt;"Pass after CA"))),1,0)</f>
        <v/>
      </c>
      <c r="AM278" s="67">
        <f>IF(LEFT(AH278,7)="INVALID",1,0)</f>
        <v/>
      </c>
      <c r="AN278" s="67">
        <f>IF(AND(N278="Clarification required",AI278=1,AJ278=0),1,0)</f>
        <v/>
      </c>
      <c r="AO278" s="67">
        <f>IF(AK278=1,SUM(AK$5:AK278),"")</f>
        <v/>
      </c>
      <c r="AP278" s="67">
        <f>IF(AL278=1,SUM(AL$5:AL278),"")</f>
        <v/>
      </c>
      <c r="AQ278" s="67" t="n">
        <v>0</v>
      </c>
      <c r="AR278" s="67" t="n">
        <v>0</v>
      </c>
      <c r="AS278" s="67" t="n">
        <v>0</v>
      </c>
      <c r="AT278" s="67" t="n">
        <v>0</v>
      </c>
    </row>
    <row r="279" ht="41.5" customHeight="1">
      <c r="A279" s="63" t="inlineStr">
        <is>
          <t>F08-T12-08</t>
        </is>
      </c>
      <c r="B279" s="63" t="inlineStr">
        <is>
          <t>F08</t>
        </is>
      </c>
      <c r="C279" s="63">
        <f>Flights!$F$12</f>
        <v/>
      </c>
      <c r="D279" s="64">
        <f>Flights!$D$12</f>
        <v/>
      </c>
      <c r="E279" s="63">
        <f>Flights!$G$12&amp;"-"&amp;Flights!$H$12</f>
        <v/>
      </c>
      <c r="F279" s="63">
        <f>Flights!$K$12</f>
        <v/>
      </c>
      <c r="G279" s="63" t="inlineStr">
        <is>
          <t>T-12H PREP</t>
        </is>
      </c>
      <c r="H279" s="63" t="inlineStr">
        <is>
          <t>Preparation</t>
        </is>
      </c>
      <c r="I279" s="63" t="inlineStr">
        <is>
          <t>Seat Linen</t>
        </is>
      </c>
      <c r="J279" s="63" t="inlineStr">
        <is>
          <t>Seat pillow (EY) - prepared</t>
        </is>
      </c>
      <c r="K279" s="73" t="inlineStr">
        <is>
          <t>Available 100% (ticked in reference)</t>
        </is>
      </c>
      <c r="L279" s="73" t="inlineStr">
        <is>
          <t>STD UPLIFT INFORMATION.xlsx &gt; SEAT LINEN!I46</t>
        </is>
      </c>
      <c r="M279" s="73" t="inlineStr">
        <is>
          <t>Not stated in reference</t>
        </is>
      </c>
      <c r="N279" s="73" t="inlineStr">
        <is>
          <t>Required</t>
        </is>
      </c>
      <c r="O279" s="73" t="inlineStr">
        <is>
          <t>Reference gives no uplift stn for this item: preparation checked at the meal uplift stn (KUL) - confirm with caterer.</t>
        </is>
      </c>
      <c r="P279" s="63" t="inlineStr">
        <is>
          <t>KUL</t>
        </is>
      </c>
      <c r="Q279" s="65">
        <f>Flights!$AE$12</f>
        <v/>
      </c>
      <c r="R279" s="65">
        <f>Q279+(IF(AND(INDEX(TZ_DSTS,MATCH(P279,TZ_STN,0))&lt;&gt;"",Q279&gt;=INDEX(TZ_DSTS,MATCH(P279,TZ_STN,0)),Q279&lt;INDEX(TZ_DSTE,MATCH(P279,TZ_STN,0))),INDEX(TZ_DST,MATCH(P279,TZ_STN,0)),INDEX(TZ_STD,MATCH(P279,TZ_STN,0))))/24</f>
        <v/>
      </c>
      <c r="S279" s="65">
        <f>Q279-T12EarlyH/24</f>
        <v/>
      </c>
      <c r="T279" s="66" t="n"/>
      <c r="U279" s="66" t="n"/>
      <c r="V279" s="66" t="n"/>
      <c r="W279" s="67" t="n"/>
      <c r="X279" s="66" t="n"/>
      <c r="Y279" s="66" t="n"/>
      <c r="Z279" s="66" t="n"/>
      <c r="AA279" s="66" t="n"/>
      <c r="AB279" s="66" t="n"/>
      <c r="AC279" s="66" t="n"/>
      <c r="AD279" s="72" t="n"/>
      <c r="AE279" s="66" t="n"/>
      <c r="AF279" s="67">
        <f>IF(AND(ISNUMBER(X279),ISNUMBER(Y279)),Y279-X279,"")</f>
        <v/>
      </c>
      <c r="AG279" s="68">
        <f>IF(ISNUMBER(AD279),AD279-(IF(AND(INDEX(TZ_DSTS,MATCH(P279,TZ_STN,0))&lt;&gt;"",(AD279-INDEX(TZ_STD,MATCH(P279,TZ_STN,0))/24)&gt;=INDEX(TZ_DSTS,MATCH(P279,TZ_STN,0)),(AD279-INDEX(TZ_STD,MATCH(P279,TZ_STN,0))/24)&lt;INDEX(TZ_DSTE,MATCH(P279,TZ_STN,0))),INDEX(TZ_DST,MATCH(P279,TZ_STN,0)),INDEX(TZ_STD,MATCH(P279,TZ_STN,0))))/24,"")</f>
        <v/>
      </c>
      <c r="AH279" s="71">
        <f>IF(N279="N/A – rule","N/A – RULE",IF(TRIM(U279)="N/A",IF(AT279=0,"INVALID – N/A not permitted for this mandatory check",IF(AND(TRIM(AC279)&lt;&gt;"",TRIM(AE279)&lt;&gt;"",TRIM(T279)&lt;&gt;""),"N/A – JUSTIFIED","INVALID – N/A needs justification, PIC and verifier")),IF(OR(TRIM(U279)="Pass",TRIM(U279)="Pass after CA"),IF(NOT(ISNUMBER(AD279)),"INVALID – completion time missing",IF(TRIM(T279)="","INVALID – PIC missing",IF(TRIM(Z279)="","INVALID – evidence missing",IF(TRIM(AE279)="","INVALID – verifier missing",IF(AND(AQ279=1,TRIM(W279)=""),"INVALID – batch ID missing",IF(AND(AR279=1,OR(NOT(ISNUMBER(X279)),NOT(ISNUMBER(Y279)))),"INVALID – expected/actual qty missing",IF(IF(AND(TRIM(U279)="Pass",ISNUMBER(AF279)),IF(AF279&lt;&gt;0,"INVALID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recorded/closed","")&lt;&gt;"",IF(AND(TRIM(U279)="Pass",ISNUMBER(AF279)),IF(AF279&lt;&gt;0,"INVALID – qty variance: use Fail or Pass after CA",""),"")&amp;IF(AND(TRIM(U279)="Pass",AB279="Open"),"INVALID – corrective action still open: use Fail, then Pass after CA","")&amp;IF(AND(TRIM(U279)="Pass after CA",OR(TRIM(AA279)="",AB279&lt;&gt;"Closed")),"INVALID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window"),IF(AG279&gt;Flights!$AA$12,"INVALID – completed after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f>
        <v/>
      </c>
      <c r="AI279" s="67">
        <f>IF(OR(AH279="N/A – RULE",AH279="N/A – JUSTIFIED"),0,1)</f>
        <v/>
      </c>
      <c r="AJ279" s="67">
        <f>IF(LEFT(AH279,8)="COMPLETE",1,0)</f>
        <v/>
      </c>
      <c r="AK279" s="67">
        <f>IF(AND(AI279=1,AJ279=0,AsOfUTC&gt;Q279),1,0)</f>
        <v/>
      </c>
      <c r="AL279" s="67">
        <f>IF(AND(AI279=1,OR(TRIM(U279)="Fail",AB279="Open",AND(ISNUMBER(AF279),AF279&lt;&gt;0,TRIM(U279)&lt;&gt;"Pass after CA"))),1,0)</f>
        <v/>
      </c>
      <c r="AM279" s="67">
        <f>IF(LEFT(AH279,7)="INVALID",1,0)</f>
        <v/>
      </c>
      <c r="AN279" s="67">
        <f>IF(AND(N279="Clarification required",AI279=1,AJ279=0),1,0)</f>
        <v/>
      </c>
      <c r="AO279" s="67">
        <f>IF(AK279=1,SUM(AK$5:AK279),"")</f>
        <v/>
      </c>
      <c r="AP279" s="67">
        <f>IF(AL279=1,SUM(AL$5:AL279),"")</f>
        <v/>
      </c>
      <c r="AQ279" s="67" t="n">
        <v>0</v>
      </c>
      <c r="AR279" s="67" t="n">
        <v>0</v>
      </c>
      <c r="AS279" s="67" t="n">
        <v>0</v>
      </c>
      <c r="AT279" s="67" t="n">
        <v>1</v>
      </c>
    </row>
    <row r="280" ht="40" customHeight="1">
      <c r="A280" s="63" t="inlineStr">
        <is>
          <t>F08-UPL-01</t>
        </is>
      </c>
      <c r="B280" s="63" t="inlineStr">
        <is>
          <t>F08</t>
        </is>
      </c>
      <c r="C280" s="63">
        <f>Flights!$F$12</f>
        <v/>
      </c>
      <c r="D280" s="64">
        <f>Flights!$D$12</f>
        <v/>
      </c>
      <c r="E280" s="63">
        <f>Flights!$G$12&amp;"-"&amp;Flights!$H$12</f>
        <v/>
      </c>
      <c r="F280" s="63">
        <f>Flights!$K$12</f>
        <v/>
      </c>
      <c r="G280" s="63" t="inlineStr">
        <is>
          <t>UPLIFT</t>
        </is>
      </c>
      <c r="H280" s="63" t="inlineStr">
        <is>
          <t>Physical uplift</t>
        </is>
      </c>
      <c r="I280" s="63" t="inlineStr">
        <is>
          <t>Meal</t>
        </is>
      </c>
      <c r="J280" s="63" t="inlineStr">
        <is>
          <t>Meals physically uplifted on board - quantity vs menu checklist</t>
        </is>
      </c>
      <c r="K280" s="73" t="inlineStr">
        <is>
          <t>Enter expected &amp; actual</t>
        </is>
      </c>
      <c r="L280" s="73" t="inlineStr">
        <is>
          <t>User brief (T-12 hours - physical uplift)</t>
        </is>
      </c>
      <c r="M280" s="73" t="inlineStr"/>
      <c r="N280" s="73" t="inlineStr">
        <is>
          <t>Required</t>
        </is>
      </c>
      <c r="O280" s="73" t="inlineStr">
        <is>
          <t>Confirm on board before departure; completion time must fall inside the uplift window.</t>
        </is>
      </c>
      <c r="P280" s="63" t="inlineStr">
        <is>
          <t>KUL</t>
        </is>
      </c>
      <c r="Q280" s="65">
        <f>Flights!$AF$12</f>
        <v/>
      </c>
      <c r="R280" s="65">
        <f>Q280+(IF(AND(INDEX(TZ_DSTS,MATCH(P280,TZ_STN,0))&lt;&gt;"",Q280&gt;=INDEX(TZ_DSTS,MATCH(P280,TZ_STN,0)),Q280&lt;INDEX(TZ_DSTE,MATCH(P280,TZ_STN,0))),INDEX(TZ_DST,MATCH(P280,TZ_STN,0)),INDEX(TZ_STD,MATCH(P280,TZ_STN,0))))/24</f>
        <v/>
      </c>
      <c r="S280" s="65">
        <f>Q280-UpliftWindowH/24</f>
        <v/>
      </c>
      <c r="T280" s="66" t="n"/>
      <c r="U280" s="66" t="n"/>
      <c r="V280" s="66" t="n"/>
      <c r="W280" s="67" t="n"/>
      <c r="X280" s="66" t="n"/>
      <c r="Y280" s="66" t="n"/>
      <c r="Z280" s="66" t="n"/>
      <c r="AA280" s="66" t="n"/>
      <c r="AB280" s="66" t="n"/>
      <c r="AC280" s="66" t="n"/>
      <c r="AD280" s="72" t="n"/>
      <c r="AE280" s="66" t="n"/>
      <c r="AF280" s="67">
        <f>IF(AND(ISNUMBER(X280),ISNUMBER(Y280)),Y280-X280,"")</f>
        <v/>
      </c>
      <c r="AG280" s="68">
        <f>IF(ISNUMBER(AD280),AD280-(IF(AND(INDEX(TZ_DSTS,MATCH(P280,TZ_STN,0))&lt;&gt;"",(AD280-INDEX(TZ_STD,MATCH(P280,TZ_STN,0))/24)&gt;=INDEX(TZ_DSTS,MATCH(P280,TZ_STN,0)),(AD280-INDEX(TZ_STD,MATCH(P280,TZ_STN,0))/24)&lt;INDEX(TZ_DSTE,MATCH(P280,TZ_STN,0))),INDEX(TZ_DST,MATCH(P280,TZ_STN,0)),INDEX(TZ_STD,MATCH(P280,TZ_STN,0))))/24,"")</f>
        <v/>
      </c>
      <c r="AH280" s="71">
        <f>IF(N280="N/A – rule","N/A – RULE",IF(TRIM(U280)="N/A",IF(AT280=0,"INVALID – N/A not permitted for this mandatory check",IF(AND(TRIM(AC280)&lt;&gt;"",TRIM(AE280)&lt;&gt;"",TRIM(T280)&lt;&gt;""),"N/A – JUSTIFIED","INVALID – N/A needs justification, PIC and verifier")),IF(OR(TRIM(U280)="Pass",TRIM(U280)="Pass after CA"),IF(NOT(ISNUMBER(AD280)),"INVALID – completion time missing",IF(TRIM(T280)="","INVALID – PIC missing",IF(TRIM(Z280)="","INVALID – evidence missing",IF(TRIM(AE280)="","INVALID – verifier missing",IF(AND(AQ280=1,TRIM(W280)=""),"INVALID – batch ID missing",IF(AND(AR280=1,OR(NOT(ISNUMBER(X280)),NOT(ISNUMBER(Y280)))),"INVALID – expected/actual qty missing",IF(IF(AND(TRIM(U280)="Pass",ISNUMBER(AF280)),IF(AF280&lt;&gt;0,"INVALID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recorded/closed","")&lt;&gt;"",IF(AND(TRIM(U280)="Pass",ISNUMBER(AF280)),IF(AF280&lt;&gt;0,"INVALID – qty variance: use Fail or Pass after CA",""),"")&amp;IF(AND(TRIM(U280)="Pass",AB280="Open"),"INVALID – corrective action still open: use Fail, then Pass after CA","")&amp;IF(AND(TRIM(U280)="Pass after CA",OR(TRIM(AA280)="",AB280&lt;&gt;"Closed")),"INVALID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window"),IF(AG280&gt;Flights!$AA$12,"INVALID – completed after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f>
        <v/>
      </c>
      <c r="AI280" s="67">
        <f>IF(OR(AH280="N/A – RULE",AH280="N/A – JUSTIFIED"),0,1)</f>
        <v/>
      </c>
      <c r="AJ280" s="67">
        <f>IF(LEFT(AH280,8)="COMPLETE",1,0)</f>
        <v/>
      </c>
      <c r="AK280" s="67">
        <f>IF(AND(AI280=1,AJ280=0,AsOfUTC&gt;Q280),1,0)</f>
        <v/>
      </c>
      <c r="AL280" s="67">
        <f>IF(AND(AI280=1,OR(TRIM(U280)="Fail",AB280="Open",AND(ISNUMBER(AF280),AF280&lt;&gt;0,TRIM(U280)&lt;&gt;"Pass after CA"))),1,0)</f>
        <v/>
      </c>
      <c r="AM280" s="67">
        <f>IF(LEFT(AH280,7)="INVALID",1,0)</f>
        <v/>
      </c>
      <c r="AN280" s="67">
        <f>IF(AND(N280="Clarification required",AI280=1,AJ280=0),1,0)</f>
        <v/>
      </c>
      <c r="AO280" s="67">
        <f>IF(AK280=1,SUM(AK$5:AK280),"")</f>
        <v/>
      </c>
      <c r="AP280" s="67">
        <f>IF(AL280=1,SUM(AL$5:AL280),"")</f>
        <v/>
      </c>
      <c r="AQ280" s="67" t="n">
        <v>0</v>
      </c>
      <c r="AR280" s="67" t="n">
        <v>1</v>
      </c>
      <c r="AS280" s="67" t="n">
        <v>0</v>
      </c>
      <c r="AT280" s="67" t="n">
        <v>0</v>
      </c>
    </row>
    <row r="281" ht="40" customHeight="1">
      <c r="A281" s="63" t="inlineStr">
        <is>
          <t>F08-UPL-02</t>
        </is>
      </c>
      <c r="B281" s="63" t="inlineStr">
        <is>
          <t>F08</t>
        </is>
      </c>
      <c r="C281" s="63">
        <f>Flights!$F$12</f>
        <v/>
      </c>
      <c r="D281" s="64">
        <f>Flights!$D$12</f>
        <v/>
      </c>
      <c r="E281" s="63">
        <f>Flights!$G$12&amp;"-"&amp;Flights!$H$12</f>
        <v/>
      </c>
      <c r="F281" s="63">
        <f>Flights!$K$12</f>
        <v/>
      </c>
      <c r="G281" s="63" t="inlineStr">
        <is>
          <t>UPLIFT</t>
        </is>
      </c>
      <c r="H281" s="63" t="inlineStr">
        <is>
          <t>Physical uplift</t>
        </is>
      </c>
      <c r="I281" s="63" t="inlineStr">
        <is>
          <t>Equipment</t>
        </is>
      </c>
      <c r="J281" s="63" t="inlineStr">
        <is>
          <t>Equipment physically loaded at GLD positions - quantity &amp; positions</t>
        </is>
      </c>
      <c r="K281" s="73" t="inlineStr">
        <is>
          <t>Enter expected &amp; actual</t>
        </is>
      </c>
      <c r="L281" s="73" t="inlineStr">
        <is>
          <t>User brief (T-12 hours - physical uplift)</t>
        </is>
      </c>
      <c r="M281" s="73" t="inlineStr"/>
      <c r="N281" s="73" t="inlineStr">
        <is>
          <t>Required</t>
        </is>
      </c>
      <c r="O281" s="73" t="inlineStr">
        <is>
          <t>Confirm on board before departure; completion time must fall inside the uplift window.</t>
        </is>
      </c>
      <c r="P281" s="63" t="inlineStr">
        <is>
          <t>KUL</t>
        </is>
      </c>
      <c r="Q281" s="65">
        <f>Flights!$AF$12</f>
        <v/>
      </c>
      <c r="R281" s="65">
        <f>Q281+(IF(AND(INDEX(TZ_DSTS,MATCH(P281,TZ_STN,0))&lt;&gt;"",Q281&gt;=INDEX(TZ_DSTS,MATCH(P281,TZ_STN,0)),Q281&lt;INDEX(TZ_DSTE,MATCH(P281,TZ_STN,0))),INDEX(TZ_DST,MATCH(P281,TZ_STN,0)),INDEX(TZ_STD,MATCH(P281,TZ_STN,0))))/24</f>
        <v/>
      </c>
      <c r="S281" s="65">
        <f>Q281-UpliftWindowH/24</f>
        <v/>
      </c>
      <c r="T281" s="66" t="n"/>
      <c r="U281" s="66" t="n"/>
      <c r="V281" s="66" t="n"/>
      <c r="W281" s="67" t="n"/>
      <c r="X281" s="66" t="n"/>
      <c r="Y281" s="66" t="n"/>
      <c r="Z281" s="66" t="n"/>
      <c r="AA281" s="66" t="n"/>
      <c r="AB281" s="66" t="n"/>
      <c r="AC281" s="66" t="n"/>
      <c r="AD281" s="72" t="n"/>
      <c r="AE281" s="66" t="n"/>
      <c r="AF281" s="67">
        <f>IF(AND(ISNUMBER(X281),ISNUMBER(Y281)),Y281-X281,"")</f>
        <v/>
      </c>
      <c r="AG281" s="68">
        <f>IF(ISNUMBER(AD281),AD281-(IF(AND(INDEX(TZ_DSTS,MATCH(P281,TZ_STN,0))&lt;&gt;"",(AD281-INDEX(TZ_STD,MATCH(P281,TZ_STN,0))/24)&gt;=INDEX(TZ_DSTS,MATCH(P281,TZ_STN,0)),(AD281-INDEX(TZ_STD,MATCH(P281,TZ_STN,0))/24)&lt;INDEX(TZ_DSTE,MATCH(P281,TZ_STN,0))),INDEX(TZ_DST,MATCH(P281,TZ_STN,0)),INDEX(TZ_STD,MATCH(P281,TZ_STN,0))))/24,"")</f>
        <v/>
      </c>
      <c r="AH281" s="71">
        <f>IF(N281="N/A – rule","N/A – RULE",IF(TRIM(U281)="N/A",IF(AT281=0,"INVALID – N/A not permitted for this mandatory check",IF(AND(TRIM(AC281)&lt;&gt;"",TRIM(AE281)&lt;&gt;"",TRIM(T281)&lt;&gt;""),"N/A – JUSTIFIED","INVALID – N/A needs justification, PIC and verifier")),IF(OR(TRIM(U281)="Pass",TRIM(U281)="Pass after CA"),IF(NOT(ISNUMBER(AD281)),"INVALID – completion time missing",IF(TRIM(T281)="","INVALID – PIC missing",IF(TRIM(Z281)="","INVALID – evidence missing",IF(TRIM(AE281)="","INVALID – verifier missing",IF(AND(AQ281=1,TRIM(W281)=""),"INVALID – batch ID missing",IF(AND(AR281=1,OR(NOT(ISNUMBER(X281)),NOT(ISNUMBER(Y281)))),"INVALID – expected/actual qty missing",IF(IF(AND(TRIM(U281)="Pass",ISNUMBER(AF281)),IF(AF281&lt;&gt;0,"INVALID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recorded/closed","")&lt;&gt;"",IF(AND(TRIM(U281)="Pass",ISNUMBER(AF281)),IF(AF281&lt;&gt;0,"INVALID – qty variance: use Fail or Pass after CA",""),"")&amp;IF(AND(TRIM(U281)="Pass",AB281="Open"),"INVALID – corrective action still open: use Fail, then Pass after CA","")&amp;IF(AND(TRIM(U281)="Pass after CA",OR(TRIM(AA281)="",AB281&lt;&gt;"Closed")),"INVALID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window"),IF(AG281&gt;Flights!$AA$12,"INVALID – completed after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f>
        <v/>
      </c>
      <c r="AI281" s="67">
        <f>IF(OR(AH281="N/A – RULE",AH281="N/A – JUSTIFIED"),0,1)</f>
        <v/>
      </c>
      <c r="AJ281" s="67">
        <f>IF(LEFT(AH281,8)="COMPLETE",1,0)</f>
        <v/>
      </c>
      <c r="AK281" s="67">
        <f>IF(AND(AI281=1,AJ281=0,AsOfUTC&gt;Q281),1,0)</f>
        <v/>
      </c>
      <c r="AL281" s="67">
        <f>IF(AND(AI281=1,OR(TRIM(U281)="Fail",AB281="Open",AND(ISNUMBER(AF281),AF281&lt;&gt;0,TRIM(U281)&lt;&gt;"Pass after CA"))),1,0)</f>
        <v/>
      </c>
      <c r="AM281" s="67">
        <f>IF(LEFT(AH281,7)="INVALID",1,0)</f>
        <v/>
      </c>
      <c r="AN281" s="67">
        <f>IF(AND(N281="Clarification required",AI281=1,AJ281=0),1,0)</f>
        <v/>
      </c>
      <c r="AO281" s="67">
        <f>IF(AK281=1,SUM(AK$5:AK281),"")</f>
        <v/>
      </c>
      <c r="AP281" s="67">
        <f>IF(AL281=1,SUM(AL$5:AL281),"")</f>
        <v/>
      </c>
      <c r="AQ281" s="67" t="n">
        <v>0</v>
      </c>
      <c r="AR281" s="67" t="n">
        <v>1</v>
      </c>
      <c r="AS281" s="67" t="n">
        <v>0</v>
      </c>
      <c r="AT281" s="67" t="n">
        <v>0</v>
      </c>
    </row>
    <row r="282" ht="40" customHeight="1">
      <c r="A282" s="63" t="inlineStr">
        <is>
          <t>F08-UPL-03</t>
        </is>
      </c>
      <c r="B282" s="63" t="inlineStr">
        <is>
          <t>F08</t>
        </is>
      </c>
      <c r="C282" s="63">
        <f>Flights!$F$12</f>
        <v/>
      </c>
      <c r="D282" s="64">
        <f>Flights!$D$12</f>
        <v/>
      </c>
      <c r="E282" s="63">
        <f>Flights!$G$12&amp;"-"&amp;Flights!$H$12</f>
        <v/>
      </c>
      <c r="F282" s="63">
        <f>Flights!$K$12</f>
        <v/>
      </c>
      <c r="G282" s="63" t="inlineStr">
        <is>
          <t>UPLIFT</t>
        </is>
      </c>
      <c r="H282" s="63" t="inlineStr">
        <is>
          <t>Physical uplift</t>
        </is>
      </c>
      <c r="I282" s="63" t="inlineStr">
        <is>
          <t>Seat Linen</t>
        </is>
      </c>
      <c r="J282" s="63" t="inlineStr">
        <is>
          <t>Seat pillow (EY) - on board</t>
        </is>
      </c>
      <c r="K282" s="73" t="inlineStr">
        <is>
          <t>Available 100% (ticked in reference)</t>
        </is>
      </c>
      <c r="L282" s="73" t="inlineStr">
        <is>
          <t>STD UPLIFT INFORMATION.xlsx &gt; SEAT LINEN!I46</t>
        </is>
      </c>
      <c r="M282" s="73" t="inlineStr">
        <is>
          <t>Not stated in reference</t>
        </is>
      </c>
      <c r="N282" s="73" t="inlineStr">
        <is>
          <t>Required</t>
        </is>
      </c>
      <c r="O282" s="73" t="inlineStr"/>
      <c r="P282" s="63" t="inlineStr">
        <is>
          <t>KUL</t>
        </is>
      </c>
      <c r="Q282" s="65">
        <f>Flights!$AF$12</f>
        <v/>
      </c>
      <c r="R282" s="65">
        <f>Q282+(IF(AND(INDEX(TZ_DSTS,MATCH(P282,TZ_STN,0))&lt;&gt;"",Q282&gt;=INDEX(TZ_DSTS,MATCH(P282,TZ_STN,0)),Q282&lt;INDEX(TZ_DSTE,MATCH(P282,TZ_STN,0))),INDEX(TZ_DST,MATCH(P282,TZ_STN,0)),INDEX(TZ_STD,MATCH(P282,TZ_STN,0))))/24</f>
        <v/>
      </c>
      <c r="S282" s="65">
        <f>Q282-UpliftWindowH/24</f>
        <v/>
      </c>
      <c r="T282" s="66" t="n"/>
      <c r="U282" s="66" t="n"/>
      <c r="V282" s="66" t="n"/>
      <c r="W282" s="67" t="n"/>
      <c r="X282" s="66" t="n"/>
      <c r="Y282" s="66" t="n"/>
      <c r="Z282" s="66" t="n"/>
      <c r="AA282" s="66" t="n"/>
      <c r="AB282" s="66" t="n"/>
      <c r="AC282" s="66" t="n"/>
      <c r="AD282" s="72" t="n"/>
      <c r="AE282" s="66" t="n"/>
      <c r="AF282" s="67">
        <f>IF(AND(ISNUMBER(X282),ISNUMBER(Y282)),Y282-X282,"")</f>
        <v/>
      </c>
      <c r="AG282" s="68">
        <f>IF(ISNUMBER(AD282),AD282-(IF(AND(INDEX(TZ_DSTS,MATCH(P282,TZ_STN,0))&lt;&gt;"",(AD282-INDEX(TZ_STD,MATCH(P282,TZ_STN,0))/24)&gt;=INDEX(TZ_DSTS,MATCH(P282,TZ_STN,0)),(AD282-INDEX(TZ_STD,MATCH(P282,TZ_STN,0))/24)&lt;INDEX(TZ_DSTE,MATCH(P282,TZ_STN,0))),INDEX(TZ_DST,MATCH(P282,TZ_STN,0)),INDEX(TZ_STD,MATCH(P282,TZ_STN,0))))/24,"")</f>
        <v/>
      </c>
      <c r="AH282" s="71">
        <f>IF(N282="N/A – rule","N/A – RULE",IF(TRIM(U282)="N/A",IF(AT282=0,"INVALID – N/A not permitted for this mandatory check",IF(AND(TRIM(AC282)&lt;&gt;"",TRIM(AE282)&lt;&gt;"",TRIM(T282)&lt;&gt;""),"N/A – JUSTIFIED","INVALID – N/A needs justification, PIC and verifier")),IF(OR(TRIM(U282)="Pass",TRIM(U282)="Pass after CA"),IF(NOT(ISNUMBER(AD282)),"INVALID – completion time missing",IF(TRIM(T282)="","INVALID – PIC missing",IF(TRIM(Z282)="","INVALID – evidence missing",IF(TRIM(AE282)="","INVALID – verifier missing",IF(AND(AQ282=1,TRIM(W282)=""),"INVALID – batch ID missing",IF(AND(AR282=1,OR(NOT(ISNUMBER(X282)),NOT(ISNUMBER(Y282)))),"INVALID – expected/actual qty missing",IF(IF(AND(TRIM(U282)="Pass",ISNUMBER(AF282)),IF(AF282&lt;&gt;0,"INVALID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recorded/closed","")&lt;&gt;"",IF(AND(TRIM(U282)="Pass",ISNUMBER(AF282)),IF(AF282&lt;&gt;0,"INVALID – qty variance: use Fail or Pass after CA",""),"")&amp;IF(AND(TRIM(U282)="Pass",AB282="Open"),"INVALID – corrective action still open: use Fail, then Pass after CA","")&amp;IF(AND(TRIM(U282)="Pass after CA",OR(TRIM(AA282)="",AB282&lt;&gt;"Closed")),"INVALID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window"),IF(AG282&gt;Flights!$AA$12,"INVALID – completed after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f>
        <v/>
      </c>
      <c r="AI282" s="67">
        <f>IF(OR(AH282="N/A – RULE",AH282="N/A – JUSTIFIED"),0,1)</f>
        <v/>
      </c>
      <c r="AJ282" s="67">
        <f>IF(LEFT(AH282,8)="COMPLETE",1,0)</f>
        <v/>
      </c>
      <c r="AK282" s="67">
        <f>IF(AND(AI282=1,AJ282=0,AsOfUTC&gt;Q282),1,0)</f>
        <v/>
      </c>
      <c r="AL282" s="67">
        <f>IF(AND(AI282=1,OR(TRIM(U282)="Fail",AB282="Open",AND(ISNUMBER(AF282),AF282&lt;&gt;0,TRIM(U282)&lt;&gt;"Pass after CA"))),1,0)</f>
        <v/>
      </c>
      <c r="AM282" s="67">
        <f>IF(LEFT(AH282,7)="INVALID",1,0)</f>
        <v/>
      </c>
      <c r="AN282" s="67">
        <f>IF(AND(N282="Clarification required",AI282=1,AJ282=0),1,0)</f>
        <v/>
      </c>
      <c r="AO282" s="67">
        <f>IF(AK282=1,SUM(AK$5:AK282),"")</f>
        <v/>
      </c>
      <c r="AP282" s="67">
        <f>IF(AL282=1,SUM(AL$5:AL282),"")</f>
        <v/>
      </c>
      <c r="AQ282" s="67" t="n">
        <v>0</v>
      </c>
      <c r="AR282" s="67" t="n">
        <v>0</v>
      </c>
      <c r="AS282" s="67" t="n">
        <v>0</v>
      </c>
      <c r="AT282" s="67" t="n">
        <v>1</v>
      </c>
    </row>
    <row r="283" ht="40" customHeight="1">
      <c r="A283" s="63" t="inlineStr">
        <is>
          <t>F09-T7-01</t>
        </is>
      </c>
      <c r="B283" s="63" t="inlineStr">
        <is>
          <t>F09</t>
        </is>
      </c>
      <c r="C283" s="63">
        <f>Flights!$F$13</f>
        <v/>
      </c>
      <c r="D283" s="64">
        <f>Flights!$D$13</f>
        <v/>
      </c>
      <c r="E283" s="63">
        <f>Flights!$G$13&amp;"-"&amp;Flights!$H$13</f>
        <v/>
      </c>
      <c r="F283" s="63">
        <f>Flights!$K$13</f>
        <v/>
      </c>
      <c r="G283" s="63" t="inlineStr">
        <is>
          <t>T-7D</t>
        </is>
      </c>
      <c r="H283" s="63" t="inlineStr">
        <is>
          <t>Preparation</t>
        </is>
      </c>
      <c r="I283" s="63" t="inlineStr">
        <is>
          <t>Meal</t>
        </is>
      </c>
      <c r="J283" s="63" t="inlineStr">
        <is>
          <t>Meal sensory testing completed for this flight's menu cycle (assessed class)</t>
        </is>
      </c>
      <c r="K283" s="73" t="inlineStr">
        <is>
          <t>Record panel result / score in Result</t>
        </is>
      </c>
      <c r="L283" s="73" t="inlineStr">
        <is>
          <t>User brief (T-7 days)</t>
        </is>
      </c>
      <c r="M283" s="73" t="inlineStr"/>
      <c r="N283" s="73" t="inlineStr">
        <is>
          <t>Required</t>
        </is>
      </c>
      <c r="O283" s="73" t="inlineStr"/>
      <c r="P283" s="63" t="inlineStr">
        <is>
          <t>HAN</t>
        </is>
      </c>
      <c r="Q283" s="65">
        <f>Flights!$AC$13</f>
        <v/>
      </c>
      <c r="R283" s="65">
        <f>Q283+(IF(AND(INDEX(TZ_DSTS,MATCH(P283,TZ_STN,0))&lt;&gt;"",Q283&gt;=INDEX(TZ_DSTS,MATCH(P283,TZ_STN,0)),Q283&lt;INDEX(TZ_DSTE,MATCH(P283,TZ_STN,0))),INDEX(TZ_DST,MATCH(P283,TZ_STN,0)),INDEX(TZ_STD,MATCH(P283,TZ_STN,0))))/24</f>
        <v/>
      </c>
      <c r="S283" s="65" t="inlineStr"/>
      <c r="T283" s="66" t="n"/>
      <c r="U283" s="66" t="n"/>
      <c r="V283" s="66" t="n"/>
      <c r="W283" s="67" t="n"/>
      <c r="X283" s="66" t="n"/>
      <c r="Y283" s="66" t="n"/>
      <c r="Z283" s="66" t="n"/>
      <c r="AA283" s="66" t="n"/>
      <c r="AB283" s="66" t="n"/>
      <c r="AC283" s="66" t="n"/>
      <c r="AD283" s="72" t="n"/>
      <c r="AE283" s="66" t="n"/>
      <c r="AF283" s="67">
        <f>IF(AND(ISNUMBER(X283),ISNUMBER(Y283)),Y283-X283,"")</f>
        <v/>
      </c>
      <c r="AG283" s="68">
        <f>IF(ISNUMBER(AD283),AD283-(IF(AND(INDEX(TZ_DSTS,MATCH(P283,TZ_STN,0))&lt;&gt;"",(AD283-INDEX(TZ_STD,MATCH(P283,TZ_STN,0))/24)&gt;=INDEX(TZ_DSTS,MATCH(P283,TZ_STN,0)),(AD283-INDEX(TZ_STD,MATCH(P283,TZ_STN,0))/24)&lt;INDEX(TZ_DSTE,MATCH(P283,TZ_STN,0))),INDEX(TZ_DST,MATCH(P283,TZ_STN,0)),INDEX(TZ_STD,MATCH(P283,TZ_STN,0))))/24,"")</f>
        <v/>
      </c>
      <c r="AH283" s="71">
        <f>IF(N283="N/A – rule","N/A – RULE",IF(TRIM(U283)="N/A",IF(AT283=0,"INVALID – N/A not permitted for this mandatory check",IF(AND(TRIM(AC283)&lt;&gt;"",TRIM(AE283)&lt;&gt;"",TRIM(T283)&lt;&gt;""),"N/A – JUSTIFIED","INVALID – N/A needs justification, PIC and verifier")),IF(OR(TRIM(U283)="Pass",TRIM(U283)="Pass after CA"),IF(NOT(ISNUMBER(AD283)),"INVALID – completion time missing",IF(TRIM(T283)="","INVALID – PIC missing",IF(TRIM(Z283)="","INVALID – evidence missing",IF(TRIM(AE283)="","INVALID – verifier missing",IF(AND(AQ283=1,TRIM(W283)=""),"INVALID – batch ID missing",IF(AND(AR283=1,OR(NOT(ISNUMBER(X283)),NOT(ISNUMBER(Y283)))),"INVALID – expected/actual qty missing",IF(IF(AND(TRIM(U283)="Pass",ISNUMBER(AF283)),IF(AF283&lt;&gt;0,"INVALID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recorded/closed","")&lt;&gt;"",IF(AND(TRIM(U283)="Pass",ISNUMBER(AF283)),IF(AF283&lt;&gt;0,"INVALID – qty variance: use Fail or Pass after CA",""),"")&amp;IF(AND(TRIM(U283)="Pass",AB283="Open"),"INVALID – corrective action still open: use Fail, then Pass after CA","")&amp;IF(AND(TRIM(U283)="Pass after CA",OR(TRIM(AA283)="",AB283&lt;&gt;"Closed")),"INVALID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window"),IF(AG283&gt;Flights!$AA$13,"INVALID – completed after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f>
        <v/>
      </c>
      <c r="AI283" s="67">
        <f>IF(OR(AH283="N/A – RULE",AH283="N/A – JUSTIFIED"),0,1)</f>
        <v/>
      </c>
      <c r="AJ283" s="67">
        <f>IF(LEFT(AH283,8)="COMPLETE",1,0)</f>
        <v/>
      </c>
      <c r="AK283" s="67">
        <f>IF(AND(AI283=1,AJ283=0,AsOfUTC&gt;Q283),1,0)</f>
        <v/>
      </c>
      <c r="AL283" s="67">
        <f>IF(AND(AI283=1,OR(TRIM(U283)="Fail",AB283="Open",AND(ISNUMBER(AF283),AF283&lt;&gt;0,TRIM(U283)&lt;&gt;"Pass after CA"))),1,0)</f>
        <v/>
      </c>
      <c r="AM283" s="67">
        <f>IF(LEFT(AH283,7)="INVALID",1,0)</f>
        <v/>
      </c>
      <c r="AN283" s="67">
        <f>IF(AND(N283="Clarification required",AI283=1,AJ283=0),1,0)</f>
        <v/>
      </c>
      <c r="AO283" s="67">
        <f>IF(AK283=1,SUM(AK$5:AK283),"")</f>
        <v/>
      </c>
      <c r="AP283" s="67">
        <f>IF(AL283=1,SUM(AL$5:AL283),"")</f>
        <v/>
      </c>
      <c r="AQ283" s="67" t="n">
        <v>0</v>
      </c>
      <c r="AR283" s="67" t="n">
        <v>0</v>
      </c>
      <c r="AS283" s="67" t="n">
        <v>0</v>
      </c>
      <c r="AT283" s="67" t="n">
        <v>0</v>
      </c>
    </row>
    <row r="284" ht="40" customHeight="1">
      <c r="A284" s="63" t="inlineStr">
        <is>
          <t>F09-T7-02</t>
        </is>
      </c>
      <c r="B284" s="63" t="inlineStr">
        <is>
          <t>F09</t>
        </is>
      </c>
      <c r="C284" s="63">
        <f>Flights!$F$13</f>
        <v/>
      </c>
      <c r="D284" s="64">
        <f>Flights!$D$13</f>
        <v/>
      </c>
      <c r="E284" s="63">
        <f>Flights!$G$13&amp;"-"&amp;Flights!$H$13</f>
        <v/>
      </c>
      <c r="F284" s="63">
        <f>Flights!$K$13</f>
        <v/>
      </c>
      <c r="G284" s="63" t="inlineStr">
        <is>
          <t>T-7D</t>
        </is>
      </c>
      <c r="H284" s="63" t="inlineStr">
        <is>
          <t>Preparation</t>
        </is>
      </c>
      <c r="I284" s="63" t="inlineStr">
        <is>
          <t>Menu</t>
        </is>
      </c>
      <c r="J284" s="63" t="inlineStr">
        <is>
          <t>Printed menu cards confirmed (content, cycle, language, quantity)</t>
        </is>
      </c>
      <c r="K284" s="73" t="inlineStr">
        <is>
          <t>Menu card matches approved menu for this flight</t>
        </is>
      </c>
      <c r="L284" s="73" t="inlineStr">
        <is>
          <t>User brief (T-7 days)</t>
        </is>
      </c>
      <c r="M284" s="73" t="inlineStr"/>
      <c r="N284" s="73" t="inlineStr">
        <is>
          <t>Required</t>
        </is>
      </c>
      <c r="O284" s="73" t="inlineStr"/>
      <c r="P284" s="63" t="inlineStr">
        <is>
          <t>HAN</t>
        </is>
      </c>
      <c r="Q284" s="65">
        <f>Flights!$AC$13</f>
        <v/>
      </c>
      <c r="R284" s="65">
        <f>Q284+(IF(AND(INDEX(TZ_DSTS,MATCH(P284,TZ_STN,0))&lt;&gt;"",Q284&gt;=INDEX(TZ_DSTS,MATCH(P284,TZ_STN,0)),Q284&lt;INDEX(TZ_DSTE,MATCH(P284,TZ_STN,0))),INDEX(TZ_DST,MATCH(P284,TZ_STN,0)),INDEX(TZ_STD,MATCH(P284,TZ_STN,0))))/24</f>
        <v/>
      </c>
      <c r="S284" s="65" t="inlineStr"/>
      <c r="T284" s="66" t="n"/>
      <c r="U284" s="66" t="n"/>
      <c r="V284" s="66" t="n"/>
      <c r="W284" s="67" t="n"/>
      <c r="X284" s="66" t="n"/>
      <c r="Y284" s="66" t="n"/>
      <c r="Z284" s="66" t="n"/>
      <c r="AA284" s="66" t="n"/>
      <c r="AB284" s="66" t="n"/>
      <c r="AC284" s="66" t="n"/>
      <c r="AD284" s="72" t="n"/>
      <c r="AE284" s="66" t="n"/>
      <c r="AF284" s="67">
        <f>IF(AND(ISNUMBER(X284),ISNUMBER(Y284)),Y284-X284,"")</f>
        <v/>
      </c>
      <c r="AG284" s="68">
        <f>IF(ISNUMBER(AD284),AD284-(IF(AND(INDEX(TZ_DSTS,MATCH(P284,TZ_STN,0))&lt;&gt;"",(AD284-INDEX(TZ_STD,MATCH(P284,TZ_STN,0))/24)&gt;=INDEX(TZ_DSTS,MATCH(P284,TZ_STN,0)),(AD284-INDEX(TZ_STD,MATCH(P284,TZ_STN,0))/24)&lt;INDEX(TZ_DSTE,MATCH(P284,TZ_STN,0))),INDEX(TZ_DST,MATCH(P284,TZ_STN,0)),INDEX(TZ_STD,MATCH(P284,TZ_STN,0))))/24,"")</f>
        <v/>
      </c>
      <c r="AH284" s="71">
        <f>IF(N284="N/A – rule","N/A – RULE",IF(TRIM(U284)="N/A",IF(AT284=0,"INVALID – N/A not permitted for this mandatory check",IF(AND(TRIM(AC284)&lt;&gt;"",TRIM(AE284)&lt;&gt;"",TRIM(T284)&lt;&gt;""),"N/A – JUSTIFIED","INVALID – N/A needs justification, PIC and verifier")),IF(OR(TRIM(U284)="Pass",TRIM(U284)="Pass after CA"),IF(NOT(ISNUMBER(AD284)),"INVALID – completion time missing",IF(TRIM(T284)="","INVALID – PIC missing",IF(TRIM(Z284)="","INVALID – evidence missing",IF(TRIM(AE284)="","INVALID – verifier missing",IF(AND(AQ284=1,TRIM(W284)=""),"INVALID – batch ID missing",IF(AND(AR284=1,OR(NOT(ISNUMBER(X284)),NOT(ISNUMBER(Y284)))),"INVALID – expected/actual qty missing",IF(IF(AND(TRIM(U284)="Pass",ISNUMBER(AF284)),IF(AF284&lt;&gt;0,"INVALID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recorded/closed","")&lt;&gt;"",IF(AND(TRIM(U284)="Pass",ISNUMBER(AF284)),IF(AF284&lt;&gt;0,"INVALID – qty variance: use Fail or Pass after CA",""),"")&amp;IF(AND(TRIM(U284)="Pass",AB284="Open"),"INVALID – corrective action still open: use Fail, then Pass after CA","")&amp;IF(AND(TRIM(U284)="Pass after CA",OR(TRIM(AA284)="",AB284&lt;&gt;"Closed")),"INVALID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window"),IF(AG284&gt;Flights!$AA$13,"INVALID – completed after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f>
        <v/>
      </c>
      <c r="AI284" s="67">
        <f>IF(OR(AH284="N/A – RULE",AH284="N/A – JUSTIFIED"),0,1)</f>
        <v/>
      </c>
      <c r="AJ284" s="67">
        <f>IF(LEFT(AH284,8)="COMPLETE",1,0)</f>
        <v/>
      </c>
      <c r="AK284" s="67">
        <f>IF(AND(AI284=1,AJ284=0,AsOfUTC&gt;Q284),1,0)</f>
        <v/>
      </c>
      <c r="AL284" s="67">
        <f>IF(AND(AI284=1,OR(TRIM(U284)="Fail",AB284="Open",AND(ISNUMBER(AF284),AF284&lt;&gt;0,TRIM(U284)&lt;&gt;"Pass after CA"))),1,0)</f>
        <v/>
      </c>
      <c r="AM284" s="67">
        <f>IF(LEFT(AH284,7)="INVALID",1,0)</f>
        <v/>
      </c>
      <c r="AN284" s="67">
        <f>IF(AND(N284="Clarification required",AI284=1,AJ284=0),1,0)</f>
        <v/>
      </c>
      <c r="AO284" s="67">
        <f>IF(AK284=1,SUM(AK$5:AK284),"")</f>
        <v/>
      </c>
      <c r="AP284" s="67">
        <f>IF(AL284=1,SUM(AL$5:AL284),"")</f>
        <v/>
      </c>
      <c r="AQ284" s="67" t="n">
        <v>0</v>
      </c>
      <c r="AR284" s="67" t="n">
        <v>0</v>
      </c>
      <c r="AS284" s="67" t="n">
        <v>0</v>
      </c>
      <c r="AT284" s="67" t="n">
        <v>1</v>
      </c>
    </row>
    <row r="285" ht="41.5" customHeight="1">
      <c r="A285" s="63" t="inlineStr">
        <is>
          <t>F09-T7-03</t>
        </is>
      </c>
      <c r="B285" s="63" t="inlineStr">
        <is>
          <t>F09</t>
        </is>
      </c>
      <c r="C285" s="63">
        <f>Flights!$F$13</f>
        <v/>
      </c>
      <c r="D285" s="64">
        <f>Flights!$D$13</f>
        <v/>
      </c>
      <c r="E285" s="63">
        <f>Flights!$G$13&amp;"-"&amp;Flights!$H$13</f>
        <v/>
      </c>
      <c r="F285" s="63">
        <f>Flights!$K$13</f>
        <v/>
      </c>
      <c r="G285" s="63" t="inlineStr">
        <is>
          <t>T-7D</t>
        </is>
      </c>
      <c r="H285" s="63" t="inlineStr">
        <is>
          <t>Preparation</t>
        </is>
      </c>
      <c r="I285" s="63" t="inlineStr">
        <is>
          <t>IFE</t>
        </is>
      </c>
      <c r="J285" s="63" t="inlineStr">
        <is>
          <t>Digital menu in IFE confirmed (A339 only)</t>
        </is>
      </c>
      <c r="K285" s="73" t="inlineStr">
        <is>
          <t>Applies when fleet = A339</t>
        </is>
      </c>
      <c r="L285" s="73" t="inlineStr">
        <is>
          <t>User brief (T-7 days)</t>
        </is>
      </c>
      <c r="M285" s="73" t="inlineStr"/>
      <c r="N285" s="73">
        <f>IF(TRIM(Flights!$L$13)="A339","Required","N/A – rule")</f>
        <v/>
      </c>
      <c r="O285" s="73" t="inlineStr">
        <is>
          <t>Digital IFE menu applies to A339 only (user brief). Applicability follows the Fleet cell on Flights.</t>
        </is>
      </c>
      <c r="P285" s="63" t="inlineStr">
        <is>
          <t>HAN</t>
        </is>
      </c>
      <c r="Q285" s="65">
        <f>Flights!$AC$13</f>
        <v/>
      </c>
      <c r="R285" s="65">
        <f>Q285+(IF(AND(INDEX(TZ_DSTS,MATCH(P285,TZ_STN,0))&lt;&gt;"",Q285&gt;=INDEX(TZ_DSTS,MATCH(P285,TZ_STN,0)),Q285&lt;INDEX(TZ_DSTE,MATCH(P285,TZ_STN,0))),INDEX(TZ_DST,MATCH(P285,TZ_STN,0)),INDEX(TZ_STD,MATCH(P285,TZ_STN,0))))/24</f>
        <v/>
      </c>
      <c r="S285" s="65" t="inlineStr"/>
      <c r="T285" s="66" t="n"/>
      <c r="U285" s="66" t="n"/>
      <c r="V285" s="66" t="n"/>
      <c r="W285" s="67" t="n"/>
      <c r="X285" s="66" t="n"/>
      <c r="Y285" s="66" t="n"/>
      <c r="Z285" s="66" t="n"/>
      <c r="AA285" s="66" t="n"/>
      <c r="AB285" s="66" t="n"/>
      <c r="AC285" s="66" t="n"/>
      <c r="AD285" s="72" t="n"/>
      <c r="AE285" s="66" t="n"/>
      <c r="AF285" s="67">
        <f>IF(AND(ISNUMBER(X285),ISNUMBER(Y285)),Y285-X285,"")</f>
        <v/>
      </c>
      <c r="AG285" s="68">
        <f>IF(ISNUMBER(AD285),AD285-(IF(AND(INDEX(TZ_DSTS,MATCH(P285,TZ_STN,0))&lt;&gt;"",(AD285-INDEX(TZ_STD,MATCH(P285,TZ_STN,0))/24)&gt;=INDEX(TZ_DSTS,MATCH(P285,TZ_STN,0)),(AD285-INDEX(TZ_STD,MATCH(P285,TZ_STN,0))/24)&lt;INDEX(TZ_DSTE,MATCH(P285,TZ_STN,0))),INDEX(TZ_DST,MATCH(P285,TZ_STN,0)),INDEX(TZ_STD,MATCH(P285,TZ_STN,0))))/24,"")</f>
        <v/>
      </c>
      <c r="AH285" s="71">
        <f>IF(N285="N/A – rule","N/A – RULE",IF(TRIM(U285)="N/A",IF(AT285=0,"INVALID – N/A not permitted for this mandatory check",IF(AND(TRIM(AC285)&lt;&gt;"",TRIM(AE285)&lt;&gt;"",TRIM(T285)&lt;&gt;""),"N/A – JUSTIFIED","INVALID – N/A needs justification, PIC and verifier")),IF(OR(TRIM(U285)="Pass",TRIM(U285)="Pass after CA"),IF(NOT(ISNUMBER(AD285)),"INVALID – completion time missing",IF(TRIM(T285)="","INVALID – PIC missing",IF(TRIM(Z285)="","INVALID – evidence missing",IF(TRIM(AE285)="","INVALID – verifier missing",IF(AND(AQ285=1,TRIM(W285)=""),"INVALID – batch ID missing",IF(AND(AR285=1,OR(NOT(ISNUMBER(X285)),NOT(ISNUMBER(Y285)))),"INVALID – expected/actual qty missing",IF(IF(AND(TRIM(U285)="Pass",ISNUMBER(AF285)),IF(AF285&lt;&gt;0,"INVALID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recorded/closed","")&lt;&gt;"",IF(AND(TRIM(U285)="Pass",ISNUMBER(AF285)),IF(AF285&lt;&gt;0,"INVALID – qty variance: use Fail or Pass after CA",""),"")&amp;IF(AND(TRIM(U285)="Pass",AB285="Open"),"INVALID – corrective action still open: use Fail, then Pass after CA","")&amp;IF(AND(TRIM(U285)="Pass after CA",OR(TRIM(AA285)="",AB285&lt;&gt;"Closed")),"INVALID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window"),IF(AG285&gt;Flights!$AA$13,"INVALID – completed after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f>
        <v/>
      </c>
      <c r="AI285" s="67">
        <f>IF(OR(AH285="N/A – RULE",AH285="N/A – JUSTIFIED"),0,1)</f>
        <v/>
      </c>
      <c r="AJ285" s="67">
        <f>IF(LEFT(AH285,8)="COMPLETE",1,0)</f>
        <v/>
      </c>
      <c r="AK285" s="67">
        <f>IF(AND(AI285=1,AJ285=0,AsOfUTC&gt;Q285),1,0)</f>
        <v/>
      </c>
      <c r="AL285" s="67">
        <f>IF(AND(AI285=1,OR(TRIM(U285)="Fail",AB285="Open",AND(ISNUMBER(AF285),AF285&lt;&gt;0,TRIM(U285)&lt;&gt;"Pass after CA"))),1,0)</f>
        <v/>
      </c>
      <c r="AM285" s="67">
        <f>IF(LEFT(AH285,7)="INVALID",1,0)</f>
        <v/>
      </c>
      <c r="AN285" s="67">
        <f>IF(AND(N285="Clarification required",AI285=1,AJ285=0),1,0)</f>
        <v/>
      </c>
      <c r="AO285" s="67">
        <f>IF(AK285=1,SUM(AK$5:AK285),"")</f>
        <v/>
      </c>
      <c r="AP285" s="67">
        <f>IF(AL285=1,SUM(AL$5:AL285),"")</f>
        <v/>
      </c>
      <c r="AQ285" s="67" t="n">
        <v>0</v>
      </c>
      <c r="AR285" s="67" t="n">
        <v>0</v>
      </c>
      <c r="AS285" s="67" t="n">
        <v>0</v>
      </c>
      <c r="AT285" s="67" t="n">
        <v>0</v>
      </c>
    </row>
    <row r="286" ht="40" customHeight="1">
      <c r="A286" s="63" t="inlineStr">
        <is>
          <t>F09-T7-04</t>
        </is>
      </c>
      <c r="B286" s="63" t="inlineStr">
        <is>
          <t>F09</t>
        </is>
      </c>
      <c r="C286" s="63">
        <f>Flights!$F$13</f>
        <v/>
      </c>
      <c r="D286" s="64">
        <f>Flights!$D$13</f>
        <v/>
      </c>
      <c r="E286" s="63">
        <f>Flights!$G$13&amp;"-"&amp;Flights!$H$13</f>
        <v/>
      </c>
      <c r="F286" s="63">
        <f>Flights!$K$13</f>
        <v/>
      </c>
      <c r="G286" s="63" t="inlineStr">
        <is>
          <t>T-7D</t>
        </is>
      </c>
      <c r="H286" s="63" t="inlineStr">
        <is>
          <t>Preparation</t>
        </is>
      </c>
      <c r="I286" s="63" t="inlineStr">
        <is>
          <t>Staffing</t>
        </is>
      </c>
      <c r="J286" s="63" t="inlineStr">
        <is>
          <t>Experienced catering officer assigned to this flight</t>
        </is>
      </c>
      <c r="K286" s="73" t="inlineStr">
        <is>
          <t>Record officer name in Result</t>
        </is>
      </c>
      <c r="L286" s="73" t="inlineStr">
        <is>
          <t>User brief (T-7 days)</t>
        </is>
      </c>
      <c r="M286" s="73" t="inlineStr"/>
      <c r="N286" s="73" t="inlineStr">
        <is>
          <t>Required</t>
        </is>
      </c>
      <c r="O286" s="73" t="inlineStr"/>
      <c r="P286" s="63" t="inlineStr">
        <is>
          <t>HAN</t>
        </is>
      </c>
      <c r="Q286" s="65">
        <f>Flights!$AC$13</f>
        <v/>
      </c>
      <c r="R286" s="65">
        <f>Q286+(IF(AND(INDEX(TZ_DSTS,MATCH(P286,TZ_STN,0))&lt;&gt;"",Q286&gt;=INDEX(TZ_DSTS,MATCH(P286,TZ_STN,0)),Q286&lt;INDEX(TZ_DSTE,MATCH(P286,TZ_STN,0))),INDEX(TZ_DST,MATCH(P286,TZ_STN,0)),INDEX(TZ_STD,MATCH(P286,TZ_STN,0))))/24</f>
        <v/>
      </c>
      <c r="S286" s="65" t="inlineStr"/>
      <c r="T286" s="66" t="n"/>
      <c r="U286" s="66" t="n"/>
      <c r="V286" s="66" t="n"/>
      <c r="W286" s="67" t="n"/>
      <c r="X286" s="66" t="n"/>
      <c r="Y286" s="66" t="n"/>
      <c r="Z286" s="66" t="n"/>
      <c r="AA286" s="66" t="n"/>
      <c r="AB286" s="66" t="n"/>
      <c r="AC286" s="66" t="n"/>
      <c r="AD286" s="72" t="n"/>
      <c r="AE286" s="66" t="n"/>
      <c r="AF286" s="67">
        <f>IF(AND(ISNUMBER(X286),ISNUMBER(Y286)),Y286-X286,"")</f>
        <v/>
      </c>
      <c r="AG286" s="68">
        <f>IF(ISNUMBER(AD286),AD286-(IF(AND(INDEX(TZ_DSTS,MATCH(P286,TZ_STN,0))&lt;&gt;"",(AD286-INDEX(TZ_STD,MATCH(P286,TZ_STN,0))/24)&gt;=INDEX(TZ_DSTS,MATCH(P286,TZ_STN,0)),(AD286-INDEX(TZ_STD,MATCH(P286,TZ_STN,0))/24)&lt;INDEX(TZ_DSTE,MATCH(P286,TZ_STN,0))),INDEX(TZ_DST,MATCH(P286,TZ_STN,0)),INDEX(TZ_STD,MATCH(P286,TZ_STN,0))))/24,"")</f>
        <v/>
      </c>
      <c r="AH286" s="71">
        <f>IF(N286="N/A – rule","N/A – RULE",IF(TRIM(U286)="N/A",IF(AT286=0,"INVALID – N/A not permitted for this mandatory check",IF(AND(TRIM(AC286)&lt;&gt;"",TRIM(AE286)&lt;&gt;"",TRIM(T286)&lt;&gt;""),"N/A – JUSTIFIED","INVALID – N/A needs justification, PIC and verifier")),IF(OR(TRIM(U286)="Pass",TRIM(U286)="Pass after CA"),IF(NOT(ISNUMBER(AD286)),"INVALID – completion time missing",IF(TRIM(T286)="","INVALID – PIC missing",IF(TRIM(Z286)="","INVALID – evidence missing",IF(TRIM(AE286)="","INVALID – verifier missing",IF(AND(AQ286=1,TRIM(W286)=""),"INVALID – batch ID missing",IF(AND(AR286=1,OR(NOT(ISNUMBER(X286)),NOT(ISNUMBER(Y286)))),"INVALID – expected/actual qty missing",IF(IF(AND(TRIM(U286)="Pass",ISNUMBER(AF286)),IF(AF286&lt;&gt;0,"INVALID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recorded/closed","")&lt;&gt;"",IF(AND(TRIM(U286)="Pass",ISNUMBER(AF286)),IF(AF286&lt;&gt;0,"INVALID – qty variance: use Fail or Pass after CA",""),"")&amp;IF(AND(TRIM(U286)="Pass",AB286="Open"),"INVALID – corrective action still open: use Fail, then Pass after CA","")&amp;IF(AND(TRIM(U286)="Pass after CA",OR(TRIM(AA286)="",AB286&lt;&gt;"Closed")),"INVALID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window"),IF(AG286&gt;Flights!$AA$13,"INVALID – completed after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f>
        <v/>
      </c>
      <c r="AI286" s="67">
        <f>IF(OR(AH286="N/A – RULE",AH286="N/A – JUSTIFIED"),0,1)</f>
        <v/>
      </c>
      <c r="AJ286" s="67">
        <f>IF(LEFT(AH286,8)="COMPLETE",1,0)</f>
        <v/>
      </c>
      <c r="AK286" s="67">
        <f>IF(AND(AI286=1,AJ286=0,AsOfUTC&gt;Q286),1,0)</f>
        <v/>
      </c>
      <c r="AL286" s="67">
        <f>IF(AND(AI286=1,OR(TRIM(U286)="Fail",AB286="Open",AND(ISNUMBER(AF286),AF286&lt;&gt;0,TRIM(U286)&lt;&gt;"Pass after CA"))),1,0)</f>
        <v/>
      </c>
      <c r="AM286" s="67">
        <f>IF(LEFT(AH286,7)="INVALID",1,0)</f>
        <v/>
      </c>
      <c r="AN286" s="67">
        <f>IF(AND(N286="Clarification required",AI286=1,AJ286=0),1,0)</f>
        <v/>
      </c>
      <c r="AO286" s="67">
        <f>IF(AK286=1,SUM(AK$5:AK286),"")</f>
        <v/>
      </c>
      <c r="AP286" s="67">
        <f>IF(AL286=1,SUM(AL$5:AL286),"")</f>
        <v/>
      </c>
      <c r="AQ286" s="67" t="n">
        <v>0</v>
      </c>
      <c r="AR286" s="67" t="n">
        <v>0</v>
      </c>
      <c r="AS286" s="67" t="n">
        <v>0</v>
      </c>
      <c r="AT286" s="67" t="n">
        <v>0</v>
      </c>
    </row>
    <row r="287" ht="40" customHeight="1">
      <c r="A287" s="63" t="inlineStr">
        <is>
          <t>F09-T7-05</t>
        </is>
      </c>
      <c r="B287" s="63" t="inlineStr">
        <is>
          <t>F09</t>
        </is>
      </c>
      <c r="C287" s="63">
        <f>Flights!$F$13</f>
        <v/>
      </c>
      <c r="D287" s="64">
        <f>Flights!$D$13</f>
        <v/>
      </c>
      <c r="E287" s="63">
        <f>Flights!$G$13&amp;"-"&amp;Flights!$H$13</f>
        <v/>
      </c>
      <c r="F287" s="63">
        <f>Flights!$K$13</f>
        <v/>
      </c>
      <c r="G287" s="63" t="inlineStr">
        <is>
          <t>T-7D</t>
        </is>
      </c>
      <c r="H287" s="63" t="inlineStr">
        <is>
          <t>Preparation</t>
        </is>
      </c>
      <c r="I287" s="63" t="inlineStr">
        <is>
          <t>ISOP</t>
        </is>
      </c>
      <c r="J287" s="63" t="inlineStr">
        <is>
          <t>All latest applicable ISOP revisions communicated to caterer</t>
        </is>
      </c>
      <c r="K287" s="73" t="inlineStr">
        <is>
          <t>List revision numbers in Result (see ISOP register)</t>
        </is>
      </c>
      <c r="L287" s="73" t="inlineStr">
        <is>
          <t>User brief (T-7 days)</t>
        </is>
      </c>
      <c r="M287" s="73" t="inlineStr"/>
      <c r="N287" s="73" t="inlineStr">
        <is>
          <t>Required</t>
        </is>
      </c>
      <c r="O287" s="73" t="inlineStr"/>
      <c r="P287" s="63" t="inlineStr">
        <is>
          <t>HAN</t>
        </is>
      </c>
      <c r="Q287" s="65">
        <f>Flights!$AC$13</f>
        <v/>
      </c>
      <c r="R287" s="65">
        <f>Q287+(IF(AND(INDEX(TZ_DSTS,MATCH(P287,TZ_STN,0))&lt;&gt;"",Q287&gt;=INDEX(TZ_DSTS,MATCH(P287,TZ_STN,0)),Q287&lt;INDEX(TZ_DSTE,MATCH(P287,TZ_STN,0))),INDEX(TZ_DST,MATCH(P287,TZ_STN,0)),INDEX(TZ_STD,MATCH(P287,TZ_STN,0))))/24</f>
        <v/>
      </c>
      <c r="S287" s="65" t="inlineStr"/>
      <c r="T287" s="66" t="n"/>
      <c r="U287" s="66" t="n"/>
      <c r="V287" s="66" t="n"/>
      <c r="W287" s="67" t="n"/>
      <c r="X287" s="66" t="n"/>
      <c r="Y287" s="66" t="n"/>
      <c r="Z287" s="66" t="n"/>
      <c r="AA287" s="66" t="n"/>
      <c r="AB287" s="66" t="n"/>
      <c r="AC287" s="66" t="n"/>
      <c r="AD287" s="72" t="n"/>
      <c r="AE287" s="66" t="n"/>
      <c r="AF287" s="67">
        <f>IF(AND(ISNUMBER(X287),ISNUMBER(Y287)),Y287-X287,"")</f>
        <v/>
      </c>
      <c r="AG287" s="68">
        <f>IF(ISNUMBER(AD287),AD287-(IF(AND(INDEX(TZ_DSTS,MATCH(P287,TZ_STN,0))&lt;&gt;"",(AD287-INDEX(TZ_STD,MATCH(P287,TZ_STN,0))/24)&gt;=INDEX(TZ_DSTS,MATCH(P287,TZ_STN,0)),(AD287-INDEX(TZ_STD,MATCH(P287,TZ_STN,0))/24)&lt;INDEX(TZ_DSTE,MATCH(P287,TZ_STN,0))),INDEX(TZ_DST,MATCH(P287,TZ_STN,0)),INDEX(TZ_STD,MATCH(P287,TZ_STN,0))))/24,"")</f>
        <v/>
      </c>
      <c r="AH287" s="71">
        <f>IF(N287="N/A – rule","N/A – RULE",IF(TRIM(U287)="N/A",IF(AT287=0,"INVALID – N/A not permitted for this mandatory check",IF(AND(TRIM(AC287)&lt;&gt;"",TRIM(AE287)&lt;&gt;"",TRIM(T287)&lt;&gt;""),"N/A – JUSTIFIED","INVALID – N/A needs justification, PIC and verifier")),IF(OR(TRIM(U287)="Pass",TRIM(U287)="Pass after CA"),IF(NOT(ISNUMBER(AD287)),"INVALID – completion time missing",IF(TRIM(T287)="","INVALID – PIC missing",IF(TRIM(Z287)="","INVALID – evidence missing",IF(TRIM(AE287)="","INVALID – verifier missing",IF(AND(AQ287=1,TRIM(W287)=""),"INVALID – batch ID missing",IF(AND(AR287=1,OR(NOT(ISNUMBER(X287)),NOT(ISNUMBER(Y287)))),"INVALID – expected/actual qty missing",IF(IF(AND(TRIM(U287)="Pass",ISNUMBER(AF287)),IF(AF287&lt;&gt;0,"INVALID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recorded/closed","")&lt;&gt;"",IF(AND(TRIM(U287)="Pass",ISNUMBER(AF287)),IF(AF287&lt;&gt;0,"INVALID – qty variance: use Fail or Pass after CA",""),"")&amp;IF(AND(TRIM(U287)="Pass",AB287="Open"),"INVALID – corrective action still open: use Fail, then Pass after CA","")&amp;IF(AND(TRIM(U287)="Pass after CA",OR(TRIM(AA287)="",AB287&lt;&gt;"Closed")),"INVALID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window"),IF(AG287&gt;Flights!$AA$13,"INVALID – completed after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f>
        <v/>
      </c>
      <c r="AI287" s="67">
        <f>IF(OR(AH287="N/A – RULE",AH287="N/A – JUSTIFIED"),0,1)</f>
        <v/>
      </c>
      <c r="AJ287" s="67">
        <f>IF(LEFT(AH287,8)="COMPLETE",1,0)</f>
        <v/>
      </c>
      <c r="AK287" s="67">
        <f>IF(AND(AI287=1,AJ287=0,AsOfUTC&gt;Q287),1,0)</f>
        <v/>
      </c>
      <c r="AL287" s="67">
        <f>IF(AND(AI287=1,OR(TRIM(U287)="Fail",AB287="Open",AND(ISNUMBER(AF287),AF287&lt;&gt;0,TRIM(U287)&lt;&gt;"Pass after CA"))),1,0)</f>
        <v/>
      </c>
      <c r="AM287" s="67">
        <f>IF(LEFT(AH287,7)="INVALID",1,0)</f>
        <v/>
      </c>
      <c r="AN287" s="67">
        <f>IF(AND(N287="Clarification required",AI287=1,AJ287=0),1,0)</f>
        <v/>
      </c>
      <c r="AO287" s="67">
        <f>IF(AK287=1,SUM(AK$5:AK287),"")</f>
        <v/>
      </c>
      <c r="AP287" s="67">
        <f>IF(AL287=1,SUM(AL$5:AL287),"")</f>
        <v/>
      </c>
      <c r="AQ287" s="67" t="n">
        <v>0</v>
      </c>
      <c r="AR287" s="67" t="n">
        <v>0</v>
      </c>
      <c r="AS287" s="67" t="n">
        <v>0</v>
      </c>
      <c r="AT287" s="67" t="n">
        <v>0</v>
      </c>
    </row>
    <row r="288" ht="40" customHeight="1">
      <c r="A288" s="63" t="inlineStr">
        <is>
          <t>F09-T7-06</t>
        </is>
      </c>
      <c r="B288" s="63" t="inlineStr">
        <is>
          <t>F09</t>
        </is>
      </c>
      <c r="C288" s="63">
        <f>Flights!$F$13</f>
        <v/>
      </c>
      <c r="D288" s="64">
        <f>Flights!$D$13</f>
        <v/>
      </c>
      <c r="E288" s="63">
        <f>Flights!$G$13&amp;"-"&amp;Flights!$H$13</f>
        <v/>
      </c>
      <c r="F288" s="63">
        <f>Flights!$K$13</f>
        <v/>
      </c>
      <c r="G288" s="63" t="inlineStr">
        <is>
          <t>T-7D</t>
        </is>
      </c>
      <c r="H288" s="63" t="inlineStr">
        <is>
          <t>Preparation</t>
        </is>
      </c>
      <c r="I288" s="63" t="inlineStr">
        <is>
          <t>ISOP</t>
        </is>
      </c>
      <c r="J288" s="63" t="inlineStr">
        <is>
          <t>Caterer acknowledgement of ISOP revisions recorded</t>
        </is>
      </c>
      <c r="K288" s="73" t="inlineStr">
        <is>
          <t>Record acknowledgement ref in Evidence</t>
        </is>
      </c>
      <c r="L288" s="73" t="inlineStr">
        <is>
          <t>User brief (T-7 days)</t>
        </is>
      </c>
      <c r="M288" s="73" t="inlineStr"/>
      <c r="N288" s="73" t="inlineStr">
        <is>
          <t>Required</t>
        </is>
      </c>
      <c r="O288" s="73" t="inlineStr"/>
      <c r="P288" s="63" t="inlineStr">
        <is>
          <t>HAN</t>
        </is>
      </c>
      <c r="Q288" s="65">
        <f>Flights!$AC$13</f>
        <v/>
      </c>
      <c r="R288" s="65">
        <f>Q288+(IF(AND(INDEX(TZ_DSTS,MATCH(P288,TZ_STN,0))&lt;&gt;"",Q288&gt;=INDEX(TZ_DSTS,MATCH(P288,TZ_STN,0)),Q288&lt;INDEX(TZ_DSTE,MATCH(P288,TZ_STN,0))),INDEX(TZ_DST,MATCH(P288,TZ_STN,0)),INDEX(TZ_STD,MATCH(P288,TZ_STN,0))))/24</f>
        <v/>
      </c>
      <c r="S288" s="65" t="inlineStr"/>
      <c r="T288" s="66" t="n"/>
      <c r="U288" s="66" t="n"/>
      <c r="V288" s="66" t="n"/>
      <c r="W288" s="67" t="n"/>
      <c r="X288" s="66" t="n"/>
      <c r="Y288" s="66" t="n"/>
      <c r="Z288" s="66" t="n"/>
      <c r="AA288" s="66" t="n"/>
      <c r="AB288" s="66" t="n"/>
      <c r="AC288" s="66" t="n"/>
      <c r="AD288" s="72" t="n"/>
      <c r="AE288" s="66" t="n"/>
      <c r="AF288" s="67">
        <f>IF(AND(ISNUMBER(X288),ISNUMBER(Y288)),Y288-X288,"")</f>
        <v/>
      </c>
      <c r="AG288" s="68">
        <f>IF(ISNUMBER(AD288),AD288-(IF(AND(INDEX(TZ_DSTS,MATCH(P288,TZ_STN,0))&lt;&gt;"",(AD288-INDEX(TZ_STD,MATCH(P288,TZ_STN,0))/24)&gt;=INDEX(TZ_DSTS,MATCH(P288,TZ_STN,0)),(AD288-INDEX(TZ_STD,MATCH(P288,TZ_STN,0))/24)&lt;INDEX(TZ_DSTE,MATCH(P288,TZ_STN,0))),INDEX(TZ_DST,MATCH(P288,TZ_STN,0)),INDEX(TZ_STD,MATCH(P288,TZ_STN,0))))/24,"")</f>
        <v/>
      </c>
      <c r="AH288" s="71">
        <f>IF(N288="N/A – rule","N/A – RULE",IF(TRIM(U288)="N/A",IF(AT288=0,"INVALID – N/A not permitted for this mandatory check",IF(AND(TRIM(AC288)&lt;&gt;"",TRIM(AE288)&lt;&gt;"",TRIM(T288)&lt;&gt;""),"N/A – JUSTIFIED","INVALID – N/A needs justification, PIC and verifier")),IF(OR(TRIM(U288)="Pass",TRIM(U288)="Pass after CA"),IF(NOT(ISNUMBER(AD288)),"INVALID – completion time missing",IF(TRIM(T288)="","INVALID – PIC missing",IF(TRIM(Z288)="","INVALID – evidence missing",IF(TRIM(AE288)="","INVALID – verifier missing",IF(AND(AQ288=1,TRIM(W288)=""),"INVALID – batch ID missing",IF(AND(AR288=1,OR(NOT(ISNUMBER(X288)),NOT(ISNUMBER(Y288)))),"INVALID – expected/actual qty missing",IF(IF(AND(TRIM(U288)="Pass",ISNUMBER(AF288)),IF(AF288&lt;&gt;0,"INVALID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recorded/closed","")&lt;&gt;"",IF(AND(TRIM(U288)="Pass",ISNUMBER(AF288)),IF(AF288&lt;&gt;0,"INVALID – qty variance: use Fail or Pass after CA",""),"")&amp;IF(AND(TRIM(U288)="Pass",AB288="Open"),"INVALID – corrective action still open: use Fail, then Pass after CA","")&amp;IF(AND(TRIM(U288)="Pass after CA",OR(TRIM(AA288)="",AB288&lt;&gt;"Closed")),"INVALID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window"),IF(AG288&gt;Flights!$AA$13,"INVALID – completed after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f>
        <v/>
      </c>
      <c r="AI288" s="67">
        <f>IF(OR(AH288="N/A – RULE",AH288="N/A – JUSTIFIED"),0,1)</f>
        <v/>
      </c>
      <c r="AJ288" s="67">
        <f>IF(LEFT(AH288,8)="COMPLETE",1,0)</f>
        <v/>
      </c>
      <c r="AK288" s="67">
        <f>IF(AND(AI288=1,AJ288=0,AsOfUTC&gt;Q288),1,0)</f>
        <v/>
      </c>
      <c r="AL288" s="67">
        <f>IF(AND(AI288=1,OR(TRIM(U288)="Fail",AB288="Open",AND(ISNUMBER(AF288),AF288&lt;&gt;0,TRIM(U288)&lt;&gt;"Pass after CA"))),1,0)</f>
        <v/>
      </c>
      <c r="AM288" s="67">
        <f>IF(LEFT(AH288,7)="INVALID",1,0)</f>
        <v/>
      </c>
      <c r="AN288" s="67">
        <f>IF(AND(N288="Clarification required",AI288=1,AJ288=0),1,0)</f>
        <v/>
      </c>
      <c r="AO288" s="67">
        <f>IF(AK288=1,SUM(AK$5:AK288),"")</f>
        <v/>
      </c>
      <c r="AP288" s="67">
        <f>IF(AL288=1,SUM(AL$5:AL288),"")</f>
        <v/>
      </c>
      <c r="AQ288" s="67" t="n">
        <v>0</v>
      </c>
      <c r="AR288" s="67" t="n">
        <v>0</v>
      </c>
      <c r="AS288" s="67" t="n">
        <v>0</v>
      </c>
      <c r="AT288" s="67" t="n">
        <v>0</v>
      </c>
    </row>
    <row r="289" ht="40" customHeight="1">
      <c r="A289" s="63" t="inlineStr">
        <is>
          <t>F09-T7-07</t>
        </is>
      </c>
      <c r="B289" s="63" t="inlineStr">
        <is>
          <t>F09</t>
        </is>
      </c>
      <c r="C289" s="63">
        <f>Flights!$F$13</f>
        <v/>
      </c>
      <c r="D289" s="64">
        <f>Flights!$D$13</f>
        <v/>
      </c>
      <c r="E289" s="63">
        <f>Flights!$G$13&amp;"-"&amp;Flights!$H$13</f>
        <v/>
      </c>
      <c r="F289" s="63">
        <f>Flights!$K$13</f>
        <v/>
      </c>
      <c r="G289" s="63" t="inlineStr">
        <is>
          <t>T-7D</t>
        </is>
      </c>
      <c r="H289" s="63" t="inlineStr">
        <is>
          <t>Preparation</t>
        </is>
      </c>
      <c r="I289" s="63" t="inlineStr">
        <is>
          <t>Documents</t>
        </is>
      </c>
      <c r="J289" s="63" t="inlineStr">
        <is>
          <t>Galley loading diagram (GLD) received, revision recorded &amp; attached</t>
        </is>
      </c>
      <c r="K289" s="73" t="inlineStr">
        <is>
          <t>Documents sheet row complete</t>
        </is>
      </c>
      <c r="L289" s="73" t="inlineStr">
        <is>
          <t>User brief (T-7 days)</t>
        </is>
      </c>
      <c r="M289" s="73" t="inlineStr"/>
      <c r="N289" s="73" t="inlineStr">
        <is>
          <t>Required</t>
        </is>
      </c>
      <c r="O289" s="73" t="inlineStr"/>
      <c r="P289" s="63" t="inlineStr">
        <is>
          <t>HAN</t>
        </is>
      </c>
      <c r="Q289" s="65">
        <f>Flights!$AC$13</f>
        <v/>
      </c>
      <c r="R289" s="65">
        <f>Q289+(IF(AND(INDEX(TZ_DSTS,MATCH(P289,TZ_STN,0))&lt;&gt;"",Q289&gt;=INDEX(TZ_DSTS,MATCH(P289,TZ_STN,0)),Q289&lt;INDEX(TZ_DSTE,MATCH(P289,TZ_STN,0))),INDEX(TZ_DST,MATCH(P289,TZ_STN,0)),INDEX(TZ_STD,MATCH(P289,TZ_STN,0))))/24</f>
        <v/>
      </c>
      <c r="S289" s="65" t="inlineStr"/>
      <c r="T289" s="66" t="n"/>
      <c r="U289" s="66" t="n"/>
      <c r="V289" s="66" t="n"/>
      <c r="W289" s="67" t="n"/>
      <c r="X289" s="66" t="n"/>
      <c r="Y289" s="66" t="n"/>
      <c r="Z289" s="66" t="n"/>
      <c r="AA289" s="66" t="n"/>
      <c r="AB289" s="66" t="n"/>
      <c r="AC289" s="66" t="n"/>
      <c r="AD289" s="72" t="n"/>
      <c r="AE289" s="66" t="n"/>
      <c r="AF289" s="67">
        <f>IF(AND(ISNUMBER(X289),ISNUMBER(Y289)),Y289-X289,"")</f>
        <v/>
      </c>
      <c r="AG289" s="68">
        <f>IF(ISNUMBER(AD289),AD289-(IF(AND(INDEX(TZ_DSTS,MATCH(P289,TZ_STN,0))&lt;&gt;"",(AD289-INDEX(TZ_STD,MATCH(P289,TZ_STN,0))/24)&gt;=INDEX(TZ_DSTS,MATCH(P289,TZ_STN,0)),(AD289-INDEX(TZ_STD,MATCH(P289,TZ_STN,0))/24)&lt;INDEX(TZ_DSTE,MATCH(P289,TZ_STN,0))),INDEX(TZ_DST,MATCH(P289,TZ_STN,0)),INDEX(TZ_STD,MATCH(P289,TZ_STN,0))))/24,"")</f>
        <v/>
      </c>
      <c r="AH289" s="71">
        <f>IF(N289="N/A – rule","N/A – RULE",IF(TRIM(U289)="N/A",IF(AT289=0,"INVALID – N/A not permitted for this mandatory check",IF(AND(TRIM(AC289)&lt;&gt;"",TRIM(AE289)&lt;&gt;"",TRIM(T289)&lt;&gt;""),"N/A – JUSTIFIED","INVALID – N/A needs justification, PIC and verifier")),IF(OR(TRIM(U289)="Pass",TRIM(U289)="Pass after CA"),IF(NOT(ISNUMBER(AD289)),"INVALID – completion time missing",IF(TRIM(T289)="","INVALID – PIC missing",IF(TRIM(Z289)="","INVALID – evidence missing",IF(TRIM(AE289)="","INVALID – verifier missing",IF(AND(AQ289=1,TRIM(W289)=""),"INVALID – batch ID missing",IF(AND(AR289=1,OR(NOT(ISNUMBER(X289)),NOT(ISNUMBER(Y289)))),"INVALID – expected/actual qty missing",IF(IF(AND(TRIM(U289)="Pass",ISNUMBER(AF289)),IF(AF289&lt;&gt;0,"INVALID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recorded/closed","")&lt;&gt;"",IF(AND(TRIM(U289)="Pass",ISNUMBER(AF289)),IF(AF289&lt;&gt;0,"INVALID – qty variance: use Fail or Pass after CA",""),"")&amp;IF(AND(TRIM(U289)="Pass",AB289="Open"),"INVALID – corrective action still open: use Fail, then Pass after CA","")&amp;IF(AND(TRIM(U289)="Pass after CA",OR(TRIM(AA289)="",AB289&lt;&gt;"Closed")),"INVALID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window"),IF(AG289&gt;Flights!$AA$13,"INVALID – completed after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f>
        <v/>
      </c>
      <c r="AI289" s="67">
        <f>IF(OR(AH289="N/A – RULE",AH289="N/A – JUSTIFIED"),0,1)</f>
        <v/>
      </c>
      <c r="AJ289" s="67">
        <f>IF(LEFT(AH289,8)="COMPLETE",1,0)</f>
        <v/>
      </c>
      <c r="AK289" s="67">
        <f>IF(AND(AI289=1,AJ289=0,AsOfUTC&gt;Q289),1,0)</f>
        <v/>
      </c>
      <c r="AL289" s="67">
        <f>IF(AND(AI289=1,OR(TRIM(U289)="Fail",AB289="Open",AND(ISNUMBER(AF289),AF289&lt;&gt;0,TRIM(U289)&lt;&gt;"Pass after CA"))),1,0)</f>
        <v/>
      </c>
      <c r="AM289" s="67">
        <f>IF(LEFT(AH289,7)="INVALID",1,0)</f>
        <v/>
      </c>
      <c r="AN289" s="67">
        <f>IF(AND(N289="Clarification required",AI289=1,AJ289=0),1,0)</f>
        <v/>
      </c>
      <c r="AO289" s="67">
        <f>IF(AK289=1,SUM(AK$5:AK289),"")</f>
        <v/>
      </c>
      <c r="AP289" s="67">
        <f>IF(AL289=1,SUM(AL$5:AL289),"")</f>
        <v/>
      </c>
      <c r="AQ289" s="67" t="n">
        <v>0</v>
      </c>
      <c r="AR289" s="67" t="n">
        <v>0</v>
      </c>
      <c r="AS289" s="67" t="n">
        <v>1</v>
      </c>
      <c r="AT289" s="67" t="n">
        <v>0</v>
      </c>
    </row>
    <row r="290" ht="40" customHeight="1">
      <c r="A290" s="63" t="inlineStr">
        <is>
          <t>F09-T7-08</t>
        </is>
      </c>
      <c r="B290" s="63" t="inlineStr">
        <is>
          <t>F09</t>
        </is>
      </c>
      <c r="C290" s="63">
        <f>Flights!$F$13</f>
        <v/>
      </c>
      <c r="D290" s="64">
        <f>Flights!$D$13</f>
        <v/>
      </c>
      <c r="E290" s="63">
        <f>Flights!$G$13&amp;"-"&amp;Flights!$H$13</f>
        <v/>
      </c>
      <c r="F290" s="63">
        <f>Flights!$K$13</f>
        <v/>
      </c>
      <c r="G290" s="63" t="inlineStr">
        <is>
          <t>T-7D</t>
        </is>
      </c>
      <c r="H290" s="63" t="inlineStr">
        <is>
          <t>Preparation</t>
        </is>
      </c>
      <c r="I290" s="63" t="inlineStr">
        <is>
          <t>Documents</t>
        </is>
      </c>
      <c r="J290" s="63" t="inlineStr">
        <is>
          <t>Menu checklist received, revision recorded &amp; attached</t>
        </is>
      </c>
      <c r="K290" s="73" t="inlineStr">
        <is>
          <t>Documents sheet row complete</t>
        </is>
      </c>
      <c r="L290" s="73" t="inlineStr">
        <is>
          <t>User brief (T-7 days)</t>
        </is>
      </c>
      <c r="M290" s="73" t="inlineStr"/>
      <c r="N290" s="73" t="inlineStr">
        <is>
          <t>Required</t>
        </is>
      </c>
      <c r="O290" s="73" t="inlineStr"/>
      <c r="P290" s="63" t="inlineStr">
        <is>
          <t>HAN</t>
        </is>
      </c>
      <c r="Q290" s="65">
        <f>Flights!$AC$13</f>
        <v/>
      </c>
      <c r="R290" s="65">
        <f>Q290+(IF(AND(INDEX(TZ_DSTS,MATCH(P290,TZ_STN,0))&lt;&gt;"",Q290&gt;=INDEX(TZ_DSTS,MATCH(P290,TZ_STN,0)),Q290&lt;INDEX(TZ_DSTE,MATCH(P290,TZ_STN,0))),INDEX(TZ_DST,MATCH(P290,TZ_STN,0)),INDEX(TZ_STD,MATCH(P290,TZ_STN,0))))/24</f>
        <v/>
      </c>
      <c r="S290" s="65" t="inlineStr"/>
      <c r="T290" s="66" t="n"/>
      <c r="U290" s="66" t="n"/>
      <c r="V290" s="66" t="n"/>
      <c r="W290" s="67" t="n"/>
      <c r="X290" s="66" t="n"/>
      <c r="Y290" s="66" t="n"/>
      <c r="Z290" s="66" t="n"/>
      <c r="AA290" s="66" t="n"/>
      <c r="AB290" s="66" t="n"/>
      <c r="AC290" s="66" t="n"/>
      <c r="AD290" s="72" t="n"/>
      <c r="AE290" s="66" t="n"/>
      <c r="AF290" s="67">
        <f>IF(AND(ISNUMBER(X290),ISNUMBER(Y290)),Y290-X290,"")</f>
        <v/>
      </c>
      <c r="AG290" s="68">
        <f>IF(ISNUMBER(AD290),AD290-(IF(AND(INDEX(TZ_DSTS,MATCH(P290,TZ_STN,0))&lt;&gt;"",(AD290-INDEX(TZ_STD,MATCH(P290,TZ_STN,0))/24)&gt;=INDEX(TZ_DSTS,MATCH(P290,TZ_STN,0)),(AD290-INDEX(TZ_STD,MATCH(P290,TZ_STN,0))/24)&lt;INDEX(TZ_DSTE,MATCH(P290,TZ_STN,0))),INDEX(TZ_DST,MATCH(P290,TZ_STN,0)),INDEX(TZ_STD,MATCH(P290,TZ_STN,0))))/24,"")</f>
        <v/>
      </c>
      <c r="AH290" s="71">
        <f>IF(N290="N/A – rule","N/A – RULE",IF(TRIM(U290)="N/A",IF(AT290=0,"INVALID – N/A not permitted for this mandatory check",IF(AND(TRIM(AC290)&lt;&gt;"",TRIM(AE290)&lt;&gt;"",TRIM(T290)&lt;&gt;""),"N/A – JUSTIFIED","INVALID – N/A needs justification, PIC and verifier")),IF(OR(TRIM(U290)="Pass",TRIM(U290)="Pass after CA"),IF(NOT(ISNUMBER(AD290)),"INVALID – completion time missing",IF(TRIM(T290)="","INVALID – PIC missing",IF(TRIM(Z290)="","INVALID – evidence missing",IF(TRIM(AE290)="","INVALID – verifier missing",IF(AND(AQ290=1,TRIM(W290)=""),"INVALID – batch ID missing",IF(AND(AR290=1,OR(NOT(ISNUMBER(X290)),NOT(ISNUMBER(Y290)))),"INVALID – expected/actual qty missing",IF(IF(AND(TRIM(U290)="Pass",ISNUMBER(AF290)),IF(AF290&lt;&gt;0,"INVALID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recorded/closed","")&lt;&gt;"",IF(AND(TRIM(U290)="Pass",ISNUMBER(AF290)),IF(AF290&lt;&gt;0,"INVALID – qty variance: use Fail or Pass after CA",""),"")&amp;IF(AND(TRIM(U290)="Pass",AB290="Open"),"INVALID – corrective action still open: use Fail, then Pass after CA","")&amp;IF(AND(TRIM(U290)="Pass after CA",OR(TRIM(AA290)="",AB290&lt;&gt;"Closed")),"INVALID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window"),IF(AG290&gt;Flights!$AA$13,"INVALID – completed after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f>
        <v/>
      </c>
      <c r="AI290" s="67">
        <f>IF(OR(AH290="N/A – RULE",AH290="N/A – JUSTIFIED"),0,1)</f>
        <v/>
      </c>
      <c r="AJ290" s="67">
        <f>IF(LEFT(AH290,8)="COMPLETE",1,0)</f>
        <v/>
      </c>
      <c r="AK290" s="67">
        <f>IF(AND(AI290=1,AJ290=0,AsOfUTC&gt;Q290),1,0)</f>
        <v/>
      </c>
      <c r="AL290" s="67">
        <f>IF(AND(AI290=1,OR(TRIM(U290)="Fail",AB290="Open",AND(ISNUMBER(AF290),AF290&lt;&gt;0,TRIM(U290)&lt;&gt;"Pass after CA"))),1,0)</f>
        <v/>
      </c>
      <c r="AM290" s="67">
        <f>IF(LEFT(AH290,7)="INVALID",1,0)</f>
        <v/>
      </c>
      <c r="AN290" s="67">
        <f>IF(AND(N290="Clarification required",AI290=1,AJ290=0),1,0)</f>
        <v/>
      </c>
      <c r="AO290" s="67">
        <f>IF(AK290=1,SUM(AK$5:AK290),"")</f>
        <v/>
      </c>
      <c r="AP290" s="67">
        <f>IF(AL290=1,SUM(AL$5:AL290),"")</f>
        <v/>
      </c>
      <c r="AQ290" s="67" t="n">
        <v>0</v>
      </c>
      <c r="AR290" s="67" t="n">
        <v>0</v>
      </c>
      <c r="AS290" s="67" t="n">
        <v>2</v>
      </c>
      <c r="AT290" s="67" t="n">
        <v>0</v>
      </c>
    </row>
    <row r="291" ht="40" customHeight="1">
      <c r="A291" s="63" t="inlineStr">
        <is>
          <t>F09-T7-09</t>
        </is>
      </c>
      <c r="B291" s="63" t="inlineStr">
        <is>
          <t>F09</t>
        </is>
      </c>
      <c r="C291" s="63">
        <f>Flights!$F$13</f>
        <v/>
      </c>
      <c r="D291" s="64">
        <f>Flights!$D$13</f>
        <v/>
      </c>
      <c r="E291" s="63">
        <f>Flights!$G$13&amp;"-"&amp;Flights!$H$13</f>
        <v/>
      </c>
      <c r="F291" s="63">
        <f>Flights!$K$13</f>
        <v/>
      </c>
      <c r="G291" s="63" t="inlineStr">
        <is>
          <t>T-7D</t>
        </is>
      </c>
      <c r="H291" s="63" t="inlineStr">
        <is>
          <t>Preparation</t>
        </is>
      </c>
      <c r="I291" s="63" t="inlineStr">
        <is>
          <t>Uplift plan</t>
        </is>
      </c>
      <c r="J291" s="63" t="inlineStr">
        <is>
          <t>Uplift plan confirmed with caterer vs STD Uplift Information</t>
        </is>
      </c>
      <c r="K291" s="73" t="inlineStr">
        <is>
          <t>Service: 1 Meal (Meal); meal uplift stn HAN (ref lists KUL/HAN)</t>
        </is>
      </c>
      <c r="L291" s="73" t="inlineStr">
        <is>
          <t>STD UPLIFT INFORMATION.xlsx &gt; CATERING UPLIFT STN!C51:G51</t>
        </is>
      </c>
      <c r="M291" s="73" t="inlineStr"/>
      <c r="N291" s="73" t="inlineStr">
        <is>
          <t>Required</t>
        </is>
      </c>
      <c r="O291" s="73" t="inlineStr"/>
      <c r="P291" s="63" t="inlineStr">
        <is>
          <t>HAN</t>
        </is>
      </c>
      <c r="Q291" s="65">
        <f>Flights!$AC$13</f>
        <v/>
      </c>
      <c r="R291" s="65">
        <f>Q291+(IF(AND(INDEX(TZ_DSTS,MATCH(P291,TZ_STN,0))&lt;&gt;"",Q291&gt;=INDEX(TZ_DSTS,MATCH(P291,TZ_STN,0)),Q291&lt;INDEX(TZ_DSTE,MATCH(P291,TZ_STN,0))),INDEX(TZ_DST,MATCH(P291,TZ_STN,0)),INDEX(TZ_STD,MATCH(P291,TZ_STN,0))))/24</f>
        <v/>
      </c>
      <c r="S291" s="65" t="inlineStr"/>
      <c r="T291" s="66" t="n"/>
      <c r="U291" s="66" t="n"/>
      <c r="V291" s="66" t="n"/>
      <c r="W291" s="67" t="n"/>
      <c r="X291" s="66" t="n"/>
      <c r="Y291" s="66" t="n"/>
      <c r="Z291" s="66" t="n"/>
      <c r="AA291" s="66" t="n"/>
      <c r="AB291" s="66" t="n"/>
      <c r="AC291" s="66" t="n"/>
      <c r="AD291" s="72" t="n"/>
      <c r="AE291" s="66" t="n"/>
      <c r="AF291" s="67">
        <f>IF(AND(ISNUMBER(X291),ISNUMBER(Y291)),Y291-X291,"")</f>
        <v/>
      </c>
      <c r="AG291" s="68">
        <f>IF(ISNUMBER(AD291),AD291-(IF(AND(INDEX(TZ_DSTS,MATCH(P291,TZ_STN,0))&lt;&gt;"",(AD291-INDEX(TZ_STD,MATCH(P291,TZ_STN,0))/24)&gt;=INDEX(TZ_DSTS,MATCH(P291,TZ_STN,0)),(AD291-INDEX(TZ_STD,MATCH(P291,TZ_STN,0))/24)&lt;INDEX(TZ_DSTE,MATCH(P291,TZ_STN,0))),INDEX(TZ_DST,MATCH(P291,TZ_STN,0)),INDEX(TZ_STD,MATCH(P291,TZ_STN,0))))/24,"")</f>
        <v/>
      </c>
      <c r="AH291" s="71">
        <f>IF(N291="N/A – rule","N/A – RULE",IF(TRIM(U291)="N/A",IF(AT291=0,"INVALID – N/A not permitted for this mandatory check",IF(AND(TRIM(AC291)&lt;&gt;"",TRIM(AE291)&lt;&gt;"",TRIM(T291)&lt;&gt;""),"N/A – JUSTIFIED","INVALID – N/A needs justification, PIC and verifier")),IF(OR(TRIM(U291)="Pass",TRIM(U291)="Pass after CA"),IF(NOT(ISNUMBER(AD291)),"INVALID – completion time missing",IF(TRIM(T291)="","INVALID – PIC missing",IF(TRIM(Z291)="","INVALID – evidence missing",IF(TRIM(AE291)="","INVALID – verifier missing",IF(AND(AQ291=1,TRIM(W291)=""),"INVALID – batch ID missing",IF(AND(AR291=1,OR(NOT(ISNUMBER(X291)),NOT(ISNUMBER(Y291)))),"INVALID – expected/actual qty missing",IF(IF(AND(TRIM(U291)="Pass",ISNUMBER(AF291)),IF(AF291&lt;&gt;0,"INVALID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recorded/closed","")&lt;&gt;"",IF(AND(TRIM(U291)="Pass",ISNUMBER(AF291)),IF(AF291&lt;&gt;0,"INVALID – qty variance: use Fail or Pass after CA",""),"")&amp;IF(AND(TRIM(U291)="Pass",AB291="Open"),"INVALID – corrective action still open: use Fail, then Pass after CA","")&amp;IF(AND(TRIM(U291)="Pass after CA",OR(TRIM(AA291)="",AB291&lt;&gt;"Closed")),"INVALID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window"),IF(AG291&gt;Flights!$AA$13,"INVALID – completed after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f>
        <v/>
      </c>
      <c r="AI291" s="67">
        <f>IF(OR(AH291="N/A – RULE",AH291="N/A – JUSTIFIED"),0,1)</f>
        <v/>
      </c>
      <c r="AJ291" s="67">
        <f>IF(LEFT(AH291,8)="COMPLETE",1,0)</f>
        <v/>
      </c>
      <c r="AK291" s="67">
        <f>IF(AND(AI291=1,AJ291=0,AsOfUTC&gt;Q291),1,0)</f>
        <v/>
      </c>
      <c r="AL291" s="67">
        <f>IF(AND(AI291=1,OR(TRIM(U291)="Fail",AB291="Open",AND(ISNUMBER(AF291),AF291&lt;&gt;0,TRIM(U291)&lt;&gt;"Pass after CA"))),1,0)</f>
        <v/>
      </c>
      <c r="AM291" s="67">
        <f>IF(LEFT(AH291,7)="INVALID",1,0)</f>
        <v/>
      </c>
      <c r="AN291" s="67">
        <f>IF(AND(N291="Clarification required",AI291=1,AJ291=0),1,0)</f>
        <v/>
      </c>
      <c r="AO291" s="67">
        <f>IF(AK291=1,SUM(AK$5:AK291),"")</f>
        <v/>
      </c>
      <c r="AP291" s="67">
        <f>IF(AL291=1,SUM(AL$5:AL291),"")</f>
        <v/>
      </c>
      <c r="AQ291" s="67" t="n">
        <v>0</v>
      </c>
      <c r="AR291" s="67" t="n">
        <v>0</v>
      </c>
      <c r="AS291" s="67" t="n">
        <v>0</v>
      </c>
      <c r="AT291" s="67" t="n">
        <v>0</v>
      </c>
    </row>
    <row r="292" ht="40" customHeight="1">
      <c r="A292" s="63" t="inlineStr">
        <is>
          <t>F09-T24-01</t>
        </is>
      </c>
      <c r="B292" s="63" t="inlineStr">
        <is>
          <t>F09</t>
        </is>
      </c>
      <c r="C292" s="63">
        <f>Flights!$F$13</f>
        <v/>
      </c>
      <c r="D292" s="64">
        <f>Flights!$D$13</f>
        <v/>
      </c>
      <c r="E292" s="63">
        <f>Flights!$G$13&amp;"-"&amp;Flights!$H$13</f>
        <v/>
      </c>
      <c r="F292" s="63">
        <f>Flights!$K$13</f>
        <v/>
      </c>
      <c r="G292" s="63" t="inlineStr">
        <is>
          <t>T-24H</t>
        </is>
      </c>
      <c r="H292" s="63" t="inlineStr">
        <is>
          <t>Preparation</t>
        </is>
      </c>
      <c r="I292" s="63" t="inlineStr">
        <is>
          <t>Meal</t>
        </is>
      </c>
      <c r="J292" s="63" t="inlineStr">
        <is>
          <t>Sensory test repeated on ACTUAL production batch for this flight</t>
        </is>
      </c>
      <c r="K292" s="73" t="inlineStr">
        <is>
          <t>Batch ID, result, CA and acceptance mandatory</t>
        </is>
      </c>
      <c r="L292" s="73" t="inlineStr">
        <is>
          <t>User brief (T-24 hours)</t>
        </is>
      </c>
      <c r="M292" s="73" t="inlineStr"/>
      <c r="N292" s="73" t="inlineStr">
        <is>
          <t>Required</t>
        </is>
      </c>
      <c r="O292" s="73" t="inlineStr"/>
      <c r="P292" s="63" t="inlineStr">
        <is>
          <t>HAN</t>
        </is>
      </c>
      <c r="Q292" s="65">
        <f>Flights!$AD$13</f>
        <v/>
      </c>
      <c r="R292" s="65">
        <f>Q292+(IF(AND(INDEX(TZ_DSTS,MATCH(P292,TZ_STN,0))&lt;&gt;"",Q292&gt;=INDEX(TZ_DSTS,MATCH(P292,TZ_STN,0)),Q292&lt;INDEX(TZ_DSTE,MATCH(P292,TZ_STN,0))),INDEX(TZ_DST,MATCH(P292,TZ_STN,0)),INDEX(TZ_STD,MATCH(P292,TZ_STN,0))))/24</f>
        <v/>
      </c>
      <c r="S292" s="65">
        <f>Q292-T24EarlyH/24</f>
        <v/>
      </c>
      <c r="T292" s="66" t="n"/>
      <c r="U292" s="66" t="n"/>
      <c r="V292" s="66" t="n"/>
      <c r="W292" s="66" t="n"/>
      <c r="X292" s="66" t="n"/>
      <c r="Y292" s="66" t="n"/>
      <c r="Z292" s="66" t="n"/>
      <c r="AA292" s="66" t="n"/>
      <c r="AB292" s="66" t="n"/>
      <c r="AC292" s="66" t="n"/>
      <c r="AD292" s="72" t="n"/>
      <c r="AE292" s="66" t="n"/>
      <c r="AF292" s="67">
        <f>IF(AND(ISNUMBER(X292),ISNUMBER(Y292)),Y292-X292,"")</f>
        <v/>
      </c>
      <c r="AG292" s="68">
        <f>IF(ISNUMBER(AD292),AD292-(IF(AND(INDEX(TZ_DSTS,MATCH(P292,TZ_STN,0))&lt;&gt;"",(AD292-INDEX(TZ_STD,MATCH(P292,TZ_STN,0))/24)&gt;=INDEX(TZ_DSTS,MATCH(P292,TZ_STN,0)),(AD292-INDEX(TZ_STD,MATCH(P292,TZ_STN,0))/24)&lt;INDEX(TZ_DSTE,MATCH(P292,TZ_STN,0))),INDEX(TZ_DST,MATCH(P292,TZ_STN,0)),INDEX(TZ_STD,MATCH(P292,TZ_STN,0))))/24,"")</f>
        <v/>
      </c>
      <c r="AH292" s="71">
        <f>IF(N292="N/A – rule","N/A – RULE",IF(TRIM(U292)="N/A",IF(AT292=0,"INVALID – N/A not permitted for this mandatory check",IF(AND(TRIM(AC292)&lt;&gt;"",TRIM(AE292)&lt;&gt;"",TRIM(T292)&lt;&gt;""),"N/A – JUSTIFIED","INVALID – N/A needs justification, PIC and verifier")),IF(OR(TRIM(U292)="Pass",TRIM(U292)="Pass after CA"),IF(NOT(ISNUMBER(AD292)),"INVALID – completion time missing",IF(TRIM(T292)="","INVALID – PIC missing",IF(TRIM(Z292)="","INVALID – evidence missing",IF(TRIM(AE292)="","INVALID – verifier missing",IF(AND(AQ292=1,TRIM(W292)=""),"INVALID – batch ID missing",IF(AND(AR292=1,OR(NOT(ISNUMBER(X292)),NOT(ISNUMBER(Y292)))),"INVALID – expected/actual qty missing",IF(IF(AND(TRIM(U292)="Pass",ISNUMBER(AF292)),IF(AF292&lt;&gt;0,"INVALID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recorded/closed","")&lt;&gt;"",IF(AND(TRIM(U292)="Pass",ISNUMBER(AF292)),IF(AF292&lt;&gt;0,"INVALID – qty variance: use Fail or Pass after CA",""),"")&amp;IF(AND(TRIM(U292)="Pass",AB292="Open"),"INVALID – corrective action still open: use Fail, then Pass after CA","")&amp;IF(AND(TRIM(U292)="Pass after CA",OR(TRIM(AA292)="",AB292&lt;&gt;"Closed")),"INVALID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window"),IF(AG292&gt;Flights!$AA$13,"INVALID – completed after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f>
        <v/>
      </c>
      <c r="AI292" s="67">
        <f>IF(OR(AH292="N/A – RULE",AH292="N/A – JUSTIFIED"),0,1)</f>
        <v/>
      </c>
      <c r="AJ292" s="67">
        <f>IF(LEFT(AH292,8)="COMPLETE",1,0)</f>
        <v/>
      </c>
      <c r="AK292" s="67">
        <f>IF(AND(AI292=1,AJ292=0,AsOfUTC&gt;Q292),1,0)</f>
        <v/>
      </c>
      <c r="AL292" s="67">
        <f>IF(AND(AI292=1,OR(TRIM(U292)="Fail",AB292="Open",AND(ISNUMBER(AF292),AF292&lt;&gt;0,TRIM(U292)&lt;&gt;"Pass after CA"))),1,0)</f>
        <v/>
      </c>
      <c r="AM292" s="67">
        <f>IF(LEFT(AH292,7)="INVALID",1,0)</f>
        <v/>
      </c>
      <c r="AN292" s="67">
        <f>IF(AND(N292="Clarification required",AI292=1,AJ292=0),1,0)</f>
        <v/>
      </c>
      <c r="AO292" s="67">
        <f>IF(AK292=1,SUM(AK$5:AK292),"")</f>
        <v/>
      </c>
      <c r="AP292" s="67">
        <f>IF(AL292=1,SUM(AL$5:AL292),"")</f>
        <v/>
      </c>
      <c r="AQ292" s="67" t="n">
        <v>1</v>
      </c>
      <c r="AR292" s="67" t="n">
        <v>0</v>
      </c>
      <c r="AS292" s="67" t="n">
        <v>0</v>
      </c>
      <c r="AT292" s="67" t="n">
        <v>0</v>
      </c>
    </row>
    <row r="293" ht="40" customHeight="1">
      <c r="A293" s="63" t="inlineStr">
        <is>
          <t>F09-T12-01</t>
        </is>
      </c>
      <c r="B293" s="63" t="inlineStr">
        <is>
          <t>F09</t>
        </is>
      </c>
      <c r="C293" s="63">
        <f>Flights!$F$13</f>
        <v/>
      </c>
      <c r="D293" s="64">
        <f>Flights!$D$13</f>
        <v/>
      </c>
      <c r="E293" s="63">
        <f>Flights!$G$13&amp;"-"&amp;Flights!$H$13</f>
        <v/>
      </c>
      <c r="F293" s="63">
        <f>Flights!$K$13</f>
        <v/>
      </c>
      <c r="G293" s="63" t="inlineStr">
        <is>
          <t>T-12H PREP</t>
        </is>
      </c>
      <c r="H293" s="63" t="inlineStr">
        <is>
          <t>Preparation</t>
        </is>
      </c>
      <c r="I293" s="63" t="inlineStr">
        <is>
          <t>Meal</t>
        </is>
      </c>
      <c r="J293" s="63" t="inlineStr">
        <is>
          <t>Meal quality vs menu checklist</t>
        </is>
      </c>
      <c r="K293" s="73" t="inlineStr"/>
      <c r="L293" s="73" t="inlineStr">
        <is>
          <t>User brief (T-12 hours)</t>
        </is>
      </c>
      <c r="M293" s="73" t="inlineStr"/>
      <c r="N293" s="73" t="inlineStr">
        <is>
          <t>Required</t>
        </is>
      </c>
      <c r="O293" s="73" t="inlineStr">
        <is>
          <t>Preparation check at caterer - does NOT confirm loading.</t>
        </is>
      </c>
      <c r="P293" s="63" t="inlineStr">
        <is>
          <t>HAN</t>
        </is>
      </c>
      <c r="Q293" s="65">
        <f>Flights!$AE$13</f>
        <v/>
      </c>
      <c r="R293" s="65">
        <f>Q293+(IF(AND(INDEX(TZ_DSTS,MATCH(P293,TZ_STN,0))&lt;&gt;"",Q293&gt;=INDEX(TZ_DSTS,MATCH(P293,TZ_STN,0)),Q293&lt;INDEX(TZ_DSTE,MATCH(P293,TZ_STN,0))),INDEX(TZ_DST,MATCH(P293,TZ_STN,0)),INDEX(TZ_STD,MATCH(P293,TZ_STN,0))))/24</f>
        <v/>
      </c>
      <c r="S293" s="65">
        <f>Q293-T12EarlyH/24</f>
        <v/>
      </c>
      <c r="T293" s="66" t="n"/>
      <c r="U293" s="66" t="n"/>
      <c r="V293" s="66" t="n"/>
      <c r="W293" s="67" t="n"/>
      <c r="X293" s="66" t="n"/>
      <c r="Y293" s="66" t="n"/>
      <c r="Z293" s="66" t="n"/>
      <c r="AA293" s="66" t="n"/>
      <c r="AB293" s="66" t="n"/>
      <c r="AC293" s="66" t="n"/>
      <c r="AD293" s="72" t="n"/>
      <c r="AE293" s="66" t="n"/>
      <c r="AF293" s="67">
        <f>IF(AND(ISNUMBER(X293),ISNUMBER(Y293)),Y293-X293,"")</f>
        <v/>
      </c>
      <c r="AG293" s="68">
        <f>IF(ISNUMBER(AD293),AD293-(IF(AND(INDEX(TZ_DSTS,MATCH(P293,TZ_STN,0))&lt;&gt;"",(AD293-INDEX(TZ_STD,MATCH(P293,TZ_STN,0))/24)&gt;=INDEX(TZ_DSTS,MATCH(P293,TZ_STN,0)),(AD293-INDEX(TZ_STD,MATCH(P293,TZ_STN,0))/24)&lt;INDEX(TZ_DSTE,MATCH(P293,TZ_STN,0))),INDEX(TZ_DST,MATCH(P293,TZ_STN,0)),INDEX(TZ_STD,MATCH(P293,TZ_STN,0))))/24,"")</f>
        <v/>
      </c>
      <c r="AH293" s="71">
        <f>IF(N293="N/A – rule","N/A – RULE",IF(TRIM(U293)="N/A",IF(AT293=0,"INVALID – N/A not permitted for this mandatory check",IF(AND(TRIM(AC293)&lt;&gt;"",TRIM(AE293)&lt;&gt;"",TRIM(T293)&lt;&gt;""),"N/A – JUSTIFIED","INVALID – N/A needs justification, PIC and verifier")),IF(OR(TRIM(U293)="Pass",TRIM(U293)="Pass after CA"),IF(NOT(ISNUMBER(AD293)),"INVALID – completion time missing",IF(TRIM(T293)="","INVALID – PIC missing",IF(TRIM(Z293)="","INVALID – evidence missing",IF(TRIM(AE293)="","INVALID – verifier missing",IF(AND(AQ293=1,TRIM(W293)=""),"INVALID – batch ID missing",IF(AND(AR293=1,OR(NOT(ISNUMBER(X293)),NOT(ISNUMBER(Y293)))),"INVALID – expected/actual qty missing",IF(IF(AND(TRIM(U293)="Pass",ISNUMBER(AF293)),IF(AF293&lt;&gt;0,"INVALID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recorded/closed","")&lt;&gt;"",IF(AND(TRIM(U293)="Pass",ISNUMBER(AF293)),IF(AF293&lt;&gt;0,"INVALID – qty variance: use Fail or Pass after CA",""),"")&amp;IF(AND(TRIM(U293)="Pass",AB293="Open"),"INVALID – corrective action still open: use Fail, then Pass after CA","")&amp;IF(AND(TRIM(U293)="Pass after CA",OR(TRIM(AA293)="",AB293&lt;&gt;"Closed")),"INVALID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window"),IF(AG293&gt;Flights!$AA$13,"INVALID – completed after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f>
        <v/>
      </c>
      <c r="AI293" s="67">
        <f>IF(OR(AH293="N/A – RULE",AH293="N/A – JUSTIFIED"),0,1)</f>
        <v/>
      </c>
      <c r="AJ293" s="67">
        <f>IF(LEFT(AH293,8)="COMPLETE",1,0)</f>
        <v/>
      </c>
      <c r="AK293" s="67">
        <f>IF(AND(AI293=1,AJ293=0,AsOfUTC&gt;Q293),1,0)</f>
        <v/>
      </c>
      <c r="AL293" s="67">
        <f>IF(AND(AI293=1,OR(TRIM(U293)="Fail",AB293="Open",AND(ISNUMBER(AF293),AF293&lt;&gt;0,TRIM(U293)&lt;&gt;"Pass after CA"))),1,0)</f>
        <v/>
      </c>
      <c r="AM293" s="67">
        <f>IF(LEFT(AH293,7)="INVALID",1,0)</f>
        <v/>
      </c>
      <c r="AN293" s="67">
        <f>IF(AND(N293="Clarification required",AI293=1,AJ293=0),1,0)</f>
        <v/>
      </c>
      <c r="AO293" s="67">
        <f>IF(AK293=1,SUM(AK$5:AK293),"")</f>
        <v/>
      </c>
      <c r="AP293" s="67">
        <f>IF(AL293=1,SUM(AL$5:AL293),"")</f>
        <v/>
      </c>
      <c r="AQ293" s="67" t="n">
        <v>0</v>
      </c>
      <c r="AR293" s="67" t="n">
        <v>0</v>
      </c>
      <c r="AS293" s="67" t="n">
        <v>0</v>
      </c>
      <c r="AT293" s="67" t="n">
        <v>0</v>
      </c>
    </row>
    <row r="294" ht="40" customHeight="1">
      <c r="A294" s="63" t="inlineStr">
        <is>
          <t>F09-T12-02</t>
        </is>
      </c>
      <c r="B294" s="63" t="inlineStr">
        <is>
          <t>F09</t>
        </is>
      </c>
      <c r="C294" s="63">
        <f>Flights!$F$13</f>
        <v/>
      </c>
      <c r="D294" s="64">
        <f>Flights!$D$13</f>
        <v/>
      </c>
      <c r="E294" s="63">
        <f>Flights!$G$13&amp;"-"&amp;Flights!$H$13</f>
        <v/>
      </c>
      <c r="F294" s="63">
        <f>Flights!$K$13</f>
        <v/>
      </c>
      <c r="G294" s="63" t="inlineStr">
        <is>
          <t>T-12H PREP</t>
        </is>
      </c>
      <c r="H294" s="63" t="inlineStr">
        <is>
          <t>Preparation</t>
        </is>
      </c>
      <c r="I294" s="63" t="inlineStr">
        <is>
          <t>Meal</t>
        </is>
      </c>
      <c r="J294" s="63" t="inlineStr">
        <is>
          <t>Meal quantities vs menu checklist</t>
        </is>
      </c>
      <c r="K294" s="73" t="inlineStr">
        <is>
          <t>Enter expected &amp; actual</t>
        </is>
      </c>
      <c r="L294" s="73" t="inlineStr">
        <is>
          <t>User brief (T-12 hours)</t>
        </is>
      </c>
      <c r="M294" s="73" t="inlineStr"/>
      <c r="N294" s="73" t="inlineStr">
        <is>
          <t>Required</t>
        </is>
      </c>
      <c r="O294" s="73" t="inlineStr">
        <is>
          <t>Preparation check at caterer - does NOT confirm loading.</t>
        </is>
      </c>
      <c r="P294" s="63" t="inlineStr">
        <is>
          <t>HAN</t>
        </is>
      </c>
      <c r="Q294" s="65">
        <f>Flights!$AE$13</f>
        <v/>
      </c>
      <c r="R294" s="65">
        <f>Q294+(IF(AND(INDEX(TZ_DSTS,MATCH(P294,TZ_STN,0))&lt;&gt;"",Q294&gt;=INDEX(TZ_DSTS,MATCH(P294,TZ_STN,0)),Q294&lt;INDEX(TZ_DSTE,MATCH(P294,TZ_STN,0))),INDEX(TZ_DST,MATCH(P294,TZ_STN,0)),INDEX(TZ_STD,MATCH(P294,TZ_STN,0))))/24</f>
        <v/>
      </c>
      <c r="S294" s="65">
        <f>Q294-T12EarlyH/24</f>
        <v/>
      </c>
      <c r="T294" s="66" t="n"/>
      <c r="U294" s="66" t="n"/>
      <c r="V294" s="66" t="n"/>
      <c r="W294" s="67" t="n"/>
      <c r="X294" s="66" t="n"/>
      <c r="Y294" s="66" t="n"/>
      <c r="Z294" s="66" t="n"/>
      <c r="AA294" s="66" t="n"/>
      <c r="AB294" s="66" t="n"/>
      <c r="AC294" s="66" t="n"/>
      <c r="AD294" s="72" t="n"/>
      <c r="AE294" s="66" t="n"/>
      <c r="AF294" s="67">
        <f>IF(AND(ISNUMBER(X294),ISNUMBER(Y294)),Y294-X294,"")</f>
        <v/>
      </c>
      <c r="AG294" s="68">
        <f>IF(ISNUMBER(AD294),AD294-(IF(AND(INDEX(TZ_DSTS,MATCH(P294,TZ_STN,0))&lt;&gt;"",(AD294-INDEX(TZ_STD,MATCH(P294,TZ_STN,0))/24)&gt;=INDEX(TZ_DSTS,MATCH(P294,TZ_STN,0)),(AD294-INDEX(TZ_STD,MATCH(P294,TZ_STN,0))/24)&lt;INDEX(TZ_DSTE,MATCH(P294,TZ_STN,0))),INDEX(TZ_DST,MATCH(P294,TZ_STN,0)),INDEX(TZ_STD,MATCH(P294,TZ_STN,0))))/24,"")</f>
        <v/>
      </c>
      <c r="AH294" s="71">
        <f>IF(N294="N/A – rule","N/A – RULE",IF(TRIM(U294)="N/A",IF(AT294=0,"INVALID – N/A not permitted for this mandatory check",IF(AND(TRIM(AC294)&lt;&gt;"",TRIM(AE294)&lt;&gt;"",TRIM(T294)&lt;&gt;""),"N/A – JUSTIFIED","INVALID – N/A needs justification, PIC and verifier")),IF(OR(TRIM(U294)="Pass",TRIM(U294)="Pass after CA"),IF(NOT(ISNUMBER(AD294)),"INVALID – completion time missing",IF(TRIM(T294)="","INVALID – PIC missing",IF(TRIM(Z294)="","INVALID – evidence missing",IF(TRIM(AE294)="","INVALID – verifier missing",IF(AND(AQ294=1,TRIM(W294)=""),"INVALID – batch ID missing",IF(AND(AR294=1,OR(NOT(ISNUMBER(X294)),NOT(ISNUMBER(Y294)))),"INVALID – expected/actual qty missing",IF(IF(AND(TRIM(U294)="Pass",ISNUMBER(AF294)),IF(AF294&lt;&gt;0,"INVALID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recorded/closed","")&lt;&gt;"",IF(AND(TRIM(U294)="Pass",ISNUMBER(AF294)),IF(AF294&lt;&gt;0,"INVALID – qty variance: use Fail or Pass after CA",""),"")&amp;IF(AND(TRIM(U294)="Pass",AB294="Open"),"INVALID – corrective action still open: use Fail, then Pass after CA","")&amp;IF(AND(TRIM(U294)="Pass after CA",OR(TRIM(AA294)="",AB294&lt;&gt;"Closed")),"INVALID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window"),IF(AG294&gt;Flights!$AA$13,"INVALID – completed after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f>
        <v/>
      </c>
      <c r="AI294" s="67">
        <f>IF(OR(AH294="N/A – RULE",AH294="N/A – JUSTIFIED"),0,1)</f>
        <v/>
      </c>
      <c r="AJ294" s="67">
        <f>IF(LEFT(AH294,8)="COMPLETE",1,0)</f>
        <v/>
      </c>
      <c r="AK294" s="67">
        <f>IF(AND(AI294=1,AJ294=0,AsOfUTC&gt;Q294),1,0)</f>
        <v/>
      </c>
      <c r="AL294" s="67">
        <f>IF(AND(AI294=1,OR(TRIM(U294)="Fail",AB294="Open",AND(ISNUMBER(AF294),AF294&lt;&gt;0,TRIM(U294)&lt;&gt;"Pass after CA"))),1,0)</f>
        <v/>
      </c>
      <c r="AM294" s="67">
        <f>IF(LEFT(AH294,7)="INVALID",1,0)</f>
        <v/>
      </c>
      <c r="AN294" s="67">
        <f>IF(AND(N294="Clarification required",AI294=1,AJ294=0),1,0)</f>
        <v/>
      </c>
      <c r="AO294" s="67">
        <f>IF(AK294=1,SUM(AK$5:AK294),"")</f>
        <v/>
      </c>
      <c r="AP294" s="67">
        <f>IF(AL294=1,SUM(AL$5:AL294),"")</f>
        <v/>
      </c>
      <c r="AQ294" s="67" t="n">
        <v>0</v>
      </c>
      <c r="AR294" s="67" t="n">
        <v>1</v>
      </c>
      <c r="AS294" s="67" t="n">
        <v>0</v>
      </c>
      <c r="AT294" s="67" t="n">
        <v>0</v>
      </c>
    </row>
    <row r="295" ht="40" customHeight="1">
      <c r="A295" s="63" t="inlineStr">
        <is>
          <t>F09-T12-03</t>
        </is>
      </c>
      <c r="B295" s="63" t="inlineStr">
        <is>
          <t>F09</t>
        </is>
      </c>
      <c r="C295" s="63">
        <f>Flights!$F$13</f>
        <v/>
      </c>
      <c r="D295" s="64">
        <f>Flights!$D$13</f>
        <v/>
      </c>
      <c r="E295" s="63">
        <f>Flights!$G$13&amp;"-"&amp;Flights!$H$13</f>
        <v/>
      </c>
      <c r="F295" s="63">
        <f>Flights!$K$13</f>
        <v/>
      </c>
      <c r="G295" s="63" t="inlineStr">
        <is>
          <t>T-12H PREP</t>
        </is>
      </c>
      <c r="H295" s="63" t="inlineStr">
        <is>
          <t>Preparation</t>
        </is>
      </c>
      <c r="I295" s="63" t="inlineStr">
        <is>
          <t>Equipment</t>
        </is>
      </c>
      <c r="J295" s="63" t="inlineStr">
        <is>
          <t>Equipment cleanliness vs GLD</t>
        </is>
      </c>
      <c r="K295" s="73" t="inlineStr"/>
      <c r="L295" s="73" t="inlineStr">
        <is>
          <t>User brief (T-12 hours)</t>
        </is>
      </c>
      <c r="M295" s="73" t="inlineStr"/>
      <c r="N295" s="73" t="inlineStr">
        <is>
          <t>Required</t>
        </is>
      </c>
      <c r="O295" s="73" t="inlineStr">
        <is>
          <t>Preparation check at caterer - does NOT confirm loading.</t>
        </is>
      </c>
      <c r="P295" s="63" t="inlineStr">
        <is>
          <t>HAN</t>
        </is>
      </c>
      <c r="Q295" s="65">
        <f>Flights!$AE$13</f>
        <v/>
      </c>
      <c r="R295" s="65">
        <f>Q295+(IF(AND(INDEX(TZ_DSTS,MATCH(P295,TZ_STN,0))&lt;&gt;"",Q295&gt;=INDEX(TZ_DSTS,MATCH(P295,TZ_STN,0)),Q295&lt;INDEX(TZ_DSTE,MATCH(P295,TZ_STN,0))),INDEX(TZ_DST,MATCH(P295,TZ_STN,0)),INDEX(TZ_STD,MATCH(P295,TZ_STN,0))))/24</f>
        <v/>
      </c>
      <c r="S295" s="65">
        <f>Q295-T12EarlyH/24</f>
        <v/>
      </c>
      <c r="T295" s="66" t="n"/>
      <c r="U295" s="66" t="n"/>
      <c r="V295" s="66" t="n"/>
      <c r="W295" s="67" t="n"/>
      <c r="X295" s="66" t="n"/>
      <c r="Y295" s="66" t="n"/>
      <c r="Z295" s="66" t="n"/>
      <c r="AA295" s="66" t="n"/>
      <c r="AB295" s="66" t="n"/>
      <c r="AC295" s="66" t="n"/>
      <c r="AD295" s="72" t="n"/>
      <c r="AE295" s="66" t="n"/>
      <c r="AF295" s="67">
        <f>IF(AND(ISNUMBER(X295),ISNUMBER(Y295)),Y295-X295,"")</f>
        <v/>
      </c>
      <c r="AG295" s="68">
        <f>IF(ISNUMBER(AD295),AD295-(IF(AND(INDEX(TZ_DSTS,MATCH(P295,TZ_STN,0))&lt;&gt;"",(AD295-INDEX(TZ_STD,MATCH(P295,TZ_STN,0))/24)&gt;=INDEX(TZ_DSTS,MATCH(P295,TZ_STN,0)),(AD295-INDEX(TZ_STD,MATCH(P295,TZ_STN,0))/24)&lt;INDEX(TZ_DSTE,MATCH(P295,TZ_STN,0))),INDEX(TZ_DST,MATCH(P295,TZ_STN,0)),INDEX(TZ_STD,MATCH(P295,TZ_STN,0))))/24,"")</f>
        <v/>
      </c>
      <c r="AH295" s="71">
        <f>IF(N295="N/A – rule","N/A – RULE",IF(TRIM(U295)="N/A",IF(AT295=0,"INVALID – N/A not permitted for this mandatory check",IF(AND(TRIM(AC295)&lt;&gt;"",TRIM(AE295)&lt;&gt;"",TRIM(T295)&lt;&gt;""),"N/A – JUSTIFIED","INVALID – N/A needs justification, PIC and verifier")),IF(OR(TRIM(U295)="Pass",TRIM(U295)="Pass after CA"),IF(NOT(ISNUMBER(AD295)),"INVALID – completion time missing",IF(TRIM(T295)="","INVALID – PIC missing",IF(TRIM(Z295)="","INVALID – evidence missing",IF(TRIM(AE295)="","INVALID – verifier missing",IF(AND(AQ295=1,TRIM(W295)=""),"INVALID – batch ID missing",IF(AND(AR295=1,OR(NOT(ISNUMBER(X295)),NOT(ISNUMBER(Y295)))),"INVALID – expected/actual qty missing",IF(IF(AND(TRIM(U295)="Pass",ISNUMBER(AF295)),IF(AF295&lt;&gt;0,"INVALID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recorded/closed","")&lt;&gt;"",IF(AND(TRIM(U295)="Pass",ISNUMBER(AF295)),IF(AF295&lt;&gt;0,"INVALID – qty variance: use Fail or Pass after CA",""),"")&amp;IF(AND(TRIM(U295)="Pass",AB295="Open"),"INVALID – corrective action still open: use Fail, then Pass after CA","")&amp;IF(AND(TRIM(U295)="Pass after CA",OR(TRIM(AA295)="",AB295&lt;&gt;"Closed")),"INVALID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window"),IF(AG295&gt;Flights!$AA$13,"INVALID – completed after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f>
        <v/>
      </c>
      <c r="AI295" s="67">
        <f>IF(OR(AH295="N/A – RULE",AH295="N/A – JUSTIFIED"),0,1)</f>
        <v/>
      </c>
      <c r="AJ295" s="67">
        <f>IF(LEFT(AH295,8)="COMPLETE",1,0)</f>
        <v/>
      </c>
      <c r="AK295" s="67">
        <f>IF(AND(AI295=1,AJ295=0,AsOfUTC&gt;Q295),1,0)</f>
        <v/>
      </c>
      <c r="AL295" s="67">
        <f>IF(AND(AI295=1,OR(TRIM(U295)="Fail",AB295="Open",AND(ISNUMBER(AF295),AF295&lt;&gt;0,TRIM(U295)&lt;&gt;"Pass after CA"))),1,0)</f>
        <v/>
      </c>
      <c r="AM295" s="67">
        <f>IF(LEFT(AH295,7)="INVALID",1,0)</f>
        <v/>
      </c>
      <c r="AN295" s="67">
        <f>IF(AND(N295="Clarification required",AI295=1,AJ295=0),1,0)</f>
        <v/>
      </c>
      <c r="AO295" s="67">
        <f>IF(AK295=1,SUM(AK$5:AK295),"")</f>
        <v/>
      </c>
      <c r="AP295" s="67">
        <f>IF(AL295=1,SUM(AL$5:AL295),"")</f>
        <v/>
      </c>
      <c r="AQ295" s="67" t="n">
        <v>0</v>
      </c>
      <c r="AR295" s="67" t="n">
        <v>0</v>
      </c>
      <c r="AS295" s="67" t="n">
        <v>0</v>
      </c>
      <c r="AT295" s="67" t="n">
        <v>0</v>
      </c>
    </row>
    <row r="296" ht="40" customHeight="1">
      <c r="A296" s="63" t="inlineStr">
        <is>
          <t>F09-T12-04</t>
        </is>
      </c>
      <c r="B296" s="63" t="inlineStr">
        <is>
          <t>F09</t>
        </is>
      </c>
      <c r="C296" s="63">
        <f>Flights!$F$13</f>
        <v/>
      </c>
      <c r="D296" s="64">
        <f>Flights!$D$13</f>
        <v/>
      </c>
      <c r="E296" s="63">
        <f>Flights!$G$13&amp;"-"&amp;Flights!$H$13</f>
        <v/>
      </c>
      <c r="F296" s="63">
        <f>Flights!$K$13</f>
        <v/>
      </c>
      <c r="G296" s="63" t="inlineStr">
        <is>
          <t>T-12H PREP</t>
        </is>
      </c>
      <c r="H296" s="63" t="inlineStr">
        <is>
          <t>Preparation</t>
        </is>
      </c>
      <c r="I296" s="63" t="inlineStr">
        <is>
          <t>Equipment</t>
        </is>
      </c>
      <c r="J296" s="63" t="inlineStr">
        <is>
          <t>Equipment presentation vs GLD</t>
        </is>
      </c>
      <c r="K296" s="73" t="inlineStr"/>
      <c r="L296" s="73" t="inlineStr">
        <is>
          <t>User brief (T-12 hours)</t>
        </is>
      </c>
      <c r="M296" s="73" t="inlineStr"/>
      <c r="N296" s="73" t="inlineStr">
        <is>
          <t>Required</t>
        </is>
      </c>
      <c r="O296" s="73" t="inlineStr">
        <is>
          <t>Preparation check at caterer - does NOT confirm loading.</t>
        </is>
      </c>
      <c r="P296" s="63" t="inlineStr">
        <is>
          <t>HAN</t>
        </is>
      </c>
      <c r="Q296" s="65">
        <f>Flights!$AE$13</f>
        <v/>
      </c>
      <c r="R296" s="65">
        <f>Q296+(IF(AND(INDEX(TZ_DSTS,MATCH(P296,TZ_STN,0))&lt;&gt;"",Q296&gt;=INDEX(TZ_DSTS,MATCH(P296,TZ_STN,0)),Q296&lt;INDEX(TZ_DSTE,MATCH(P296,TZ_STN,0))),INDEX(TZ_DST,MATCH(P296,TZ_STN,0)),INDEX(TZ_STD,MATCH(P296,TZ_STN,0))))/24</f>
        <v/>
      </c>
      <c r="S296" s="65">
        <f>Q296-T12EarlyH/24</f>
        <v/>
      </c>
      <c r="T296" s="66" t="n"/>
      <c r="U296" s="66" t="n"/>
      <c r="V296" s="66" t="n"/>
      <c r="W296" s="67" t="n"/>
      <c r="X296" s="66" t="n"/>
      <c r="Y296" s="66" t="n"/>
      <c r="Z296" s="66" t="n"/>
      <c r="AA296" s="66" t="n"/>
      <c r="AB296" s="66" t="n"/>
      <c r="AC296" s="66" t="n"/>
      <c r="AD296" s="72" t="n"/>
      <c r="AE296" s="66" t="n"/>
      <c r="AF296" s="67">
        <f>IF(AND(ISNUMBER(X296),ISNUMBER(Y296)),Y296-X296,"")</f>
        <v/>
      </c>
      <c r="AG296" s="68">
        <f>IF(ISNUMBER(AD296),AD296-(IF(AND(INDEX(TZ_DSTS,MATCH(P296,TZ_STN,0))&lt;&gt;"",(AD296-INDEX(TZ_STD,MATCH(P296,TZ_STN,0))/24)&gt;=INDEX(TZ_DSTS,MATCH(P296,TZ_STN,0)),(AD296-INDEX(TZ_STD,MATCH(P296,TZ_STN,0))/24)&lt;INDEX(TZ_DSTE,MATCH(P296,TZ_STN,0))),INDEX(TZ_DST,MATCH(P296,TZ_STN,0)),INDEX(TZ_STD,MATCH(P296,TZ_STN,0))))/24,"")</f>
        <v/>
      </c>
      <c r="AH296" s="71">
        <f>IF(N296="N/A – rule","N/A – RULE",IF(TRIM(U296)="N/A",IF(AT296=0,"INVALID – N/A not permitted for this mandatory check",IF(AND(TRIM(AC296)&lt;&gt;"",TRIM(AE296)&lt;&gt;"",TRIM(T296)&lt;&gt;""),"N/A – JUSTIFIED","INVALID – N/A needs justification, PIC and verifier")),IF(OR(TRIM(U296)="Pass",TRIM(U296)="Pass after CA"),IF(NOT(ISNUMBER(AD296)),"INVALID – completion time missing",IF(TRIM(T296)="","INVALID – PIC missing",IF(TRIM(Z296)="","INVALID – evidence missing",IF(TRIM(AE296)="","INVALID – verifier missing",IF(AND(AQ296=1,TRIM(W296)=""),"INVALID – batch ID missing",IF(AND(AR296=1,OR(NOT(ISNUMBER(X296)),NOT(ISNUMBER(Y296)))),"INVALID – expected/actual qty missing",IF(IF(AND(TRIM(U296)="Pass",ISNUMBER(AF296)),IF(AF296&lt;&gt;0,"INVALID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recorded/closed","")&lt;&gt;"",IF(AND(TRIM(U296)="Pass",ISNUMBER(AF296)),IF(AF296&lt;&gt;0,"INVALID – qty variance: use Fail or Pass after CA",""),"")&amp;IF(AND(TRIM(U296)="Pass",AB296="Open"),"INVALID – corrective action still open: use Fail, then Pass after CA","")&amp;IF(AND(TRIM(U296)="Pass after CA",OR(TRIM(AA296)="",AB296&lt;&gt;"Closed")),"INVALID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window"),IF(AG296&gt;Flights!$AA$13,"INVALID – completed after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f>
        <v/>
      </c>
      <c r="AI296" s="67">
        <f>IF(OR(AH296="N/A – RULE",AH296="N/A – JUSTIFIED"),0,1)</f>
        <v/>
      </c>
      <c r="AJ296" s="67">
        <f>IF(LEFT(AH296,8)="COMPLETE",1,0)</f>
        <v/>
      </c>
      <c r="AK296" s="67">
        <f>IF(AND(AI296=1,AJ296=0,AsOfUTC&gt;Q296),1,0)</f>
        <v/>
      </c>
      <c r="AL296" s="67">
        <f>IF(AND(AI296=1,OR(TRIM(U296)="Fail",AB296="Open",AND(ISNUMBER(AF296),AF296&lt;&gt;0,TRIM(U296)&lt;&gt;"Pass after CA"))),1,0)</f>
        <v/>
      </c>
      <c r="AM296" s="67">
        <f>IF(LEFT(AH296,7)="INVALID",1,0)</f>
        <v/>
      </c>
      <c r="AN296" s="67">
        <f>IF(AND(N296="Clarification required",AI296=1,AJ296=0),1,0)</f>
        <v/>
      </c>
      <c r="AO296" s="67">
        <f>IF(AK296=1,SUM(AK$5:AK296),"")</f>
        <v/>
      </c>
      <c r="AP296" s="67">
        <f>IF(AL296=1,SUM(AL$5:AL296),"")</f>
        <v/>
      </c>
      <c r="AQ296" s="67" t="n">
        <v>0</v>
      </c>
      <c r="AR296" s="67" t="n">
        <v>0</v>
      </c>
      <c r="AS296" s="67" t="n">
        <v>0</v>
      </c>
      <c r="AT296" s="67" t="n">
        <v>0</v>
      </c>
    </row>
    <row r="297" ht="40" customHeight="1">
      <c r="A297" s="63" t="inlineStr">
        <is>
          <t>F09-T12-05</t>
        </is>
      </c>
      <c r="B297" s="63" t="inlineStr">
        <is>
          <t>F09</t>
        </is>
      </c>
      <c r="C297" s="63">
        <f>Flights!$F$13</f>
        <v/>
      </c>
      <c r="D297" s="64">
        <f>Flights!$D$13</f>
        <v/>
      </c>
      <c r="E297" s="63">
        <f>Flights!$G$13&amp;"-"&amp;Flights!$H$13</f>
        <v/>
      </c>
      <c r="F297" s="63">
        <f>Flights!$K$13</f>
        <v/>
      </c>
      <c r="G297" s="63" t="inlineStr">
        <is>
          <t>T-12H PREP</t>
        </is>
      </c>
      <c r="H297" s="63" t="inlineStr">
        <is>
          <t>Preparation</t>
        </is>
      </c>
      <c r="I297" s="63" t="inlineStr">
        <is>
          <t>Equipment</t>
        </is>
      </c>
      <c r="J297" s="63" t="inlineStr">
        <is>
          <t>Equipment serviceability vs GLD</t>
        </is>
      </c>
      <c r="K297" s="73" t="inlineStr"/>
      <c r="L297" s="73" t="inlineStr">
        <is>
          <t>User brief (T-12 hours)</t>
        </is>
      </c>
      <c r="M297" s="73" t="inlineStr"/>
      <c r="N297" s="73" t="inlineStr">
        <is>
          <t>Required</t>
        </is>
      </c>
      <c r="O297" s="73" t="inlineStr">
        <is>
          <t>Preparation check at caterer - does NOT confirm loading.</t>
        </is>
      </c>
      <c r="P297" s="63" t="inlineStr">
        <is>
          <t>HAN</t>
        </is>
      </c>
      <c r="Q297" s="65">
        <f>Flights!$AE$13</f>
        <v/>
      </c>
      <c r="R297" s="65">
        <f>Q297+(IF(AND(INDEX(TZ_DSTS,MATCH(P297,TZ_STN,0))&lt;&gt;"",Q297&gt;=INDEX(TZ_DSTS,MATCH(P297,TZ_STN,0)),Q297&lt;INDEX(TZ_DSTE,MATCH(P297,TZ_STN,0))),INDEX(TZ_DST,MATCH(P297,TZ_STN,0)),INDEX(TZ_STD,MATCH(P297,TZ_STN,0))))/24</f>
        <v/>
      </c>
      <c r="S297" s="65">
        <f>Q297-T12EarlyH/24</f>
        <v/>
      </c>
      <c r="T297" s="66" t="n"/>
      <c r="U297" s="66" t="n"/>
      <c r="V297" s="66" t="n"/>
      <c r="W297" s="67" t="n"/>
      <c r="X297" s="66" t="n"/>
      <c r="Y297" s="66" t="n"/>
      <c r="Z297" s="66" t="n"/>
      <c r="AA297" s="66" t="n"/>
      <c r="AB297" s="66" t="n"/>
      <c r="AC297" s="66" t="n"/>
      <c r="AD297" s="72" t="n"/>
      <c r="AE297" s="66" t="n"/>
      <c r="AF297" s="67">
        <f>IF(AND(ISNUMBER(X297),ISNUMBER(Y297)),Y297-X297,"")</f>
        <v/>
      </c>
      <c r="AG297" s="68">
        <f>IF(ISNUMBER(AD297),AD297-(IF(AND(INDEX(TZ_DSTS,MATCH(P297,TZ_STN,0))&lt;&gt;"",(AD297-INDEX(TZ_STD,MATCH(P297,TZ_STN,0))/24)&gt;=INDEX(TZ_DSTS,MATCH(P297,TZ_STN,0)),(AD297-INDEX(TZ_STD,MATCH(P297,TZ_STN,0))/24)&lt;INDEX(TZ_DSTE,MATCH(P297,TZ_STN,0))),INDEX(TZ_DST,MATCH(P297,TZ_STN,0)),INDEX(TZ_STD,MATCH(P297,TZ_STN,0))))/24,"")</f>
        <v/>
      </c>
      <c r="AH297" s="71">
        <f>IF(N297="N/A – rule","N/A – RULE",IF(TRIM(U297)="N/A",IF(AT297=0,"INVALID – N/A not permitted for this mandatory check",IF(AND(TRIM(AC297)&lt;&gt;"",TRIM(AE297)&lt;&gt;"",TRIM(T297)&lt;&gt;""),"N/A – JUSTIFIED","INVALID – N/A needs justification, PIC and verifier")),IF(OR(TRIM(U297)="Pass",TRIM(U297)="Pass after CA"),IF(NOT(ISNUMBER(AD297)),"INVALID – completion time missing",IF(TRIM(T297)="","INVALID – PIC missing",IF(TRIM(Z297)="","INVALID – evidence missing",IF(TRIM(AE297)="","INVALID – verifier missing",IF(AND(AQ297=1,TRIM(W297)=""),"INVALID – batch ID missing",IF(AND(AR297=1,OR(NOT(ISNUMBER(X297)),NOT(ISNUMBER(Y297)))),"INVALID – expected/actual qty missing",IF(IF(AND(TRIM(U297)="Pass",ISNUMBER(AF297)),IF(AF297&lt;&gt;0,"INVALID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recorded/closed","")&lt;&gt;"",IF(AND(TRIM(U297)="Pass",ISNUMBER(AF297)),IF(AF297&lt;&gt;0,"INVALID – qty variance: use Fail or Pass after CA",""),"")&amp;IF(AND(TRIM(U297)="Pass",AB297="Open"),"INVALID – corrective action still open: use Fail, then Pass after CA","")&amp;IF(AND(TRIM(U297)="Pass after CA",OR(TRIM(AA297)="",AB297&lt;&gt;"Closed")),"INVALID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window"),IF(AG297&gt;Flights!$AA$13,"INVALID – completed after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f>
        <v/>
      </c>
      <c r="AI297" s="67">
        <f>IF(OR(AH297="N/A – RULE",AH297="N/A – JUSTIFIED"),0,1)</f>
        <v/>
      </c>
      <c r="AJ297" s="67">
        <f>IF(LEFT(AH297,8)="COMPLETE",1,0)</f>
        <v/>
      </c>
      <c r="AK297" s="67">
        <f>IF(AND(AI297=1,AJ297=0,AsOfUTC&gt;Q297),1,0)</f>
        <v/>
      </c>
      <c r="AL297" s="67">
        <f>IF(AND(AI297=1,OR(TRIM(U297)="Fail",AB297="Open",AND(ISNUMBER(AF297),AF297&lt;&gt;0,TRIM(U297)&lt;&gt;"Pass after CA"))),1,0)</f>
        <v/>
      </c>
      <c r="AM297" s="67">
        <f>IF(LEFT(AH297,7)="INVALID",1,0)</f>
        <v/>
      </c>
      <c r="AN297" s="67">
        <f>IF(AND(N297="Clarification required",AI297=1,AJ297=0),1,0)</f>
        <v/>
      </c>
      <c r="AO297" s="67">
        <f>IF(AK297=1,SUM(AK$5:AK297),"")</f>
        <v/>
      </c>
      <c r="AP297" s="67">
        <f>IF(AL297=1,SUM(AL$5:AL297),"")</f>
        <v/>
      </c>
      <c r="AQ297" s="67" t="n">
        <v>0</v>
      </c>
      <c r="AR297" s="67" t="n">
        <v>0</v>
      </c>
      <c r="AS297" s="67" t="n">
        <v>0</v>
      </c>
      <c r="AT297" s="67" t="n">
        <v>0</v>
      </c>
    </row>
    <row r="298" ht="79" customHeight="1">
      <c r="A298" s="63" t="inlineStr">
        <is>
          <t>F09-T12-06</t>
        </is>
      </c>
      <c r="B298" s="63" t="inlineStr">
        <is>
          <t>F09</t>
        </is>
      </c>
      <c r="C298" s="63">
        <f>Flights!$F$13</f>
        <v/>
      </c>
      <c r="D298" s="64">
        <f>Flights!$D$13</f>
        <v/>
      </c>
      <c r="E298" s="63">
        <f>Flights!$G$13&amp;"-"&amp;Flights!$H$13</f>
        <v/>
      </c>
      <c r="F298" s="63">
        <f>Flights!$K$13</f>
        <v/>
      </c>
      <c r="G298" s="63" t="inlineStr">
        <is>
          <t>T-12H PREP</t>
        </is>
      </c>
      <c r="H298" s="63" t="inlineStr">
        <is>
          <t>Preparation</t>
        </is>
      </c>
      <c r="I298" s="63" t="inlineStr">
        <is>
          <t>Equipment</t>
        </is>
      </c>
      <c r="J298" s="63" t="inlineStr">
        <is>
          <t>Equipment quantities vs GLD</t>
        </is>
      </c>
      <c r="K298" s="73" t="inlineStr">
        <is>
          <t>Enter expected &amp; actual. Aircraft galley data: B737-8 (B7M8): carts 10.5, SU 25, ovens 6, warming ovens -, fridges -, water heaters 3, beverage makers -, espresso -, folding trolleys -, headsets - (AIRCRAFT TYPE!C16:R16)</t>
        </is>
      </c>
      <c r="L298" s="73" t="inlineStr">
        <is>
          <t>User brief (T-12 hours)</t>
        </is>
      </c>
      <c r="M298" s="73" t="inlineStr"/>
      <c r="N298" s="73" t="inlineStr">
        <is>
          <t>Required</t>
        </is>
      </c>
      <c r="O298" s="73" t="inlineStr">
        <is>
          <t>Preparation check at caterer - does NOT confirm loading.</t>
        </is>
      </c>
      <c r="P298" s="63" t="inlineStr">
        <is>
          <t>HAN</t>
        </is>
      </c>
      <c r="Q298" s="65">
        <f>Flights!$AE$13</f>
        <v/>
      </c>
      <c r="R298" s="65">
        <f>Q298+(IF(AND(INDEX(TZ_DSTS,MATCH(P298,TZ_STN,0))&lt;&gt;"",Q298&gt;=INDEX(TZ_DSTS,MATCH(P298,TZ_STN,0)),Q298&lt;INDEX(TZ_DSTE,MATCH(P298,TZ_STN,0))),INDEX(TZ_DST,MATCH(P298,TZ_STN,0)),INDEX(TZ_STD,MATCH(P298,TZ_STN,0))))/24</f>
        <v/>
      </c>
      <c r="S298" s="65">
        <f>Q298-T12EarlyH/24</f>
        <v/>
      </c>
      <c r="T298" s="66" t="n"/>
      <c r="U298" s="66" t="n"/>
      <c r="V298" s="66" t="n"/>
      <c r="W298" s="67" t="n"/>
      <c r="X298" s="66" t="n"/>
      <c r="Y298" s="66" t="n"/>
      <c r="Z298" s="66" t="n"/>
      <c r="AA298" s="66" t="n"/>
      <c r="AB298" s="66" t="n"/>
      <c r="AC298" s="66" t="n"/>
      <c r="AD298" s="72" t="n"/>
      <c r="AE298" s="66" t="n"/>
      <c r="AF298" s="67">
        <f>IF(AND(ISNUMBER(X298),ISNUMBER(Y298)),Y298-X298,"")</f>
        <v/>
      </c>
      <c r="AG298" s="68">
        <f>IF(ISNUMBER(AD298),AD298-(IF(AND(INDEX(TZ_DSTS,MATCH(P298,TZ_STN,0))&lt;&gt;"",(AD298-INDEX(TZ_STD,MATCH(P298,TZ_STN,0))/24)&gt;=INDEX(TZ_DSTS,MATCH(P298,TZ_STN,0)),(AD298-INDEX(TZ_STD,MATCH(P298,TZ_STN,0))/24)&lt;INDEX(TZ_DSTE,MATCH(P298,TZ_STN,0))),INDEX(TZ_DST,MATCH(P298,TZ_STN,0)),INDEX(TZ_STD,MATCH(P298,TZ_STN,0))))/24,"")</f>
        <v/>
      </c>
      <c r="AH298" s="71">
        <f>IF(N298="N/A – rule","N/A – RULE",IF(TRIM(U298)="N/A",IF(AT298=0,"INVALID – N/A not permitted for this mandatory check",IF(AND(TRIM(AC298)&lt;&gt;"",TRIM(AE298)&lt;&gt;"",TRIM(T298)&lt;&gt;""),"N/A – JUSTIFIED","INVALID – N/A needs justification, PIC and verifier")),IF(OR(TRIM(U298)="Pass",TRIM(U298)="Pass after CA"),IF(NOT(ISNUMBER(AD298)),"INVALID – completion time missing",IF(TRIM(T298)="","INVALID – PIC missing",IF(TRIM(Z298)="","INVALID – evidence missing",IF(TRIM(AE298)="","INVALID – verifier missing",IF(AND(AQ298=1,TRIM(W298)=""),"INVALID – batch ID missing",IF(AND(AR298=1,OR(NOT(ISNUMBER(X298)),NOT(ISNUMBER(Y298)))),"INVALID – expected/actual qty missing",IF(IF(AND(TRIM(U298)="Pass",ISNUMBER(AF298)),IF(AF298&lt;&gt;0,"INVALID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recorded/closed","")&lt;&gt;"",IF(AND(TRIM(U298)="Pass",ISNUMBER(AF298)),IF(AF298&lt;&gt;0,"INVALID – qty variance: use Fail or Pass after CA",""),"")&amp;IF(AND(TRIM(U298)="Pass",AB298="Open"),"INVALID – corrective action still open: use Fail, then Pass after CA","")&amp;IF(AND(TRIM(U298)="Pass after CA",OR(TRIM(AA298)="",AB298&lt;&gt;"Closed")),"INVALID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window"),IF(AG298&gt;Flights!$AA$13,"INVALID – completed after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f>
        <v/>
      </c>
      <c r="AI298" s="67">
        <f>IF(OR(AH298="N/A – RULE",AH298="N/A – JUSTIFIED"),0,1)</f>
        <v/>
      </c>
      <c r="AJ298" s="67">
        <f>IF(LEFT(AH298,8)="COMPLETE",1,0)</f>
        <v/>
      </c>
      <c r="AK298" s="67">
        <f>IF(AND(AI298=1,AJ298=0,AsOfUTC&gt;Q298),1,0)</f>
        <v/>
      </c>
      <c r="AL298" s="67">
        <f>IF(AND(AI298=1,OR(TRIM(U298)="Fail",AB298="Open",AND(ISNUMBER(AF298),AF298&lt;&gt;0,TRIM(U298)&lt;&gt;"Pass after CA"))),1,0)</f>
        <v/>
      </c>
      <c r="AM298" s="67">
        <f>IF(LEFT(AH298,7)="INVALID",1,0)</f>
        <v/>
      </c>
      <c r="AN298" s="67">
        <f>IF(AND(N298="Clarification required",AI298=1,AJ298=0),1,0)</f>
        <v/>
      </c>
      <c r="AO298" s="67">
        <f>IF(AK298=1,SUM(AK$5:AK298),"")</f>
        <v/>
      </c>
      <c r="AP298" s="67">
        <f>IF(AL298=1,SUM(AL$5:AL298),"")</f>
        <v/>
      </c>
      <c r="AQ298" s="67" t="n">
        <v>0</v>
      </c>
      <c r="AR298" s="67" t="n">
        <v>1</v>
      </c>
      <c r="AS298" s="67" t="n">
        <v>0</v>
      </c>
      <c r="AT298" s="67" t="n">
        <v>0</v>
      </c>
    </row>
    <row r="299" ht="40" customHeight="1">
      <c r="A299" s="63" t="inlineStr">
        <is>
          <t>F09-T12-07</t>
        </is>
      </c>
      <c r="B299" s="63" t="inlineStr">
        <is>
          <t>F09</t>
        </is>
      </c>
      <c r="C299" s="63">
        <f>Flights!$F$13</f>
        <v/>
      </c>
      <c r="D299" s="64">
        <f>Flights!$D$13</f>
        <v/>
      </c>
      <c r="E299" s="63">
        <f>Flights!$G$13&amp;"-"&amp;Flights!$H$13</f>
        <v/>
      </c>
      <c r="F299" s="63">
        <f>Flights!$K$13</f>
        <v/>
      </c>
      <c r="G299" s="63" t="inlineStr">
        <is>
          <t>T-12H PREP</t>
        </is>
      </c>
      <c r="H299" s="63" t="inlineStr">
        <is>
          <t>Preparation</t>
        </is>
      </c>
      <c r="I299" s="63" t="inlineStr">
        <is>
          <t>Equipment</t>
        </is>
      </c>
      <c r="J299" s="63" t="inlineStr">
        <is>
          <t>Loading positions planned vs GLD</t>
        </is>
      </c>
      <c r="K299" s="73" t="inlineStr"/>
      <c r="L299" s="73" t="inlineStr">
        <is>
          <t>User brief (T-12 hours)</t>
        </is>
      </c>
      <c r="M299" s="73" t="inlineStr"/>
      <c r="N299" s="73" t="inlineStr">
        <is>
          <t>Required</t>
        </is>
      </c>
      <c r="O299" s="73" t="inlineStr">
        <is>
          <t>Preparation check at caterer - does NOT confirm loading.</t>
        </is>
      </c>
      <c r="P299" s="63" t="inlineStr">
        <is>
          <t>HAN</t>
        </is>
      </c>
      <c r="Q299" s="65">
        <f>Flights!$AE$13</f>
        <v/>
      </c>
      <c r="R299" s="65">
        <f>Q299+(IF(AND(INDEX(TZ_DSTS,MATCH(P299,TZ_STN,0))&lt;&gt;"",Q299&gt;=INDEX(TZ_DSTS,MATCH(P299,TZ_STN,0)),Q299&lt;INDEX(TZ_DSTE,MATCH(P299,TZ_STN,0))),INDEX(TZ_DST,MATCH(P299,TZ_STN,0)),INDEX(TZ_STD,MATCH(P299,TZ_STN,0))))/24</f>
        <v/>
      </c>
      <c r="S299" s="65">
        <f>Q299-T12EarlyH/24</f>
        <v/>
      </c>
      <c r="T299" s="66" t="n"/>
      <c r="U299" s="66" t="n"/>
      <c r="V299" s="66" t="n"/>
      <c r="W299" s="67" t="n"/>
      <c r="X299" s="66" t="n"/>
      <c r="Y299" s="66" t="n"/>
      <c r="Z299" s="66" t="n"/>
      <c r="AA299" s="66" t="n"/>
      <c r="AB299" s="66" t="n"/>
      <c r="AC299" s="66" t="n"/>
      <c r="AD299" s="72" t="n"/>
      <c r="AE299" s="66" t="n"/>
      <c r="AF299" s="67">
        <f>IF(AND(ISNUMBER(X299),ISNUMBER(Y299)),Y299-X299,"")</f>
        <v/>
      </c>
      <c r="AG299" s="68">
        <f>IF(ISNUMBER(AD299),AD299-(IF(AND(INDEX(TZ_DSTS,MATCH(P299,TZ_STN,0))&lt;&gt;"",(AD299-INDEX(TZ_STD,MATCH(P299,TZ_STN,0))/24)&gt;=INDEX(TZ_DSTS,MATCH(P299,TZ_STN,0)),(AD299-INDEX(TZ_STD,MATCH(P299,TZ_STN,0))/24)&lt;INDEX(TZ_DSTE,MATCH(P299,TZ_STN,0))),INDEX(TZ_DST,MATCH(P299,TZ_STN,0)),INDEX(TZ_STD,MATCH(P299,TZ_STN,0))))/24,"")</f>
        <v/>
      </c>
      <c r="AH299" s="71">
        <f>IF(N299="N/A – rule","N/A – RULE",IF(TRIM(U299)="N/A",IF(AT299=0,"INVALID – N/A not permitted for this mandatory check",IF(AND(TRIM(AC299)&lt;&gt;"",TRIM(AE299)&lt;&gt;"",TRIM(T299)&lt;&gt;""),"N/A – JUSTIFIED","INVALID – N/A needs justification, PIC and verifier")),IF(OR(TRIM(U299)="Pass",TRIM(U299)="Pass after CA"),IF(NOT(ISNUMBER(AD299)),"INVALID – completion time missing",IF(TRIM(T299)="","INVALID – PIC missing",IF(TRIM(Z299)="","INVALID – evidence missing",IF(TRIM(AE299)="","INVALID – verifier missing",IF(AND(AQ299=1,TRIM(W299)=""),"INVALID – batch ID missing",IF(AND(AR299=1,OR(NOT(ISNUMBER(X299)),NOT(ISNUMBER(Y299)))),"INVALID – expected/actual qty missing",IF(IF(AND(TRIM(U299)="Pass",ISNUMBER(AF299)),IF(AF299&lt;&gt;0,"INVALID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recorded/closed","")&lt;&gt;"",IF(AND(TRIM(U299)="Pass",ISNUMBER(AF299)),IF(AF299&lt;&gt;0,"INVALID – qty variance: use Fail or Pass after CA",""),"")&amp;IF(AND(TRIM(U299)="Pass",AB299="Open"),"INVALID – corrective action still open: use Fail, then Pass after CA","")&amp;IF(AND(TRIM(U299)="Pass after CA",OR(TRIM(AA299)="",AB299&lt;&gt;"Closed")),"INVALID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window"),IF(AG299&gt;Flights!$AA$13,"INVALID – completed after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f>
        <v/>
      </c>
      <c r="AI299" s="67">
        <f>IF(OR(AH299="N/A – RULE",AH299="N/A – JUSTIFIED"),0,1)</f>
        <v/>
      </c>
      <c r="AJ299" s="67">
        <f>IF(LEFT(AH299,8)="COMPLETE",1,0)</f>
        <v/>
      </c>
      <c r="AK299" s="67">
        <f>IF(AND(AI299=1,AJ299=0,AsOfUTC&gt;Q299),1,0)</f>
        <v/>
      </c>
      <c r="AL299" s="67">
        <f>IF(AND(AI299=1,OR(TRIM(U299)="Fail",AB299="Open",AND(ISNUMBER(AF299),AF299&lt;&gt;0,TRIM(U299)&lt;&gt;"Pass after CA"))),1,0)</f>
        <v/>
      </c>
      <c r="AM299" s="67">
        <f>IF(LEFT(AH299,7)="INVALID",1,0)</f>
        <v/>
      </c>
      <c r="AN299" s="67">
        <f>IF(AND(N299="Clarification required",AI299=1,AJ299=0),1,0)</f>
        <v/>
      </c>
      <c r="AO299" s="67">
        <f>IF(AK299=1,SUM(AK$5:AK299),"")</f>
        <v/>
      </c>
      <c r="AP299" s="67">
        <f>IF(AL299=1,SUM(AL$5:AL299),"")</f>
        <v/>
      </c>
      <c r="AQ299" s="67" t="n">
        <v>0</v>
      </c>
      <c r="AR299" s="67" t="n">
        <v>0</v>
      </c>
      <c r="AS299" s="67" t="n">
        <v>0</v>
      </c>
      <c r="AT299" s="67" t="n">
        <v>0</v>
      </c>
    </row>
    <row r="300" ht="66.5" customHeight="1">
      <c r="A300" s="63" t="inlineStr">
        <is>
          <t>F09-T12-08</t>
        </is>
      </c>
      <c r="B300" s="63" t="inlineStr">
        <is>
          <t>F09</t>
        </is>
      </c>
      <c r="C300" s="63">
        <f>Flights!$F$13</f>
        <v/>
      </c>
      <c r="D300" s="64">
        <f>Flights!$D$13</f>
        <v/>
      </c>
      <c r="E300" s="63">
        <f>Flights!$G$13&amp;"-"&amp;Flights!$H$13</f>
        <v/>
      </c>
      <c r="F300" s="63">
        <f>Flights!$K$13</f>
        <v/>
      </c>
      <c r="G300" s="63" t="inlineStr">
        <is>
          <t>T-12H PREP</t>
        </is>
      </c>
      <c r="H300" s="63" t="inlineStr">
        <is>
          <t>Preparation</t>
        </is>
      </c>
      <c r="I300" s="63" t="inlineStr">
        <is>
          <t>Amenities</t>
        </is>
      </c>
      <c r="J300" s="63" t="inlineStr">
        <is>
          <t>Disposable slippers in DAM cart (BC, on request) - prepared</t>
        </is>
      </c>
      <c r="K300" s="73" t="inlineStr">
        <is>
          <t>Available in DAM cart on request basis</t>
        </is>
      </c>
      <c r="L300" s="73" t="inlineStr">
        <is>
          <t>STD UPLIFT INFORMATION.xlsx &gt; AMENITIES!G56 / C83</t>
        </is>
      </c>
      <c r="M300" s="73" t="inlineStr">
        <is>
          <t>Not stated in reference</t>
        </is>
      </c>
      <c r="N300" s="73" t="inlineStr">
        <is>
          <t>Required</t>
        </is>
      </c>
      <c r="O300" s="73" t="inlineStr">
        <is>
          <t>Sector has no BC slippers; note C83: disposable slipper available in DAM cart (on request basis). Reference gives no uplift stn for this item: preparation checked at the meal uplift stn (HAN) - confirm with caterer.</t>
        </is>
      </c>
      <c r="P300" s="63" t="inlineStr">
        <is>
          <t>HAN</t>
        </is>
      </c>
      <c r="Q300" s="65">
        <f>Flights!$AE$13</f>
        <v/>
      </c>
      <c r="R300" s="65">
        <f>Q300+(IF(AND(INDEX(TZ_DSTS,MATCH(P300,TZ_STN,0))&lt;&gt;"",Q300&gt;=INDEX(TZ_DSTS,MATCH(P300,TZ_STN,0)),Q300&lt;INDEX(TZ_DSTE,MATCH(P300,TZ_STN,0))),INDEX(TZ_DST,MATCH(P300,TZ_STN,0)),INDEX(TZ_STD,MATCH(P300,TZ_STN,0))))/24</f>
        <v/>
      </c>
      <c r="S300" s="65">
        <f>Q300-T12EarlyH/24</f>
        <v/>
      </c>
      <c r="T300" s="66" t="n"/>
      <c r="U300" s="66" t="n"/>
      <c r="V300" s="66" t="n"/>
      <c r="W300" s="67" t="n"/>
      <c r="X300" s="66" t="n"/>
      <c r="Y300" s="66" t="n"/>
      <c r="Z300" s="66" t="n"/>
      <c r="AA300" s="66" t="n"/>
      <c r="AB300" s="66" t="n"/>
      <c r="AC300" s="66" t="n"/>
      <c r="AD300" s="72" t="n"/>
      <c r="AE300" s="66" t="n"/>
      <c r="AF300" s="67">
        <f>IF(AND(ISNUMBER(X300),ISNUMBER(Y300)),Y300-X300,"")</f>
        <v/>
      </c>
      <c r="AG300" s="68">
        <f>IF(ISNUMBER(AD300),AD300-(IF(AND(INDEX(TZ_DSTS,MATCH(P300,TZ_STN,0))&lt;&gt;"",(AD300-INDEX(TZ_STD,MATCH(P300,TZ_STN,0))/24)&gt;=INDEX(TZ_DSTS,MATCH(P300,TZ_STN,0)),(AD300-INDEX(TZ_STD,MATCH(P300,TZ_STN,0))/24)&lt;INDEX(TZ_DSTE,MATCH(P300,TZ_STN,0))),INDEX(TZ_DST,MATCH(P300,TZ_STN,0)),INDEX(TZ_STD,MATCH(P300,TZ_STN,0))))/24,"")</f>
        <v/>
      </c>
      <c r="AH300" s="71">
        <f>IF(N300="N/A – rule","N/A – RULE",IF(TRIM(U300)="N/A",IF(AT300=0,"INVALID – N/A not permitted for this mandatory check",IF(AND(TRIM(AC300)&lt;&gt;"",TRIM(AE300)&lt;&gt;"",TRIM(T300)&lt;&gt;""),"N/A – JUSTIFIED","INVALID – N/A needs justification, PIC and verifier")),IF(OR(TRIM(U300)="Pass",TRIM(U300)="Pass after CA"),IF(NOT(ISNUMBER(AD300)),"INVALID – completion time missing",IF(TRIM(T300)="","INVALID – PIC missing",IF(TRIM(Z300)="","INVALID – evidence missing",IF(TRIM(AE300)="","INVALID – verifier missing",IF(AND(AQ300=1,TRIM(W300)=""),"INVALID – batch ID missing",IF(AND(AR300=1,OR(NOT(ISNUMBER(X300)),NOT(ISNUMBER(Y300)))),"INVALID – expected/actual qty missing",IF(IF(AND(TRIM(U300)="Pass",ISNUMBER(AF300)),IF(AF300&lt;&gt;0,"INVALID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recorded/closed","")&lt;&gt;"",IF(AND(TRIM(U300)="Pass",ISNUMBER(AF300)),IF(AF300&lt;&gt;0,"INVALID – qty variance: use Fail or Pass after CA",""),"")&amp;IF(AND(TRIM(U300)="Pass",AB300="Open"),"INVALID – corrective action still open: use Fail, then Pass after CA","")&amp;IF(AND(TRIM(U300)="Pass after CA",OR(TRIM(AA300)="",AB300&lt;&gt;"Closed")),"INVALID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window"),IF(AG300&gt;Flights!$AA$13,"INVALID – completed after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f>
        <v/>
      </c>
      <c r="AI300" s="67">
        <f>IF(OR(AH300="N/A – RULE",AH300="N/A – JUSTIFIED"),0,1)</f>
        <v/>
      </c>
      <c r="AJ300" s="67">
        <f>IF(LEFT(AH300,8)="COMPLETE",1,0)</f>
        <v/>
      </c>
      <c r="AK300" s="67">
        <f>IF(AND(AI300=1,AJ300=0,AsOfUTC&gt;Q300),1,0)</f>
        <v/>
      </c>
      <c r="AL300" s="67">
        <f>IF(AND(AI300=1,OR(TRIM(U300)="Fail",AB300="Open",AND(ISNUMBER(AF300),AF300&lt;&gt;0,TRIM(U300)&lt;&gt;"Pass after CA"))),1,0)</f>
        <v/>
      </c>
      <c r="AM300" s="67">
        <f>IF(LEFT(AH300,7)="INVALID",1,0)</f>
        <v/>
      </c>
      <c r="AN300" s="67">
        <f>IF(AND(N300="Clarification required",AI300=1,AJ300=0),1,0)</f>
        <v/>
      </c>
      <c r="AO300" s="67">
        <f>IF(AK300=1,SUM(AK$5:AK300),"")</f>
        <v/>
      </c>
      <c r="AP300" s="67">
        <f>IF(AL300=1,SUM(AL$5:AL300),"")</f>
        <v/>
      </c>
      <c r="AQ300" s="67" t="n">
        <v>0</v>
      </c>
      <c r="AR300" s="67" t="n">
        <v>0</v>
      </c>
      <c r="AS300" s="67" t="n">
        <v>0</v>
      </c>
      <c r="AT300" s="67" t="n">
        <v>1</v>
      </c>
    </row>
    <row r="301" ht="41.5" customHeight="1">
      <c r="A301" s="63" t="inlineStr">
        <is>
          <t>F09-T12-09</t>
        </is>
      </c>
      <c r="B301" s="63" t="inlineStr">
        <is>
          <t>F09</t>
        </is>
      </c>
      <c r="C301" s="63">
        <f>Flights!$F$13</f>
        <v/>
      </c>
      <c r="D301" s="64">
        <f>Flights!$D$13</f>
        <v/>
      </c>
      <c r="E301" s="63">
        <f>Flights!$G$13&amp;"-"&amp;Flights!$H$13</f>
        <v/>
      </c>
      <c r="F301" s="63">
        <f>Flights!$K$13</f>
        <v/>
      </c>
      <c r="G301" s="63" t="inlineStr">
        <is>
          <t>T-12H PREP</t>
        </is>
      </c>
      <c r="H301" s="63" t="inlineStr">
        <is>
          <t>Preparation</t>
        </is>
      </c>
      <c r="I301" s="63" t="inlineStr">
        <is>
          <t>F&amp;B Linen</t>
        </is>
      </c>
      <c r="J301" s="63" t="inlineStr">
        <is>
          <t>Towel - prepared</t>
        </is>
      </c>
      <c r="K301" s="73" t="inlineStr">
        <is>
          <t>Available (ticked in reference)</t>
        </is>
      </c>
      <c r="L301" s="73" t="inlineStr">
        <is>
          <t>STD UPLIFT INFORMATION.xlsx &gt; F&amp;B LINEN!D48</t>
        </is>
      </c>
      <c r="M301" s="73" t="inlineStr">
        <is>
          <t>Not stated in reference</t>
        </is>
      </c>
      <c r="N301" s="73" t="inlineStr">
        <is>
          <t>Required</t>
        </is>
      </c>
      <c r="O301" s="73" t="inlineStr">
        <is>
          <t>Reference gives no uplift stn for this item: preparation checked at the meal uplift stn (HAN) - confirm with caterer.</t>
        </is>
      </c>
      <c r="P301" s="63" t="inlineStr">
        <is>
          <t>HAN</t>
        </is>
      </c>
      <c r="Q301" s="65">
        <f>Flights!$AE$13</f>
        <v/>
      </c>
      <c r="R301" s="65">
        <f>Q301+(IF(AND(INDEX(TZ_DSTS,MATCH(P301,TZ_STN,0))&lt;&gt;"",Q301&gt;=INDEX(TZ_DSTS,MATCH(P301,TZ_STN,0)),Q301&lt;INDEX(TZ_DSTE,MATCH(P301,TZ_STN,0))),INDEX(TZ_DST,MATCH(P301,TZ_STN,0)),INDEX(TZ_STD,MATCH(P301,TZ_STN,0))))/24</f>
        <v/>
      </c>
      <c r="S301" s="65">
        <f>Q301-T12EarlyH/24</f>
        <v/>
      </c>
      <c r="T301" s="66" t="n"/>
      <c r="U301" s="66" t="n"/>
      <c r="V301" s="66" t="n"/>
      <c r="W301" s="67" t="n"/>
      <c r="X301" s="66" t="n"/>
      <c r="Y301" s="66" t="n"/>
      <c r="Z301" s="66" t="n"/>
      <c r="AA301" s="66" t="n"/>
      <c r="AB301" s="66" t="n"/>
      <c r="AC301" s="66" t="n"/>
      <c r="AD301" s="72" t="n"/>
      <c r="AE301" s="66" t="n"/>
      <c r="AF301" s="67">
        <f>IF(AND(ISNUMBER(X301),ISNUMBER(Y301)),Y301-X301,"")</f>
        <v/>
      </c>
      <c r="AG301" s="68">
        <f>IF(ISNUMBER(AD301),AD301-(IF(AND(INDEX(TZ_DSTS,MATCH(P301,TZ_STN,0))&lt;&gt;"",(AD301-INDEX(TZ_STD,MATCH(P301,TZ_STN,0))/24)&gt;=INDEX(TZ_DSTS,MATCH(P301,TZ_STN,0)),(AD301-INDEX(TZ_STD,MATCH(P301,TZ_STN,0))/24)&lt;INDEX(TZ_DSTE,MATCH(P301,TZ_STN,0))),INDEX(TZ_DST,MATCH(P301,TZ_STN,0)),INDEX(TZ_STD,MATCH(P301,TZ_STN,0))))/24,"")</f>
        <v/>
      </c>
      <c r="AH301" s="71">
        <f>IF(N301="N/A – rule","N/A – RULE",IF(TRIM(U301)="N/A",IF(AT301=0,"INVALID – N/A not permitted for this mandatory check",IF(AND(TRIM(AC301)&lt;&gt;"",TRIM(AE301)&lt;&gt;"",TRIM(T301)&lt;&gt;""),"N/A – JUSTIFIED","INVALID – N/A needs justification, PIC and verifier")),IF(OR(TRIM(U301)="Pass",TRIM(U301)="Pass after CA"),IF(NOT(ISNUMBER(AD301)),"INVALID – completion time missing",IF(TRIM(T301)="","INVALID – PIC missing",IF(TRIM(Z301)="","INVALID – evidence missing",IF(TRIM(AE301)="","INVALID – verifier missing",IF(AND(AQ301=1,TRIM(W301)=""),"INVALID – batch ID missing",IF(AND(AR301=1,OR(NOT(ISNUMBER(X301)),NOT(ISNUMBER(Y301)))),"INVALID – expected/actual qty missing",IF(IF(AND(TRIM(U301)="Pass",ISNUMBER(AF301)),IF(AF301&lt;&gt;0,"INVALID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recorded/closed","")&lt;&gt;"",IF(AND(TRIM(U301)="Pass",ISNUMBER(AF301)),IF(AF301&lt;&gt;0,"INVALID – qty variance: use Fail or Pass after CA",""),"")&amp;IF(AND(TRIM(U301)="Pass",AB301="Open"),"INVALID – corrective action still open: use Fail, then Pass after CA","")&amp;IF(AND(TRIM(U301)="Pass after CA",OR(TRIM(AA301)="",AB301&lt;&gt;"Closed")),"INVALID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window"),IF(AG301&gt;Flights!$AA$13,"INVALID – completed after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f>
        <v/>
      </c>
      <c r="AI301" s="67">
        <f>IF(OR(AH301="N/A – RULE",AH301="N/A – JUSTIFIED"),0,1)</f>
        <v/>
      </c>
      <c r="AJ301" s="67">
        <f>IF(LEFT(AH301,8)="COMPLETE",1,0)</f>
        <v/>
      </c>
      <c r="AK301" s="67">
        <f>IF(AND(AI301=1,AJ301=0,AsOfUTC&gt;Q301),1,0)</f>
        <v/>
      </c>
      <c r="AL301" s="67">
        <f>IF(AND(AI301=1,OR(TRIM(U301)="Fail",AB301="Open",AND(ISNUMBER(AF301),AF301&lt;&gt;0,TRIM(U301)&lt;&gt;"Pass after CA"))),1,0)</f>
        <v/>
      </c>
      <c r="AM301" s="67">
        <f>IF(LEFT(AH301,7)="INVALID",1,0)</f>
        <v/>
      </c>
      <c r="AN301" s="67">
        <f>IF(AND(N301="Clarification required",AI301=1,AJ301=0),1,0)</f>
        <v/>
      </c>
      <c r="AO301" s="67">
        <f>IF(AK301=1,SUM(AK$5:AK301),"")</f>
        <v/>
      </c>
      <c r="AP301" s="67">
        <f>IF(AL301=1,SUM(AL$5:AL301),"")</f>
        <v/>
      </c>
      <c r="AQ301" s="67" t="n">
        <v>0</v>
      </c>
      <c r="AR301" s="67" t="n">
        <v>0</v>
      </c>
      <c r="AS301" s="67" t="n">
        <v>0</v>
      </c>
      <c r="AT301" s="67" t="n">
        <v>1</v>
      </c>
    </row>
    <row r="302" ht="41.5" customHeight="1">
      <c r="A302" s="63" t="inlineStr">
        <is>
          <t>F09-T12-10</t>
        </is>
      </c>
      <c r="B302" s="63" t="inlineStr">
        <is>
          <t>F09</t>
        </is>
      </c>
      <c r="C302" s="63">
        <f>Flights!$F$13</f>
        <v/>
      </c>
      <c r="D302" s="64">
        <f>Flights!$D$13</f>
        <v/>
      </c>
      <c r="E302" s="63">
        <f>Flights!$G$13&amp;"-"&amp;Flights!$H$13</f>
        <v/>
      </c>
      <c r="F302" s="63">
        <f>Flights!$K$13</f>
        <v/>
      </c>
      <c r="G302" s="63" t="inlineStr">
        <is>
          <t>T-12H PREP</t>
        </is>
      </c>
      <c r="H302" s="63" t="inlineStr">
        <is>
          <t>Preparation</t>
        </is>
      </c>
      <c r="I302" s="63" t="inlineStr">
        <is>
          <t>F&amp;B Linen</t>
        </is>
      </c>
      <c r="J302" s="63" t="inlineStr">
        <is>
          <t>Tray cloth - prepared</t>
        </is>
      </c>
      <c r="K302" s="73" t="inlineStr">
        <is>
          <t>Available (ticked in reference)</t>
        </is>
      </c>
      <c r="L302" s="73" t="inlineStr">
        <is>
          <t>STD UPLIFT INFORMATION.xlsx &gt; F&amp;B LINEN!E48</t>
        </is>
      </c>
      <c r="M302" s="73" t="inlineStr">
        <is>
          <t>Not stated in reference</t>
        </is>
      </c>
      <c r="N302" s="73" t="inlineStr">
        <is>
          <t>Required</t>
        </is>
      </c>
      <c r="O302" s="73" t="inlineStr">
        <is>
          <t>Reference gives no uplift stn for this item: preparation checked at the meal uplift stn (HAN) - confirm with caterer.</t>
        </is>
      </c>
      <c r="P302" s="63" t="inlineStr">
        <is>
          <t>HAN</t>
        </is>
      </c>
      <c r="Q302" s="65">
        <f>Flights!$AE$13</f>
        <v/>
      </c>
      <c r="R302" s="65">
        <f>Q302+(IF(AND(INDEX(TZ_DSTS,MATCH(P302,TZ_STN,0))&lt;&gt;"",Q302&gt;=INDEX(TZ_DSTS,MATCH(P302,TZ_STN,0)),Q302&lt;INDEX(TZ_DSTE,MATCH(P302,TZ_STN,0))),INDEX(TZ_DST,MATCH(P302,TZ_STN,0)),INDEX(TZ_STD,MATCH(P302,TZ_STN,0))))/24</f>
        <v/>
      </c>
      <c r="S302" s="65">
        <f>Q302-T12EarlyH/24</f>
        <v/>
      </c>
      <c r="T302" s="66" t="n"/>
      <c r="U302" s="66" t="n"/>
      <c r="V302" s="66" t="n"/>
      <c r="W302" s="67" t="n"/>
      <c r="X302" s="66" t="n"/>
      <c r="Y302" s="66" t="n"/>
      <c r="Z302" s="66" t="n"/>
      <c r="AA302" s="66" t="n"/>
      <c r="AB302" s="66" t="n"/>
      <c r="AC302" s="66" t="n"/>
      <c r="AD302" s="72" t="n"/>
      <c r="AE302" s="66" t="n"/>
      <c r="AF302" s="67">
        <f>IF(AND(ISNUMBER(X302),ISNUMBER(Y302)),Y302-X302,"")</f>
        <v/>
      </c>
      <c r="AG302" s="68">
        <f>IF(ISNUMBER(AD302),AD302-(IF(AND(INDEX(TZ_DSTS,MATCH(P302,TZ_STN,0))&lt;&gt;"",(AD302-INDEX(TZ_STD,MATCH(P302,TZ_STN,0))/24)&gt;=INDEX(TZ_DSTS,MATCH(P302,TZ_STN,0)),(AD302-INDEX(TZ_STD,MATCH(P302,TZ_STN,0))/24)&lt;INDEX(TZ_DSTE,MATCH(P302,TZ_STN,0))),INDEX(TZ_DST,MATCH(P302,TZ_STN,0)),INDEX(TZ_STD,MATCH(P302,TZ_STN,0))))/24,"")</f>
        <v/>
      </c>
      <c r="AH302" s="71">
        <f>IF(N302="N/A – rule","N/A – RULE",IF(TRIM(U302)="N/A",IF(AT302=0,"INVALID – N/A not permitted for this mandatory check",IF(AND(TRIM(AC302)&lt;&gt;"",TRIM(AE302)&lt;&gt;"",TRIM(T302)&lt;&gt;""),"N/A – JUSTIFIED","INVALID – N/A needs justification, PIC and verifier")),IF(OR(TRIM(U302)="Pass",TRIM(U302)="Pass after CA"),IF(NOT(ISNUMBER(AD302)),"INVALID – completion time missing",IF(TRIM(T302)="","INVALID – PIC missing",IF(TRIM(Z302)="","INVALID – evidence missing",IF(TRIM(AE302)="","INVALID – verifier missing",IF(AND(AQ302=1,TRIM(W302)=""),"INVALID – batch ID missing",IF(AND(AR302=1,OR(NOT(ISNUMBER(X302)),NOT(ISNUMBER(Y302)))),"INVALID – expected/actual qty missing",IF(IF(AND(TRIM(U302)="Pass",ISNUMBER(AF302)),IF(AF302&lt;&gt;0,"INVALID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recorded/closed","")&lt;&gt;"",IF(AND(TRIM(U302)="Pass",ISNUMBER(AF302)),IF(AF302&lt;&gt;0,"INVALID – qty variance: use Fail or Pass after CA",""),"")&amp;IF(AND(TRIM(U302)="Pass",AB302="Open"),"INVALID – corrective action still open: use Fail, then Pass after CA","")&amp;IF(AND(TRIM(U302)="Pass after CA",OR(TRIM(AA302)="",AB302&lt;&gt;"Closed")),"INVALID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window"),IF(AG302&gt;Flights!$AA$13,"INVALID – completed after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f>
        <v/>
      </c>
      <c r="AI302" s="67">
        <f>IF(OR(AH302="N/A – RULE",AH302="N/A – JUSTIFIED"),0,1)</f>
        <v/>
      </c>
      <c r="AJ302" s="67">
        <f>IF(LEFT(AH302,8)="COMPLETE",1,0)</f>
        <v/>
      </c>
      <c r="AK302" s="67">
        <f>IF(AND(AI302=1,AJ302=0,AsOfUTC&gt;Q302),1,0)</f>
        <v/>
      </c>
      <c r="AL302" s="67">
        <f>IF(AND(AI302=1,OR(TRIM(U302)="Fail",AB302="Open",AND(ISNUMBER(AF302),AF302&lt;&gt;0,TRIM(U302)&lt;&gt;"Pass after CA"))),1,0)</f>
        <v/>
      </c>
      <c r="AM302" s="67">
        <f>IF(LEFT(AH302,7)="INVALID",1,0)</f>
        <v/>
      </c>
      <c r="AN302" s="67">
        <f>IF(AND(N302="Clarification required",AI302=1,AJ302=0),1,0)</f>
        <v/>
      </c>
      <c r="AO302" s="67">
        <f>IF(AK302=1,SUM(AK$5:AK302),"")</f>
        <v/>
      </c>
      <c r="AP302" s="67">
        <f>IF(AL302=1,SUM(AL$5:AL302),"")</f>
        <v/>
      </c>
      <c r="AQ302" s="67" t="n">
        <v>0</v>
      </c>
      <c r="AR302" s="67" t="n">
        <v>0</v>
      </c>
      <c r="AS302" s="67" t="n">
        <v>0</v>
      </c>
      <c r="AT302" s="67" t="n">
        <v>1</v>
      </c>
    </row>
    <row r="303" ht="41.5" customHeight="1">
      <c r="A303" s="63" t="inlineStr">
        <is>
          <t>F09-T12-11</t>
        </is>
      </c>
      <c r="B303" s="63" t="inlineStr">
        <is>
          <t>F09</t>
        </is>
      </c>
      <c r="C303" s="63">
        <f>Flights!$F$13</f>
        <v/>
      </c>
      <c r="D303" s="64">
        <f>Flights!$D$13</f>
        <v/>
      </c>
      <c r="E303" s="63">
        <f>Flights!$G$13&amp;"-"&amp;Flights!$H$13</f>
        <v/>
      </c>
      <c r="F303" s="63">
        <f>Flights!$K$13</f>
        <v/>
      </c>
      <c r="G303" s="63" t="inlineStr">
        <is>
          <t>T-12H PREP</t>
        </is>
      </c>
      <c r="H303" s="63" t="inlineStr">
        <is>
          <t>Preparation</t>
        </is>
      </c>
      <c r="I303" s="63" t="inlineStr">
        <is>
          <t>F&amp;B Linen</t>
        </is>
      </c>
      <c r="J303" s="63" t="inlineStr">
        <is>
          <t>Napkin - prepared</t>
        </is>
      </c>
      <c r="K303" s="73" t="inlineStr">
        <is>
          <t>Available (ticked in reference)</t>
        </is>
      </c>
      <c r="L303" s="73" t="inlineStr">
        <is>
          <t>STD UPLIFT INFORMATION.xlsx &gt; F&amp;B LINEN!F48</t>
        </is>
      </c>
      <c r="M303" s="73" t="inlineStr">
        <is>
          <t>Not stated in reference</t>
        </is>
      </c>
      <c r="N303" s="73" t="inlineStr">
        <is>
          <t>Required</t>
        </is>
      </c>
      <c r="O303" s="73" t="inlineStr">
        <is>
          <t>Reference gives no uplift stn for this item: preparation checked at the meal uplift stn (HAN) - confirm with caterer.</t>
        </is>
      </c>
      <c r="P303" s="63" t="inlineStr">
        <is>
          <t>HAN</t>
        </is>
      </c>
      <c r="Q303" s="65">
        <f>Flights!$AE$13</f>
        <v/>
      </c>
      <c r="R303" s="65">
        <f>Q303+(IF(AND(INDEX(TZ_DSTS,MATCH(P303,TZ_STN,0))&lt;&gt;"",Q303&gt;=INDEX(TZ_DSTS,MATCH(P303,TZ_STN,0)),Q303&lt;INDEX(TZ_DSTE,MATCH(P303,TZ_STN,0))),INDEX(TZ_DST,MATCH(P303,TZ_STN,0)),INDEX(TZ_STD,MATCH(P303,TZ_STN,0))))/24</f>
        <v/>
      </c>
      <c r="S303" s="65">
        <f>Q303-T12EarlyH/24</f>
        <v/>
      </c>
      <c r="T303" s="66" t="n"/>
      <c r="U303" s="66" t="n"/>
      <c r="V303" s="66" t="n"/>
      <c r="W303" s="67" t="n"/>
      <c r="X303" s="66" t="n"/>
      <c r="Y303" s="66" t="n"/>
      <c r="Z303" s="66" t="n"/>
      <c r="AA303" s="66" t="n"/>
      <c r="AB303" s="66" t="n"/>
      <c r="AC303" s="66" t="n"/>
      <c r="AD303" s="72" t="n"/>
      <c r="AE303" s="66" t="n"/>
      <c r="AF303" s="67">
        <f>IF(AND(ISNUMBER(X303),ISNUMBER(Y303)),Y303-X303,"")</f>
        <v/>
      </c>
      <c r="AG303" s="68">
        <f>IF(ISNUMBER(AD303),AD303-(IF(AND(INDEX(TZ_DSTS,MATCH(P303,TZ_STN,0))&lt;&gt;"",(AD303-INDEX(TZ_STD,MATCH(P303,TZ_STN,0))/24)&gt;=INDEX(TZ_DSTS,MATCH(P303,TZ_STN,0)),(AD303-INDEX(TZ_STD,MATCH(P303,TZ_STN,0))/24)&lt;INDEX(TZ_DSTE,MATCH(P303,TZ_STN,0))),INDEX(TZ_DST,MATCH(P303,TZ_STN,0)),INDEX(TZ_STD,MATCH(P303,TZ_STN,0))))/24,"")</f>
        <v/>
      </c>
      <c r="AH303" s="71">
        <f>IF(N303="N/A – rule","N/A – RULE",IF(TRIM(U303)="N/A",IF(AT303=0,"INVALID – N/A not permitted for this mandatory check",IF(AND(TRIM(AC303)&lt;&gt;"",TRIM(AE303)&lt;&gt;"",TRIM(T303)&lt;&gt;""),"N/A – JUSTIFIED","INVALID – N/A needs justification, PIC and verifier")),IF(OR(TRIM(U303)="Pass",TRIM(U303)="Pass after CA"),IF(NOT(ISNUMBER(AD303)),"INVALID – completion time missing",IF(TRIM(T303)="","INVALID – PIC missing",IF(TRIM(Z303)="","INVALID – evidence missing",IF(TRIM(AE303)="","INVALID – verifier missing",IF(AND(AQ303=1,TRIM(W303)=""),"INVALID – batch ID missing",IF(AND(AR303=1,OR(NOT(ISNUMBER(X303)),NOT(ISNUMBER(Y303)))),"INVALID – expected/actual qty missing",IF(IF(AND(TRIM(U303)="Pass",ISNUMBER(AF303)),IF(AF303&lt;&gt;0,"INVALID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recorded/closed","")&lt;&gt;"",IF(AND(TRIM(U303)="Pass",ISNUMBER(AF303)),IF(AF303&lt;&gt;0,"INVALID – qty variance: use Fail or Pass after CA",""),"")&amp;IF(AND(TRIM(U303)="Pass",AB303="Open"),"INVALID – corrective action still open: use Fail, then Pass after CA","")&amp;IF(AND(TRIM(U303)="Pass after CA",OR(TRIM(AA303)="",AB303&lt;&gt;"Closed")),"INVALID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window"),IF(AG303&gt;Flights!$AA$13,"INVALID – completed after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f>
        <v/>
      </c>
      <c r="AI303" s="67">
        <f>IF(OR(AH303="N/A – RULE",AH303="N/A – JUSTIFIED"),0,1)</f>
        <v/>
      </c>
      <c r="AJ303" s="67">
        <f>IF(LEFT(AH303,8)="COMPLETE",1,0)</f>
        <v/>
      </c>
      <c r="AK303" s="67">
        <f>IF(AND(AI303=1,AJ303=0,AsOfUTC&gt;Q303),1,0)</f>
        <v/>
      </c>
      <c r="AL303" s="67">
        <f>IF(AND(AI303=1,OR(TRIM(U303)="Fail",AB303="Open",AND(ISNUMBER(AF303),AF303&lt;&gt;0,TRIM(U303)&lt;&gt;"Pass after CA"))),1,0)</f>
        <v/>
      </c>
      <c r="AM303" s="67">
        <f>IF(LEFT(AH303,7)="INVALID",1,0)</f>
        <v/>
      </c>
      <c r="AN303" s="67">
        <f>IF(AND(N303="Clarification required",AI303=1,AJ303=0),1,0)</f>
        <v/>
      </c>
      <c r="AO303" s="67">
        <f>IF(AK303=1,SUM(AK$5:AK303),"")</f>
        <v/>
      </c>
      <c r="AP303" s="67">
        <f>IF(AL303=1,SUM(AL$5:AL303),"")</f>
        <v/>
      </c>
      <c r="AQ303" s="67" t="n">
        <v>0</v>
      </c>
      <c r="AR303" s="67" t="n">
        <v>0</v>
      </c>
      <c r="AS303" s="67" t="n">
        <v>0</v>
      </c>
      <c r="AT303" s="67" t="n">
        <v>1</v>
      </c>
    </row>
    <row r="304" ht="116.5" customHeight="1">
      <c r="A304" s="63" t="inlineStr">
        <is>
          <t>F09-T12-12</t>
        </is>
      </c>
      <c r="B304" s="63" t="inlineStr">
        <is>
          <t>F09</t>
        </is>
      </c>
      <c r="C304" s="63">
        <f>Flights!$F$13</f>
        <v/>
      </c>
      <c r="D304" s="64">
        <f>Flights!$D$13</f>
        <v/>
      </c>
      <c r="E304" s="63">
        <f>Flights!$G$13&amp;"-"&amp;Flights!$H$13</f>
        <v/>
      </c>
      <c r="F304" s="63">
        <f>Flights!$K$13</f>
        <v/>
      </c>
      <c r="G304" s="63" t="inlineStr">
        <is>
          <t>T-12H PREP</t>
        </is>
      </c>
      <c r="H304" s="63" t="inlineStr">
        <is>
          <t>Preparation</t>
        </is>
      </c>
      <c r="I304" s="63" t="inlineStr">
        <is>
          <t>F&amp;B Linen</t>
        </is>
      </c>
      <c r="J304" s="63" t="inlineStr">
        <is>
          <t>Table cloth - prepared</t>
        </is>
      </c>
      <c r="K304" s="73" t="inlineStr">
        <is>
          <t>Available (ticked in reference)</t>
        </is>
      </c>
      <c r="L304" s="73" t="inlineStr">
        <is>
          <t>STD UPLIFT INFORMATION.xlsx &gt; F&amp;B LINEN!G48</t>
        </is>
      </c>
      <c r="M304" s="73" t="inlineStr">
        <is>
          <t>Not stated in reference</t>
        </is>
      </c>
      <c r="N304" s="73" t="inlineStr">
        <is>
          <t>Clarification required</t>
        </is>
      </c>
      <c r="O304" s="73" t="inlineStr">
        <is>
          <t>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is>
      </c>
      <c r="P304" s="63" t="inlineStr">
        <is>
          <t>HAN</t>
        </is>
      </c>
      <c r="Q304" s="65">
        <f>Flights!$AE$13</f>
        <v/>
      </c>
      <c r="R304" s="65">
        <f>Q304+(IF(AND(INDEX(TZ_DSTS,MATCH(P304,TZ_STN,0))&lt;&gt;"",Q304&gt;=INDEX(TZ_DSTS,MATCH(P304,TZ_STN,0)),Q304&lt;INDEX(TZ_DSTE,MATCH(P304,TZ_STN,0))),INDEX(TZ_DST,MATCH(P304,TZ_STN,0)),INDEX(TZ_STD,MATCH(P304,TZ_STN,0))))/24</f>
        <v/>
      </c>
      <c r="S304" s="65">
        <f>Q304-T12EarlyH/24</f>
        <v/>
      </c>
      <c r="T304" s="66" t="n"/>
      <c r="U304" s="66" t="n"/>
      <c r="V304" s="66" t="n"/>
      <c r="W304" s="67" t="n"/>
      <c r="X304" s="66" t="n"/>
      <c r="Y304" s="66" t="n"/>
      <c r="Z304" s="66" t="n"/>
      <c r="AA304" s="66" t="n"/>
      <c r="AB304" s="66" t="n"/>
      <c r="AC304" s="66" t="n"/>
      <c r="AD304" s="72" t="n"/>
      <c r="AE304" s="66" t="n"/>
      <c r="AF304" s="67">
        <f>IF(AND(ISNUMBER(X304),ISNUMBER(Y304)),Y304-X304,"")</f>
        <v/>
      </c>
      <c r="AG304" s="68">
        <f>IF(ISNUMBER(AD304),AD304-(IF(AND(INDEX(TZ_DSTS,MATCH(P304,TZ_STN,0))&lt;&gt;"",(AD304-INDEX(TZ_STD,MATCH(P304,TZ_STN,0))/24)&gt;=INDEX(TZ_DSTS,MATCH(P304,TZ_STN,0)),(AD304-INDEX(TZ_STD,MATCH(P304,TZ_STN,0))/24)&lt;INDEX(TZ_DSTE,MATCH(P304,TZ_STN,0))),INDEX(TZ_DST,MATCH(P304,TZ_STN,0)),INDEX(TZ_STD,MATCH(P304,TZ_STN,0))))/24,"")</f>
        <v/>
      </c>
      <c r="AH304" s="71">
        <f>IF(N304="N/A – rule","N/A – RULE",IF(TRIM(U304)="N/A",IF(AT304=0,"INVALID – N/A not permitted for this mandatory check",IF(AND(TRIM(AC304)&lt;&gt;"",TRIM(AE304)&lt;&gt;"",TRIM(T304)&lt;&gt;""),"N/A – JUSTIFIED","INVALID – N/A needs justification, PIC and verifier")),IF(OR(TRIM(U304)="Pass",TRIM(U304)="Pass after CA"),IF(NOT(ISNUMBER(AD304)),"INVALID – completion time missing",IF(TRIM(T304)="","INVALID – PIC missing",IF(TRIM(Z304)="","INVALID – evidence missing",IF(TRIM(AE304)="","INVALID – verifier missing",IF(AND(AQ304=1,TRIM(W304)=""),"INVALID – batch ID missing",IF(AND(AR304=1,OR(NOT(ISNUMBER(X304)),NOT(ISNUMBER(Y304)))),"INVALID – expected/actual qty missing",IF(IF(AND(TRIM(U304)="Pass",ISNUMBER(AF304)),IF(AF304&lt;&gt;0,"INVALID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recorded/closed","")&lt;&gt;"",IF(AND(TRIM(U304)="Pass",ISNUMBER(AF304)),IF(AF304&lt;&gt;0,"INVALID – qty variance: use Fail or Pass after CA",""),"")&amp;IF(AND(TRIM(U304)="Pass",AB304="Open"),"INVALID – corrective action still open: use Fail, then Pass after CA","")&amp;IF(AND(TRIM(U304)="Pass after CA",OR(TRIM(AA304)="",AB304&lt;&gt;"Closed")),"INVALID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window"),IF(AG304&gt;Flights!$AA$13,"INVALID – completed after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f>
        <v/>
      </c>
      <c r="AI304" s="67">
        <f>IF(OR(AH304="N/A – RULE",AH304="N/A – JUSTIFIED"),0,1)</f>
        <v/>
      </c>
      <c r="AJ304" s="67">
        <f>IF(LEFT(AH304,8)="COMPLETE",1,0)</f>
        <v/>
      </c>
      <c r="AK304" s="67">
        <f>IF(AND(AI304=1,AJ304=0,AsOfUTC&gt;Q304),1,0)</f>
        <v/>
      </c>
      <c r="AL304" s="67">
        <f>IF(AND(AI304=1,OR(TRIM(U304)="Fail",AB304="Open",AND(ISNUMBER(AF304),AF304&lt;&gt;0,TRIM(U304)&lt;&gt;"Pass after CA"))),1,0)</f>
        <v/>
      </c>
      <c r="AM304" s="67">
        <f>IF(LEFT(AH304,7)="INVALID",1,0)</f>
        <v/>
      </c>
      <c r="AN304" s="67">
        <f>IF(AND(N304="Clarification required",AI304=1,AJ304=0),1,0)</f>
        <v/>
      </c>
      <c r="AO304" s="67">
        <f>IF(AK304=1,SUM(AK$5:AK304),"")</f>
        <v/>
      </c>
      <c r="AP304" s="67">
        <f>IF(AL304=1,SUM(AL$5:AL304),"")</f>
        <v/>
      </c>
      <c r="AQ304" s="67" t="n">
        <v>0</v>
      </c>
      <c r="AR304" s="67" t="n">
        <v>0</v>
      </c>
      <c r="AS304" s="67" t="n">
        <v>0</v>
      </c>
      <c r="AT304" s="67" t="n">
        <v>1</v>
      </c>
    </row>
    <row r="305" ht="116.5" customHeight="1">
      <c r="A305" s="63" t="inlineStr">
        <is>
          <t>F09-T12-13</t>
        </is>
      </c>
      <c r="B305" s="63" t="inlineStr">
        <is>
          <t>F09</t>
        </is>
      </c>
      <c r="C305" s="63">
        <f>Flights!$F$13</f>
        <v/>
      </c>
      <c r="D305" s="64">
        <f>Flights!$D$13</f>
        <v/>
      </c>
      <c r="E305" s="63">
        <f>Flights!$G$13&amp;"-"&amp;Flights!$H$13</f>
        <v/>
      </c>
      <c r="F305" s="63">
        <f>Flights!$K$13</f>
        <v/>
      </c>
      <c r="G305" s="63" t="inlineStr">
        <is>
          <t>T-12H PREP</t>
        </is>
      </c>
      <c r="H305" s="63" t="inlineStr">
        <is>
          <t>Preparation</t>
        </is>
      </c>
      <c r="I305" s="63" t="inlineStr">
        <is>
          <t>F&amp;B Linen</t>
        </is>
      </c>
      <c r="J305" s="63" t="inlineStr">
        <is>
          <t>Bread linen (using table cloth) - prepared</t>
        </is>
      </c>
      <c r="K305" s="73" t="inlineStr">
        <is>
          <t>Available (ticked in reference)</t>
        </is>
      </c>
      <c r="L305" s="73" t="inlineStr">
        <is>
          <t>STD UPLIFT INFORMATION.xlsx &gt; F&amp;B LINEN!H48</t>
        </is>
      </c>
      <c r="M305" s="73" t="inlineStr">
        <is>
          <t>Not stated in reference</t>
        </is>
      </c>
      <c r="N305" s="73" t="inlineStr">
        <is>
          <t>Clarification required</t>
        </is>
      </c>
      <c r="O305" s="73" t="inlineStr">
        <is>
          <t>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is>
      </c>
      <c r="P305" s="63" t="inlineStr">
        <is>
          <t>HAN</t>
        </is>
      </c>
      <c r="Q305" s="65">
        <f>Flights!$AE$13</f>
        <v/>
      </c>
      <c r="R305" s="65">
        <f>Q305+(IF(AND(INDEX(TZ_DSTS,MATCH(P305,TZ_STN,0))&lt;&gt;"",Q305&gt;=INDEX(TZ_DSTS,MATCH(P305,TZ_STN,0)),Q305&lt;INDEX(TZ_DSTE,MATCH(P305,TZ_STN,0))),INDEX(TZ_DST,MATCH(P305,TZ_STN,0)),INDEX(TZ_STD,MATCH(P305,TZ_STN,0))))/24</f>
        <v/>
      </c>
      <c r="S305" s="65">
        <f>Q305-T12EarlyH/24</f>
        <v/>
      </c>
      <c r="T305" s="66" t="n"/>
      <c r="U305" s="66" t="n"/>
      <c r="V305" s="66" t="n"/>
      <c r="W305" s="67" t="n"/>
      <c r="X305" s="66" t="n"/>
      <c r="Y305" s="66" t="n"/>
      <c r="Z305" s="66" t="n"/>
      <c r="AA305" s="66" t="n"/>
      <c r="AB305" s="66" t="n"/>
      <c r="AC305" s="66" t="n"/>
      <c r="AD305" s="72" t="n"/>
      <c r="AE305" s="66" t="n"/>
      <c r="AF305" s="67">
        <f>IF(AND(ISNUMBER(X305),ISNUMBER(Y305)),Y305-X305,"")</f>
        <v/>
      </c>
      <c r="AG305" s="68">
        <f>IF(ISNUMBER(AD305),AD305-(IF(AND(INDEX(TZ_DSTS,MATCH(P305,TZ_STN,0))&lt;&gt;"",(AD305-INDEX(TZ_STD,MATCH(P305,TZ_STN,0))/24)&gt;=INDEX(TZ_DSTS,MATCH(P305,TZ_STN,0)),(AD305-INDEX(TZ_STD,MATCH(P305,TZ_STN,0))/24)&lt;INDEX(TZ_DSTE,MATCH(P305,TZ_STN,0))),INDEX(TZ_DST,MATCH(P305,TZ_STN,0)),INDEX(TZ_STD,MATCH(P305,TZ_STN,0))))/24,"")</f>
        <v/>
      </c>
      <c r="AH305" s="71">
        <f>IF(N305="N/A – rule","N/A – RULE",IF(TRIM(U305)="N/A",IF(AT305=0,"INVALID – N/A not permitted for this mandatory check",IF(AND(TRIM(AC305)&lt;&gt;"",TRIM(AE305)&lt;&gt;"",TRIM(T305)&lt;&gt;""),"N/A – JUSTIFIED","INVALID – N/A needs justification, PIC and verifier")),IF(OR(TRIM(U305)="Pass",TRIM(U305)="Pass after CA"),IF(NOT(ISNUMBER(AD305)),"INVALID – completion time missing",IF(TRIM(T305)="","INVALID – PIC missing",IF(TRIM(Z305)="","INVALID – evidence missing",IF(TRIM(AE305)="","INVALID – verifier missing",IF(AND(AQ305=1,TRIM(W305)=""),"INVALID – batch ID missing",IF(AND(AR305=1,OR(NOT(ISNUMBER(X305)),NOT(ISNUMBER(Y305)))),"INVALID – expected/actual qty missing",IF(IF(AND(TRIM(U305)="Pass",ISNUMBER(AF305)),IF(AF305&lt;&gt;0,"INVALID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recorded/closed","")&lt;&gt;"",IF(AND(TRIM(U305)="Pass",ISNUMBER(AF305)),IF(AF305&lt;&gt;0,"INVALID – qty variance: use Fail or Pass after CA",""),"")&amp;IF(AND(TRIM(U305)="Pass",AB305="Open"),"INVALID – corrective action still open: use Fail, then Pass after CA","")&amp;IF(AND(TRIM(U305)="Pass after CA",OR(TRIM(AA305)="",AB305&lt;&gt;"Closed")),"INVALID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window"),IF(AG305&gt;Flights!$AA$13,"INVALID – completed after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f>
        <v/>
      </c>
      <c r="AI305" s="67">
        <f>IF(OR(AH305="N/A – RULE",AH305="N/A – JUSTIFIED"),0,1)</f>
        <v/>
      </c>
      <c r="AJ305" s="67">
        <f>IF(LEFT(AH305,8)="COMPLETE",1,0)</f>
        <v/>
      </c>
      <c r="AK305" s="67">
        <f>IF(AND(AI305=1,AJ305=0,AsOfUTC&gt;Q305),1,0)</f>
        <v/>
      </c>
      <c r="AL305" s="67">
        <f>IF(AND(AI305=1,OR(TRIM(U305)="Fail",AB305="Open",AND(ISNUMBER(AF305),AF305&lt;&gt;0,TRIM(U305)&lt;&gt;"Pass after CA"))),1,0)</f>
        <v/>
      </c>
      <c r="AM305" s="67">
        <f>IF(LEFT(AH305,7)="INVALID",1,0)</f>
        <v/>
      </c>
      <c r="AN305" s="67">
        <f>IF(AND(N305="Clarification required",AI305=1,AJ305=0),1,0)</f>
        <v/>
      </c>
      <c r="AO305" s="67">
        <f>IF(AK305=1,SUM(AK$5:AK305),"")</f>
        <v/>
      </c>
      <c r="AP305" s="67">
        <f>IF(AL305=1,SUM(AL$5:AL305),"")</f>
        <v/>
      </c>
      <c r="AQ305" s="67" t="n">
        <v>0</v>
      </c>
      <c r="AR305" s="67" t="n">
        <v>0</v>
      </c>
      <c r="AS305" s="67" t="n">
        <v>0</v>
      </c>
      <c r="AT305" s="67" t="n">
        <v>1</v>
      </c>
    </row>
    <row r="306" ht="54" customHeight="1">
      <c r="A306" s="63" t="inlineStr">
        <is>
          <t>F09-T12-14</t>
        </is>
      </c>
      <c r="B306" s="63" t="inlineStr">
        <is>
          <t>F09</t>
        </is>
      </c>
      <c r="C306" s="63">
        <f>Flights!$F$13</f>
        <v/>
      </c>
      <c r="D306" s="64">
        <f>Flights!$D$13</f>
        <v/>
      </c>
      <c r="E306" s="63">
        <f>Flights!$G$13&amp;"-"&amp;Flights!$H$13</f>
        <v/>
      </c>
      <c r="F306" s="63">
        <f>Flights!$K$13</f>
        <v/>
      </c>
      <c r="G306" s="63" t="inlineStr">
        <is>
          <t>T-12H PREP</t>
        </is>
      </c>
      <c r="H306" s="63" t="inlineStr">
        <is>
          <t>Preparation</t>
        </is>
      </c>
      <c r="I306" s="63" t="inlineStr">
        <is>
          <t>F&amp;B Linen</t>
        </is>
      </c>
      <c r="J306" s="63" t="inlineStr">
        <is>
          <t>Trolley cloth - prepared</t>
        </is>
      </c>
      <c r="K306" s="73" t="inlineStr">
        <is>
          <t>Narrow body: Top only</t>
        </is>
      </c>
      <c r="L306" s="73" t="inlineStr">
        <is>
          <t>STD UPLIFT INFORMATION.xlsx &gt; F&amp;B LINEN!I48</t>
        </is>
      </c>
      <c r="M306" s="73" t="inlineStr">
        <is>
          <t>Not stated in reference</t>
        </is>
      </c>
      <c r="N306" s="73" t="inlineStr">
        <is>
          <t>Required</t>
        </is>
      </c>
      <c r="O306" s="73" t="inlineStr">
        <is>
          <t>Per note F&amp;B LINEN!B79:C80. Reference gives no uplift stn for this item: preparation checked at the meal uplift stn (HAN) - confirm with caterer.</t>
        </is>
      </c>
      <c r="P306" s="63" t="inlineStr">
        <is>
          <t>HAN</t>
        </is>
      </c>
      <c r="Q306" s="65">
        <f>Flights!$AE$13</f>
        <v/>
      </c>
      <c r="R306" s="65">
        <f>Q306+(IF(AND(INDEX(TZ_DSTS,MATCH(P306,TZ_STN,0))&lt;&gt;"",Q306&gt;=INDEX(TZ_DSTS,MATCH(P306,TZ_STN,0)),Q306&lt;INDEX(TZ_DSTE,MATCH(P306,TZ_STN,0))),INDEX(TZ_DST,MATCH(P306,TZ_STN,0)),INDEX(TZ_STD,MATCH(P306,TZ_STN,0))))/24</f>
        <v/>
      </c>
      <c r="S306" s="65">
        <f>Q306-T12EarlyH/24</f>
        <v/>
      </c>
      <c r="T306" s="66" t="n"/>
      <c r="U306" s="66" t="n"/>
      <c r="V306" s="66" t="n"/>
      <c r="W306" s="67" t="n"/>
      <c r="X306" s="66" t="n"/>
      <c r="Y306" s="66" t="n"/>
      <c r="Z306" s="66" t="n"/>
      <c r="AA306" s="66" t="n"/>
      <c r="AB306" s="66" t="n"/>
      <c r="AC306" s="66" t="n"/>
      <c r="AD306" s="72" t="n"/>
      <c r="AE306" s="66" t="n"/>
      <c r="AF306" s="67">
        <f>IF(AND(ISNUMBER(X306),ISNUMBER(Y306)),Y306-X306,"")</f>
        <v/>
      </c>
      <c r="AG306" s="68">
        <f>IF(ISNUMBER(AD306),AD306-(IF(AND(INDEX(TZ_DSTS,MATCH(P306,TZ_STN,0))&lt;&gt;"",(AD306-INDEX(TZ_STD,MATCH(P306,TZ_STN,0))/24)&gt;=INDEX(TZ_DSTS,MATCH(P306,TZ_STN,0)),(AD306-INDEX(TZ_STD,MATCH(P306,TZ_STN,0))/24)&lt;INDEX(TZ_DSTE,MATCH(P306,TZ_STN,0))),INDEX(TZ_DST,MATCH(P306,TZ_STN,0)),INDEX(TZ_STD,MATCH(P306,TZ_STN,0))))/24,"")</f>
        <v/>
      </c>
      <c r="AH306" s="71">
        <f>IF(N306="N/A – rule","N/A – RULE",IF(TRIM(U306)="N/A",IF(AT306=0,"INVALID – N/A not permitted for this mandatory check",IF(AND(TRIM(AC306)&lt;&gt;"",TRIM(AE306)&lt;&gt;"",TRIM(T306)&lt;&gt;""),"N/A – JUSTIFIED","INVALID – N/A needs justification, PIC and verifier")),IF(OR(TRIM(U306)="Pass",TRIM(U306)="Pass after CA"),IF(NOT(ISNUMBER(AD306)),"INVALID – completion time missing",IF(TRIM(T306)="","INVALID – PIC missing",IF(TRIM(Z306)="","INVALID – evidence missing",IF(TRIM(AE306)="","INVALID – verifier missing",IF(AND(AQ306=1,TRIM(W306)=""),"INVALID – batch ID missing",IF(AND(AR306=1,OR(NOT(ISNUMBER(X306)),NOT(ISNUMBER(Y306)))),"INVALID – expected/actual qty missing",IF(IF(AND(TRIM(U306)="Pass",ISNUMBER(AF306)),IF(AF306&lt;&gt;0,"INVALID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recorded/closed","")&lt;&gt;"",IF(AND(TRIM(U306)="Pass",ISNUMBER(AF306)),IF(AF306&lt;&gt;0,"INVALID – qty variance: use Fail or Pass after CA",""),"")&amp;IF(AND(TRIM(U306)="Pass",AB306="Open"),"INVALID – corrective action still open: use Fail, then Pass after CA","")&amp;IF(AND(TRIM(U306)="Pass after CA",OR(TRIM(AA306)="",AB306&lt;&gt;"Closed")),"INVALID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window"),IF(AG306&gt;Flights!$AA$13,"INVALID – completed after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f>
        <v/>
      </c>
      <c r="AI306" s="67">
        <f>IF(OR(AH306="N/A – RULE",AH306="N/A – JUSTIFIED"),0,1)</f>
        <v/>
      </c>
      <c r="AJ306" s="67">
        <f>IF(LEFT(AH306,8)="COMPLETE",1,0)</f>
        <v/>
      </c>
      <c r="AK306" s="67">
        <f>IF(AND(AI306=1,AJ306=0,AsOfUTC&gt;Q306),1,0)</f>
        <v/>
      </c>
      <c r="AL306" s="67">
        <f>IF(AND(AI306=1,OR(TRIM(U306)="Fail",AB306="Open",AND(ISNUMBER(AF306),AF306&lt;&gt;0,TRIM(U306)&lt;&gt;"Pass after CA"))),1,0)</f>
        <v/>
      </c>
      <c r="AM306" s="67">
        <f>IF(LEFT(AH306,7)="INVALID",1,0)</f>
        <v/>
      </c>
      <c r="AN306" s="67">
        <f>IF(AND(N306="Clarification required",AI306=1,AJ306=0),1,0)</f>
        <v/>
      </c>
      <c r="AO306" s="67">
        <f>IF(AK306=1,SUM(AK$5:AK306),"")</f>
        <v/>
      </c>
      <c r="AP306" s="67">
        <f>IF(AL306=1,SUM(AL$5:AL306),"")</f>
        <v/>
      </c>
      <c r="AQ306" s="67" t="n">
        <v>0</v>
      </c>
      <c r="AR306" s="67" t="n">
        <v>0</v>
      </c>
      <c r="AS306" s="67" t="n">
        <v>0</v>
      </c>
      <c r="AT306" s="67" t="n">
        <v>1</v>
      </c>
    </row>
    <row r="307" ht="41.5" customHeight="1">
      <c r="A307" s="63" t="inlineStr">
        <is>
          <t>F09-T12-15</t>
        </is>
      </c>
      <c r="B307" s="63" t="inlineStr">
        <is>
          <t>F09</t>
        </is>
      </c>
      <c r="C307" s="63">
        <f>Flights!$F$13</f>
        <v/>
      </c>
      <c r="D307" s="64">
        <f>Flights!$D$13</f>
        <v/>
      </c>
      <c r="E307" s="63">
        <f>Flights!$G$13&amp;"-"&amp;Flights!$H$13</f>
        <v/>
      </c>
      <c r="F307" s="63">
        <f>Flights!$K$13</f>
        <v/>
      </c>
      <c r="G307" s="63" t="inlineStr">
        <is>
          <t>T-12H PREP</t>
        </is>
      </c>
      <c r="H307" s="63" t="inlineStr">
        <is>
          <t>Preparation</t>
        </is>
      </c>
      <c r="I307" s="63" t="inlineStr">
        <is>
          <t>F&amp;B Linen</t>
        </is>
      </c>
      <c r="J307" s="63" t="inlineStr">
        <is>
          <t>Linen bag - prepared</t>
        </is>
      </c>
      <c r="K307" s="73" t="inlineStr">
        <is>
          <t>Available (ticked in reference)</t>
        </is>
      </c>
      <c r="L307" s="73" t="inlineStr">
        <is>
          <t>STD UPLIFT INFORMATION.xlsx &gt; F&amp;B LINEN!J48</t>
        </is>
      </c>
      <c r="M307" s="73" t="inlineStr">
        <is>
          <t>Not stated in reference</t>
        </is>
      </c>
      <c r="N307" s="73" t="inlineStr">
        <is>
          <t>Required</t>
        </is>
      </c>
      <c r="O307" s="73" t="inlineStr">
        <is>
          <t>Reference gives no uplift stn for this item: preparation checked at the meal uplift stn (HAN) - confirm with caterer.</t>
        </is>
      </c>
      <c r="P307" s="63" t="inlineStr">
        <is>
          <t>HAN</t>
        </is>
      </c>
      <c r="Q307" s="65">
        <f>Flights!$AE$13</f>
        <v/>
      </c>
      <c r="R307" s="65">
        <f>Q307+(IF(AND(INDEX(TZ_DSTS,MATCH(P307,TZ_STN,0))&lt;&gt;"",Q307&gt;=INDEX(TZ_DSTS,MATCH(P307,TZ_STN,0)),Q307&lt;INDEX(TZ_DSTE,MATCH(P307,TZ_STN,0))),INDEX(TZ_DST,MATCH(P307,TZ_STN,0)),INDEX(TZ_STD,MATCH(P307,TZ_STN,0))))/24</f>
        <v/>
      </c>
      <c r="S307" s="65">
        <f>Q307-T12EarlyH/24</f>
        <v/>
      </c>
      <c r="T307" s="66" t="n"/>
      <c r="U307" s="66" t="n"/>
      <c r="V307" s="66" t="n"/>
      <c r="W307" s="67" t="n"/>
      <c r="X307" s="66" t="n"/>
      <c r="Y307" s="66" t="n"/>
      <c r="Z307" s="66" t="n"/>
      <c r="AA307" s="66" t="n"/>
      <c r="AB307" s="66" t="n"/>
      <c r="AC307" s="66" t="n"/>
      <c r="AD307" s="72" t="n"/>
      <c r="AE307" s="66" t="n"/>
      <c r="AF307" s="67">
        <f>IF(AND(ISNUMBER(X307),ISNUMBER(Y307)),Y307-X307,"")</f>
        <v/>
      </c>
      <c r="AG307" s="68">
        <f>IF(ISNUMBER(AD307),AD307-(IF(AND(INDEX(TZ_DSTS,MATCH(P307,TZ_STN,0))&lt;&gt;"",(AD307-INDEX(TZ_STD,MATCH(P307,TZ_STN,0))/24)&gt;=INDEX(TZ_DSTS,MATCH(P307,TZ_STN,0)),(AD307-INDEX(TZ_STD,MATCH(P307,TZ_STN,0))/24)&lt;INDEX(TZ_DSTE,MATCH(P307,TZ_STN,0))),INDEX(TZ_DST,MATCH(P307,TZ_STN,0)),INDEX(TZ_STD,MATCH(P307,TZ_STN,0))))/24,"")</f>
        <v/>
      </c>
      <c r="AH307" s="71">
        <f>IF(N307="N/A – rule","N/A – RULE",IF(TRIM(U307)="N/A",IF(AT307=0,"INVALID – N/A not permitted for this mandatory check",IF(AND(TRIM(AC307)&lt;&gt;"",TRIM(AE307)&lt;&gt;"",TRIM(T307)&lt;&gt;""),"N/A – JUSTIFIED","INVALID – N/A needs justification, PIC and verifier")),IF(OR(TRIM(U307)="Pass",TRIM(U307)="Pass after CA"),IF(NOT(ISNUMBER(AD307)),"INVALID – completion time missing",IF(TRIM(T307)="","INVALID – PIC missing",IF(TRIM(Z307)="","INVALID – evidence missing",IF(TRIM(AE307)="","INVALID – verifier missing",IF(AND(AQ307=1,TRIM(W307)=""),"INVALID – batch ID missing",IF(AND(AR307=1,OR(NOT(ISNUMBER(X307)),NOT(ISNUMBER(Y307)))),"INVALID – expected/actual qty missing",IF(IF(AND(TRIM(U307)="Pass",ISNUMBER(AF307)),IF(AF307&lt;&gt;0,"INVALID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recorded/closed","")&lt;&gt;"",IF(AND(TRIM(U307)="Pass",ISNUMBER(AF307)),IF(AF307&lt;&gt;0,"INVALID – qty variance: use Fail or Pass after CA",""),"")&amp;IF(AND(TRIM(U307)="Pass",AB307="Open"),"INVALID – corrective action still open: use Fail, then Pass after CA","")&amp;IF(AND(TRIM(U307)="Pass after CA",OR(TRIM(AA307)="",AB307&lt;&gt;"Closed")),"INVALID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window"),IF(AG307&gt;Flights!$AA$13,"INVALID – completed after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f>
        <v/>
      </c>
      <c r="AI307" s="67">
        <f>IF(OR(AH307="N/A – RULE",AH307="N/A – JUSTIFIED"),0,1)</f>
        <v/>
      </c>
      <c r="AJ307" s="67">
        <f>IF(LEFT(AH307,8)="COMPLETE",1,0)</f>
        <v/>
      </c>
      <c r="AK307" s="67">
        <f>IF(AND(AI307=1,AJ307=0,AsOfUTC&gt;Q307),1,0)</f>
        <v/>
      </c>
      <c r="AL307" s="67">
        <f>IF(AND(AI307=1,OR(TRIM(U307)="Fail",AB307="Open",AND(ISNUMBER(AF307),AF307&lt;&gt;0,TRIM(U307)&lt;&gt;"Pass after CA"))),1,0)</f>
        <v/>
      </c>
      <c r="AM307" s="67">
        <f>IF(LEFT(AH307,7)="INVALID",1,0)</f>
        <v/>
      </c>
      <c r="AN307" s="67">
        <f>IF(AND(N307="Clarification required",AI307=1,AJ307=0),1,0)</f>
        <v/>
      </c>
      <c r="AO307" s="67">
        <f>IF(AK307=1,SUM(AK$5:AK307),"")</f>
        <v/>
      </c>
      <c r="AP307" s="67">
        <f>IF(AL307=1,SUM(AL$5:AL307),"")</f>
        <v/>
      </c>
      <c r="AQ307" s="67" t="n">
        <v>0</v>
      </c>
      <c r="AR307" s="67" t="n">
        <v>0</v>
      </c>
      <c r="AS307" s="67" t="n">
        <v>0</v>
      </c>
      <c r="AT307" s="67" t="n">
        <v>1</v>
      </c>
    </row>
    <row r="308" ht="41.5" customHeight="1">
      <c r="A308" s="63" t="inlineStr">
        <is>
          <t>F09-T12-16</t>
        </is>
      </c>
      <c r="B308" s="63" t="inlineStr">
        <is>
          <t>F09</t>
        </is>
      </c>
      <c r="C308" s="63">
        <f>Flights!$F$13</f>
        <v/>
      </c>
      <c r="D308" s="64">
        <f>Flights!$D$13</f>
        <v/>
      </c>
      <c r="E308" s="63">
        <f>Flights!$G$13&amp;"-"&amp;Flights!$H$13</f>
        <v/>
      </c>
      <c r="F308" s="63">
        <f>Flights!$K$13</f>
        <v/>
      </c>
      <c r="G308" s="63" t="inlineStr">
        <is>
          <t>T-12H PREP</t>
        </is>
      </c>
      <c r="H308" s="63" t="inlineStr">
        <is>
          <t>Preparation</t>
        </is>
      </c>
      <c r="I308" s="63" t="inlineStr">
        <is>
          <t>Seat Linen</t>
        </is>
      </c>
      <c r="J308" s="63" t="inlineStr">
        <is>
          <t>Seat pillow (BS &amp; BC) - prepared</t>
        </is>
      </c>
      <c r="K308" s="73" t="inlineStr">
        <is>
          <t>Available 100% (ticked in reference)</t>
        </is>
      </c>
      <c r="L308" s="73" t="inlineStr">
        <is>
          <t>STD UPLIFT INFORMATION.xlsx &gt; SEAT LINEN!E46</t>
        </is>
      </c>
      <c r="M308" s="73" t="inlineStr">
        <is>
          <t>Not stated in reference</t>
        </is>
      </c>
      <c r="N308" s="73" t="inlineStr">
        <is>
          <t>Required</t>
        </is>
      </c>
      <c r="O308" s="73" t="inlineStr">
        <is>
          <t>Reference gives no uplift stn for this item: preparation checked at the meal uplift stn (HAN) - confirm with caterer.</t>
        </is>
      </c>
      <c r="P308" s="63" t="inlineStr">
        <is>
          <t>HAN</t>
        </is>
      </c>
      <c r="Q308" s="65">
        <f>Flights!$AE$13</f>
        <v/>
      </c>
      <c r="R308" s="65">
        <f>Q308+(IF(AND(INDEX(TZ_DSTS,MATCH(P308,TZ_STN,0))&lt;&gt;"",Q308&gt;=INDEX(TZ_DSTS,MATCH(P308,TZ_STN,0)),Q308&lt;INDEX(TZ_DSTE,MATCH(P308,TZ_STN,0))),INDEX(TZ_DST,MATCH(P308,TZ_STN,0)),INDEX(TZ_STD,MATCH(P308,TZ_STN,0))))/24</f>
        <v/>
      </c>
      <c r="S308" s="65">
        <f>Q308-T12EarlyH/24</f>
        <v/>
      </c>
      <c r="T308" s="66" t="n"/>
      <c r="U308" s="66" t="n"/>
      <c r="V308" s="66" t="n"/>
      <c r="W308" s="67" t="n"/>
      <c r="X308" s="66" t="n"/>
      <c r="Y308" s="66" t="n"/>
      <c r="Z308" s="66" t="n"/>
      <c r="AA308" s="66" t="n"/>
      <c r="AB308" s="66" t="n"/>
      <c r="AC308" s="66" t="n"/>
      <c r="AD308" s="72" t="n"/>
      <c r="AE308" s="66" t="n"/>
      <c r="AF308" s="67">
        <f>IF(AND(ISNUMBER(X308),ISNUMBER(Y308)),Y308-X308,"")</f>
        <v/>
      </c>
      <c r="AG308" s="68">
        <f>IF(ISNUMBER(AD308),AD308-(IF(AND(INDEX(TZ_DSTS,MATCH(P308,TZ_STN,0))&lt;&gt;"",(AD308-INDEX(TZ_STD,MATCH(P308,TZ_STN,0))/24)&gt;=INDEX(TZ_DSTS,MATCH(P308,TZ_STN,0)),(AD308-INDEX(TZ_STD,MATCH(P308,TZ_STN,0))/24)&lt;INDEX(TZ_DSTE,MATCH(P308,TZ_STN,0))),INDEX(TZ_DST,MATCH(P308,TZ_STN,0)),INDEX(TZ_STD,MATCH(P308,TZ_STN,0))))/24,"")</f>
        <v/>
      </c>
      <c r="AH308" s="71">
        <f>IF(N308="N/A – rule","N/A – RULE",IF(TRIM(U308)="N/A",IF(AT308=0,"INVALID – N/A not permitted for this mandatory check",IF(AND(TRIM(AC308)&lt;&gt;"",TRIM(AE308)&lt;&gt;"",TRIM(T308)&lt;&gt;""),"N/A – JUSTIFIED","INVALID – N/A needs justification, PIC and verifier")),IF(OR(TRIM(U308)="Pass",TRIM(U308)="Pass after CA"),IF(NOT(ISNUMBER(AD308)),"INVALID – completion time missing",IF(TRIM(T308)="","INVALID – PIC missing",IF(TRIM(Z308)="","INVALID – evidence missing",IF(TRIM(AE308)="","INVALID – verifier missing",IF(AND(AQ308=1,TRIM(W308)=""),"INVALID – batch ID missing",IF(AND(AR308=1,OR(NOT(ISNUMBER(X308)),NOT(ISNUMBER(Y308)))),"INVALID – expected/actual qty missing",IF(IF(AND(TRIM(U308)="Pass",ISNUMBER(AF308)),IF(AF308&lt;&gt;0,"INVALID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recorded/closed","")&lt;&gt;"",IF(AND(TRIM(U308)="Pass",ISNUMBER(AF308)),IF(AF308&lt;&gt;0,"INVALID – qty variance: use Fail or Pass after CA",""),"")&amp;IF(AND(TRIM(U308)="Pass",AB308="Open"),"INVALID – corrective action still open: use Fail, then Pass after CA","")&amp;IF(AND(TRIM(U308)="Pass after CA",OR(TRIM(AA308)="",AB308&lt;&gt;"Closed")),"INVALID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window"),IF(AG308&gt;Flights!$AA$13,"INVALID – completed after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f>
        <v/>
      </c>
      <c r="AI308" s="67">
        <f>IF(OR(AH308="N/A – RULE",AH308="N/A – JUSTIFIED"),0,1)</f>
        <v/>
      </c>
      <c r="AJ308" s="67">
        <f>IF(LEFT(AH308,8)="COMPLETE",1,0)</f>
        <v/>
      </c>
      <c r="AK308" s="67">
        <f>IF(AND(AI308=1,AJ308=0,AsOfUTC&gt;Q308),1,0)</f>
        <v/>
      </c>
      <c r="AL308" s="67">
        <f>IF(AND(AI308=1,OR(TRIM(U308)="Fail",AB308="Open",AND(ISNUMBER(AF308),AF308&lt;&gt;0,TRIM(U308)&lt;&gt;"Pass after CA"))),1,0)</f>
        <v/>
      </c>
      <c r="AM308" s="67">
        <f>IF(LEFT(AH308,7)="INVALID",1,0)</f>
        <v/>
      </c>
      <c r="AN308" s="67">
        <f>IF(AND(N308="Clarification required",AI308=1,AJ308=0),1,0)</f>
        <v/>
      </c>
      <c r="AO308" s="67">
        <f>IF(AK308=1,SUM(AK$5:AK308),"")</f>
        <v/>
      </c>
      <c r="AP308" s="67">
        <f>IF(AL308=1,SUM(AL$5:AL308),"")</f>
        <v/>
      </c>
      <c r="AQ308" s="67" t="n">
        <v>0</v>
      </c>
      <c r="AR308" s="67" t="n">
        <v>0</v>
      </c>
      <c r="AS308" s="67" t="n">
        <v>0</v>
      </c>
      <c r="AT308" s="67" t="n">
        <v>1</v>
      </c>
    </row>
    <row r="309" ht="41.5" customHeight="1">
      <c r="A309" s="63" t="inlineStr">
        <is>
          <t>F09-T12-17</t>
        </is>
      </c>
      <c r="B309" s="63" t="inlineStr">
        <is>
          <t>F09</t>
        </is>
      </c>
      <c r="C309" s="63">
        <f>Flights!$F$13</f>
        <v/>
      </c>
      <c r="D309" s="64">
        <f>Flights!$D$13</f>
        <v/>
      </c>
      <c r="E309" s="63">
        <f>Flights!$G$13&amp;"-"&amp;Flights!$H$13</f>
        <v/>
      </c>
      <c r="F309" s="63">
        <f>Flights!$K$13</f>
        <v/>
      </c>
      <c r="G309" s="63" t="inlineStr">
        <is>
          <t>T-12H PREP</t>
        </is>
      </c>
      <c r="H309" s="63" t="inlineStr">
        <is>
          <t>Preparation</t>
        </is>
      </c>
      <c r="I309" s="63" t="inlineStr">
        <is>
          <t>Seat Linen</t>
        </is>
      </c>
      <c r="J309" s="63" t="inlineStr">
        <is>
          <t>Blanket (BS &amp; BC) - prepared</t>
        </is>
      </c>
      <c r="K309" s="73" t="inlineStr">
        <is>
          <t>Available 100% (ticked in reference)</t>
        </is>
      </c>
      <c r="L309" s="73" t="inlineStr">
        <is>
          <t>STD UPLIFT INFORMATION.xlsx &gt; SEAT LINEN!H46</t>
        </is>
      </c>
      <c r="M309" s="73" t="inlineStr">
        <is>
          <t>Not stated in reference</t>
        </is>
      </c>
      <c r="N309" s="73" t="inlineStr">
        <is>
          <t>Required</t>
        </is>
      </c>
      <c r="O309" s="73" t="inlineStr">
        <is>
          <t>Reference gives no uplift stn for this item: preparation checked at the meal uplift stn (HAN) - confirm with caterer.</t>
        </is>
      </c>
      <c r="P309" s="63" t="inlineStr">
        <is>
          <t>HAN</t>
        </is>
      </c>
      <c r="Q309" s="65">
        <f>Flights!$AE$13</f>
        <v/>
      </c>
      <c r="R309" s="65">
        <f>Q309+(IF(AND(INDEX(TZ_DSTS,MATCH(P309,TZ_STN,0))&lt;&gt;"",Q309&gt;=INDEX(TZ_DSTS,MATCH(P309,TZ_STN,0)),Q309&lt;INDEX(TZ_DSTE,MATCH(P309,TZ_STN,0))),INDEX(TZ_DST,MATCH(P309,TZ_STN,0)),INDEX(TZ_STD,MATCH(P309,TZ_STN,0))))/24</f>
        <v/>
      </c>
      <c r="S309" s="65">
        <f>Q309-T12EarlyH/24</f>
        <v/>
      </c>
      <c r="T309" s="66" t="n"/>
      <c r="U309" s="66" t="n"/>
      <c r="V309" s="66" t="n"/>
      <c r="W309" s="67" t="n"/>
      <c r="X309" s="66" t="n"/>
      <c r="Y309" s="66" t="n"/>
      <c r="Z309" s="66" t="n"/>
      <c r="AA309" s="66" t="n"/>
      <c r="AB309" s="66" t="n"/>
      <c r="AC309" s="66" t="n"/>
      <c r="AD309" s="72" t="n"/>
      <c r="AE309" s="66" t="n"/>
      <c r="AF309" s="67">
        <f>IF(AND(ISNUMBER(X309),ISNUMBER(Y309)),Y309-X309,"")</f>
        <v/>
      </c>
      <c r="AG309" s="68">
        <f>IF(ISNUMBER(AD309),AD309-(IF(AND(INDEX(TZ_DSTS,MATCH(P309,TZ_STN,0))&lt;&gt;"",(AD309-INDEX(TZ_STD,MATCH(P309,TZ_STN,0))/24)&gt;=INDEX(TZ_DSTS,MATCH(P309,TZ_STN,0)),(AD309-INDEX(TZ_STD,MATCH(P309,TZ_STN,0))/24)&lt;INDEX(TZ_DSTE,MATCH(P309,TZ_STN,0))),INDEX(TZ_DST,MATCH(P309,TZ_STN,0)),INDEX(TZ_STD,MATCH(P309,TZ_STN,0))))/24,"")</f>
        <v/>
      </c>
      <c r="AH309" s="71">
        <f>IF(N309="N/A – rule","N/A – RULE",IF(TRIM(U309)="N/A",IF(AT309=0,"INVALID – N/A not permitted for this mandatory check",IF(AND(TRIM(AC309)&lt;&gt;"",TRIM(AE309)&lt;&gt;"",TRIM(T309)&lt;&gt;""),"N/A – JUSTIFIED","INVALID – N/A needs justification, PIC and verifier")),IF(OR(TRIM(U309)="Pass",TRIM(U309)="Pass after CA"),IF(NOT(ISNUMBER(AD309)),"INVALID – completion time missing",IF(TRIM(T309)="","INVALID – PIC missing",IF(TRIM(Z309)="","INVALID – evidence missing",IF(TRIM(AE309)="","INVALID – verifier missing",IF(AND(AQ309=1,TRIM(W309)=""),"INVALID – batch ID missing",IF(AND(AR309=1,OR(NOT(ISNUMBER(X309)),NOT(ISNUMBER(Y309)))),"INVALID – expected/actual qty missing",IF(IF(AND(TRIM(U309)="Pass",ISNUMBER(AF309)),IF(AF309&lt;&gt;0,"INVALID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recorded/closed","")&lt;&gt;"",IF(AND(TRIM(U309)="Pass",ISNUMBER(AF309)),IF(AF309&lt;&gt;0,"INVALID – qty variance: use Fail or Pass after CA",""),"")&amp;IF(AND(TRIM(U309)="Pass",AB309="Open"),"INVALID – corrective action still open: use Fail, then Pass after CA","")&amp;IF(AND(TRIM(U309)="Pass after CA",OR(TRIM(AA309)="",AB309&lt;&gt;"Closed")),"INVALID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window"),IF(AG309&gt;Flights!$AA$13,"INVALID – completed after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f>
        <v/>
      </c>
      <c r="AI309" s="67">
        <f>IF(OR(AH309="N/A – RULE",AH309="N/A – JUSTIFIED"),0,1)</f>
        <v/>
      </c>
      <c r="AJ309" s="67">
        <f>IF(LEFT(AH309,8)="COMPLETE",1,0)</f>
        <v/>
      </c>
      <c r="AK309" s="67">
        <f>IF(AND(AI309=1,AJ309=0,AsOfUTC&gt;Q309),1,0)</f>
        <v/>
      </c>
      <c r="AL309" s="67">
        <f>IF(AND(AI309=1,OR(TRIM(U309)="Fail",AB309="Open",AND(ISNUMBER(AF309),AF309&lt;&gt;0,TRIM(U309)&lt;&gt;"Pass after CA"))),1,0)</f>
        <v/>
      </c>
      <c r="AM309" s="67">
        <f>IF(LEFT(AH309,7)="INVALID",1,0)</f>
        <v/>
      </c>
      <c r="AN309" s="67">
        <f>IF(AND(N309="Clarification required",AI309=1,AJ309=0),1,0)</f>
        <v/>
      </c>
      <c r="AO309" s="67">
        <f>IF(AK309=1,SUM(AK$5:AK309),"")</f>
        <v/>
      </c>
      <c r="AP309" s="67">
        <f>IF(AL309=1,SUM(AL$5:AL309),"")</f>
        <v/>
      </c>
      <c r="AQ309" s="67" t="n">
        <v>0</v>
      </c>
      <c r="AR309" s="67" t="n">
        <v>0</v>
      </c>
      <c r="AS309" s="67" t="n">
        <v>0</v>
      </c>
      <c r="AT309" s="67" t="n">
        <v>1</v>
      </c>
    </row>
    <row r="310" ht="40" customHeight="1">
      <c r="A310" s="63" t="inlineStr">
        <is>
          <t>F09-UPL-01</t>
        </is>
      </c>
      <c r="B310" s="63" t="inlineStr">
        <is>
          <t>F09</t>
        </is>
      </c>
      <c r="C310" s="63">
        <f>Flights!$F$13</f>
        <v/>
      </c>
      <c r="D310" s="64">
        <f>Flights!$D$13</f>
        <v/>
      </c>
      <c r="E310" s="63">
        <f>Flights!$G$13&amp;"-"&amp;Flights!$H$13</f>
        <v/>
      </c>
      <c r="F310" s="63">
        <f>Flights!$K$13</f>
        <v/>
      </c>
      <c r="G310" s="63" t="inlineStr">
        <is>
          <t>UPLIFT</t>
        </is>
      </c>
      <c r="H310" s="63" t="inlineStr">
        <is>
          <t>Physical uplift</t>
        </is>
      </c>
      <c r="I310" s="63" t="inlineStr">
        <is>
          <t>Meal</t>
        </is>
      </c>
      <c r="J310" s="63" t="inlineStr">
        <is>
          <t>Meals physically uplifted on board - quantity vs menu checklist</t>
        </is>
      </c>
      <c r="K310" s="73" t="inlineStr">
        <is>
          <t>Enter expected &amp; actual</t>
        </is>
      </c>
      <c r="L310" s="73" t="inlineStr">
        <is>
          <t>User brief (T-12 hours - physical uplift)</t>
        </is>
      </c>
      <c r="M310" s="73" t="inlineStr"/>
      <c r="N310" s="73" t="inlineStr">
        <is>
          <t>Required</t>
        </is>
      </c>
      <c r="O310" s="73" t="inlineStr">
        <is>
          <t>Confirm on board before departure; completion time must fall inside the uplift window.</t>
        </is>
      </c>
      <c r="P310" s="63" t="inlineStr">
        <is>
          <t>HAN</t>
        </is>
      </c>
      <c r="Q310" s="65">
        <f>Flights!$AF$13</f>
        <v/>
      </c>
      <c r="R310" s="65">
        <f>Q310+(IF(AND(INDEX(TZ_DSTS,MATCH(P310,TZ_STN,0))&lt;&gt;"",Q310&gt;=INDEX(TZ_DSTS,MATCH(P310,TZ_STN,0)),Q310&lt;INDEX(TZ_DSTE,MATCH(P310,TZ_STN,0))),INDEX(TZ_DST,MATCH(P310,TZ_STN,0)),INDEX(TZ_STD,MATCH(P310,TZ_STN,0))))/24</f>
        <v/>
      </c>
      <c r="S310" s="65">
        <f>Q310-UpliftWindowH/24</f>
        <v/>
      </c>
      <c r="T310" s="66" t="n"/>
      <c r="U310" s="66" t="n"/>
      <c r="V310" s="66" t="n"/>
      <c r="W310" s="67" t="n"/>
      <c r="X310" s="66" t="n"/>
      <c r="Y310" s="66" t="n"/>
      <c r="Z310" s="66" t="n"/>
      <c r="AA310" s="66" t="n"/>
      <c r="AB310" s="66" t="n"/>
      <c r="AC310" s="66" t="n"/>
      <c r="AD310" s="72" t="n"/>
      <c r="AE310" s="66" t="n"/>
      <c r="AF310" s="67">
        <f>IF(AND(ISNUMBER(X310),ISNUMBER(Y310)),Y310-X310,"")</f>
        <v/>
      </c>
      <c r="AG310" s="68">
        <f>IF(ISNUMBER(AD310),AD310-(IF(AND(INDEX(TZ_DSTS,MATCH(P310,TZ_STN,0))&lt;&gt;"",(AD310-INDEX(TZ_STD,MATCH(P310,TZ_STN,0))/24)&gt;=INDEX(TZ_DSTS,MATCH(P310,TZ_STN,0)),(AD310-INDEX(TZ_STD,MATCH(P310,TZ_STN,0))/24)&lt;INDEX(TZ_DSTE,MATCH(P310,TZ_STN,0))),INDEX(TZ_DST,MATCH(P310,TZ_STN,0)),INDEX(TZ_STD,MATCH(P310,TZ_STN,0))))/24,"")</f>
        <v/>
      </c>
      <c r="AH310" s="71">
        <f>IF(N310="N/A – rule","N/A – RULE",IF(TRIM(U310)="N/A",IF(AT310=0,"INVALID – N/A not permitted for this mandatory check",IF(AND(TRIM(AC310)&lt;&gt;"",TRIM(AE310)&lt;&gt;"",TRIM(T310)&lt;&gt;""),"N/A – JUSTIFIED","INVALID – N/A needs justification, PIC and verifier")),IF(OR(TRIM(U310)="Pass",TRIM(U310)="Pass after CA"),IF(NOT(ISNUMBER(AD310)),"INVALID – completion time missing",IF(TRIM(T310)="","INVALID – PIC missing",IF(TRIM(Z310)="","INVALID – evidence missing",IF(TRIM(AE310)="","INVALID – verifier missing",IF(AND(AQ310=1,TRIM(W310)=""),"INVALID – batch ID missing",IF(AND(AR310=1,OR(NOT(ISNUMBER(X310)),NOT(ISNUMBER(Y310)))),"INVALID – expected/actual qty missing",IF(IF(AND(TRIM(U310)="Pass",ISNUMBER(AF310)),IF(AF310&lt;&gt;0,"INVALID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recorded/closed","")&lt;&gt;"",IF(AND(TRIM(U310)="Pass",ISNUMBER(AF310)),IF(AF310&lt;&gt;0,"INVALID – qty variance: use Fail or Pass after CA",""),"")&amp;IF(AND(TRIM(U310)="Pass",AB310="Open"),"INVALID – corrective action still open: use Fail, then Pass after CA","")&amp;IF(AND(TRIM(U310)="Pass after CA",OR(TRIM(AA310)="",AB310&lt;&gt;"Closed")),"INVALID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window"),IF(AG310&gt;Flights!$AA$13,"INVALID – completed after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f>
        <v/>
      </c>
      <c r="AI310" s="67">
        <f>IF(OR(AH310="N/A – RULE",AH310="N/A – JUSTIFIED"),0,1)</f>
        <v/>
      </c>
      <c r="AJ310" s="67">
        <f>IF(LEFT(AH310,8)="COMPLETE",1,0)</f>
        <v/>
      </c>
      <c r="AK310" s="67">
        <f>IF(AND(AI310=1,AJ310=0,AsOfUTC&gt;Q310),1,0)</f>
        <v/>
      </c>
      <c r="AL310" s="67">
        <f>IF(AND(AI310=1,OR(TRIM(U310)="Fail",AB310="Open",AND(ISNUMBER(AF310),AF310&lt;&gt;0,TRIM(U310)&lt;&gt;"Pass after CA"))),1,0)</f>
        <v/>
      </c>
      <c r="AM310" s="67">
        <f>IF(LEFT(AH310,7)="INVALID",1,0)</f>
        <v/>
      </c>
      <c r="AN310" s="67">
        <f>IF(AND(N310="Clarification required",AI310=1,AJ310=0),1,0)</f>
        <v/>
      </c>
      <c r="AO310" s="67">
        <f>IF(AK310=1,SUM(AK$5:AK310),"")</f>
        <v/>
      </c>
      <c r="AP310" s="67">
        <f>IF(AL310=1,SUM(AL$5:AL310),"")</f>
        <v/>
      </c>
      <c r="AQ310" s="67" t="n">
        <v>0</v>
      </c>
      <c r="AR310" s="67" t="n">
        <v>1</v>
      </c>
      <c r="AS310" s="67" t="n">
        <v>0</v>
      </c>
      <c r="AT310" s="67" t="n">
        <v>0</v>
      </c>
    </row>
    <row r="311" ht="40" customHeight="1">
      <c r="A311" s="63" t="inlineStr">
        <is>
          <t>F09-UPL-02</t>
        </is>
      </c>
      <c r="B311" s="63" t="inlineStr">
        <is>
          <t>F09</t>
        </is>
      </c>
      <c r="C311" s="63">
        <f>Flights!$F$13</f>
        <v/>
      </c>
      <c r="D311" s="64">
        <f>Flights!$D$13</f>
        <v/>
      </c>
      <c r="E311" s="63">
        <f>Flights!$G$13&amp;"-"&amp;Flights!$H$13</f>
        <v/>
      </c>
      <c r="F311" s="63">
        <f>Flights!$K$13</f>
        <v/>
      </c>
      <c r="G311" s="63" t="inlineStr">
        <is>
          <t>UPLIFT</t>
        </is>
      </c>
      <c r="H311" s="63" t="inlineStr">
        <is>
          <t>Physical uplift</t>
        </is>
      </c>
      <c r="I311" s="63" t="inlineStr">
        <is>
          <t>Equipment</t>
        </is>
      </c>
      <c r="J311" s="63" t="inlineStr">
        <is>
          <t>Equipment physically loaded at GLD positions - quantity &amp; positions</t>
        </is>
      </c>
      <c r="K311" s="73" t="inlineStr">
        <is>
          <t>Enter expected &amp; actual</t>
        </is>
      </c>
      <c r="L311" s="73" t="inlineStr">
        <is>
          <t>User brief (T-12 hours - physical uplift)</t>
        </is>
      </c>
      <c r="M311" s="73" t="inlineStr"/>
      <c r="N311" s="73" t="inlineStr">
        <is>
          <t>Required</t>
        </is>
      </c>
      <c r="O311" s="73" t="inlineStr">
        <is>
          <t>Confirm on board before departure; completion time must fall inside the uplift window.</t>
        </is>
      </c>
      <c r="P311" s="63" t="inlineStr">
        <is>
          <t>HAN</t>
        </is>
      </c>
      <c r="Q311" s="65">
        <f>Flights!$AF$13</f>
        <v/>
      </c>
      <c r="R311" s="65">
        <f>Q311+(IF(AND(INDEX(TZ_DSTS,MATCH(P311,TZ_STN,0))&lt;&gt;"",Q311&gt;=INDEX(TZ_DSTS,MATCH(P311,TZ_STN,0)),Q311&lt;INDEX(TZ_DSTE,MATCH(P311,TZ_STN,0))),INDEX(TZ_DST,MATCH(P311,TZ_STN,0)),INDEX(TZ_STD,MATCH(P311,TZ_STN,0))))/24</f>
        <v/>
      </c>
      <c r="S311" s="65">
        <f>Q311-UpliftWindowH/24</f>
        <v/>
      </c>
      <c r="T311" s="66" t="n"/>
      <c r="U311" s="66" t="n"/>
      <c r="V311" s="66" t="n"/>
      <c r="W311" s="67" t="n"/>
      <c r="X311" s="66" t="n"/>
      <c r="Y311" s="66" t="n"/>
      <c r="Z311" s="66" t="n"/>
      <c r="AA311" s="66" t="n"/>
      <c r="AB311" s="66" t="n"/>
      <c r="AC311" s="66" t="n"/>
      <c r="AD311" s="72" t="n"/>
      <c r="AE311" s="66" t="n"/>
      <c r="AF311" s="67">
        <f>IF(AND(ISNUMBER(X311),ISNUMBER(Y311)),Y311-X311,"")</f>
        <v/>
      </c>
      <c r="AG311" s="68">
        <f>IF(ISNUMBER(AD311),AD311-(IF(AND(INDEX(TZ_DSTS,MATCH(P311,TZ_STN,0))&lt;&gt;"",(AD311-INDEX(TZ_STD,MATCH(P311,TZ_STN,0))/24)&gt;=INDEX(TZ_DSTS,MATCH(P311,TZ_STN,0)),(AD311-INDEX(TZ_STD,MATCH(P311,TZ_STN,0))/24)&lt;INDEX(TZ_DSTE,MATCH(P311,TZ_STN,0))),INDEX(TZ_DST,MATCH(P311,TZ_STN,0)),INDEX(TZ_STD,MATCH(P311,TZ_STN,0))))/24,"")</f>
        <v/>
      </c>
      <c r="AH311" s="71">
        <f>IF(N311="N/A – rule","N/A – RULE",IF(TRIM(U311)="N/A",IF(AT311=0,"INVALID – N/A not permitted for this mandatory check",IF(AND(TRIM(AC311)&lt;&gt;"",TRIM(AE311)&lt;&gt;"",TRIM(T311)&lt;&gt;""),"N/A – JUSTIFIED","INVALID – N/A needs justification, PIC and verifier")),IF(OR(TRIM(U311)="Pass",TRIM(U311)="Pass after CA"),IF(NOT(ISNUMBER(AD311)),"INVALID – completion time missing",IF(TRIM(T311)="","INVALID – PIC missing",IF(TRIM(Z311)="","INVALID – evidence missing",IF(TRIM(AE311)="","INVALID – verifier missing",IF(AND(AQ311=1,TRIM(W311)=""),"INVALID – batch ID missing",IF(AND(AR311=1,OR(NOT(ISNUMBER(X311)),NOT(ISNUMBER(Y311)))),"INVALID – expected/actual qty missing",IF(IF(AND(TRIM(U311)="Pass",ISNUMBER(AF311)),IF(AF311&lt;&gt;0,"INVALID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recorded/closed","")&lt;&gt;"",IF(AND(TRIM(U311)="Pass",ISNUMBER(AF311)),IF(AF311&lt;&gt;0,"INVALID – qty variance: use Fail or Pass after CA",""),"")&amp;IF(AND(TRIM(U311)="Pass",AB311="Open"),"INVALID – corrective action still open: use Fail, then Pass after CA","")&amp;IF(AND(TRIM(U311)="Pass after CA",OR(TRIM(AA311)="",AB311&lt;&gt;"Closed")),"INVALID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window"),IF(AG311&gt;Flights!$AA$13,"INVALID – completed after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f>
        <v/>
      </c>
      <c r="AI311" s="67">
        <f>IF(OR(AH311="N/A – RULE",AH311="N/A – JUSTIFIED"),0,1)</f>
        <v/>
      </c>
      <c r="AJ311" s="67">
        <f>IF(LEFT(AH311,8)="COMPLETE",1,0)</f>
        <v/>
      </c>
      <c r="AK311" s="67">
        <f>IF(AND(AI311=1,AJ311=0,AsOfUTC&gt;Q311),1,0)</f>
        <v/>
      </c>
      <c r="AL311" s="67">
        <f>IF(AND(AI311=1,OR(TRIM(U311)="Fail",AB311="Open",AND(ISNUMBER(AF311),AF311&lt;&gt;0,TRIM(U311)&lt;&gt;"Pass after CA"))),1,0)</f>
        <v/>
      </c>
      <c r="AM311" s="67">
        <f>IF(LEFT(AH311,7)="INVALID",1,0)</f>
        <v/>
      </c>
      <c r="AN311" s="67">
        <f>IF(AND(N311="Clarification required",AI311=1,AJ311=0),1,0)</f>
        <v/>
      </c>
      <c r="AO311" s="67">
        <f>IF(AK311=1,SUM(AK$5:AK311),"")</f>
        <v/>
      </c>
      <c r="AP311" s="67">
        <f>IF(AL311=1,SUM(AL$5:AL311),"")</f>
        <v/>
      </c>
      <c r="AQ311" s="67" t="n">
        <v>0</v>
      </c>
      <c r="AR311" s="67" t="n">
        <v>1</v>
      </c>
      <c r="AS311" s="67" t="n">
        <v>0</v>
      </c>
      <c r="AT311" s="67" t="n">
        <v>0</v>
      </c>
    </row>
    <row r="312" ht="41.5" customHeight="1">
      <c r="A312" s="63" t="inlineStr">
        <is>
          <t>F09-UPL-03</t>
        </is>
      </c>
      <c r="B312" s="63" t="inlineStr">
        <is>
          <t>F09</t>
        </is>
      </c>
      <c r="C312" s="63">
        <f>Flights!$F$13</f>
        <v/>
      </c>
      <c r="D312" s="64">
        <f>Flights!$D$13</f>
        <v/>
      </c>
      <c r="E312" s="63">
        <f>Flights!$G$13&amp;"-"&amp;Flights!$H$13</f>
        <v/>
      </c>
      <c r="F312" s="63">
        <f>Flights!$K$13</f>
        <v/>
      </c>
      <c r="G312" s="63" t="inlineStr">
        <is>
          <t>UPLIFT</t>
        </is>
      </c>
      <c r="H312" s="63" t="inlineStr">
        <is>
          <t>Physical uplift</t>
        </is>
      </c>
      <c r="I312" s="63" t="inlineStr">
        <is>
          <t>Amenities</t>
        </is>
      </c>
      <c r="J312" s="63" t="inlineStr">
        <is>
          <t>Disposable slippers in DAM cart (BC, on request) - on board</t>
        </is>
      </c>
      <c r="K312" s="73" t="inlineStr">
        <is>
          <t>Available in DAM cart on request basis</t>
        </is>
      </c>
      <c r="L312" s="73" t="inlineStr">
        <is>
          <t>STD UPLIFT INFORMATION.xlsx &gt; AMENITIES!G56 / C83</t>
        </is>
      </c>
      <c r="M312" s="73" t="inlineStr">
        <is>
          <t>Not stated in reference</t>
        </is>
      </c>
      <c r="N312" s="73" t="inlineStr">
        <is>
          <t>Required</t>
        </is>
      </c>
      <c r="O312" s="73" t="inlineStr">
        <is>
          <t>Sector has no BC slippers; note C83: disposable slipper available in DAM cart (on request basis).</t>
        </is>
      </c>
      <c r="P312" s="63" t="inlineStr">
        <is>
          <t>HAN</t>
        </is>
      </c>
      <c r="Q312" s="65">
        <f>Flights!$AF$13</f>
        <v/>
      </c>
      <c r="R312" s="65">
        <f>Q312+(IF(AND(INDEX(TZ_DSTS,MATCH(P312,TZ_STN,0))&lt;&gt;"",Q312&gt;=INDEX(TZ_DSTS,MATCH(P312,TZ_STN,0)),Q312&lt;INDEX(TZ_DSTE,MATCH(P312,TZ_STN,0))),INDEX(TZ_DST,MATCH(P312,TZ_STN,0)),INDEX(TZ_STD,MATCH(P312,TZ_STN,0))))/24</f>
        <v/>
      </c>
      <c r="S312" s="65">
        <f>Q312-UpliftWindowH/24</f>
        <v/>
      </c>
      <c r="T312" s="66" t="n"/>
      <c r="U312" s="66" t="n"/>
      <c r="V312" s="66" t="n"/>
      <c r="W312" s="67" t="n"/>
      <c r="X312" s="66" t="n"/>
      <c r="Y312" s="66" t="n"/>
      <c r="Z312" s="66" t="n"/>
      <c r="AA312" s="66" t="n"/>
      <c r="AB312" s="66" t="n"/>
      <c r="AC312" s="66" t="n"/>
      <c r="AD312" s="72" t="n"/>
      <c r="AE312" s="66" t="n"/>
      <c r="AF312" s="67">
        <f>IF(AND(ISNUMBER(X312),ISNUMBER(Y312)),Y312-X312,"")</f>
        <v/>
      </c>
      <c r="AG312" s="68">
        <f>IF(ISNUMBER(AD312),AD312-(IF(AND(INDEX(TZ_DSTS,MATCH(P312,TZ_STN,0))&lt;&gt;"",(AD312-INDEX(TZ_STD,MATCH(P312,TZ_STN,0))/24)&gt;=INDEX(TZ_DSTS,MATCH(P312,TZ_STN,0)),(AD312-INDEX(TZ_STD,MATCH(P312,TZ_STN,0))/24)&lt;INDEX(TZ_DSTE,MATCH(P312,TZ_STN,0))),INDEX(TZ_DST,MATCH(P312,TZ_STN,0)),INDEX(TZ_STD,MATCH(P312,TZ_STN,0))))/24,"")</f>
        <v/>
      </c>
      <c r="AH312" s="71">
        <f>IF(N312="N/A – rule","N/A – RULE",IF(TRIM(U312)="N/A",IF(AT312=0,"INVALID – N/A not permitted for this mandatory check",IF(AND(TRIM(AC312)&lt;&gt;"",TRIM(AE312)&lt;&gt;"",TRIM(T312)&lt;&gt;""),"N/A – JUSTIFIED","INVALID – N/A needs justification, PIC and verifier")),IF(OR(TRIM(U312)="Pass",TRIM(U312)="Pass after CA"),IF(NOT(ISNUMBER(AD312)),"INVALID – completion time missing",IF(TRIM(T312)="","INVALID – PIC missing",IF(TRIM(Z312)="","INVALID – evidence missing",IF(TRIM(AE312)="","INVALID – verifier missing",IF(AND(AQ312=1,TRIM(W312)=""),"INVALID – batch ID missing",IF(AND(AR312=1,OR(NOT(ISNUMBER(X312)),NOT(ISNUMBER(Y312)))),"INVALID – expected/actual qty missing",IF(IF(AND(TRIM(U312)="Pass",ISNUMBER(AF312)),IF(AF312&lt;&gt;0,"INVALID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recorded/closed","")&lt;&gt;"",IF(AND(TRIM(U312)="Pass",ISNUMBER(AF312)),IF(AF312&lt;&gt;0,"INVALID – qty variance: use Fail or Pass after CA",""),"")&amp;IF(AND(TRIM(U312)="Pass",AB312="Open"),"INVALID – corrective action still open: use Fail, then Pass after CA","")&amp;IF(AND(TRIM(U312)="Pass after CA",OR(TRIM(AA312)="",AB312&lt;&gt;"Closed")),"INVALID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window"),IF(AG312&gt;Flights!$AA$13,"INVALID – completed after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f>
        <v/>
      </c>
      <c r="AI312" s="67">
        <f>IF(OR(AH312="N/A – RULE",AH312="N/A – JUSTIFIED"),0,1)</f>
        <v/>
      </c>
      <c r="AJ312" s="67">
        <f>IF(LEFT(AH312,8)="COMPLETE",1,0)</f>
        <v/>
      </c>
      <c r="AK312" s="67">
        <f>IF(AND(AI312=1,AJ312=0,AsOfUTC&gt;Q312),1,0)</f>
        <v/>
      </c>
      <c r="AL312" s="67">
        <f>IF(AND(AI312=1,OR(TRIM(U312)="Fail",AB312="Open",AND(ISNUMBER(AF312),AF312&lt;&gt;0,TRIM(U312)&lt;&gt;"Pass after CA"))),1,0)</f>
        <v/>
      </c>
      <c r="AM312" s="67">
        <f>IF(LEFT(AH312,7)="INVALID",1,0)</f>
        <v/>
      </c>
      <c r="AN312" s="67">
        <f>IF(AND(N312="Clarification required",AI312=1,AJ312=0),1,0)</f>
        <v/>
      </c>
      <c r="AO312" s="67">
        <f>IF(AK312=1,SUM(AK$5:AK312),"")</f>
        <v/>
      </c>
      <c r="AP312" s="67">
        <f>IF(AL312=1,SUM(AL$5:AL312),"")</f>
        <v/>
      </c>
      <c r="AQ312" s="67" t="n">
        <v>0</v>
      </c>
      <c r="AR312" s="67" t="n">
        <v>0</v>
      </c>
      <c r="AS312" s="67" t="n">
        <v>0</v>
      </c>
      <c r="AT312" s="67" t="n">
        <v>1</v>
      </c>
    </row>
    <row r="313" ht="40" customHeight="1">
      <c r="A313" s="63" t="inlineStr">
        <is>
          <t>F09-UPL-04</t>
        </is>
      </c>
      <c r="B313" s="63" t="inlineStr">
        <is>
          <t>F09</t>
        </is>
      </c>
      <c r="C313" s="63">
        <f>Flights!$F$13</f>
        <v/>
      </c>
      <c r="D313" s="64">
        <f>Flights!$D$13</f>
        <v/>
      </c>
      <c r="E313" s="63">
        <f>Flights!$G$13&amp;"-"&amp;Flights!$H$13</f>
        <v/>
      </c>
      <c r="F313" s="63">
        <f>Flights!$K$13</f>
        <v/>
      </c>
      <c r="G313" s="63" t="inlineStr">
        <is>
          <t>UPLIFT</t>
        </is>
      </c>
      <c r="H313" s="63" t="inlineStr">
        <is>
          <t>Physical uplift</t>
        </is>
      </c>
      <c r="I313" s="63" t="inlineStr">
        <is>
          <t>F&amp;B Linen</t>
        </is>
      </c>
      <c r="J313" s="63" t="inlineStr">
        <is>
          <t>Towel - on board</t>
        </is>
      </c>
      <c r="K313" s="73" t="inlineStr">
        <is>
          <t>Available (ticked in reference)</t>
        </is>
      </c>
      <c r="L313" s="73" t="inlineStr">
        <is>
          <t>STD UPLIFT INFORMATION.xlsx &gt; F&amp;B LINEN!D48</t>
        </is>
      </c>
      <c r="M313" s="73" t="inlineStr">
        <is>
          <t>Not stated in reference</t>
        </is>
      </c>
      <c r="N313" s="73" t="inlineStr">
        <is>
          <t>Required</t>
        </is>
      </c>
      <c r="O313" s="73" t="inlineStr"/>
      <c r="P313" s="63" t="inlineStr">
        <is>
          <t>HAN</t>
        </is>
      </c>
      <c r="Q313" s="65">
        <f>Flights!$AF$13</f>
        <v/>
      </c>
      <c r="R313" s="65">
        <f>Q313+(IF(AND(INDEX(TZ_DSTS,MATCH(P313,TZ_STN,0))&lt;&gt;"",Q313&gt;=INDEX(TZ_DSTS,MATCH(P313,TZ_STN,0)),Q313&lt;INDEX(TZ_DSTE,MATCH(P313,TZ_STN,0))),INDEX(TZ_DST,MATCH(P313,TZ_STN,0)),INDEX(TZ_STD,MATCH(P313,TZ_STN,0))))/24</f>
        <v/>
      </c>
      <c r="S313" s="65">
        <f>Q313-UpliftWindowH/24</f>
        <v/>
      </c>
      <c r="T313" s="66" t="n"/>
      <c r="U313" s="66" t="n"/>
      <c r="V313" s="66" t="n"/>
      <c r="W313" s="67" t="n"/>
      <c r="X313" s="66" t="n"/>
      <c r="Y313" s="66" t="n"/>
      <c r="Z313" s="66" t="n"/>
      <c r="AA313" s="66" t="n"/>
      <c r="AB313" s="66" t="n"/>
      <c r="AC313" s="66" t="n"/>
      <c r="AD313" s="72" t="n"/>
      <c r="AE313" s="66" t="n"/>
      <c r="AF313" s="67">
        <f>IF(AND(ISNUMBER(X313),ISNUMBER(Y313)),Y313-X313,"")</f>
        <v/>
      </c>
      <c r="AG313" s="68">
        <f>IF(ISNUMBER(AD313),AD313-(IF(AND(INDEX(TZ_DSTS,MATCH(P313,TZ_STN,0))&lt;&gt;"",(AD313-INDEX(TZ_STD,MATCH(P313,TZ_STN,0))/24)&gt;=INDEX(TZ_DSTS,MATCH(P313,TZ_STN,0)),(AD313-INDEX(TZ_STD,MATCH(P313,TZ_STN,0))/24)&lt;INDEX(TZ_DSTE,MATCH(P313,TZ_STN,0))),INDEX(TZ_DST,MATCH(P313,TZ_STN,0)),INDEX(TZ_STD,MATCH(P313,TZ_STN,0))))/24,"")</f>
        <v/>
      </c>
      <c r="AH313" s="71">
        <f>IF(N313="N/A – rule","N/A – RULE",IF(TRIM(U313)="N/A",IF(AT313=0,"INVALID – N/A not permitted for this mandatory check",IF(AND(TRIM(AC313)&lt;&gt;"",TRIM(AE313)&lt;&gt;"",TRIM(T313)&lt;&gt;""),"N/A – JUSTIFIED","INVALID – N/A needs justification, PIC and verifier")),IF(OR(TRIM(U313)="Pass",TRIM(U313)="Pass after CA"),IF(NOT(ISNUMBER(AD313)),"INVALID – completion time missing",IF(TRIM(T313)="","INVALID – PIC missing",IF(TRIM(Z313)="","INVALID – evidence missing",IF(TRIM(AE313)="","INVALID – verifier missing",IF(AND(AQ313=1,TRIM(W313)=""),"INVALID – batch ID missing",IF(AND(AR313=1,OR(NOT(ISNUMBER(X313)),NOT(ISNUMBER(Y313)))),"INVALID – expected/actual qty missing",IF(IF(AND(TRIM(U313)="Pass",ISNUMBER(AF313)),IF(AF313&lt;&gt;0,"INVALID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recorded/closed","")&lt;&gt;"",IF(AND(TRIM(U313)="Pass",ISNUMBER(AF313)),IF(AF313&lt;&gt;0,"INVALID – qty variance: use Fail or Pass after CA",""),"")&amp;IF(AND(TRIM(U313)="Pass",AB313="Open"),"INVALID – corrective action still open: use Fail, then Pass after CA","")&amp;IF(AND(TRIM(U313)="Pass after CA",OR(TRIM(AA313)="",AB313&lt;&gt;"Closed")),"INVALID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window"),IF(AG313&gt;Flights!$AA$13,"INVALID – completed after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f>
        <v/>
      </c>
      <c r="AI313" s="67">
        <f>IF(OR(AH313="N/A – RULE",AH313="N/A – JUSTIFIED"),0,1)</f>
        <v/>
      </c>
      <c r="AJ313" s="67">
        <f>IF(LEFT(AH313,8)="COMPLETE",1,0)</f>
        <v/>
      </c>
      <c r="AK313" s="67">
        <f>IF(AND(AI313=1,AJ313=0,AsOfUTC&gt;Q313),1,0)</f>
        <v/>
      </c>
      <c r="AL313" s="67">
        <f>IF(AND(AI313=1,OR(TRIM(U313)="Fail",AB313="Open",AND(ISNUMBER(AF313),AF313&lt;&gt;0,TRIM(U313)&lt;&gt;"Pass after CA"))),1,0)</f>
        <v/>
      </c>
      <c r="AM313" s="67">
        <f>IF(LEFT(AH313,7)="INVALID",1,0)</f>
        <v/>
      </c>
      <c r="AN313" s="67">
        <f>IF(AND(N313="Clarification required",AI313=1,AJ313=0),1,0)</f>
        <v/>
      </c>
      <c r="AO313" s="67">
        <f>IF(AK313=1,SUM(AK$5:AK313),"")</f>
        <v/>
      </c>
      <c r="AP313" s="67">
        <f>IF(AL313=1,SUM(AL$5:AL313),"")</f>
        <v/>
      </c>
      <c r="AQ313" s="67" t="n">
        <v>0</v>
      </c>
      <c r="AR313" s="67" t="n">
        <v>0</v>
      </c>
      <c r="AS313" s="67" t="n">
        <v>0</v>
      </c>
      <c r="AT313" s="67" t="n">
        <v>1</v>
      </c>
    </row>
    <row r="314" ht="40" customHeight="1">
      <c r="A314" s="63" t="inlineStr">
        <is>
          <t>F09-UPL-05</t>
        </is>
      </c>
      <c r="B314" s="63" t="inlineStr">
        <is>
          <t>F09</t>
        </is>
      </c>
      <c r="C314" s="63">
        <f>Flights!$F$13</f>
        <v/>
      </c>
      <c r="D314" s="64">
        <f>Flights!$D$13</f>
        <v/>
      </c>
      <c r="E314" s="63">
        <f>Flights!$G$13&amp;"-"&amp;Flights!$H$13</f>
        <v/>
      </c>
      <c r="F314" s="63">
        <f>Flights!$K$13</f>
        <v/>
      </c>
      <c r="G314" s="63" t="inlineStr">
        <is>
          <t>UPLIFT</t>
        </is>
      </c>
      <c r="H314" s="63" t="inlineStr">
        <is>
          <t>Physical uplift</t>
        </is>
      </c>
      <c r="I314" s="63" t="inlineStr">
        <is>
          <t>F&amp;B Linen</t>
        </is>
      </c>
      <c r="J314" s="63" t="inlineStr">
        <is>
          <t>Tray cloth - on board</t>
        </is>
      </c>
      <c r="K314" s="73" t="inlineStr">
        <is>
          <t>Available (ticked in reference)</t>
        </is>
      </c>
      <c r="L314" s="73" t="inlineStr">
        <is>
          <t>STD UPLIFT INFORMATION.xlsx &gt; F&amp;B LINEN!E48</t>
        </is>
      </c>
      <c r="M314" s="73" t="inlineStr">
        <is>
          <t>Not stated in reference</t>
        </is>
      </c>
      <c r="N314" s="73" t="inlineStr">
        <is>
          <t>Required</t>
        </is>
      </c>
      <c r="O314" s="73" t="inlineStr"/>
      <c r="P314" s="63" t="inlineStr">
        <is>
          <t>HAN</t>
        </is>
      </c>
      <c r="Q314" s="65">
        <f>Flights!$AF$13</f>
        <v/>
      </c>
      <c r="R314" s="65">
        <f>Q314+(IF(AND(INDEX(TZ_DSTS,MATCH(P314,TZ_STN,0))&lt;&gt;"",Q314&gt;=INDEX(TZ_DSTS,MATCH(P314,TZ_STN,0)),Q314&lt;INDEX(TZ_DSTE,MATCH(P314,TZ_STN,0))),INDEX(TZ_DST,MATCH(P314,TZ_STN,0)),INDEX(TZ_STD,MATCH(P314,TZ_STN,0))))/24</f>
        <v/>
      </c>
      <c r="S314" s="65">
        <f>Q314-UpliftWindowH/24</f>
        <v/>
      </c>
      <c r="T314" s="66" t="n"/>
      <c r="U314" s="66" t="n"/>
      <c r="V314" s="66" t="n"/>
      <c r="W314" s="67" t="n"/>
      <c r="X314" s="66" t="n"/>
      <c r="Y314" s="66" t="n"/>
      <c r="Z314" s="66" t="n"/>
      <c r="AA314" s="66" t="n"/>
      <c r="AB314" s="66" t="n"/>
      <c r="AC314" s="66" t="n"/>
      <c r="AD314" s="72" t="n"/>
      <c r="AE314" s="66" t="n"/>
      <c r="AF314" s="67">
        <f>IF(AND(ISNUMBER(X314),ISNUMBER(Y314)),Y314-X314,"")</f>
        <v/>
      </c>
      <c r="AG314" s="68">
        <f>IF(ISNUMBER(AD314),AD314-(IF(AND(INDEX(TZ_DSTS,MATCH(P314,TZ_STN,0))&lt;&gt;"",(AD314-INDEX(TZ_STD,MATCH(P314,TZ_STN,0))/24)&gt;=INDEX(TZ_DSTS,MATCH(P314,TZ_STN,0)),(AD314-INDEX(TZ_STD,MATCH(P314,TZ_STN,0))/24)&lt;INDEX(TZ_DSTE,MATCH(P314,TZ_STN,0))),INDEX(TZ_DST,MATCH(P314,TZ_STN,0)),INDEX(TZ_STD,MATCH(P314,TZ_STN,0))))/24,"")</f>
        <v/>
      </c>
      <c r="AH314" s="71">
        <f>IF(N314="N/A – rule","N/A – RULE",IF(TRIM(U314)="N/A",IF(AT314=0,"INVALID – N/A not permitted for this mandatory check",IF(AND(TRIM(AC314)&lt;&gt;"",TRIM(AE314)&lt;&gt;"",TRIM(T314)&lt;&gt;""),"N/A – JUSTIFIED","INVALID – N/A needs justification, PIC and verifier")),IF(OR(TRIM(U314)="Pass",TRIM(U314)="Pass after CA"),IF(NOT(ISNUMBER(AD314)),"INVALID – completion time missing",IF(TRIM(T314)="","INVALID – PIC missing",IF(TRIM(Z314)="","INVALID – evidence missing",IF(TRIM(AE314)="","INVALID – verifier missing",IF(AND(AQ314=1,TRIM(W314)=""),"INVALID – batch ID missing",IF(AND(AR314=1,OR(NOT(ISNUMBER(X314)),NOT(ISNUMBER(Y314)))),"INVALID – expected/actual qty missing",IF(IF(AND(TRIM(U314)="Pass",ISNUMBER(AF314)),IF(AF314&lt;&gt;0,"INVALID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recorded/closed","")&lt;&gt;"",IF(AND(TRIM(U314)="Pass",ISNUMBER(AF314)),IF(AF314&lt;&gt;0,"INVALID – qty variance: use Fail or Pass after CA",""),"")&amp;IF(AND(TRIM(U314)="Pass",AB314="Open"),"INVALID – corrective action still open: use Fail, then Pass after CA","")&amp;IF(AND(TRIM(U314)="Pass after CA",OR(TRIM(AA314)="",AB314&lt;&gt;"Closed")),"INVALID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window"),IF(AG314&gt;Flights!$AA$13,"INVALID – completed after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f>
        <v/>
      </c>
      <c r="AI314" s="67">
        <f>IF(OR(AH314="N/A – RULE",AH314="N/A – JUSTIFIED"),0,1)</f>
        <v/>
      </c>
      <c r="AJ314" s="67">
        <f>IF(LEFT(AH314,8)="COMPLETE",1,0)</f>
        <v/>
      </c>
      <c r="AK314" s="67">
        <f>IF(AND(AI314=1,AJ314=0,AsOfUTC&gt;Q314),1,0)</f>
        <v/>
      </c>
      <c r="AL314" s="67">
        <f>IF(AND(AI314=1,OR(TRIM(U314)="Fail",AB314="Open",AND(ISNUMBER(AF314),AF314&lt;&gt;0,TRIM(U314)&lt;&gt;"Pass after CA"))),1,0)</f>
        <v/>
      </c>
      <c r="AM314" s="67">
        <f>IF(LEFT(AH314,7)="INVALID",1,0)</f>
        <v/>
      </c>
      <c r="AN314" s="67">
        <f>IF(AND(N314="Clarification required",AI314=1,AJ314=0),1,0)</f>
        <v/>
      </c>
      <c r="AO314" s="67">
        <f>IF(AK314=1,SUM(AK$5:AK314),"")</f>
        <v/>
      </c>
      <c r="AP314" s="67">
        <f>IF(AL314=1,SUM(AL$5:AL314),"")</f>
        <v/>
      </c>
      <c r="AQ314" s="67" t="n">
        <v>0</v>
      </c>
      <c r="AR314" s="67" t="n">
        <v>0</v>
      </c>
      <c r="AS314" s="67" t="n">
        <v>0</v>
      </c>
      <c r="AT314" s="67" t="n">
        <v>1</v>
      </c>
    </row>
    <row r="315" ht="40" customHeight="1">
      <c r="A315" s="63" t="inlineStr">
        <is>
          <t>F09-UPL-06</t>
        </is>
      </c>
      <c r="B315" s="63" t="inlineStr">
        <is>
          <t>F09</t>
        </is>
      </c>
      <c r="C315" s="63">
        <f>Flights!$F$13</f>
        <v/>
      </c>
      <c r="D315" s="64">
        <f>Flights!$D$13</f>
        <v/>
      </c>
      <c r="E315" s="63">
        <f>Flights!$G$13&amp;"-"&amp;Flights!$H$13</f>
        <v/>
      </c>
      <c r="F315" s="63">
        <f>Flights!$K$13</f>
        <v/>
      </c>
      <c r="G315" s="63" t="inlineStr">
        <is>
          <t>UPLIFT</t>
        </is>
      </c>
      <c r="H315" s="63" t="inlineStr">
        <is>
          <t>Physical uplift</t>
        </is>
      </c>
      <c r="I315" s="63" t="inlineStr">
        <is>
          <t>F&amp;B Linen</t>
        </is>
      </c>
      <c r="J315" s="63" t="inlineStr">
        <is>
          <t>Napkin - on board</t>
        </is>
      </c>
      <c r="K315" s="73" t="inlineStr">
        <is>
          <t>Available (ticked in reference)</t>
        </is>
      </c>
      <c r="L315" s="73" t="inlineStr">
        <is>
          <t>STD UPLIFT INFORMATION.xlsx &gt; F&amp;B LINEN!F48</t>
        </is>
      </c>
      <c r="M315" s="73" t="inlineStr">
        <is>
          <t>Not stated in reference</t>
        </is>
      </c>
      <c r="N315" s="73" t="inlineStr">
        <is>
          <t>Required</t>
        </is>
      </c>
      <c r="O315" s="73" t="inlineStr"/>
      <c r="P315" s="63" t="inlineStr">
        <is>
          <t>HAN</t>
        </is>
      </c>
      <c r="Q315" s="65">
        <f>Flights!$AF$13</f>
        <v/>
      </c>
      <c r="R315" s="65">
        <f>Q315+(IF(AND(INDEX(TZ_DSTS,MATCH(P315,TZ_STN,0))&lt;&gt;"",Q315&gt;=INDEX(TZ_DSTS,MATCH(P315,TZ_STN,0)),Q315&lt;INDEX(TZ_DSTE,MATCH(P315,TZ_STN,0))),INDEX(TZ_DST,MATCH(P315,TZ_STN,0)),INDEX(TZ_STD,MATCH(P315,TZ_STN,0))))/24</f>
        <v/>
      </c>
      <c r="S315" s="65">
        <f>Q315-UpliftWindowH/24</f>
        <v/>
      </c>
      <c r="T315" s="66" t="n"/>
      <c r="U315" s="66" t="n"/>
      <c r="V315" s="66" t="n"/>
      <c r="W315" s="67" t="n"/>
      <c r="X315" s="66" t="n"/>
      <c r="Y315" s="66" t="n"/>
      <c r="Z315" s="66" t="n"/>
      <c r="AA315" s="66" t="n"/>
      <c r="AB315" s="66" t="n"/>
      <c r="AC315" s="66" t="n"/>
      <c r="AD315" s="72" t="n"/>
      <c r="AE315" s="66" t="n"/>
      <c r="AF315" s="67">
        <f>IF(AND(ISNUMBER(X315),ISNUMBER(Y315)),Y315-X315,"")</f>
        <v/>
      </c>
      <c r="AG315" s="68">
        <f>IF(ISNUMBER(AD315),AD315-(IF(AND(INDEX(TZ_DSTS,MATCH(P315,TZ_STN,0))&lt;&gt;"",(AD315-INDEX(TZ_STD,MATCH(P315,TZ_STN,0))/24)&gt;=INDEX(TZ_DSTS,MATCH(P315,TZ_STN,0)),(AD315-INDEX(TZ_STD,MATCH(P315,TZ_STN,0))/24)&lt;INDEX(TZ_DSTE,MATCH(P315,TZ_STN,0))),INDEX(TZ_DST,MATCH(P315,TZ_STN,0)),INDEX(TZ_STD,MATCH(P315,TZ_STN,0))))/24,"")</f>
        <v/>
      </c>
      <c r="AH315" s="71">
        <f>IF(N315="N/A – rule","N/A – RULE",IF(TRIM(U315)="N/A",IF(AT315=0,"INVALID – N/A not permitted for this mandatory check",IF(AND(TRIM(AC315)&lt;&gt;"",TRIM(AE315)&lt;&gt;"",TRIM(T315)&lt;&gt;""),"N/A – JUSTIFIED","INVALID – N/A needs justification, PIC and verifier")),IF(OR(TRIM(U315)="Pass",TRIM(U315)="Pass after CA"),IF(NOT(ISNUMBER(AD315)),"INVALID – completion time missing",IF(TRIM(T315)="","INVALID – PIC missing",IF(TRIM(Z315)="","INVALID – evidence missing",IF(TRIM(AE315)="","INVALID – verifier missing",IF(AND(AQ315=1,TRIM(W315)=""),"INVALID – batch ID missing",IF(AND(AR315=1,OR(NOT(ISNUMBER(X315)),NOT(ISNUMBER(Y315)))),"INVALID – expected/actual qty missing",IF(IF(AND(TRIM(U315)="Pass",ISNUMBER(AF315)),IF(AF315&lt;&gt;0,"INVALID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recorded/closed","")&lt;&gt;"",IF(AND(TRIM(U315)="Pass",ISNUMBER(AF315)),IF(AF315&lt;&gt;0,"INVALID – qty variance: use Fail or Pass after CA",""),"")&amp;IF(AND(TRIM(U315)="Pass",AB315="Open"),"INVALID – corrective action still open: use Fail, then Pass after CA","")&amp;IF(AND(TRIM(U315)="Pass after CA",OR(TRIM(AA315)="",AB315&lt;&gt;"Closed")),"INVALID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window"),IF(AG315&gt;Flights!$AA$13,"INVALID – completed after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f>
        <v/>
      </c>
      <c r="AI315" s="67">
        <f>IF(OR(AH315="N/A – RULE",AH315="N/A – JUSTIFIED"),0,1)</f>
        <v/>
      </c>
      <c r="AJ315" s="67">
        <f>IF(LEFT(AH315,8)="COMPLETE",1,0)</f>
        <v/>
      </c>
      <c r="AK315" s="67">
        <f>IF(AND(AI315=1,AJ315=0,AsOfUTC&gt;Q315),1,0)</f>
        <v/>
      </c>
      <c r="AL315" s="67">
        <f>IF(AND(AI315=1,OR(TRIM(U315)="Fail",AB315="Open",AND(ISNUMBER(AF315),AF315&lt;&gt;0,TRIM(U315)&lt;&gt;"Pass after CA"))),1,0)</f>
        <v/>
      </c>
      <c r="AM315" s="67">
        <f>IF(LEFT(AH315,7)="INVALID",1,0)</f>
        <v/>
      </c>
      <c r="AN315" s="67">
        <f>IF(AND(N315="Clarification required",AI315=1,AJ315=0),1,0)</f>
        <v/>
      </c>
      <c r="AO315" s="67">
        <f>IF(AK315=1,SUM(AK$5:AK315),"")</f>
        <v/>
      </c>
      <c r="AP315" s="67">
        <f>IF(AL315=1,SUM(AL$5:AL315),"")</f>
        <v/>
      </c>
      <c r="AQ315" s="67" t="n">
        <v>0</v>
      </c>
      <c r="AR315" s="67" t="n">
        <v>0</v>
      </c>
      <c r="AS315" s="67" t="n">
        <v>0</v>
      </c>
      <c r="AT315" s="67" t="n">
        <v>1</v>
      </c>
    </row>
    <row r="316" ht="79" customHeight="1">
      <c r="A316" s="63" t="inlineStr">
        <is>
          <t>F09-UPL-07</t>
        </is>
      </c>
      <c r="B316" s="63" t="inlineStr">
        <is>
          <t>F09</t>
        </is>
      </c>
      <c r="C316" s="63">
        <f>Flights!$F$13</f>
        <v/>
      </c>
      <c r="D316" s="64">
        <f>Flights!$D$13</f>
        <v/>
      </c>
      <c r="E316" s="63">
        <f>Flights!$G$13&amp;"-"&amp;Flights!$H$13</f>
        <v/>
      </c>
      <c r="F316" s="63">
        <f>Flights!$K$13</f>
        <v/>
      </c>
      <c r="G316" s="63" t="inlineStr">
        <is>
          <t>UPLIFT</t>
        </is>
      </c>
      <c r="H316" s="63" t="inlineStr">
        <is>
          <t>Physical uplift</t>
        </is>
      </c>
      <c r="I316" s="63" t="inlineStr">
        <is>
          <t>F&amp;B Linen</t>
        </is>
      </c>
      <c r="J316" s="63" t="inlineStr">
        <is>
          <t>Table cloth - on board</t>
        </is>
      </c>
      <c r="K316" s="73" t="inlineStr">
        <is>
          <t>Available (ticked in reference)</t>
        </is>
      </c>
      <c r="L316" s="73" t="inlineStr">
        <is>
          <t>STD UPLIFT INFORMATION.xlsx &gt; F&amp;B LINEN!G48</t>
        </is>
      </c>
      <c r="M316" s="73" t="inlineStr">
        <is>
          <t>Not stated in reference</t>
        </is>
      </c>
      <c r="N316" s="73" t="inlineStr">
        <is>
          <t>Clarification required</t>
        </is>
      </c>
      <c r="O316" s="73" t="inlineStr">
        <is>
          <t>Reference contradicts itself: matrix shows _/ for this sector but note F&amp;B LINEN!B78:C78 says table cloth is 'Not Applicable for Domestic/Asean &amp; Regional' (ASEAN). Confirm before loading; if not carried, mark N/A with the confirmation as justification.</t>
        </is>
      </c>
      <c r="P316" s="63" t="inlineStr">
        <is>
          <t>HAN</t>
        </is>
      </c>
      <c r="Q316" s="65">
        <f>Flights!$AF$13</f>
        <v/>
      </c>
      <c r="R316" s="65">
        <f>Q316+(IF(AND(INDEX(TZ_DSTS,MATCH(P316,TZ_STN,0))&lt;&gt;"",Q316&gt;=INDEX(TZ_DSTS,MATCH(P316,TZ_STN,0)),Q316&lt;INDEX(TZ_DSTE,MATCH(P316,TZ_STN,0))),INDEX(TZ_DST,MATCH(P316,TZ_STN,0)),INDEX(TZ_STD,MATCH(P316,TZ_STN,0))))/24</f>
        <v/>
      </c>
      <c r="S316" s="65">
        <f>Q316-UpliftWindowH/24</f>
        <v/>
      </c>
      <c r="T316" s="66" t="n"/>
      <c r="U316" s="66" t="n"/>
      <c r="V316" s="66" t="n"/>
      <c r="W316" s="67" t="n"/>
      <c r="X316" s="66" t="n"/>
      <c r="Y316" s="66" t="n"/>
      <c r="Z316" s="66" t="n"/>
      <c r="AA316" s="66" t="n"/>
      <c r="AB316" s="66" t="n"/>
      <c r="AC316" s="66" t="n"/>
      <c r="AD316" s="72" t="n"/>
      <c r="AE316" s="66" t="n"/>
      <c r="AF316" s="67">
        <f>IF(AND(ISNUMBER(X316),ISNUMBER(Y316)),Y316-X316,"")</f>
        <v/>
      </c>
      <c r="AG316" s="68">
        <f>IF(ISNUMBER(AD316),AD316-(IF(AND(INDEX(TZ_DSTS,MATCH(P316,TZ_STN,0))&lt;&gt;"",(AD316-INDEX(TZ_STD,MATCH(P316,TZ_STN,0))/24)&gt;=INDEX(TZ_DSTS,MATCH(P316,TZ_STN,0)),(AD316-INDEX(TZ_STD,MATCH(P316,TZ_STN,0))/24)&lt;INDEX(TZ_DSTE,MATCH(P316,TZ_STN,0))),INDEX(TZ_DST,MATCH(P316,TZ_STN,0)),INDEX(TZ_STD,MATCH(P316,TZ_STN,0))))/24,"")</f>
        <v/>
      </c>
      <c r="AH316" s="71">
        <f>IF(N316="N/A – rule","N/A – RULE",IF(TRIM(U316)="N/A",IF(AT316=0,"INVALID – N/A not permitted for this mandatory check",IF(AND(TRIM(AC316)&lt;&gt;"",TRIM(AE316)&lt;&gt;"",TRIM(T316)&lt;&gt;""),"N/A – JUSTIFIED","INVALID – N/A needs justification, PIC and verifier")),IF(OR(TRIM(U316)="Pass",TRIM(U316)="Pass after CA"),IF(NOT(ISNUMBER(AD316)),"INVALID – completion time missing",IF(TRIM(T316)="","INVALID – PIC missing",IF(TRIM(Z316)="","INVALID – evidence missing",IF(TRIM(AE316)="","INVALID – verifier missing",IF(AND(AQ316=1,TRIM(W316)=""),"INVALID – batch ID missing",IF(AND(AR316=1,OR(NOT(ISNUMBER(X316)),NOT(ISNUMBER(Y316)))),"INVALID – expected/actual qty missing",IF(IF(AND(TRIM(U316)="Pass",ISNUMBER(AF316)),IF(AF316&lt;&gt;0,"INVALID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recorded/closed","")&lt;&gt;"",IF(AND(TRIM(U316)="Pass",ISNUMBER(AF316)),IF(AF316&lt;&gt;0,"INVALID – qty variance: use Fail or Pass after CA",""),"")&amp;IF(AND(TRIM(U316)="Pass",AB316="Open"),"INVALID – corrective action still open: use Fail, then Pass after CA","")&amp;IF(AND(TRIM(U316)="Pass after CA",OR(TRIM(AA316)="",AB316&lt;&gt;"Closed")),"INVALID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window"),IF(AG316&gt;Flights!$AA$13,"INVALID – completed after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f>
        <v/>
      </c>
      <c r="AI316" s="67">
        <f>IF(OR(AH316="N/A – RULE",AH316="N/A – JUSTIFIED"),0,1)</f>
        <v/>
      </c>
      <c r="AJ316" s="67">
        <f>IF(LEFT(AH316,8)="COMPLETE",1,0)</f>
        <v/>
      </c>
      <c r="AK316" s="67">
        <f>IF(AND(AI316=1,AJ316=0,AsOfUTC&gt;Q316),1,0)</f>
        <v/>
      </c>
      <c r="AL316" s="67">
        <f>IF(AND(AI316=1,OR(TRIM(U316)="Fail",AB316="Open",AND(ISNUMBER(AF316),AF316&lt;&gt;0,TRIM(U316)&lt;&gt;"Pass after CA"))),1,0)</f>
        <v/>
      </c>
      <c r="AM316" s="67">
        <f>IF(LEFT(AH316,7)="INVALID",1,0)</f>
        <v/>
      </c>
      <c r="AN316" s="67">
        <f>IF(AND(N316="Clarification required",AI316=1,AJ316=0),1,0)</f>
        <v/>
      </c>
      <c r="AO316" s="67">
        <f>IF(AK316=1,SUM(AK$5:AK316),"")</f>
        <v/>
      </c>
      <c r="AP316" s="67">
        <f>IF(AL316=1,SUM(AL$5:AL316),"")</f>
        <v/>
      </c>
      <c r="AQ316" s="67" t="n">
        <v>0</v>
      </c>
      <c r="AR316" s="67" t="n">
        <v>0</v>
      </c>
      <c r="AS316" s="67" t="n">
        <v>0</v>
      </c>
      <c r="AT316" s="67" t="n">
        <v>1</v>
      </c>
    </row>
    <row r="317" ht="79" customHeight="1">
      <c r="A317" s="63" t="inlineStr">
        <is>
          <t>F09-UPL-08</t>
        </is>
      </c>
      <c r="B317" s="63" t="inlineStr">
        <is>
          <t>F09</t>
        </is>
      </c>
      <c r="C317" s="63">
        <f>Flights!$F$13</f>
        <v/>
      </c>
      <c r="D317" s="64">
        <f>Flights!$D$13</f>
        <v/>
      </c>
      <c r="E317" s="63">
        <f>Flights!$G$13&amp;"-"&amp;Flights!$H$13</f>
        <v/>
      </c>
      <c r="F317" s="63">
        <f>Flights!$K$13</f>
        <v/>
      </c>
      <c r="G317" s="63" t="inlineStr">
        <is>
          <t>UPLIFT</t>
        </is>
      </c>
      <c r="H317" s="63" t="inlineStr">
        <is>
          <t>Physical uplift</t>
        </is>
      </c>
      <c r="I317" s="63" t="inlineStr">
        <is>
          <t>F&amp;B Linen</t>
        </is>
      </c>
      <c r="J317" s="63" t="inlineStr">
        <is>
          <t>Bread linen (using table cloth) - on board</t>
        </is>
      </c>
      <c r="K317" s="73" t="inlineStr">
        <is>
          <t>Available (ticked in reference)</t>
        </is>
      </c>
      <c r="L317" s="73" t="inlineStr">
        <is>
          <t>STD UPLIFT INFORMATION.xlsx &gt; F&amp;B LINEN!H48</t>
        </is>
      </c>
      <c r="M317" s="73" t="inlineStr">
        <is>
          <t>Not stated in reference</t>
        </is>
      </c>
      <c r="N317" s="73" t="inlineStr">
        <is>
          <t>Clarification required</t>
        </is>
      </c>
      <c r="O317" s="73" t="inlineStr">
        <is>
          <t>Reference contradicts itself: matrix shows _/ for this sector but note F&amp;B LINEN!B78:C78 says table cloth is 'Not Applicable for Domestic/Asean &amp; Regional' (ASEAN). Confirm before loading; if not carried, mark N/A with the confirmation as justification.</t>
        </is>
      </c>
      <c r="P317" s="63" t="inlineStr">
        <is>
          <t>HAN</t>
        </is>
      </c>
      <c r="Q317" s="65">
        <f>Flights!$AF$13</f>
        <v/>
      </c>
      <c r="R317" s="65">
        <f>Q317+(IF(AND(INDEX(TZ_DSTS,MATCH(P317,TZ_STN,0))&lt;&gt;"",Q317&gt;=INDEX(TZ_DSTS,MATCH(P317,TZ_STN,0)),Q317&lt;INDEX(TZ_DSTE,MATCH(P317,TZ_STN,0))),INDEX(TZ_DST,MATCH(P317,TZ_STN,0)),INDEX(TZ_STD,MATCH(P317,TZ_STN,0))))/24</f>
        <v/>
      </c>
      <c r="S317" s="65">
        <f>Q317-UpliftWindowH/24</f>
        <v/>
      </c>
      <c r="T317" s="66" t="n"/>
      <c r="U317" s="66" t="n"/>
      <c r="V317" s="66" t="n"/>
      <c r="W317" s="67" t="n"/>
      <c r="X317" s="66" t="n"/>
      <c r="Y317" s="66" t="n"/>
      <c r="Z317" s="66" t="n"/>
      <c r="AA317" s="66" t="n"/>
      <c r="AB317" s="66" t="n"/>
      <c r="AC317" s="66" t="n"/>
      <c r="AD317" s="72" t="n"/>
      <c r="AE317" s="66" t="n"/>
      <c r="AF317" s="67">
        <f>IF(AND(ISNUMBER(X317),ISNUMBER(Y317)),Y317-X317,"")</f>
        <v/>
      </c>
      <c r="AG317" s="68">
        <f>IF(ISNUMBER(AD317),AD317-(IF(AND(INDEX(TZ_DSTS,MATCH(P317,TZ_STN,0))&lt;&gt;"",(AD317-INDEX(TZ_STD,MATCH(P317,TZ_STN,0))/24)&gt;=INDEX(TZ_DSTS,MATCH(P317,TZ_STN,0)),(AD317-INDEX(TZ_STD,MATCH(P317,TZ_STN,0))/24)&lt;INDEX(TZ_DSTE,MATCH(P317,TZ_STN,0))),INDEX(TZ_DST,MATCH(P317,TZ_STN,0)),INDEX(TZ_STD,MATCH(P317,TZ_STN,0))))/24,"")</f>
        <v/>
      </c>
      <c r="AH317" s="71">
        <f>IF(N317="N/A – rule","N/A – RULE",IF(TRIM(U317)="N/A",IF(AT317=0,"INVALID – N/A not permitted for this mandatory check",IF(AND(TRIM(AC317)&lt;&gt;"",TRIM(AE317)&lt;&gt;"",TRIM(T317)&lt;&gt;""),"N/A – JUSTIFIED","INVALID – N/A needs justification, PIC and verifier")),IF(OR(TRIM(U317)="Pass",TRIM(U317)="Pass after CA"),IF(NOT(ISNUMBER(AD317)),"INVALID – completion time missing",IF(TRIM(T317)="","INVALID – PIC missing",IF(TRIM(Z317)="","INVALID – evidence missing",IF(TRIM(AE317)="","INVALID – verifier missing",IF(AND(AQ317=1,TRIM(W317)=""),"INVALID – batch ID missing",IF(AND(AR317=1,OR(NOT(ISNUMBER(X317)),NOT(ISNUMBER(Y317)))),"INVALID – expected/actual qty missing",IF(IF(AND(TRIM(U317)="Pass",ISNUMBER(AF317)),IF(AF317&lt;&gt;0,"INVALID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recorded/closed","")&lt;&gt;"",IF(AND(TRIM(U317)="Pass",ISNUMBER(AF317)),IF(AF317&lt;&gt;0,"INVALID – qty variance: use Fail or Pass after CA",""),"")&amp;IF(AND(TRIM(U317)="Pass",AB317="Open"),"INVALID – corrective action still open: use Fail, then Pass after CA","")&amp;IF(AND(TRIM(U317)="Pass after CA",OR(TRIM(AA317)="",AB317&lt;&gt;"Closed")),"INVALID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window"),IF(AG317&gt;Flights!$AA$13,"INVALID – completed after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f>
        <v/>
      </c>
      <c r="AI317" s="67">
        <f>IF(OR(AH317="N/A – RULE",AH317="N/A – JUSTIFIED"),0,1)</f>
        <v/>
      </c>
      <c r="AJ317" s="67">
        <f>IF(LEFT(AH317,8)="COMPLETE",1,0)</f>
        <v/>
      </c>
      <c r="AK317" s="67">
        <f>IF(AND(AI317=1,AJ317=0,AsOfUTC&gt;Q317),1,0)</f>
        <v/>
      </c>
      <c r="AL317" s="67">
        <f>IF(AND(AI317=1,OR(TRIM(U317)="Fail",AB317="Open",AND(ISNUMBER(AF317),AF317&lt;&gt;0,TRIM(U317)&lt;&gt;"Pass after CA"))),1,0)</f>
        <v/>
      </c>
      <c r="AM317" s="67">
        <f>IF(LEFT(AH317,7)="INVALID",1,0)</f>
        <v/>
      </c>
      <c r="AN317" s="67">
        <f>IF(AND(N317="Clarification required",AI317=1,AJ317=0),1,0)</f>
        <v/>
      </c>
      <c r="AO317" s="67">
        <f>IF(AK317=1,SUM(AK$5:AK317),"")</f>
        <v/>
      </c>
      <c r="AP317" s="67">
        <f>IF(AL317=1,SUM(AL$5:AL317),"")</f>
        <v/>
      </c>
      <c r="AQ317" s="67" t="n">
        <v>0</v>
      </c>
      <c r="AR317" s="67" t="n">
        <v>0</v>
      </c>
      <c r="AS317" s="67" t="n">
        <v>0</v>
      </c>
      <c r="AT317" s="67" t="n">
        <v>1</v>
      </c>
    </row>
    <row r="318" ht="40" customHeight="1">
      <c r="A318" s="63" t="inlineStr">
        <is>
          <t>F09-UPL-09</t>
        </is>
      </c>
      <c r="B318" s="63" t="inlineStr">
        <is>
          <t>F09</t>
        </is>
      </c>
      <c r="C318" s="63">
        <f>Flights!$F$13</f>
        <v/>
      </c>
      <c r="D318" s="64">
        <f>Flights!$D$13</f>
        <v/>
      </c>
      <c r="E318" s="63">
        <f>Flights!$G$13&amp;"-"&amp;Flights!$H$13</f>
        <v/>
      </c>
      <c r="F318" s="63">
        <f>Flights!$K$13</f>
        <v/>
      </c>
      <c r="G318" s="63" t="inlineStr">
        <is>
          <t>UPLIFT</t>
        </is>
      </c>
      <c r="H318" s="63" t="inlineStr">
        <is>
          <t>Physical uplift</t>
        </is>
      </c>
      <c r="I318" s="63" t="inlineStr">
        <is>
          <t>F&amp;B Linen</t>
        </is>
      </c>
      <c r="J318" s="63" t="inlineStr">
        <is>
          <t>Trolley cloth - on board</t>
        </is>
      </c>
      <c r="K318" s="73" t="inlineStr">
        <is>
          <t>Narrow body: Top only</t>
        </is>
      </c>
      <c r="L318" s="73" t="inlineStr">
        <is>
          <t>STD UPLIFT INFORMATION.xlsx &gt; F&amp;B LINEN!I48</t>
        </is>
      </c>
      <c r="M318" s="73" t="inlineStr">
        <is>
          <t>Not stated in reference</t>
        </is>
      </c>
      <c r="N318" s="73" t="inlineStr">
        <is>
          <t>Required</t>
        </is>
      </c>
      <c r="O318" s="73" t="inlineStr">
        <is>
          <t>Per note F&amp;B LINEN!B79:C80.</t>
        </is>
      </c>
      <c r="P318" s="63" t="inlineStr">
        <is>
          <t>HAN</t>
        </is>
      </c>
      <c r="Q318" s="65">
        <f>Flights!$AF$13</f>
        <v/>
      </c>
      <c r="R318" s="65">
        <f>Q318+(IF(AND(INDEX(TZ_DSTS,MATCH(P318,TZ_STN,0))&lt;&gt;"",Q318&gt;=INDEX(TZ_DSTS,MATCH(P318,TZ_STN,0)),Q318&lt;INDEX(TZ_DSTE,MATCH(P318,TZ_STN,0))),INDEX(TZ_DST,MATCH(P318,TZ_STN,0)),INDEX(TZ_STD,MATCH(P318,TZ_STN,0))))/24</f>
        <v/>
      </c>
      <c r="S318" s="65">
        <f>Q318-UpliftWindowH/24</f>
        <v/>
      </c>
      <c r="T318" s="66" t="n"/>
      <c r="U318" s="66" t="n"/>
      <c r="V318" s="66" t="n"/>
      <c r="W318" s="67" t="n"/>
      <c r="X318" s="66" t="n"/>
      <c r="Y318" s="66" t="n"/>
      <c r="Z318" s="66" t="n"/>
      <c r="AA318" s="66" t="n"/>
      <c r="AB318" s="66" t="n"/>
      <c r="AC318" s="66" t="n"/>
      <c r="AD318" s="72" t="n"/>
      <c r="AE318" s="66" t="n"/>
      <c r="AF318" s="67">
        <f>IF(AND(ISNUMBER(X318),ISNUMBER(Y318)),Y318-X318,"")</f>
        <v/>
      </c>
      <c r="AG318" s="68">
        <f>IF(ISNUMBER(AD318),AD318-(IF(AND(INDEX(TZ_DSTS,MATCH(P318,TZ_STN,0))&lt;&gt;"",(AD318-INDEX(TZ_STD,MATCH(P318,TZ_STN,0))/24)&gt;=INDEX(TZ_DSTS,MATCH(P318,TZ_STN,0)),(AD318-INDEX(TZ_STD,MATCH(P318,TZ_STN,0))/24)&lt;INDEX(TZ_DSTE,MATCH(P318,TZ_STN,0))),INDEX(TZ_DST,MATCH(P318,TZ_STN,0)),INDEX(TZ_STD,MATCH(P318,TZ_STN,0))))/24,"")</f>
        <v/>
      </c>
      <c r="AH318" s="71">
        <f>IF(N318="N/A – rule","N/A – RULE",IF(TRIM(U318)="N/A",IF(AT318=0,"INVALID – N/A not permitted for this mandatory check",IF(AND(TRIM(AC318)&lt;&gt;"",TRIM(AE318)&lt;&gt;"",TRIM(T318)&lt;&gt;""),"N/A – JUSTIFIED","INVALID – N/A needs justification, PIC and verifier")),IF(OR(TRIM(U318)="Pass",TRIM(U318)="Pass after CA"),IF(NOT(ISNUMBER(AD318)),"INVALID – completion time missing",IF(TRIM(T318)="","INVALID – PIC missing",IF(TRIM(Z318)="","INVALID – evidence missing",IF(TRIM(AE318)="","INVALID – verifier missing",IF(AND(AQ318=1,TRIM(W318)=""),"INVALID – batch ID missing",IF(AND(AR318=1,OR(NOT(ISNUMBER(X318)),NOT(ISNUMBER(Y318)))),"INVALID – expected/actual qty missing",IF(IF(AND(TRIM(U318)="Pass",ISNUMBER(AF318)),IF(AF318&lt;&gt;0,"INVALID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recorded/closed","")&lt;&gt;"",IF(AND(TRIM(U318)="Pass",ISNUMBER(AF318)),IF(AF318&lt;&gt;0,"INVALID – qty variance: use Fail or Pass after CA",""),"")&amp;IF(AND(TRIM(U318)="Pass",AB318="Open"),"INVALID – corrective action still open: use Fail, then Pass after CA","")&amp;IF(AND(TRIM(U318)="Pass after CA",OR(TRIM(AA318)="",AB318&lt;&gt;"Closed")),"INVALID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window"),IF(AG318&gt;Flights!$AA$13,"INVALID – completed after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f>
        <v/>
      </c>
      <c r="AI318" s="67">
        <f>IF(OR(AH318="N/A – RULE",AH318="N/A – JUSTIFIED"),0,1)</f>
        <v/>
      </c>
      <c r="AJ318" s="67">
        <f>IF(LEFT(AH318,8)="COMPLETE",1,0)</f>
        <v/>
      </c>
      <c r="AK318" s="67">
        <f>IF(AND(AI318=1,AJ318=0,AsOfUTC&gt;Q318),1,0)</f>
        <v/>
      </c>
      <c r="AL318" s="67">
        <f>IF(AND(AI318=1,OR(TRIM(U318)="Fail",AB318="Open",AND(ISNUMBER(AF318),AF318&lt;&gt;0,TRIM(U318)&lt;&gt;"Pass after CA"))),1,0)</f>
        <v/>
      </c>
      <c r="AM318" s="67">
        <f>IF(LEFT(AH318,7)="INVALID",1,0)</f>
        <v/>
      </c>
      <c r="AN318" s="67">
        <f>IF(AND(N318="Clarification required",AI318=1,AJ318=0),1,0)</f>
        <v/>
      </c>
      <c r="AO318" s="67">
        <f>IF(AK318=1,SUM(AK$5:AK318),"")</f>
        <v/>
      </c>
      <c r="AP318" s="67">
        <f>IF(AL318=1,SUM(AL$5:AL318),"")</f>
        <v/>
      </c>
      <c r="AQ318" s="67" t="n">
        <v>0</v>
      </c>
      <c r="AR318" s="67" t="n">
        <v>0</v>
      </c>
      <c r="AS318" s="67" t="n">
        <v>0</v>
      </c>
      <c r="AT318" s="67" t="n">
        <v>1</v>
      </c>
    </row>
    <row r="319" ht="40" customHeight="1">
      <c r="A319" s="63" t="inlineStr">
        <is>
          <t>F09-UPL-10</t>
        </is>
      </c>
      <c r="B319" s="63" t="inlineStr">
        <is>
          <t>F09</t>
        </is>
      </c>
      <c r="C319" s="63">
        <f>Flights!$F$13</f>
        <v/>
      </c>
      <c r="D319" s="64">
        <f>Flights!$D$13</f>
        <v/>
      </c>
      <c r="E319" s="63">
        <f>Flights!$G$13&amp;"-"&amp;Flights!$H$13</f>
        <v/>
      </c>
      <c r="F319" s="63">
        <f>Flights!$K$13</f>
        <v/>
      </c>
      <c r="G319" s="63" t="inlineStr">
        <is>
          <t>UPLIFT</t>
        </is>
      </c>
      <c r="H319" s="63" t="inlineStr">
        <is>
          <t>Physical uplift</t>
        </is>
      </c>
      <c r="I319" s="63" t="inlineStr">
        <is>
          <t>F&amp;B Linen</t>
        </is>
      </c>
      <c r="J319" s="63" t="inlineStr">
        <is>
          <t>Linen bag - on board</t>
        </is>
      </c>
      <c r="K319" s="73" t="inlineStr">
        <is>
          <t>Available (ticked in reference)</t>
        </is>
      </c>
      <c r="L319" s="73" t="inlineStr">
        <is>
          <t>STD UPLIFT INFORMATION.xlsx &gt; F&amp;B LINEN!J48</t>
        </is>
      </c>
      <c r="M319" s="73" t="inlineStr">
        <is>
          <t>Not stated in reference</t>
        </is>
      </c>
      <c r="N319" s="73" t="inlineStr">
        <is>
          <t>Required</t>
        </is>
      </c>
      <c r="O319" s="73" t="inlineStr"/>
      <c r="P319" s="63" t="inlineStr">
        <is>
          <t>HAN</t>
        </is>
      </c>
      <c r="Q319" s="65">
        <f>Flights!$AF$13</f>
        <v/>
      </c>
      <c r="R319" s="65">
        <f>Q319+(IF(AND(INDEX(TZ_DSTS,MATCH(P319,TZ_STN,0))&lt;&gt;"",Q319&gt;=INDEX(TZ_DSTS,MATCH(P319,TZ_STN,0)),Q319&lt;INDEX(TZ_DSTE,MATCH(P319,TZ_STN,0))),INDEX(TZ_DST,MATCH(P319,TZ_STN,0)),INDEX(TZ_STD,MATCH(P319,TZ_STN,0))))/24</f>
        <v/>
      </c>
      <c r="S319" s="65">
        <f>Q319-UpliftWindowH/24</f>
        <v/>
      </c>
      <c r="T319" s="66" t="n"/>
      <c r="U319" s="66" t="n"/>
      <c r="V319" s="66" t="n"/>
      <c r="W319" s="67" t="n"/>
      <c r="X319" s="66" t="n"/>
      <c r="Y319" s="66" t="n"/>
      <c r="Z319" s="66" t="n"/>
      <c r="AA319" s="66" t="n"/>
      <c r="AB319" s="66" t="n"/>
      <c r="AC319" s="66" t="n"/>
      <c r="AD319" s="72" t="n"/>
      <c r="AE319" s="66" t="n"/>
      <c r="AF319" s="67">
        <f>IF(AND(ISNUMBER(X319),ISNUMBER(Y319)),Y319-X319,"")</f>
        <v/>
      </c>
      <c r="AG319" s="68">
        <f>IF(ISNUMBER(AD319),AD319-(IF(AND(INDEX(TZ_DSTS,MATCH(P319,TZ_STN,0))&lt;&gt;"",(AD319-INDEX(TZ_STD,MATCH(P319,TZ_STN,0))/24)&gt;=INDEX(TZ_DSTS,MATCH(P319,TZ_STN,0)),(AD319-INDEX(TZ_STD,MATCH(P319,TZ_STN,0))/24)&lt;INDEX(TZ_DSTE,MATCH(P319,TZ_STN,0))),INDEX(TZ_DST,MATCH(P319,TZ_STN,0)),INDEX(TZ_STD,MATCH(P319,TZ_STN,0))))/24,"")</f>
        <v/>
      </c>
      <c r="AH319" s="71">
        <f>IF(N319="N/A – rule","N/A – RULE",IF(TRIM(U319)="N/A",IF(AT319=0,"INVALID – N/A not permitted for this mandatory check",IF(AND(TRIM(AC319)&lt;&gt;"",TRIM(AE319)&lt;&gt;"",TRIM(T319)&lt;&gt;""),"N/A – JUSTIFIED","INVALID – N/A needs justification, PIC and verifier")),IF(OR(TRIM(U319)="Pass",TRIM(U319)="Pass after CA"),IF(NOT(ISNUMBER(AD319)),"INVALID – completion time missing",IF(TRIM(T319)="","INVALID – PIC missing",IF(TRIM(Z319)="","INVALID – evidence missing",IF(TRIM(AE319)="","INVALID – verifier missing",IF(AND(AQ319=1,TRIM(W319)=""),"INVALID – batch ID missing",IF(AND(AR319=1,OR(NOT(ISNUMBER(X319)),NOT(ISNUMBER(Y319)))),"INVALID – expected/actual qty missing",IF(IF(AND(TRIM(U319)="Pass",ISNUMBER(AF319)),IF(AF319&lt;&gt;0,"INVALID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recorded/closed","")&lt;&gt;"",IF(AND(TRIM(U319)="Pass",ISNUMBER(AF319)),IF(AF319&lt;&gt;0,"INVALID – qty variance: use Fail or Pass after CA",""),"")&amp;IF(AND(TRIM(U319)="Pass",AB319="Open"),"INVALID – corrective action still open: use Fail, then Pass after CA","")&amp;IF(AND(TRIM(U319)="Pass after CA",OR(TRIM(AA319)="",AB319&lt;&gt;"Closed")),"INVALID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window"),IF(AG319&gt;Flights!$AA$13,"INVALID – completed after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f>
        <v/>
      </c>
      <c r="AI319" s="67">
        <f>IF(OR(AH319="N/A – RULE",AH319="N/A – JUSTIFIED"),0,1)</f>
        <v/>
      </c>
      <c r="AJ319" s="67">
        <f>IF(LEFT(AH319,8)="COMPLETE",1,0)</f>
        <v/>
      </c>
      <c r="AK319" s="67">
        <f>IF(AND(AI319=1,AJ319=0,AsOfUTC&gt;Q319),1,0)</f>
        <v/>
      </c>
      <c r="AL319" s="67">
        <f>IF(AND(AI319=1,OR(TRIM(U319)="Fail",AB319="Open",AND(ISNUMBER(AF319),AF319&lt;&gt;0,TRIM(U319)&lt;&gt;"Pass after CA"))),1,0)</f>
        <v/>
      </c>
      <c r="AM319" s="67">
        <f>IF(LEFT(AH319,7)="INVALID",1,0)</f>
        <v/>
      </c>
      <c r="AN319" s="67">
        <f>IF(AND(N319="Clarification required",AI319=1,AJ319=0),1,0)</f>
        <v/>
      </c>
      <c r="AO319" s="67">
        <f>IF(AK319=1,SUM(AK$5:AK319),"")</f>
        <v/>
      </c>
      <c r="AP319" s="67">
        <f>IF(AL319=1,SUM(AL$5:AL319),"")</f>
        <v/>
      </c>
      <c r="AQ319" s="67" t="n">
        <v>0</v>
      </c>
      <c r="AR319" s="67" t="n">
        <v>0</v>
      </c>
      <c r="AS319" s="67" t="n">
        <v>0</v>
      </c>
      <c r="AT319" s="67" t="n">
        <v>1</v>
      </c>
    </row>
    <row r="320" ht="40" customHeight="1">
      <c r="A320" s="63" t="inlineStr">
        <is>
          <t>F09-UPL-11</t>
        </is>
      </c>
      <c r="B320" s="63" t="inlineStr">
        <is>
          <t>F09</t>
        </is>
      </c>
      <c r="C320" s="63">
        <f>Flights!$F$13</f>
        <v/>
      </c>
      <c r="D320" s="64">
        <f>Flights!$D$13</f>
        <v/>
      </c>
      <c r="E320" s="63">
        <f>Flights!$G$13&amp;"-"&amp;Flights!$H$13</f>
        <v/>
      </c>
      <c r="F320" s="63">
        <f>Flights!$K$13</f>
        <v/>
      </c>
      <c r="G320" s="63" t="inlineStr">
        <is>
          <t>UPLIFT</t>
        </is>
      </c>
      <c r="H320" s="63" t="inlineStr">
        <is>
          <t>Physical uplift</t>
        </is>
      </c>
      <c r="I320" s="63" t="inlineStr">
        <is>
          <t>Seat Linen</t>
        </is>
      </c>
      <c r="J320" s="63" t="inlineStr">
        <is>
          <t>Seat pillow (BS &amp; BC) - on board</t>
        </is>
      </c>
      <c r="K320" s="73" t="inlineStr">
        <is>
          <t>Available 100% (ticked in reference)</t>
        </is>
      </c>
      <c r="L320" s="73" t="inlineStr">
        <is>
          <t>STD UPLIFT INFORMATION.xlsx &gt; SEAT LINEN!E46</t>
        </is>
      </c>
      <c r="M320" s="73" t="inlineStr">
        <is>
          <t>Not stated in reference</t>
        </is>
      </c>
      <c r="N320" s="73" t="inlineStr">
        <is>
          <t>Required</t>
        </is>
      </c>
      <c r="O320" s="73" t="inlineStr"/>
      <c r="P320" s="63" t="inlineStr">
        <is>
          <t>HAN</t>
        </is>
      </c>
      <c r="Q320" s="65">
        <f>Flights!$AF$13</f>
        <v/>
      </c>
      <c r="R320" s="65">
        <f>Q320+(IF(AND(INDEX(TZ_DSTS,MATCH(P320,TZ_STN,0))&lt;&gt;"",Q320&gt;=INDEX(TZ_DSTS,MATCH(P320,TZ_STN,0)),Q320&lt;INDEX(TZ_DSTE,MATCH(P320,TZ_STN,0))),INDEX(TZ_DST,MATCH(P320,TZ_STN,0)),INDEX(TZ_STD,MATCH(P320,TZ_STN,0))))/24</f>
        <v/>
      </c>
      <c r="S320" s="65">
        <f>Q320-UpliftWindowH/24</f>
        <v/>
      </c>
      <c r="T320" s="66" t="n"/>
      <c r="U320" s="66" t="n"/>
      <c r="V320" s="66" t="n"/>
      <c r="W320" s="67" t="n"/>
      <c r="X320" s="66" t="n"/>
      <c r="Y320" s="66" t="n"/>
      <c r="Z320" s="66" t="n"/>
      <c r="AA320" s="66" t="n"/>
      <c r="AB320" s="66" t="n"/>
      <c r="AC320" s="66" t="n"/>
      <c r="AD320" s="72" t="n"/>
      <c r="AE320" s="66" t="n"/>
      <c r="AF320" s="67">
        <f>IF(AND(ISNUMBER(X320),ISNUMBER(Y320)),Y320-X320,"")</f>
        <v/>
      </c>
      <c r="AG320" s="68">
        <f>IF(ISNUMBER(AD320),AD320-(IF(AND(INDEX(TZ_DSTS,MATCH(P320,TZ_STN,0))&lt;&gt;"",(AD320-INDEX(TZ_STD,MATCH(P320,TZ_STN,0))/24)&gt;=INDEX(TZ_DSTS,MATCH(P320,TZ_STN,0)),(AD320-INDEX(TZ_STD,MATCH(P320,TZ_STN,0))/24)&lt;INDEX(TZ_DSTE,MATCH(P320,TZ_STN,0))),INDEX(TZ_DST,MATCH(P320,TZ_STN,0)),INDEX(TZ_STD,MATCH(P320,TZ_STN,0))))/24,"")</f>
        <v/>
      </c>
      <c r="AH320" s="71">
        <f>IF(N320="N/A – rule","N/A – RULE",IF(TRIM(U320)="N/A",IF(AT320=0,"INVALID – N/A not permitted for this mandatory check",IF(AND(TRIM(AC320)&lt;&gt;"",TRIM(AE320)&lt;&gt;"",TRIM(T320)&lt;&gt;""),"N/A – JUSTIFIED","INVALID – N/A needs justification, PIC and verifier")),IF(OR(TRIM(U320)="Pass",TRIM(U320)="Pass after CA"),IF(NOT(ISNUMBER(AD320)),"INVALID – completion time missing",IF(TRIM(T320)="","INVALID – PIC missing",IF(TRIM(Z320)="","INVALID – evidence missing",IF(TRIM(AE320)="","INVALID – verifier missing",IF(AND(AQ320=1,TRIM(W320)=""),"INVALID – batch ID missing",IF(AND(AR320=1,OR(NOT(ISNUMBER(X320)),NOT(ISNUMBER(Y320)))),"INVALID – expected/actual qty missing",IF(IF(AND(TRIM(U320)="Pass",ISNUMBER(AF320)),IF(AF320&lt;&gt;0,"INVALID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recorded/closed","")&lt;&gt;"",IF(AND(TRIM(U320)="Pass",ISNUMBER(AF320)),IF(AF320&lt;&gt;0,"INVALID – qty variance: use Fail or Pass after CA",""),"")&amp;IF(AND(TRIM(U320)="Pass",AB320="Open"),"INVALID – corrective action still open: use Fail, then Pass after CA","")&amp;IF(AND(TRIM(U320)="Pass after CA",OR(TRIM(AA320)="",AB320&lt;&gt;"Closed")),"INVALID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window"),IF(AG320&gt;Flights!$AA$13,"INVALID – completed after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f>
        <v/>
      </c>
      <c r="AI320" s="67">
        <f>IF(OR(AH320="N/A – RULE",AH320="N/A – JUSTIFIED"),0,1)</f>
        <v/>
      </c>
      <c r="AJ320" s="67">
        <f>IF(LEFT(AH320,8)="COMPLETE",1,0)</f>
        <v/>
      </c>
      <c r="AK320" s="67">
        <f>IF(AND(AI320=1,AJ320=0,AsOfUTC&gt;Q320),1,0)</f>
        <v/>
      </c>
      <c r="AL320" s="67">
        <f>IF(AND(AI320=1,OR(TRIM(U320)="Fail",AB320="Open",AND(ISNUMBER(AF320),AF320&lt;&gt;0,TRIM(U320)&lt;&gt;"Pass after CA"))),1,0)</f>
        <v/>
      </c>
      <c r="AM320" s="67">
        <f>IF(LEFT(AH320,7)="INVALID",1,0)</f>
        <v/>
      </c>
      <c r="AN320" s="67">
        <f>IF(AND(N320="Clarification required",AI320=1,AJ320=0),1,0)</f>
        <v/>
      </c>
      <c r="AO320" s="67">
        <f>IF(AK320=1,SUM(AK$5:AK320),"")</f>
        <v/>
      </c>
      <c r="AP320" s="67">
        <f>IF(AL320=1,SUM(AL$5:AL320),"")</f>
        <v/>
      </c>
      <c r="AQ320" s="67" t="n">
        <v>0</v>
      </c>
      <c r="AR320" s="67" t="n">
        <v>0</v>
      </c>
      <c r="AS320" s="67" t="n">
        <v>0</v>
      </c>
      <c r="AT320" s="67" t="n">
        <v>1</v>
      </c>
    </row>
    <row r="321" ht="40" customHeight="1">
      <c r="A321" s="63" t="inlineStr">
        <is>
          <t>F09-UPL-12</t>
        </is>
      </c>
      <c r="B321" s="63" t="inlineStr">
        <is>
          <t>F09</t>
        </is>
      </c>
      <c r="C321" s="63">
        <f>Flights!$F$13</f>
        <v/>
      </c>
      <c r="D321" s="64">
        <f>Flights!$D$13</f>
        <v/>
      </c>
      <c r="E321" s="63">
        <f>Flights!$G$13&amp;"-"&amp;Flights!$H$13</f>
        <v/>
      </c>
      <c r="F321" s="63">
        <f>Flights!$K$13</f>
        <v/>
      </c>
      <c r="G321" s="63" t="inlineStr">
        <is>
          <t>UPLIFT</t>
        </is>
      </c>
      <c r="H321" s="63" t="inlineStr">
        <is>
          <t>Physical uplift</t>
        </is>
      </c>
      <c r="I321" s="63" t="inlineStr">
        <is>
          <t>Seat Linen</t>
        </is>
      </c>
      <c r="J321" s="63" t="inlineStr">
        <is>
          <t>Blanket (BS &amp; BC) - on board</t>
        </is>
      </c>
      <c r="K321" s="73" t="inlineStr">
        <is>
          <t>Available 100% (ticked in reference)</t>
        </is>
      </c>
      <c r="L321" s="73" t="inlineStr">
        <is>
          <t>STD UPLIFT INFORMATION.xlsx &gt; SEAT LINEN!H46</t>
        </is>
      </c>
      <c r="M321" s="73" t="inlineStr">
        <is>
          <t>Not stated in reference</t>
        </is>
      </c>
      <c r="N321" s="73" t="inlineStr">
        <is>
          <t>Required</t>
        </is>
      </c>
      <c r="O321" s="73" t="inlineStr"/>
      <c r="P321" s="63" t="inlineStr">
        <is>
          <t>HAN</t>
        </is>
      </c>
      <c r="Q321" s="65">
        <f>Flights!$AF$13</f>
        <v/>
      </c>
      <c r="R321" s="65">
        <f>Q321+(IF(AND(INDEX(TZ_DSTS,MATCH(P321,TZ_STN,0))&lt;&gt;"",Q321&gt;=INDEX(TZ_DSTS,MATCH(P321,TZ_STN,0)),Q321&lt;INDEX(TZ_DSTE,MATCH(P321,TZ_STN,0))),INDEX(TZ_DST,MATCH(P321,TZ_STN,0)),INDEX(TZ_STD,MATCH(P321,TZ_STN,0))))/24</f>
        <v/>
      </c>
      <c r="S321" s="65">
        <f>Q321-UpliftWindowH/24</f>
        <v/>
      </c>
      <c r="T321" s="66" t="n"/>
      <c r="U321" s="66" t="n"/>
      <c r="V321" s="66" t="n"/>
      <c r="W321" s="67" t="n"/>
      <c r="X321" s="66" t="n"/>
      <c r="Y321" s="66" t="n"/>
      <c r="Z321" s="66" t="n"/>
      <c r="AA321" s="66" t="n"/>
      <c r="AB321" s="66" t="n"/>
      <c r="AC321" s="66" t="n"/>
      <c r="AD321" s="72" t="n"/>
      <c r="AE321" s="66" t="n"/>
      <c r="AF321" s="67">
        <f>IF(AND(ISNUMBER(X321),ISNUMBER(Y321)),Y321-X321,"")</f>
        <v/>
      </c>
      <c r="AG321" s="68">
        <f>IF(ISNUMBER(AD321),AD321-(IF(AND(INDEX(TZ_DSTS,MATCH(P321,TZ_STN,0))&lt;&gt;"",(AD321-INDEX(TZ_STD,MATCH(P321,TZ_STN,0))/24)&gt;=INDEX(TZ_DSTS,MATCH(P321,TZ_STN,0)),(AD321-INDEX(TZ_STD,MATCH(P321,TZ_STN,0))/24)&lt;INDEX(TZ_DSTE,MATCH(P321,TZ_STN,0))),INDEX(TZ_DST,MATCH(P321,TZ_STN,0)),INDEX(TZ_STD,MATCH(P321,TZ_STN,0))))/24,"")</f>
        <v/>
      </c>
      <c r="AH321" s="71">
        <f>IF(N321="N/A – rule","N/A – RULE",IF(TRIM(U321)="N/A",IF(AT321=0,"INVALID – N/A not permitted for this mandatory check",IF(AND(TRIM(AC321)&lt;&gt;"",TRIM(AE321)&lt;&gt;"",TRIM(T321)&lt;&gt;""),"N/A – JUSTIFIED","INVALID – N/A needs justification, PIC and verifier")),IF(OR(TRIM(U321)="Pass",TRIM(U321)="Pass after CA"),IF(NOT(ISNUMBER(AD321)),"INVALID – completion time missing",IF(TRIM(T321)="","INVALID – PIC missing",IF(TRIM(Z321)="","INVALID – evidence missing",IF(TRIM(AE321)="","INVALID – verifier missing",IF(AND(AQ321=1,TRIM(W321)=""),"INVALID – batch ID missing",IF(AND(AR321=1,OR(NOT(ISNUMBER(X321)),NOT(ISNUMBER(Y321)))),"INVALID – expected/actual qty missing",IF(IF(AND(TRIM(U321)="Pass",ISNUMBER(AF321)),IF(AF321&lt;&gt;0,"INVALID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recorded/closed","")&lt;&gt;"",IF(AND(TRIM(U321)="Pass",ISNUMBER(AF321)),IF(AF321&lt;&gt;0,"INVALID – qty variance: use Fail or Pass after CA",""),"")&amp;IF(AND(TRIM(U321)="Pass",AB321="Open"),"INVALID – corrective action still open: use Fail, then Pass after CA","")&amp;IF(AND(TRIM(U321)="Pass after CA",OR(TRIM(AA321)="",AB321&lt;&gt;"Closed")),"INVALID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window"),IF(AG321&gt;Flights!$AA$13,"INVALID – completed after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f>
        <v/>
      </c>
      <c r="AI321" s="67">
        <f>IF(OR(AH321="N/A – RULE",AH321="N/A – JUSTIFIED"),0,1)</f>
        <v/>
      </c>
      <c r="AJ321" s="67">
        <f>IF(LEFT(AH321,8)="COMPLETE",1,0)</f>
        <v/>
      </c>
      <c r="AK321" s="67">
        <f>IF(AND(AI321=1,AJ321=0,AsOfUTC&gt;Q321),1,0)</f>
        <v/>
      </c>
      <c r="AL321" s="67">
        <f>IF(AND(AI321=1,OR(TRIM(U321)="Fail",AB321="Open",AND(ISNUMBER(AF321),AF321&lt;&gt;0,TRIM(U321)&lt;&gt;"Pass after CA"))),1,0)</f>
        <v/>
      </c>
      <c r="AM321" s="67">
        <f>IF(LEFT(AH321,7)="INVALID",1,0)</f>
        <v/>
      </c>
      <c r="AN321" s="67">
        <f>IF(AND(N321="Clarification required",AI321=1,AJ321=0),1,0)</f>
        <v/>
      </c>
      <c r="AO321" s="67">
        <f>IF(AK321=1,SUM(AK$5:AK321),"")</f>
        <v/>
      </c>
      <c r="AP321" s="67">
        <f>IF(AL321=1,SUM(AL$5:AL321),"")</f>
        <v/>
      </c>
      <c r="AQ321" s="67" t="n">
        <v>0</v>
      </c>
      <c r="AR321" s="67" t="n">
        <v>0</v>
      </c>
      <c r="AS321" s="67" t="n">
        <v>0</v>
      </c>
      <c r="AT321" s="67" t="n">
        <v>1</v>
      </c>
    </row>
    <row r="322" ht="40" customHeight="1">
      <c r="A322" s="63" t="inlineStr">
        <is>
          <t>F10-T7-01</t>
        </is>
      </c>
      <c r="B322" s="63" t="inlineStr">
        <is>
          <t>F10</t>
        </is>
      </c>
      <c r="C322" s="63">
        <f>Flights!$F$14</f>
        <v/>
      </c>
      <c r="D322" s="64">
        <f>Flights!$D$14</f>
        <v/>
      </c>
      <c r="E322" s="63">
        <f>Flights!$G$14&amp;"-"&amp;Flights!$H$14</f>
        <v/>
      </c>
      <c r="F322" s="63">
        <f>Flights!$K$14</f>
        <v/>
      </c>
      <c r="G322" s="63" t="inlineStr">
        <is>
          <t>T-7D</t>
        </is>
      </c>
      <c r="H322" s="63" t="inlineStr">
        <is>
          <t>Preparation</t>
        </is>
      </c>
      <c r="I322" s="63" t="inlineStr">
        <is>
          <t>Meal</t>
        </is>
      </c>
      <c r="J322" s="63" t="inlineStr">
        <is>
          <t>Meal sensory testing completed for this flight's menu cycle (assessed class)</t>
        </is>
      </c>
      <c r="K322" s="73" t="inlineStr">
        <is>
          <t>Record panel result / score in Result</t>
        </is>
      </c>
      <c r="L322" s="73" t="inlineStr">
        <is>
          <t>User brief (T-7 days)</t>
        </is>
      </c>
      <c r="M322" s="73" t="inlineStr"/>
      <c r="N322" s="73" t="inlineStr">
        <is>
          <t>Required</t>
        </is>
      </c>
      <c r="O322" s="73" t="inlineStr">
        <is>
          <t>Refreshment service: sensory test covers the refreshment items.</t>
        </is>
      </c>
      <c r="P322" s="63" t="inlineStr">
        <is>
          <t>KUL</t>
        </is>
      </c>
      <c r="Q322" s="65">
        <f>Flights!$AC$14</f>
        <v/>
      </c>
      <c r="R322" s="65">
        <f>Q322+(IF(AND(INDEX(TZ_DSTS,MATCH(P322,TZ_STN,0))&lt;&gt;"",Q322&gt;=INDEX(TZ_DSTS,MATCH(P322,TZ_STN,0)),Q322&lt;INDEX(TZ_DSTE,MATCH(P322,TZ_STN,0))),INDEX(TZ_DST,MATCH(P322,TZ_STN,0)),INDEX(TZ_STD,MATCH(P322,TZ_STN,0))))/24</f>
        <v/>
      </c>
      <c r="S322" s="65" t="inlineStr"/>
      <c r="T322" s="66" t="n"/>
      <c r="U322" s="66" t="n"/>
      <c r="V322" s="66" t="n"/>
      <c r="W322" s="67" t="n"/>
      <c r="X322" s="66" t="n"/>
      <c r="Y322" s="66" t="n"/>
      <c r="Z322" s="66" t="n"/>
      <c r="AA322" s="66" t="n"/>
      <c r="AB322" s="66" t="n"/>
      <c r="AC322" s="66" t="n"/>
      <c r="AD322" s="72" t="n"/>
      <c r="AE322" s="66" t="n"/>
      <c r="AF322" s="67">
        <f>IF(AND(ISNUMBER(X322),ISNUMBER(Y322)),Y322-X322,"")</f>
        <v/>
      </c>
      <c r="AG322" s="68">
        <f>IF(ISNUMBER(AD322),AD322-(IF(AND(INDEX(TZ_DSTS,MATCH(P322,TZ_STN,0))&lt;&gt;"",(AD322-INDEX(TZ_STD,MATCH(P322,TZ_STN,0))/24)&gt;=INDEX(TZ_DSTS,MATCH(P322,TZ_STN,0)),(AD322-INDEX(TZ_STD,MATCH(P322,TZ_STN,0))/24)&lt;INDEX(TZ_DSTE,MATCH(P322,TZ_STN,0))),INDEX(TZ_DST,MATCH(P322,TZ_STN,0)),INDEX(TZ_STD,MATCH(P322,TZ_STN,0))))/24,"")</f>
        <v/>
      </c>
      <c r="AH322" s="71">
        <f>IF(N322="N/A – rule","N/A – RULE",IF(TRIM(U322)="N/A",IF(AT322=0,"INVALID – N/A not permitted for this mandatory check",IF(AND(TRIM(AC322)&lt;&gt;"",TRIM(AE322)&lt;&gt;"",TRIM(T322)&lt;&gt;""),"N/A – JUSTIFIED","INVALID – N/A needs justification, PIC and verifier")),IF(OR(TRIM(U322)="Pass",TRIM(U322)="Pass after CA"),IF(NOT(ISNUMBER(AD322)),"INVALID – completion time missing",IF(TRIM(T322)="","INVALID – PIC missing",IF(TRIM(Z322)="","INVALID – evidence missing",IF(TRIM(AE322)="","INVALID – verifier missing",IF(AND(AQ322=1,TRIM(W322)=""),"INVALID – batch ID missing",IF(AND(AR322=1,OR(NOT(ISNUMBER(X322)),NOT(ISNUMBER(Y322)))),"INVALID – expected/actual qty missing",IF(IF(AND(TRIM(U322)="Pass",ISNUMBER(AF322)),IF(AF322&lt;&gt;0,"INVALID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recorded/closed","")&lt;&gt;"",IF(AND(TRIM(U322)="Pass",ISNUMBER(AF322)),IF(AF322&lt;&gt;0,"INVALID – qty variance: use Fail or Pass after CA",""),"")&amp;IF(AND(TRIM(U322)="Pass",AB322="Open"),"INVALID – corrective action still open: use Fail, then Pass after CA","")&amp;IF(AND(TRIM(U322)="Pass after CA",OR(TRIM(AA322)="",AB322&lt;&gt;"Closed")),"INVALID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window"),IF(AG322&gt;Flights!$AA$14,"INVALID – completed after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f>
        <v/>
      </c>
      <c r="AI322" s="67">
        <f>IF(OR(AH322="N/A – RULE",AH322="N/A – JUSTIFIED"),0,1)</f>
        <v/>
      </c>
      <c r="AJ322" s="67">
        <f>IF(LEFT(AH322,8)="COMPLETE",1,0)</f>
        <v/>
      </c>
      <c r="AK322" s="67">
        <f>IF(AND(AI322=1,AJ322=0,AsOfUTC&gt;Q322),1,0)</f>
        <v/>
      </c>
      <c r="AL322" s="67">
        <f>IF(AND(AI322=1,OR(TRIM(U322)="Fail",AB322="Open",AND(ISNUMBER(AF322),AF322&lt;&gt;0,TRIM(U322)&lt;&gt;"Pass after CA"))),1,0)</f>
        <v/>
      </c>
      <c r="AM322" s="67">
        <f>IF(LEFT(AH322,7)="INVALID",1,0)</f>
        <v/>
      </c>
      <c r="AN322" s="67">
        <f>IF(AND(N322="Clarification required",AI322=1,AJ322=0),1,0)</f>
        <v/>
      </c>
      <c r="AO322" s="67">
        <f>IF(AK322=1,SUM(AK$5:AK322),"")</f>
        <v/>
      </c>
      <c r="AP322" s="67">
        <f>IF(AL322=1,SUM(AL$5:AL322),"")</f>
        <v/>
      </c>
      <c r="AQ322" s="67" t="n">
        <v>0</v>
      </c>
      <c r="AR322" s="67" t="n">
        <v>0</v>
      </c>
      <c r="AS322" s="67" t="n">
        <v>0</v>
      </c>
      <c r="AT322" s="67" t="n">
        <v>0</v>
      </c>
    </row>
    <row r="323" ht="41.5" customHeight="1">
      <c r="A323" s="63" t="inlineStr">
        <is>
          <t>F10-T7-02</t>
        </is>
      </c>
      <c r="B323" s="63" t="inlineStr">
        <is>
          <t>F10</t>
        </is>
      </c>
      <c r="C323" s="63">
        <f>Flights!$F$14</f>
        <v/>
      </c>
      <c r="D323" s="64">
        <f>Flights!$D$14</f>
        <v/>
      </c>
      <c r="E323" s="63">
        <f>Flights!$G$14&amp;"-"&amp;Flights!$H$14</f>
        <v/>
      </c>
      <c r="F323" s="63">
        <f>Flights!$K$14</f>
        <v/>
      </c>
      <c r="G323" s="63" t="inlineStr">
        <is>
          <t>T-7D</t>
        </is>
      </c>
      <c r="H323" s="63" t="inlineStr">
        <is>
          <t>Preparation</t>
        </is>
      </c>
      <c r="I323" s="63" t="inlineStr">
        <is>
          <t>Menu</t>
        </is>
      </c>
      <c r="J323" s="63" t="inlineStr">
        <is>
          <t>Printed menu cards confirmed (content, cycle, language, quantity)</t>
        </is>
      </c>
      <c r="K323" s="73" t="inlineStr">
        <is>
          <t>Menu card matches approved menu for this flight</t>
        </is>
      </c>
      <c r="L323" s="73" t="inlineStr">
        <is>
          <t>User brief (T-7 days)</t>
        </is>
      </c>
      <c r="M323" s="73" t="inlineStr"/>
      <c r="N323" s="73" t="inlineStr">
        <is>
          <t>Required</t>
        </is>
      </c>
      <c r="O323" s="73" t="inlineStr">
        <is>
          <t>Refreshment service (peanut &amp; water). If no printed menu card is used, mark N/A with the confirmation as justification.</t>
        </is>
      </c>
      <c r="P323" s="63" t="inlineStr">
        <is>
          <t>KUL</t>
        </is>
      </c>
      <c r="Q323" s="65">
        <f>Flights!$AC$14</f>
        <v/>
      </c>
      <c r="R323" s="65">
        <f>Q323+(IF(AND(INDEX(TZ_DSTS,MATCH(P323,TZ_STN,0))&lt;&gt;"",Q323&gt;=INDEX(TZ_DSTS,MATCH(P323,TZ_STN,0)),Q323&lt;INDEX(TZ_DSTE,MATCH(P323,TZ_STN,0))),INDEX(TZ_DST,MATCH(P323,TZ_STN,0)),INDEX(TZ_STD,MATCH(P323,TZ_STN,0))))/24</f>
        <v/>
      </c>
      <c r="S323" s="65" t="inlineStr"/>
      <c r="T323" s="66" t="n"/>
      <c r="U323" s="66" t="n"/>
      <c r="V323" s="66" t="n"/>
      <c r="W323" s="67" t="n"/>
      <c r="X323" s="66" t="n"/>
      <c r="Y323" s="66" t="n"/>
      <c r="Z323" s="66" t="n"/>
      <c r="AA323" s="66" t="n"/>
      <c r="AB323" s="66" t="n"/>
      <c r="AC323" s="66" t="n"/>
      <c r="AD323" s="72" t="n"/>
      <c r="AE323" s="66" t="n"/>
      <c r="AF323" s="67">
        <f>IF(AND(ISNUMBER(X323),ISNUMBER(Y323)),Y323-X323,"")</f>
        <v/>
      </c>
      <c r="AG323" s="68">
        <f>IF(ISNUMBER(AD323),AD323-(IF(AND(INDEX(TZ_DSTS,MATCH(P323,TZ_STN,0))&lt;&gt;"",(AD323-INDEX(TZ_STD,MATCH(P323,TZ_STN,0))/24)&gt;=INDEX(TZ_DSTS,MATCH(P323,TZ_STN,0)),(AD323-INDEX(TZ_STD,MATCH(P323,TZ_STN,0))/24)&lt;INDEX(TZ_DSTE,MATCH(P323,TZ_STN,0))),INDEX(TZ_DST,MATCH(P323,TZ_STN,0)),INDEX(TZ_STD,MATCH(P323,TZ_STN,0))))/24,"")</f>
        <v/>
      </c>
      <c r="AH323" s="71">
        <f>IF(N323="N/A – rule","N/A – RULE",IF(TRIM(U323)="N/A",IF(AT323=0,"INVALID – N/A not permitted for this mandatory check",IF(AND(TRIM(AC323)&lt;&gt;"",TRIM(AE323)&lt;&gt;"",TRIM(T323)&lt;&gt;""),"N/A – JUSTIFIED","INVALID – N/A needs justification, PIC and verifier")),IF(OR(TRIM(U323)="Pass",TRIM(U323)="Pass after CA"),IF(NOT(ISNUMBER(AD323)),"INVALID – completion time missing",IF(TRIM(T323)="","INVALID – PIC missing",IF(TRIM(Z323)="","INVALID – evidence missing",IF(TRIM(AE323)="","INVALID – verifier missing",IF(AND(AQ323=1,TRIM(W323)=""),"INVALID – batch ID missing",IF(AND(AR323=1,OR(NOT(ISNUMBER(X323)),NOT(ISNUMBER(Y323)))),"INVALID – expected/actual qty missing",IF(IF(AND(TRIM(U323)="Pass",ISNUMBER(AF323)),IF(AF323&lt;&gt;0,"INVALID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recorded/closed","")&lt;&gt;"",IF(AND(TRIM(U323)="Pass",ISNUMBER(AF323)),IF(AF323&lt;&gt;0,"INVALID – qty variance: use Fail or Pass after CA",""),"")&amp;IF(AND(TRIM(U323)="Pass",AB323="Open"),"INVALID – corrective action still open: use Fail, then Pass after CA","")&amp;IF(AND(TRIM(U323)="Pass after CA",OR(TRIM(AA323)="",AB323&lt;&gt;"Closed")),"INVALID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window"),IF(AG323&gt;Flights!$AA$14,"INVALID – completed after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f>
        <v/>
      </c>
      <c r="AI323" s="67">
        <f>IF(OR(AH323="N/A – RULE",AH323="N/A – JUSTIFIED"),0,1)</f>
        <v/>
      </c>
      <c r="AJ323" s="67">
        <f>IF(LEFT(AH323,8)="COMPLETE",1,0)</f>
        <v/>
      </c>
      <c r="AK323" s="67">
        <f>IF(AND(AI323=1,AJ323=0,AsOfUTC&gt;Q323),1,0)</f>
        <v/>
      </c>
      <c r="AL323" s="67">
        <f>IF(AND(AI323=1,OR(TRIM(U323)="Fail",AB323="Open",AND(ISNUMBER(AF323),AF323&lt;&gt;0,TRIM(U323)&lt;&gt;"Pass after CA"))),1,0)</f>
        <v/>
      </c>
      <c r="AM323" s="67">
        <f>IF(LEFT(AH323,7)="INVALID",1,0)</f>
        <v/>
      </c>
      <c r="AN323" s="67">
        <f>IF(AND(N323="Clarification required",AI323=1,AJ323=0),1,0)</f>
        <v/>
      </c>
      <c r="AO323" s="67">
        <f>IF(AK323=1,SUM(AK$5:AK323),"")</f>
        <v/>
      </c>
      <c r="AP323" s="67">
        <f>IF(AL323=1,SUM(AL$5:AL323),"")</f>
        <v/>
      </c>
      <c r="AQ323" s="67" t="n">
        <v>0</v>
      </c>
      <c r="AR323" s="67" t="n">
        <v>0</v>
      </c>
      <c r="AS323" s="67" t="n">
        <v>0</v>
      </c>
      <c r="AT323" s="67" t="n">
        <v>1</v>
      </c>
    </row>
    <row r="324" ht="41.5" customHeight="1">
      <c r="A324" s="63" t="inlineStr">
        <is>
          <t>F10-T7-03</t>
        </is>
      </c>
      <c r="B324" s="63" t="inlineStr">
        <is>
          <t>F10</t>
        </is>
      </c>
      <c r="C324" s="63">
        <f>Flights!$F$14</f>
        <v/>
      </c>
      <c r="D324" s="64">
        <f>Flights!$D$14</f>
        <v/>
      </c>
      <c r="E324" s="63">
        <f>Flights!$G$14&amp;"-"&amp;Flights!$H$14</f>
        <v/>
      </c>
      <c r="F324" s="63">
        <f>Flights!$K$14</f>
        <v/>
      </c>
      <c r="G324" s="63" t="inlineStr">
        <is>
          <t>T-7D</t>
        </is>
      </c>
      <c r="H324" s="63" t="inlineStr">
        <is>
          <t>Preparation</t>
        </is>
      </c>
      <c r="I324" s="63" t="inlineStr">
        <is>
          <t>IFE</t>
        </is>
      </c>
      <c r="J324" s="63" t="inlineStr">
        <is>
          <t>Digital menu in IFE confirmed (A339 only)</t>
        </is>
      </c>
      <c r="K324" s="73" t="inlineStr">
        <is>
          <t>Applies when fleet = A339</t>
        </is>
      </c>
      <c r="L324" s="73" t="inlineStr">
        <is>
          <t>User brief (T-7 days)</t>
        </is>
      </c>
      <c r="M324" s="73" t="inlineStr"/>
      <c r="N324" s="73">
        <f>IF(TRIM(Flights!$L$14)="A339","Required","N/A – rule")</f>
        <v/>
      </c>
      <c r="O324" s="73" t="inlineStr">
        <is>
          <t>Digital IFE menu applies to A339 only (user brief). Applicability follows the Fleet cell on Flights.</t>
        </is>
      </c>
      <c r="P324" s="63" t="inlineStr">
        <is>
          <t>KUL</t>
        </is>
      </c>
      <c r="Q324" s="65">
        <f>Flights!$AC$14</f>
        <v/>
      </c>
      <c r="R324" s="65">
        <f>Q324+(IF(AND(INDEX(TZ_DSTS,MATCH(P324,TZ_STN,0))&lt;&gt;"",Q324&gt;=INDEX(TZ_DSTS,MATCH(P324,TZ_STN,0)),Q324&lt;INDEX(TZ_DSTE,MATCH(P324,TZ_STN,0))),INDEX(TZ_DST,MATCH(P324,TZ_STN,0)),INDEX(TZ_STD,MATCH(P324,TZ_STN,0))))/24</f>
        <v/>
      </c>
      <c r="S324" s="65" t="inlineStr"/>
      <c r="T324" s="66" t="n"/>
      <c r="U324" s="66" t="n"/>
      <c r="V324" s="66" t="n"/>
      <c r="W324" s="67" t="n"/>
      <c r="X324" s="66" t="n"/>
      <c r="Y324" s="66" t="n"/>
      <c r="Z324" s="66" t="n"/>
      <c r="AA324" s="66" t="n"/>
      <c r="AB324" s="66" t="n"/>
      <c r="AC324" s="66" t="n"/>
      <c r="AD324" s="72" t="n"/>
      <c r="AE324" s="66" t="n"/>
      <c r="AF324" s="67">
        <f>IF(AND(ISNUMBER(X324),ISNUMBER(Y324)),Y324-X324,"")</f>
        <v/>
      </c>
      <c r="AG324" s="68">
        <f>IF(ISNUMBER(AD324),AD324-(IF(AND(INDEX(TZ_DSTS,MATCH(P324,TZ_STN,0))&lt;&gt;"",(AD324-INDEX(TZ_STD,MATCH(P324,TZ_STN,0))/24)&gt;=INDEX(TZ_DSTS,MATCH(P324,TZ_STN,0)),(AD324-INDEX(TZ_STD,MATCH(P324,TZ_STN,0))/24)&lt;INDEX(TZ_DSTE,MATCH(P324,TZ_STN,0))),INDEX(TZ_DST,MATCH(P324,TZ_STN,0)),INDEX(TZ_STD,MATCH(P324,TZ_STN,0))))/24,"")</f>
        <v/>
      </c>
      <c r="AH324" s="71">
        <f>IF(N324="N/A – rule","N/A – RULE",IF(TRIM(U324)="N/A",IF(AT324=0,"INVALID – N/A not permitted for this mandatory check",IF(AND(TRIM(AC324)&lt;&gt;"",TRIM(AE324)&lt;&gt;"",TRIM(T324)&lt;&gt;""),"N/A – JUSTIFIED","INVALID – N/A needs justification, PIC and verifier")),IF(OR(TRIM(U324)="Pass",TRIM(U324)="Pass after CA"),IF(NOT(ISNUMBER(AD324)),"INVALID – completion time missing",IF(TRIM(T324)="","INVALID – PIC missing",IF(TRIM(Z324)="","INVALID – evidence missing",IF(TRIM(AE324)="","INVALID – verifier missing",IF(AND(AQ324=1,TRIM(W324)=""),"INVALID – batch ID missing",IF(AND(AR324=1,OR(NOT(ISNUMBER(X324)),NOT(ISNUMBER(Y324)))),"INVALID – expected/actual qty missing",IF(IF(AND(TRIM(U324)="Pass",ISNUMBER(AF324)),IF(AF324&lt;&gt;0,"INVALID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recorded/closed","")&lt;&gt;"",IF(AND(TRIM(U324)="Pass",ISNUMBER(AF324)),IF(AF324&lt;&gt;0,"INVALID – qty variance: use Fail or Pass after CA",""),"")&amp;IF(AND(TRIM(U324)="Pass",AB324="Open"),"INVALID – corrective action still open: use Fail, then Pass after CA","")&amp;IF(AND(TRIM(U324)="Pass after CA",OR(TRIM(AA324)="",AB324&lt;&gt;"Closed")),"INVALID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window"),IF(AG324&gt;Flights!$AA$14,"INVALID – completed after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f>
        <v/>
      </c>
      <c r="AI324" s="67">
        <f>IF(OR(AH324="N/A – RULE",AH324="N/A – JUSTIFIED"),0,1)</f>
        <v/>
      </c>
      <c r="AJ324" s="67">
        <f>IF(LEFT(AH324,8)="COMPLETE",1,0)</f>
        <v/>
      </c>
      <c r="AK324" s="67">
        <f>IF(AND(AI324=1,AJ324=0,AsOfUTC&gt;Q324),1,0)</f>
        <v/>
      </c>
      <c r="AL324" s="67">
        <f>IF(AND(AI324=1,OR(TRIM(U324)="Fail",AB324="Open",AND(ISNUMBER(AF324),AF324&lt;&gt;0,TRIM(U324)&lt;&gt;"Pass after CA"))),1,0)</f>
        <v/>
      </c>
      <c r="AM324" s="67">
        <f>IF(LEFT(AH324,7)="INVALID",1,0)</f>
        <v/>
      </c>
      <c r="AN324" s="67">
        <f>IF(AND(N324="Clarification required",AI324=1,AJ324=0),1,0)</f>
        <v/>
      </c>
      <c r="AO324" s="67">
        <f>IF(AK324=1,SUM(AK$5:AK324),"")</f>
        <v/>
      </c>
      <c r="AP324" s="67">
        <f>IF(AL324=1,SUM(AL$5:AL324),"")</f>
        <v/>
      </c>
      <c r="AQ324" s="67" t="n">
        <v>0</v>
      </c>
      <c r="AR324" s="67" t="n">
        <v>0</v>
      </c>
      <c r="AS324" s="67" t="n">
        <v>0</v>
      </c>
      <c r="AT324" s="67" t="n">
        <v>0</v>
      </c>
    </row>
    <row r="325" ht="40" customHeight="1">
      <c r="A325" s="63" t="inlineStr">
        <is>
          <t>F10-T7-04</t>
        </is>
      </c>
      <c r="B325" s="63" t="inlineStr">
        <is>
          <t>F10</t>
        </is>
      </c>
      <c r="C325" s="63">
        <f>Flights!$F$14</f>
        <v/>
      </c>
      <c r="D325" s="64">
        <f>Flights!$D$14</f>
        <v/>
      </c>
      <c r="E325" s="63">
        <f>Flights!$G$14&amp;"-"&amp;Flights!$H$14</f>
        <v/>
      </c>
      <c r="F325" s="63">
        <f>Flights!$K$14</f>
        <v/>
      </c>
      <c r="G325" s="63" t="inlineStr">
        <is>
          <t>T-7D</t>
        </is>
      </c>
      <c r="H325" s="63" t="inlineStr">
        <is>
          <t>Preparation</t>
        </is>
      </c>
      <c r="I325" s="63" t="inlineStr">
        <is>
          <t>Staffing</t>
        </is>
      </c>
      <c r="J325" s="63" t="inlineStr">
        <is>
          <t>Experienced catering officer assigned to this flight</t>
        </is>
      </c>
      <c r="K325" s="73" t="inlineStr">
        <is>
          <t>Record officer name in Result</t>
        </is>
      </c>
      <c r="L325" s="73" t="inlineStr">
        <is>
          <t>User brief (T-7 days)</t>
        </is>
      </c>
      <c r="M325" s="73" t="inlineStr"/>
      <c r="N325" s="73" t="inlineStr">
        <is>
          <t>Required</t>
        </is>
      </c>
      <c r="O325" s="73" t="inlineStr"/>
      <c r="P325" s="63" t="inlineStr">
        <is>
          <t>KUL</t>
        </is>
      </c>
      <c r="Q325" s="65">
        <f>Flights!$AC$14</f>
        <v/>
      </c>
      <c r="R325" s="65">
        <f>Q325+(IF(AND(INDEX(TZ_DSTS,MATCH(P325,TZ_STN,0))&lt;&gt;"",Q325&gt;=INDEX(TZ_DSTS,MATCH(P325,TZ_STN,0)),Q325&lt;INDEX(TZ_DSTE,MATCH(P325,TZ_STN,0))),INDEX(TZ_DST,MATCH(P325,TZ_STN,0)),INDEX(TZ_STD,MATCH(P325,TZ_STN,0))))/24</f>
        <v/>
      </c>
      <c r="S325" s="65" t="inlineStr"/>
      <c r="T325" s="66" t="n"/>
      <c r="U325" s="66" t="n"/>
      <c r="V325" s="66" t="n"/>
      <c r="W325" s="67" t="n"/>
      <c r="X325" s="66" t="n"/>
      <c r="Y325" s="66" t="n"/>
      <c r="Z325" s="66" t="n"/>
      <c r="AA325" s="66" t="n"/>
      <c r="AB325" s="66" t="n"/>
      <c r="AC325" s="66" t="n"/>
      <c r="AD325" s="72" t="n"/>
      <c r="AE325" s="66" t="n"/>
      <c r="AF325" s="67">
        <f>IF(AND(ISNUMBER(X325),ISNUMBER(Y325)),Y325-X325,"")</f>
        <v/>
      </c>
      <c r="AG325" s="68">
        <f>IF(ISNUMBER(AD325),AD325-(IF(AND(INDEX(TZ_DSTS,MATCH(P325,TZ_STN,0))&lt;&gt;"",(AD325-INDEX(TZ_STD,MATCH(P325,TZ_STN,0))/24)&gt;=INDEX(TZ_DSTS,MATCH(P325,TZ_STN,0)),(AD325-INDEX(TZ_STD,MATCH(P325,TZ_STN,0))/24)&lt;INDEX(TZ_DSTE,MATCH(P325,TZ_STN,0))),INDEX(TZ_DST,MATCH(P325,TZ_STN,0)),INDEX(TZ_STD,MATCH(P325,TZ_STN,0))))/24,"")</f>
        <v/>
      </c>
      <c r="AH325" s="71">
        <f>IF(N325="N/A – rule","N/A – RULE",IF(TRIM(U325)="N/A",IF(AT325=0,"INVALID – N/A not permitted for this mandatory check",IF(AND(TRIM(AC325)&lt;&gt;"",TRIM(AE325)&lt;&gt;"",TRIM(T325)&lt;&gt;""),"N/A – JUSTIFIED","INVALID – N/A needs justification, PIC and verifier")),IF(OR(TRIM(U325)="Pass",TRIM(U325)="Pass after CA"),IF(NOT(ISNUMBER(AD325)),"INVALID – completion time missing",IF(TRIM(T325)="","INVALID – PIC missing",IF(TRIM(Z325)="","INVALID – evidence missing",IF(TRIM(AE325)="","INVALID – verifier missing",IF(AND(AQ325=1,TRIM(W325)=""),"INVALID – batch ID missing",IF(AND(AR325=1,OR(NOT(ISNUMBER(X325)),NOT(ISNUMBER(Y325)))),"INVALID – expected/actual qty missing",IF(IF(AND(TRIM(U325)="Pass",ISNUMBER(AF325)),IF(AF325&lt;&gt;0,"INVALID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recorded/closed","")&lt;&gt;"",IF(AND(TRIM(U325)="Pass",ISNUMBER(AF325)),IF(AF325&lt;&gt;0,"INVALID – qty variance: use Fail or Pass after CA",""),"")&amp;IF(AND(TRIM(U325)="Pass",AB325="Open"),"INVALID – corrective action still open: use Fail, then Pass after CA","")&amp;IF(AND(TRIM(U325)="Pass after CA",OR(TRIM(AA325)="",AB325&lt;&gt;"Closed")),"INVALID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window"),IF(AG325&gt;Flights!$AA$14,"INVALID – completed after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f>
        <v/>
      </c>
      <c r="AI325" s="67">
        <f>IF(OR(AH325="N/A – RULE",AH325="N/A – JUSTIFIED"),0,1)</f>
        <v/>
      </c>
      <c r="AJ325" s="67">
        <f>IF(LEFT(AH325,8)="COMPLETE",1,0)</f>
        <v/>
      </c>
      <c r="AK325" s="67">
        <f>IF(AND(AI325=1,AJ325=0,AsOfUTC&gt;Q325),1,0)</f>
        <v/>
      </c>
      <c r="AL325" s="67">
        <f>IF(AND(AI325=1,OR(TRIM(U325)="Fail",AB325="Open",AND(ISNUMBER(AF325),AF325&lt;&gt;0,TRIM(U325)&lt;&gt;"Pass after CA"))),1,0)</f>
        <v/>
      </c>
      <c r="AM325" s="67">
        <f>IF(LEFT(AH325,7)="INVALID",1,0)</f>
        <v/>
      </c>
      <c r="AN325" s="67">
        <f>IF(AND(N325="Clarification required",AI325=1,AJ325=0),1,0)</f>
        <v/>
      </c>
      <c r="AO325" s="67">
        <f>IF(AK325=1,SUM(AK$5:AK325),"")</f>
        <v/>
      </c>
      <c r="AP325" s="67">
        <f>IF(AL325=1,SUM(AL$5:AL325),"")</f>
        <v/>
      </c>
      <c r="AQ325" s="67" t="n">
        <v>0</v>
      </c>
      <c r="AR325" s="67" t="n">
        <v>0</v>
      </c>
      <c r="AS325" s="67" t="n">
        <v>0</v>
      </c>
      <c r="AT325" s="67" t="n">
        <v>0</v>
      </c>
    </row>
    <row r="326" ht="40" customHeight="1">
      <c r="A326" s="63" t="inlineStr">
        <is>
          <t>F10-T7-05</t>
        </is>
      </c>
      <c r="B326" s="63" t="inlineStr">
        <is>
          <t>F10</t>
        </is>
      </c>
      <c r="C326" s="63">
        <f>Flights!$F$14</f>
        <v/>
      </c>
      <c r="D326" s="64">
        <f>Flights!$D$14</f>
        <v/>
      </c>
      <c r="E326" s="63">
        <f>Flights!$G$14&amp;"-"&amp;Flights!$H$14</f>
        <v/>
      </c>
      <c r="F326" s="63">
        <f>Flights!$K$14</f>
        <v/>
      </c>
      <c r="G326" s="63" t="inlineStr">
        <is>
          <t>T-7D</t>
        </is>
      </c>
      <c r="H326" s="63" t="inlineStr">
        <is>
          <t>Preparation</t>
        </is>
      </c>
      <c r="I326" s="63" t="inlineStr">
        <is>
          <t>ISOP</t>
        </is>
      </c>
      <c r="J326" s="63" t="inlineStr">
        <is>
          <t>All latest applicable ISOP revisions communicated to caterer</t>
        </is>
      </c>
      <c r="K326" s="73" t="inlineStr">
        <is>
          <t>List revision numbers in Result (see ISOP register)</t>
        </is>
      </c>
      <c r="L326" s="73" t="inlineStr">
        <is>
          <t>User brief (T-7 days)</t>
        </is>
      </c>
      <c r="M326" s="73" t="inlineStr"/>
      <c r="N326" s="73" t="inlineStr">
        <is>
          <t>Required</t>
        </is>
      </c>
      <c r="O326" s="73" t="inlineStr"/>
      <c r="P326" s="63" t="inlineStr">
        <is>
          <t>KUL</t>
        </is>
      </c>
      <c r="Q326" s="65">
        <f>Flights!$AC$14</f>
        <v/>
      </c>
      <c r="R326" s="65">
        <f>Q326+(IF(AND(INDEX(TZ_DSTS,MATCH(P326,TZ_STN,0))&lt;&gt;"",Q326&gt;=INDEX(TZ_DSTS,MATCH(P326,TZ_STN,0)),Q326&lt;INDEX(TZ_DSTE,MATCH(P326,TZ_STN,0))),INDEX(TZ_DST,MATCH(P326,TZ_STN,0)),INDEX(TZ_STD,MATCH(P326,TZ_STN,0))))/24</f>
        <v/>
      </c>
      <c r="S326" s="65" t="inlineStr"/>
      <c r="T326" s="66" t="n"/>
      <c r="U326" s="66" t="n"/>
      <c r="V326" s="66" t="n"/>
      <c r="W326" s="67" t="n"/>
      <c r="X326" s="66" t="n"/>
      <c r="Y326" s="66" t="n"/>
      <c r="Z326" s="66" t="n"/>
      <c r="AA326" s="66" t="n"/>
      <c r="AB326" s="66" t="n"/>
      <c r="AC326" s="66" t="n"/>
      <c r="AD326" s="72" t="n"/>
      <c r="AE326" s="66" t="n"/>
      <c r="AF326" s="67">
        <f>IF(AND(ISNUMBER(X326),ISNUMBER(Y326)),Y326-X326,"")</f>
        <v/>
      </c>
      <c r="AG326" s="68">
        <f>IF(ISNUMBER(AD326),AD326-(IF(AND(INDEX(TZ_DSTS,MATCH(P326,TZ_STN,0))&lt;&gt;"",(AD326-INDEX(TZ_STD,MATCH(P326,TZ_STN,0))/24)&gt;=INDEX(TZ_DSTS,MATCH(P326,TZ_STN,0)),(AD326-INDEX(TZ_STD,MATCH(P326,TZ_STN,0))/24)&lt;INDEX(TZ_DSTE,MATCH(P326,TZ_STN,0))),INDEX(TZ_DST,MATCH(P326,TZ_STN,0)),INDEX(TZ_STD,MATCH(P326,TZ_STN,0))))/24,"")</f>
        <v/>
      </c>
      <c r="AH326" s="71">
        <f>IF(N326="N/A – rule","N/A – RULE",IF(TRIM(U326)="N/A",IF(AT326=0,"INVALID – N/A not permitted for this mandatory check",IF(AND(TRIM(AC326)&lt;&gt;"",TRIM(AE326)&lt;&gt;"",TRIM(T326)&lt;&gt;""),"N/A – JUSTIFIED","INVALID – N/A needs justification, PIC and verifier")),IF(OR(TRIM(U326)="Pass",TRIM(U326)="Pass after CA"),IF(NOT(ISNUMBER(AD326)),"INVALID – completion time missing",IF(TRIM(T326)="","INVALID – PIC missing",IF(TRIM(Z326)="","INVALID – evidence missing",IF(TRIM(AE326)="","INVALID – verifier missing",IF(AND(AQ326=1,TRIM(W326)=""),"INVALID – batch ID missing",IF(AND(AR326=1,OR(NOT(ISNUMBER(X326)),NOT(ISNUMBER(Y326)))),"INVALID – expected/actual qty missing",IF(IF(AND(TRIM(U326)="Pass",ISNUMBER(AF326)),IF(AF326&lt;&gt;0,"INVALID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recorded/closed","")&lt;&gt;"",IF(AND(TRIM(U326)="Pass",ISNUMBER(AF326)),IF(AF326&lt;&gt;0,"INVALID – qty variance: use Fail or Pass after CA",""),"")&amp;IF(AND(TRIM(U326)="Pass",AB326="Open"),"INVALID – corrective action still open: use Fail, then Pass after CA","")&amp;IF(AND(TRIM(U326)="Pass after CA",OR(TRIM(AA326)="",AB326&lt;&gt;"Closed")),"INVALID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window"),IF(AG326&gt;Flights!$AA$14,"INVALID – completed after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f>
        <v/>
      </c>
      <c r="AI326" s="67">
        <f>IF(OR(AH326="N/A – RULE",AH326="N/A – JUSTIFIED"),0,1)</f>
        <v/>
      </c>
      <c r="AJ326" s="67">
        <f>IF(LEFT(AH326,8)="COMPLETE",1,0)</f>
        <v/>
      </c>
      <c r="AK326" s="67">
        <f>IF(AND(AI326=1,AJ326=0,AsOfUTC&gt;Q326),1,0)</f>
        <v/>
      </c>
      <c r="AL326" s="67">
        <f>IF(AND(AI326=1,OR(TRIM(U326)="Fail",AB326="Open",AND(ISNUMBER(AF326),AF326&lt;&gt;0,TRIM(U326)&lt;&gt;"Pass after CA"))),1,0)</f>
        <v/>
      </c>
      <c r="AM326" s="67">
        <f>IF(LEFT(AH326,7)="INVALID",1,0)</f>
        <v/>
      </c>
      <c r="AN326" s="67">
        <f>IF(AND(N326="Clarification required",AI326=1,AJ326=0),1,0)</f>
        <v/>
      </c>
      <c r="AO326" s="67">
        <f>IF(AK326=1,SUM(AK$5:AK326),"")</f>
        <v/>
      </c>
      <c r="AP326" s="67">
        <f>IF(AL326=1,SUM(AL$5:AL326),"")</f>
        <v/>
      </c>
      <c r="AQ326" s="67" t="n">
        <v>0</v>
      </c>
      <c r="AR326" s="67" t="n">
        <v>0</v>
      </c>
      <c r="AS326" s="67" t="n">
        <v>0</v>
      </c>
      <c r="AT326" s="67" t="n">
        <v>0</v>
      </c>
    </row>
    <row r="327" ht="40" customHeight="1">
      <c r="A327" s="63" t="inlineStr">
        <is>
          <t>F10-T7-06</t>
        </is>
      </c>
      <c r="B327" s="63" t="inlineStr">
        <is>
          <t>F10</t>
        </is>
      </c>
      <c r="C327" s="63">
        <f>Flights!$F$14</f>
        <v/>
      </c>
      <c r="D327" s="64">
        <f>Flights!$D$14</f>
        <v/>
      </c>
      <c r="E327" s="63">
        <f>Flights!$G$14&amp;"-"&amp;Flights!$H$14</f>
        <v/>
      </c>
      <c r="F327" s="63">
        <f>Flights!$K$14</f>
        <v/>
      </c>
      <c r="G327" s="63" t="inlineStr">
        <is>
          <t>T-7D</t>
        </is>
      </c>
      <c r="H327" s="63" t="inlineStr">
        <is>
          <t>Preparation</t>
        </is>
      </c>
      <c r="I327" s="63" t="inlineStr">
        <is>
          <t>ISOP</t>
        </is>
      </c>
      <c r="J327" s="63" t="inlineStr">
        <is>
          <t>Caterer acknowledgement of ISOP revisions recorded</t>
        </is>
      </c>
      <c r="K327" s="73" t="inlineStr">
        <is>
          <t>Record acknowledgement ref in Evidence</t>
        </is>
      </c>
      <c r="L327" s="73" t="inlineStr">
        <is>
          <t>User brief (T-7 days)</t>
        </is>
      </c>
      <c r="M327" s="73" t="inlineStr"/>
      <c r="N327" s="73" t="inlineStr">
        <is>
          <t>Required</t>
        </is>
      </c>
      <c r="O327" s="73" t="inlineStr"/>
      <c r="P327" s="63" t="inlineStr">
        <is>
          <t>KUL</t>
        </is>
      </c>
      <c r="Q327" s="65">
        <f>Flights!$AC$14</f>
        <v/>
      </c>
      <c r="R327" s="65">
        <f>Q327+(IF(AND(INDEX(TZ_DSTS,MATCH(P327,TZ_STN,0))&lt;&gt;"",Q327&gt;=INDEX(TZ_DSTS,MATCH(P327,TZ_STN,0)),Q327&lt;INDEX(TZ_DSTE,MATCH(P327,TZ_STN,0))),INDEX(TZ_DST,MATCH(P327,TZ_STN,0)),INDEX(TZ_STD,MATCH(P327,TZ_STN,0))))/24</f>
        <v/>
      </c>
      <c r="S327" s="65" t="inlineStr"/>
      <c r="T327" s="66" t="n"/>
      <c r="U327" s="66" t="n"/>
      <c r="V327" s="66" t="n"/>
      <c r="W327" s="67" t="n"/>
      <c r="X327" s="66" t="n"/>
      <c r="Y327" s="66" t="n"/>
      <c r="Z327" s="66" t="n"/>
      <c r="AA327" s="66" t="n"/>
      <c r="AB327" s="66" t="n"/>
      <c r="AC327" s="66" t="n"/>
      <c r="AD327" s="72" t="n"/>
      <c r="AE327" s="66" t="n"/>
      <c r="AF327" s="67">
        <f>IF(AND(ISNUMBER(X327),ISNUMBER(Y327)),Y327-X327,"")</f>
        <v/>
      </c>
      <c r="AG327" s="68">
        <f>IF(ISNUMBER(AD327),AD327-(IF(AND(INDEX(TZ_DSTS,MATCH(P327,TZ_STN,0))&lt;&gt;"",(AD327-INDEX(TZ_STD,MATCH(P327,TZ_STN,0))/24)&gt;=INDEX(TZ_DSTS,MATCH(P327,TZ_STN,0)),(AD327-INDEX(TZ_STD,MATCH(P327,TZ_STN,0))/24)&lt;INDEX(TZ_DSTE,MATCH(P327,TZ_STN,0))),INDEX(TZ_DST,MATCH(P327,TZ_STN,0)),INDEX(TZ_STD,MATCH(P327,TZ_STN,0))))/24,"")</f>
        <v/>
      </c>
      <c r="AH327" s="71">
        <f>IF(N327="N/A – rule","N/A – RULE",IF(TRIM(U327)="N/A",IF(AT327=0,"INVALID – N/A not permitted for this mandatory check",IF(AND(TRIM(AC327)&lt;&gt;"",TRIM(AE327)&lt;&gt;"",TRIM(T327)&lt;&gt;""),"N/A – JUSTIFIED","INVALID – N/A needs justification, PIC and verifier")),IF(OR(TRIM(U327)="Pass",TRIM(U327)="Pass after CA"),IF(NOT(ISNUMBER(AD327)),"INVALID – completion time missing",IF(TRIM(T327)="","INVALID – PIC missing",IF(TRIM(Z327)="","INVALID – evidence missing",IF(TRIM(AE327)="","INVALID – verifier missing",IF(AND(AQ327=1,TRIM(W327)=""),"INVALID – batch ID missing",IF(AND(AR327=1,OR(NOT(ISNUMBER(X327)),NOT(ISNUMBER(Y327)))),"INVALID – expected/actual qty missing",IF(IF(AND(TRIM(U327)="Pass",ISNUMBER(AF327)),IF(AF327&lt;&gt;0,"INVALID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recorded/closed","")&lt;&gt;"",IF(AND(TRIM(U327)="Pass",ISNUMBER(AF327)),IF(AF327&lt;&gt;0,"INVALID – qty variance: use Fail or Pass after CA",""),"")&amp;IF(AND(TRIM(U327)="Pass",AB327="Open"),"INVALID – corrective action still open: use Fail, then Pass after CA","")&amp;IF(AND(TRIM(U327)="Pass after CA",OR(TRIM(AA327)="",AB327&lt;&gt;"Closed")),"INVALID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window"),IF(AG327&gt;Flights!$AA$14,"INVALID – completed after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f>
        <v/>
      </c>
      <c r="AI327" s="67">
        <f>IF(OR(AH327="N/A – RULE",AH327="N/A – JUSTIFIED"),0,1)</f>
        <v/>
      </c>
      <c r="AJ327" s="67">
        <f>IF(LEFT(AH327,8)="COMPLETE",1,0)</f>
        <v/>
      </c>
      <c r="AK327" s="67">
        <f>IF(AND(AI327=1,AJ327=0,AsOfUTC&gt;Q327),1,0)</f>
        <v/>
      </c>
      <c r="AL327" s="67">
        <f>IF(AND(AI327=1,OR(TRIM(U327)="Fail",AB327="Open",AND(ISNUMBER(AF327),AF327&lt;&gt;0,TRIM(U327)&lt;&gt;"Pass after CA"))),1,0)</f>
        <v/>
      </c>
      <c r="AM327" s="67">
        <f>IF(LEFT(AH327,7)="INVALID",1,0)</f>
        <v/>
      </c>
      <c r="AN327" s="67">
        <f>IF(AND(N327="Clarification required",AI327=1,AJ327=0),1,0)</f>
        <v/>
      </c>
      <c r="AO327" s="67">
        <f>IF(AK327=1,SUM(AK$5:AK327),"")</f>
        <v/>
      </c>
      <c r="AP327" s="67">
        <f>IF(AL327=1,SUM(AL$5:AL327),"")</f>
        <v/>
      </c>
      <c r="AQ327" s="67" t="n">
        <v>0</v>
      </c>
      <c r="AR327" s="67" t="n">
        <v>0</v>
      </c>
      <c r="AS327" s="67" t="n">
        <v>0</v>
      </c>
      <c r="AT327" s="67" t="n">
        <v>0</v>
      </c>
    </row>
    <row r="328" ht="40" customHeight="1">
      <c r="A328" s="63" t="inlineStr">
        <is>
          <t>F10-T7-07</t>
        </is>
      </c>
      <c r="B328" s="63" t="inlineStr">
        <is>
          <t>F10</t>
        </is>
      </c>
      <c r="C328" s="63">
        <f>Flights!$F$14</f>
        <v/>
      </c>
      <c r="D328" s="64">
        <f>Flights!$D$14</f>
        <v/>
      </c>
      <c r="E328" s="63">
        <f>Flights!$G$14&amp;"-"&amp;Flights!$H$14</f>
        <v/>
      </c>
      <c r="F328" s="63">
        <f>Flights!$K$14</f>
        <v/>
      </c>
      <c r="G328" s="63" t="inlineStr">
        <is>
          <t>T-7D</t>
        </is>
      </c>
      <c r="H328" s="63" t="inlineStr">
        <is>
          <t>Preparation</t>
        </is>
      </c>
      <c r="I328" s="63" t="inlineStr">
        <is>
          <t>Documents</t>
        </is>
      </c>
      <c r="J328" s="63" t="inlineStr">
        <is>
          <t>Galley loading diagram (GLD) received, revision recorded &amp; attached</t>
        </is>
      </c>
      <c r="K328" s="73" t="inlineStr">
        <is>
          <t>Documents sheet row complete</t>
        </is>
      </c>
      <c r="L328" s="73" t="inlineStr">
        <is>
          <t>User brief (T-7 days)</t>
        </is>
      </c>
      <c r="M328" s="73" t="inlineStr"/>
      <c r="N328" s="73" t="inlineStr">
        <is>
          <t>Required</t>
        </is>
      </c>
      <c r="O328" s="73" t="inlineStr"/>
      <c r="P328" s="63" t="inlineStr">
        <is>
          <t>KUL</t>
        </is>
      </c>
      <c r="Q328" s="65">
        <f>Flights!$AC$14</f>
        <v/>
      </c>
      <c r="R328" s="65">
        <f>Q328+(IF(AND(INDEX(TZ_DSTS,MATCH(P328,TZ_STN,0))&lt;&gt;"",Q328&gt;=INDEX(TZ_DSTS,MATCH(P328,TZ_STN,0)),Q328&lt;INDEX(TZ_DSTE,MATCH(P328,TZ_STN,0))),INDEX(TZ_DST,MATCH(P328,TZ_STN,0)),INDEX(TZ_STD,MATCH(P328,TZ_STN,0))))/24</f>
        <v/>
      </c>
      <c r="S328" s="65" t="inlineStr"/>
      <c r="T328" s="66" t="n"/>
      <c r="U328" s="66" t="n"/>
      <c r="V328" s="66" t="n"/>
      <c r="W328" s="67" t="n"/>
      <c r="X328" s="66" t="n"/>
      <c r="Y328" s="66" t="n"/>
      <c r="Z328" s="66" t="n"/>
      <c r="AA328" s="66" t="n"/>
      <c r="AB328" s="66" t="n"/>
      <c r="AC328" s="66" t="n"/>
      <c r="AD328" s="72" t="n"/>
      <c r="AE328" s="66" t="n"/>
      <c r="AF328" s="67">
        <f>IF(AND(ISNUMBER(X328),ISNUMBER(Y328)),Y328-X328,"")</f>
        <v/>
      </c>
      <c r="AG328" s="68">
        <f>IF(ISNUMBER(AD328),AD328-(IF(AND(INDEX(TZ_DSTS,MATCH(P328,TZ_STN,0))&lt;&gt;"",(AD328-INDEX(TZ_STD,MATCH(P328,TZ_STN,0))/24)&gt;=INDEX(TZ_DSTS,MATCH(P328,TZ_STN,0)),(AD328-INDEX(TZ_STD,MATCH(P328,TZ_STN,0))/24)&lt;INDEX(TZ_DSTE,MATCH(P328,TZ_STN,0))),INDEX(TZ_DST,MATCH(P328,TZ_STN,0)),INDEX(TZ_STD,MATCH(P328,TZ_STN,0))))/24,"")</f>
        <v/>
      </c>
      <c r="AH328" s="71">
        <f>IF(N328="N/A – rule","N/A – RULE",IF(TRIM(U328)="N/A",IF(AT328=0,"INVALID – N/A not permitted for this mandatory check",IF(AND(TRIM(AC328)&lt;&gt;"",TRIM(AE328)&lt;&gt;"",TRIM(T328)&lt;&gt;""),"N/A – JUSTIFIED","INVALID – N/A needs justification, PIC and verifier")),IF(OR(TRIM(U328)="Pass",TRIM(U328)="Pass after CA"),IF(NOT(ISNUMBER(AD328)),"INVALID – completion time missing",IF(TRIM(T328)="","INVALID – PIC missing",IF(TRIM(Z328)="","INVALID – evidence missing",IF(TRIM(AE328)="","INVALID – verifier missing",IF(AND(AQ328=1,TRIM(W328)=""),"INVALID – batch ID missing",IF(AND(AR328=1,OR(NOT(ISNUMBER(X328)),NOT(ISNUMBER(Y328)))),"INVALID – expected/actual qty missing",IF(IF(AND(TRIM(U328)="Pass",ISNUMBER(AF328)),IF(AF328&lt;&gt;0,"INVALID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recorded/closed","")&lt;&gt;"",IF(AND(TRIM(U328)="Pass",ISNUMBER(AF328)),IF(AF328&lt;&gt;0,"INVALID – qty variance: use Fail or Pass after CA",""),"")&amp;IF(AND(TRIM(U328)="Pass",AB328="Open"),"INVALID – corrective action still open: use Fail, then Pass after CA","")&amp;IF(AND(TRIM(U328)="Pass after CA",OR(TRIM(AA328)="",AB328&lt;&gt;"Closed")),"INVALID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window"),IF(AG328&gt;Flights!$AA$14,"INVALID – completed after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f>
        <v/>
      </c>
      <c r="AI328" s="67">
        <f>IF(OR(AH328="N/A – RULE",AH328="N/A – JUSTIFIED"),0,1)</f>
        <v/>
      </c>
      <c r="AJ328" s="67">
        <f>IF(LEFT(AH328,8)="COMPLETE",1,0)</f>
        <v/>
      </c>
      <c r="AK328" s="67">
        <f>IF(AND(AI328=1,AJ328=0,AsOfUTC&gt;Q328),1,0)</f>
        <v/>
      </c>
      <c r="AL328" s="67">
        <f>IF(AND(AI328=1,OR(TRIM(U328)="Fail",AB328="Open",AND(ISNUMBER(AF328),AF328&lt;&gt;0,TRIM(U328)&lt;&gt;"Pass after CA"))),1,0)</f>
        <v/>
      </c>
      <c r="AM328" s="67">
        <f>IF(LEFT(AH328,7)="INVALID",1,0)</f>
        <v/>
      </c>
      <c r="AN328" s="67">
        <f>IF(AND(N328="Clarification required",AI328=1,AJ328=0),1,0)</f>
        <v/>
      </c>
      <c r="AO328" s="67">
        <f>IF(AK328=1,SUM(AK$5:AK328),"")</f>
        <v/>
      </c>
      <c r="AP328" s="67">
        <f>IF(AL328=1,SUM(AL$5:AL328),"")</f>
        <v/>
      </c>
      <c r="AQ328" s="67" t="n">
        <v>0</v>
      </c>
      <c r="AR328" s="67" t="n">
        <v>0</v>
      </c>
      <c r="AS328" s="67" t="n">
        <v>1</v>
      </c>
      <c r="AT328" s="67" t="n">
        <v>0</v>
      </c>
    </row>
    <row r="329" ht="40" customHeight="1">
      <c r="A329" s="63" t="inlineStr">
        <is>
          <t>F10-T7-08</t>
        </is>
      </c>
      <c r="B329" s="63" t="inlineStr">
        <is>
          <t>F10</t>
        </is>
      </c>
      <c r="C329" s="63">
        <f>Flights!$F$14</f>
        <v/>
      </c>
      <c r="D329" s="64">
        <f>Flights!$D$14</f>
        <v/>
      </c>
      <c r="E329" s="63">
        <f>Flights!$G$14&amp;"-"&amp;Flights!$H$14</f>
        <v/>
      </c>
      <c r="F329" s="63">
        <f>Flights!$K$14</f>
        <v/>
      </c>
      <c r="G329" s="63" t="inlineStr">
        <is>
          <t>T-7D</t>
        </is>
      </c>
      <c r="H329" s="63" t="inlineStr">
        <is>
          <t>Preparation</t>
        </is>
      </c>
      <c r="I329" s="63" t="inlineStr">
        <is>
          <t>Documents</t>
        </is>
      </c>
      <c r="J329" s="63" t="inlineStr">
        <is>
          <t>Menu checklist received, revision recorded &amp; attached</t>
        </is>
      </c>
      <c r="K329" s="73" t="inlineStr">
        <is>
          <t>Documents sheet row complete</t>
        </is>
      </c>
      <c r="L329" s="73" t="inlineStr">
        <is>
          <t>User brief (T-7 days)</t>
        </is>
      </c>
      <c r="M329" s="73" t="inlineStr"/>
      <c r="N329" s="73" t="inlineStr">
        <is>
          <t>Required</t>
        </is>
      </c>
      <c r="O329" s="73" t="inlineStr"/>
      <c r="P329" s="63" t="inlineStr">
        <is>
          <t>KUL</t>
        </is>
      </c>
      <c r="Q329" s="65">
        <f>Flights!$AC$14</f>
        <v/>
      </c>
      <c r="R329" s="65">
        <f>Q329+(IF(AND(INDEX(TZ_DSTS,MATCH(P329,TZ_STN,0))&lt;&gt;"",Q329&gt;=INDEX(TZ_DSTS,MATCH(P329,TZ_STN,0)),Q329&lt;INDEX(TZ_DSTE,MATCH(P329,TZ_STN,0))),INDEX(TZ_DST,MATCH(P329,TZ_STN,0)),INDEX(TZ_STD,MATCH(P329,TZ_STN,0))))/24</f>
        <v/>
      </c>
      <c r="S329" s="65" t="inlineStr"/>
      <c r="T329" s="66" t="n"/>
      <c r="U329" s="66" t="n"/>
      <c r="V329" s="66" t="n"/>
      <c r="W329" s="67" t="n"/>
      <c r="X329" s="66" t="n"/>
      <c r="Y329" s="66" t="n"/>
      <c r="Z329" s="66" t="n"/>
      <c r="AA329" s="66" t="n"/>
      <c r="AB329" s="66" t="n"/>
      <c r="AC329" s="66" t="n"/>
      <c r="AD329" s="72" t="n"/>
      <c r="AE329" s="66" t="n"/>
      <c r="AF329" s="67">
        <f>IF(AND(ISNUMBER(X329),ISNUMBER(Y329)),Y329-X329,"")</f>
        <v/>
      </c>
      <c r="AG329" s="68">
        <f>IF(ISNUMBER(AD329),AD329-(IF(AND(INDEX(TZ_DSTS,MATCH(P329,TZ_STN,0))&lt;&gt;"",(AD329-INDEX(TZ_STD,MATCH(P329,TZ_STN,0))/24)&gt;=INDEX(TZ_DSTS,MATCH(P329,TZ_STN,0)),(AD329-INDEX(TZ_STD,MATCH(P329,TZ_STN,0))/24)&lt;INDEX(TZ_DSTE,MATCH(P329,TZ_STN,0))),INDEX(TZ_DST,MATCH(P329,TZ_STN,0)),INDEX(TZ_STD,MATCH(P329,TZ_STN,0))))/24,"")</f>
        <v/>
      </c>
      <c r="AH329" s="71">
        <f>IF(N329="N/A – rule","N/A – RULE",IF(TRIM(U329)="N/A",IF(AT329=0,"INVALID – N/A not permitted for this mandatory check",IF(AND(TRIM(AC329)&lt;&gt;"",TRIM(AE329)&lt;&gt;"",TRIM(T329)&lt;&gt;""),"N/A – JUSTIFIED","INVALID – N/A needs justification, PIC and verifier")),IF(OR(TRIM(U329)="Pass",TRIM(U329)="Pass after CA"),IF(NOT(ISNUMBER(AD329)),"INVALID – completion time missing",IF(TRIM(T329)="","INVALID – PIC missing",IF(TRIM(Z329)="","INVALID – evidence missing",IF(TRIM(AE329)="","INVALID – verifier missing",IF(AND(AQ329=1,TRIM(W329)=""),"INVALID – batch ID missing",IF(AND(AR329=1,OR(NOT(ISNUMBER(X329)),NOT(ISNUMBER(Y329)))),"INVALID – expected/actual qty missing",IF(IF(AND(TRIM(U329)="Pass",ISNUMBER(AF329)),IF(AF329&lt;&gt;0,"INVALID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recorded/closed","")&lt;&gt;"",IF(AND(TRIM(U329)="Pass",ISNUMBER(AF329)),IF(AF329&lt;&gt;0,"INVALID – qty variance: use Fail or Pass after CA",""),"")&amp;IF(AND(TRIM(U329)="Pass",AB329="Open"),"INVALID – corrective action still open: use Fail, then Pass after CA","")&amp;IF(AND(TRIM(U329)="Pass after CA",OR(TRIM(AA329)="",AB329&lt;&gt;"Closed")),"INVALID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window"),IF(AG329&gt;Flights!$AA$14,"INVALID – completed after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f>
        <v/>
      </c>
      <c r="AI329" s="67">
        <f>IF(OR(AH329="N/A – RULE",AH329="N/A – JUSTIFIED"),0,1)</f>
        <v/>
      </c>
      <c r="AJ329" s="67">
        <f>IF(LEFT(AH329,8)="COMPLETE",1,0)</f>
        <v/>
      </c>
      <c r="AK329" s="67">
        <f>IF(AND(AI329=1,AJ329=0,AsOfUTC&gt;Q329),1,0)</f>
        <v/>
      </c>
      <c r="AL329" s="67">
        <f>IF(AND(AI329=1,OR(TRIM(U329)="Fail",AB329="Open",AND(ISNUMBER(AF329),AF329&lt;&gt;0,TRIM(U329)&lt;&gt;"Pass after CA"))),1,0)</f>
        <v/>
      </c>
      <c r="AM329" s="67">
        <f>IF(LEFT(AH329,7)="INVALID",1,0)</f>
        <v/>
      </c>
      <c r="AN329" s="67">
        <f>IF(AND(N329="Clarification required",AI329=1,AJ329=0),1,0)</f>
        <v/>
      </c>
      <c r="AO329" s="67">
        <f>IF(AK329=1,SUM(AK$5:AK329),"")</f>
        <v/>
      </c>
      <c r="AP329" s="67">
        <f>IF(AL329=1,SUM(AL$5:AL329),"")</f>
        <v/>
      </c>
      <c r="AQ329" s="67" t="n">
        <v>0</v>
      </c>
      <c r="AR329" s="67" t="n">
        <v>0</v>
      </c>
      <c r="AS329" s="67" t="n">
        <v>2</v>
      </c>
      <c r="AT329" s="67" t="n">
        <v>0</v>
      </c>
    </row>
    <row r="330" ht="40" customHeight="1">
      <c r="A330" s="63" t="inlineStr">
        <is>
          <t>F10-T7-09</t>
        </is>
      </c>
      <c r="B330" s="63" t="inlineStr">
        <is>
          <t>F10</t>
        </is>
      </c>
      <c r="C330" s="63">
        <f>Flights!$F$14</f>
        <v/>
      </c>
      <c r="D330" s="64">
        <f>Flights!$D$14</f>
        <v/>
      </c>
      <c r="E330" s="63">
        <f>Flights!$G$14&amp;"-"&amp;Flights!$H$14</f>
        <v/>
      </c>
      <c r="F330" s="63">
        <f>Flights!$K$14</f>
        <v/>
      </c>
      <c r="G330" s="63" t="inlineStr">
        <is>
          <t>T-7D</t>
        </is>
      </c>
      <c r="H330" s="63" t="inlineStr">
        <is>
          <t>Preparation</t>
        </is>
      </c>
      <c r="I330" s="63" t="inlineStr">
        <is>
          <t>Uplift plan</t>
        </is>
      </c>
      <c r="J330" s="63" t="inlineStr">
        <is>
          <t>Uplift plan confirmed with caterer vs STD Uplift Information</t>
        </is>
      </c>
      <c r="K330" s="73" t="inlineStr">
        <is>
          <t>Service: Refreshment (Peanut &amp; Water); meal uplift stn KUL (ref lists KUL)</t>
        </is>
      </c>
      <c r="L330" s="73" t="inlineStr">
        <is>
          <t>STD UPLIFT INFORMATION.xlsx &gt; CATERING UPLIFT STN!C68:G68</t>
        </is>
      </c>
      <c r="M330" s="73" t="inlineStr"/>
      <c r="N330" s="73" t="inlineStr">
        <is>
          <t>Required</t>
        </is>
      </c>
      <c r="O330" s="73" t="inlineStr"/>
      <c r="P330" s="63" t="inlineStr">
        <is>
          <t>KUL</t>
        </is>
      </c>
      <c r="Q330" s="65">
        <f>Flights!$AC$14</f>
        <v/>
      </c>
      <c r="R330" s="65">
        <f>Q330+(IF(AND(INDEX(TZ_DSTS,MATCH(P330,TZ_STN,0))&lt;&gt;"",Q330&gt;=INDEX(TZ_DSTS,MATCH(P330,TZ_STN,0)),Q330&lt;INDEX(TZ_DSTE,MATCH(P330,TZ_STN,0))),INDEX(TZ_DST,MATCH(P330,TZ_STN,0)),INDEX(TZ_STD,MATCH(P330,TZ_STN,0))))/24</f>
        <v/>
      </c>
      <c r="S330" s="65" t="inlineStr"/>
      <c r="T330" s="66" t="n"/>
      <c r="U330" s="66" t="n"/>
      <c r="V330" s="66" t="n"/>
      <c r="W330" s="67" t="n"/>
      <c r="X330" s="66" t="n"/>
      <c r="Y330" s="66" t="n"/>
      <c r="Z330" s="66" t="n"/>
      <c r="AA330" s="66" t="n"/>
      <c r="AB330" s="66" t="n"/>
      <c r="AC330" s="66" t="n"/>
      <c r="AD330" s="72" t="n"/>
      <c r="AE330" s="66" t="n"/>
      <c r="AF330" s="67">
        <f>IF(AND(ISNUMBER(X330),ISNUMBER(Y330)),Y330-X330,"")</f>
        <v/>
      </c>
      <c r="AG330" s="68">
        <f>IF(ISNUMBER(AD330),AD330-(IF(AND(INDEX(TZ_DSTS,MATCH(P330,TZ_STN,0))&lt;&gt;"",(AD330-INDEX(TZ_STD,MATCH(P330,TZ_STN,0))/24)&gt;=INDEX(TZ_DSTS,MATCH(P330,TZ_STN,0)),(AD330-INDEX(TZ_STD,MATCH(P330,TZ_STN,0))/24)&lt;INDEX(TZ_DSTE,MATCH(P330,TZ_STN,0))),INDEX(TZ_DST,MATCH(P330,TZ_STN,0)),INDEX(TZ_STD,MATCH(P330,TZ_STN,0))))/24,"")</f>
        <v/>
      </c>
      <c r="AH330" s="71">
        <f>IF(N330="N/A – rule","N/A – RULE",IF(TRIM(U330)="N/A",IF(AT330=0,"INVALID – N/A not permitted for this mandatory check",IF(AND(TRIM(AC330)&lt;&gt;"",TRIM(AE330)&lt;&gt;"",TRIM(T330)&lt;&gt;""),"N/A – JUSTIFIED","INVALID – N/A needs justification, PIC and verifier")),IF(OR(TRIM(U330)="Pass",TRIM(U330)="Pass after CA"),IF(NOT(ISNUMBER(AD330)),"INVALID – completion time missing",IF(TRIM(T330)="","INVALID – PIC missing",IF(TRIM(Z330)="","INVALID – evidence missing",IF(TRIM(AE330)="","INVALID – verifier missing",IF(AND(AQ330=1,TRIM(W330)=""),"INVALID – batch ID missing",IF(AND(AR330=1,OR(NOT(ISNUMBER(X330)),NOT(ISNUMBER(Y330)))),"INVALID – expected/actual qty missing",IF(IF(AND(TRIM(U330)="Pass",ISNUMBER(AF330)),IF(AF330&lt;&gt;0,"INVALID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recorded/closed","")&lt;&gt;"",IF(AND(TRIM(U330)="Pass",ISNUMBER(AF330)),IF(AF330&lt;&gt;0,"INVALID – qty variance: use Fail or Pass after CA",""),"")&amp;IF(AND(TRIM(U330)="Pass",AB330="Open"),"INVALID – corrective action still open: use Fail, then Pass after CA","")&amp;IF(AND(TRIM(U330)="Pass after CA",OR(TRIM(AA330)="",AB330&lt;&gt;"Closed")),"INVALID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window"),IF(AG330&gt;Flights!$AA$14,"INVALID – completed after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f>
        <v/>
      </c>
      <c r="AI330" s="67">
        <f>IF(OR(AH330="N/A – RULE",AH330="N/A – JUSTIFIED"),0,1)</f>
        <v/>
      </c>
      <c r="AJ330" s="67">
        <f>IF(LEFT(AH330,8)="COMPLETE",1,0)</f>
        <v/>
      </c>
      <c r="AK330" s="67">
        <f>IF(AND(AI330=1,AJ330=0,AsOfUTC&gt;Q330),1,0)</f>
        <v/>
      </c>
      <c r="AL330" s="67">
        <f>IF(AND(AI330=1,OR(TRIM(U330)="Fail",AB330="Open",AND(ISNUMBER(AF330),AF330&lt;&gt;0,TRIM(U330)&lt;&gt;"Pass after CA"))),1,0)</f>
        <v/>
      </c>
      <c r="AM330" s="67">
        <f>IF(LEFT(AH330,7)="INVALID",1,0)</f>
        <v/>
      </c>
      <c r="AN330" s="67">
        <f>IF(AND(N330="Clarification required",AI330=1,AJ330=0),1,0)</f>
        <v/>
      </c>
      <c r="AO330" s="67">
        <f>IF(AK330=1,SUM(AK$5:AK330),"")</f>
        <v/>
      </c>
      <c r="AP330" s="67">
        <f>IF(AL330=1,SUM(AL$5:AL330),"")</f>
        <v/>
      </c>
      <c r="AQ330" s="67" t="n">
        <v>0</v>
      </c>
      <c r="AR330" s="67" t="n">
        <v>0</v>
      </c>
      <c r="AS330" s="67" t="n">
        <v>0</v>
      </c>
      <c r="AT330" s="67" t="n">
        <v>0</v>
      </c>
    </row>
    <row r="331" ht="40" customHeight="1">
      <c r="A331" s="63" t="inlineStr">
        <is>
          <t>F10-T24-01</t>
        </is>
      </c>
      <c r="B331" s="63" t="inlineStr">
        <is>
          <t>F10</t>
        </is>
      </c>
      <c r="C331" s="63">
        <f>Flights!$F$14</f>
        <v/>
      </c>
      <c r="D331" s="64">
        <f>Flights!$D$14</f>
        <v/>
      </c>
      <c r="E331" s="63">
        <f>Flights!$G$14&amp;"-"&amp;Flights!$H$14</f>
        <v/>
      </c>
      <c r="F331" s="63">
        <f>Flights!$K$14</f>
        <v/>
      </c>
      <c r="G331" s="63" t="inlineStr">
        <is>
          <t>T-24H</t>
        </is>
      </c>
      <c r="H331" s="63" t="inlineStr">
        <is>
          <t>Preparation</t>
        </is>
      </c>
      <c r="I331" s="63" t="inlineStr">
        <is>
          <t>Meal</t>
        </is>
      </c>
      <c r="J331" s="63" t="inlineStr">
        <is>
          <t>Sensory test repeated on ACTUAL production batch for this flight</t>
        </is>
      </c>
      <c r="K331" s="73" t="inlineStr">
        <is>
          <t>Batch ID, result, CA and acceptance mandatory</t>
        </is>
      </c>
      <c r="L331" s="73" t="inlineStr">
        <is>
          <t>User brief (T-24 hours)</t>
        </is>
      </c>
      <c r="M331" s="73" t="inlineStr"/>
      <c r="N331" s="73" t="inlineStr">
        <is>
          <t>Required</t>
        </is>
      </c>
      <c r="O331" s="73" t="inlineStr"/>
      <c r="P331" s="63" t="inlineStr">
        <is>
          <t>KUL</t>
        </is>
      </c>
      <c r="Q331" s="65">
        <f>Flights!$AD$14</f>
        <v/>
      </c>
      <c r="R331" s="65">
        <f>Q331+(IF(AND(INDEX(TZ_DSTS,MATCH(P331,TZ_STN,0))&lt;&gt;"",Q331&gt;=INDEX(TZ_DSTS,MATCH(P331,TZ_STN,0)),Q331&lt;INDEX(TZ_DSTE,MATCH(P331,TZ_STN,0))),INDEX(TZ_DST,MATCH(P331,TZ_STN,0)),INDEX(TZ_STD,MATCH(P331,TZ_STN,0))))/24</f>
        <v/>
      </c>
      <c r="S331" s="65">
        <f>Q331-T24EarlyH/24</f>
        <v/>
      </c>
      <c r="T331" s="66" t="n"/>
      <c r="U331" s="66" t="n"/>
      <c r="V331" s="66" t="n"/>
      <c r="W331" s="66" t="n"/>
      <c r="X331" s="66" t="n"/>
      <c r="Y331" s="66" t="n"/>
      <c r="Z331" s="66" t="n"/>
      <c r="AA331" s="66" t="n"/>
      <c r="AB331" s="66" t="n"/>
      <c r="AC331" s="66" t="n"/>
      <c r="AD331" s="72" t="n"/>
      <c r="AE331" s="66" t="n"/>
      <c r="AF331" s="67">
        <f>IF(AND(ISNUMBER(X331),ISNUMBER(Y331)),Y331-X331,"")</f>
        <v/>
      </c>
      <c r="AG331" s="68">
        <f>IF(ISNUMBER(AD331),AD331-(IF(AND(INDEX(TZ_DSTS,MATCH(P331,TZ_STN,0))&lt;&gt;"",(AD331-INDEX(TZ_STD,MATCH(P331,TZ_STN,0))/24)&gt;=INDEX(TZ_DSTS,MATCH(P331,TZ_STN,0)),(AD331-INDEX(TZ_STD,MATCH(P331,TZ_STN,0))/24)&lt;INDEX(TZ_DSTE,MATCH(P331,TZ_STN,0))),INDEX(TZ_DST,MATCH(P331,TZ_STN,0)),INDEX(TZ_STD,MATCH(P331,TZ_STN,0))))/24,"")</f>
        <v/>
      </c>
      <c r="AH331" s="71">
        <f>IF(N331="N/A – rule","N/A – RULE",IF(TRIM(U331)="N/A",IF(AT331=0,"INVALID – N/A not permitted for this mandatory check",IF(AND(TRIM(AC331)&lt;&gt;"",TRIM(AE331)&lt;&gt;"",TRIM(T331)&lt;&gt;""),"N/A – JUSTIFIED","INVALID – N/A needs justification, PIC and verifier")),IF(OR(TRIM(U331)="Pass",TRIM(U331)="Pass after CA"),IF(NOT(ISNUMBER(AD331)),"INVALID – completion time missing",IF(TRIM(T331)="","INVALID – PIC missing",IF(TRIM(Z331)="","INVALID – evidence missing",IF(TRIM(AE331)="","INVALID – verifier missing",IF(AND(AQ331=1,TRIM(W331)=""),"INVALID – batch ID missing",IF(AND(AR331=1,OR(NOT(ISNUMBER(X331)),NOT(ISNUMBER(Y331)))),"INVALID – expected/actual qty missing",IF(IF(AND(TRIM(U331)="Pass",ISNUMBER(AF331)),IF(AF331&lt;&gt;0,"INVALID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recorded/closed","")&lt;&gt;"",IF(AND(TRIM(U331)="Pass",ISNUMBER(AF331)),IF(AF331&lt;&gt;0,"INVALID – qty variance: use Fail or Pass after CA",""),"")&amp;IF(AND(TRIM(U331)="Pass",AB331="Open"),"INVALID – corrective action still open: use Fail, then Pass after CA","")&amp;IF(AND(TRIM(U331)="Pass after CA",OR(TRIM(AA331)="",AB331&lt;&gt;"Closed")),"INVALID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window"),IF(AG331&gt;Flights!$AA$14,"INVALID – completed after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f>
        <v/>
      </c>
      <c r="AI331" s="67">
        <f>IF(OR(AH331="N/A – RULE",AH331="N/A – JUSTIFIED"),0,1)</f>
        <v/>
      </c>
      <c r="AJ331" s="67">
        <f>IF(LEFT(AH331,8)="COMPLETE",1,0)</f>
        <v/>
      </c>
      <c r="AK331" s="67">
        <f>IF(AND(AI331=1,AJ331=0,AsOfUTC&gt;Q331),1,0)</f>
        <v/>
      </c>
      <c r="AL331" s="67">
        <f>IF(AND(AI331=1,OR(TRIM(U331)="Fail",AB331="Open",AND(ISNUMBER(AF331),AF331&lt;&gt;0,TRIM(U331)&lt;&gt;"Pass after CA"))),1,0)</f>
        <v/>
      </c>
      <c r="AM331" s="67">
        <f>IF(LEFT(AH331,7)="INVALID",1,0)</f>
        <v/>
      </c>
      <c r="AN331" s="67">
        <f>IF(AND(N331="Clarification required",AI331=1,AJ331=0),1,0)</f>
        <v/>
      </c>
      <c r="AO331" s="67">
        <f>IF(AK331=1,SUM(AK$5:AK331),"")</f>
        <v/>
      </c>
      <c r="AP331" s="67">
        <f>IF(AL331=1,SUM(AL$5:AL331),"")</f>
        <v/>
      </c>
      <c r="AQ331" s="67" t="n">
        <v>1</v>
      </c>
      <c r="AR331" s="67" t="n">
        <v>0</v>
      </c>
      <c r="AS331" s="67" t="n">
        <v>0</v>
      </c>
      <c r="AT331" s="67" t="n">
        <v>0</v>
      </c>
    </row>
    <row r="332" ht="40" customHeight="1">
      <c r="A332" s="63" t="inlineStr">
        <is>
          <t>F10-T12-01</t>
        </is>
      </c>
      <c r="B332" s="63" t="inlineStr">
        <is>
          <t>F10</t>
        </is>
      </c>
      <c r="C332" s="63">
        <f>Flights!$F$14</f>
        <v/>
      </c>
      <c r="D332" s="64">
        <f>Flights!$D$14</f>
        <v/>
      </c>
      <c r="E332" s="63">
        <f>Flights!$G$14&amp;"-"&amp;Flights!$H$14</f>
        <v/>
      </c>
      <c r="F332" s="63">
        <f>Flights!$K$14</f>
        <v/>
      </c>
      <c r="G332" s="63" t="inlineStr">
        <is>
          <t>T-12H PREP</t>
        </is>
      </c>
      <c r="H332" s="63" t="inlineStr">
        <is>
          <t>Preparation</t>
        </is>
      </c>
      <c r="I332" s="63" t="inlineStr">
        <is>
          <t>Meal</t>
        </is>
      </c>
      <c r="J332" s="63" t="inlineStr">
        <is>
          <t>Meal quality vs menu checklist</t>
        </is>
      </c>
      <c r="K332" s="73" t="inlineStr"/>
      <c r="L332" s="73" t="inlineStr">
        <is>
          <t>User brief (T-12 hours)</t>
        </is>
      </c>
      <c r="M332" s="73" t="inlineStr"/>
      <c r="N332" s="73" t="inlineStr">
        <is>
          <t>Required</t>
        </is>
      </c>
      <c r="O332" s="73" t="inlineStr">
        <is>
          <t>Preparation check at caterer - does NOT confirm loading.</t>
        </is>
      </c>
      <c r="P332" s="63" t="inlineStr">
        <is>
          <t>KUL</t>
        </is>
      </c>
      <c r="Q332" s="65">
        <f>Flights!$AE$14</f>
        <v/>
      </c>
      <c r="R332" s="65">
        <f>Q332+(IF(AND(INDEX(TZ_DSTS,MATCH(P332,TZ_STN,0))&lt;&gt;"",Q332&gt;=INDEX(TZ_DSTS,MATCH(P332,TZ_STN,0)),Q332&lt;INDEX(TZ_DSTE,MATCH(P332,TZ_STN,0))),INDEX(TZ_DST,MATCH(P332,TZ_STN,0)),INDEX(TZ_STD,MATCH(P332,TZ_STN,0))))/24</f>
        <v/>
      </c>
      <c r="S332" s="65">
        <f>Q332-T12EarlyH/24</f>
        <v/>
      </c>
      <c r="T332" s="66" t="n"/>
      <c r="U332" s="66" t="n"/>
      <c r="V332" s="66" t="n"/>
      <c r="W332" s="67" t="n"/>
      <c r="X332" s="66" t="n"/>
      <c r="Y332" s="66" t="n"/>
      <c r="Z332" s="66" t="n"/>
      <c r="AA332" s="66" t="n"/>
      <c r="AB332" s="66" t="n"/>
      <c r="AC332" s="66" t="n"/>
      <c r="AD332" s="72" t="n"/>
      <c r="AE332" s="66" t="n"/>
      <c r="AF332" s="67">
        <f>IF(AND(ISNUMBER(X332),ISNUMBER(Y332)),Y332-X332,"")</f>
        <v/>
      </c>
      <c r="AG332" s="68">
        <f>IF(ISNUMBER(AD332),AD332-(IF(AND(INDEX(TZ_DSTS,MATCH(P332,TZ_STN,0))&lt;&gt;"",(AD332-INDEX(TZ_STD,MATCH(P332,TZ_STN,0))/24)&gt;=INDEX(TZ_DSTS,MATCH(P332,TZ_STN,0)),(AD332-INDEX(TZ_STD,MATCH(P332,TZ_STN,0))/24)&lt;INDEX(TZ_DSTE,MATCH(P332,TZ_STN,0))),INDEX(TZ_DST,MATCH(P332,TZ_STN,0)),INDEX(TZ_STD,MATCH(P332,TZ_STN,0))))/24,"")</f>
        <v/>
      </c>
      <c r="AH332" s="71">
        <f>IF(N332="N/A – rule","N/A – RULE",IF(TRIM(U332)="N/A",IF(AT332=0,"INVALID – N/A not permitted for this mandatory check",IF(AND(TRIM(AC332)&lt;&gt;"",TRIM(AE332)&lt;&gt;"",TRIM(T332)&lt;&gt;""),"N/A – JUSTIFIED","INVALID – N/A needs justification, PIC and verifier")),IF(OR(TRIM(U332)="Pass",TRIM(U332)="Pass after CA"),IF(NOT(ISNUMBER(AD332)),"INVALID – completion time missing",IF(TRIM(T332)="","INVALID – PIC missing",IF(TRIM(Z332)="","INVALID – evidence missing",IF(TRIM(AE332)="","INVALID – verifier missing",IF(AND(AQ332=1,TRIM(W332)=""),"INVALID – batch ID missing",IF(AND(AR332=1,OR(NOT(ISNUMBER(X332)),NOT(ISNUMBER(Y332)))),"INVALID – expected/actual qty missing",IF(IF(AND(TRIM(U332)="Pass",ISNUMBER(AF332)),IF(AF332&lt;&gt;0,"INVALID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recorded/closed","")&lt;&gt;"",IF(AND(TRIM(U332)="Pass",ISNUMBER(AF332)),IF(AF332&lt;&gt;0,"INVALID – qty variance: use Fail or Pass after CA",""),"")&amp;IF(AND(TRIM(U332)="Pass",AB332="Open"),"INVALID – corrective action still open: use Fail, then Pass after CA","")&amp;IF(AND(TRIM(U332)="Pass after CA",OR(TRIM(AA332)="",AB332&lt;&gt;"Closed")),"INVALID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window"),IF(AG332&gt;Flights!$AA$14,"INVALID – completed after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f>
        <v/>
      </c>
      <c r="AI332" s="67">
        <f>IF(OR(AH332="N/A – RULE",AH332="N/A – JUSTIFIED"),0,1)</f>
        <v/>
      </c>
      <c r="AJ332" s="67">
        <f>IF(LEFT(AH332,8)="COMPLETE",1,0)</f>
        <v/>
      </c>
      <c r="AK332" s="67">
        <f>IF(AND(AI332=1,AJ332=0,AsOfUTC&gt;Q332),1,0)</f>
        <v/>
      </c>
      <c r="AL332" s="67">
        <f>IF(AND(AI332=1,OR(TRIM(U332)="Fail",AB332="Open",AND(ISNUMBER(AF332),AF332&lt;&gt;0,TRIM(U332)&lt;&gt;"Pass after CA"))),1,0)</f>
        <v/>
      </c>
      <c r="AM332" s="67">
        <f>IF(LEFT(AH332,7)="INVALID",1,0)</f>
        <v/>
      </c>
      <c r="AN332" s="67">
        <f>IF(AND(N332="Clarification required",AI332=1,AJ332=0),1,0)</f>
        <v/>
      </c>
      <c r="AO332" s="67">
        <f>IF(AK332=1,SUM(AK$5:AK332),"")</f>
        <v/>
      </c>
      <c r="AP332" s="67">
        <f>IF(AL332=1,SUM(AL$5:AL332),"")</f>
        <v/>
      </c>
      <c r="AQ332" s="67" t="n">
        <v>0</v>
      </c>
      <c r="AR332" s="67" t="n">
        <v>0</v>
      </c>
      <c r="AS332" s="67" t="n">
        <v>0</v>
      </c>
      <c r="AT332" s="67" t="n">
        <v>0</v>
      </c>
    </row>
    <row r="333" ht="40" customHeight="1">
      <c r="A333" s="63" t="inlineStr">
        <is>
          <t>F10-T12-02</t>
        </is>
      </c>
      <c r="B333" s="63" t="inlineStr">
        <is>
          <t>F10</t>
        </is>
      </c>
      <c r="C333" s="63">
        <f>Flights!$F$14</f>
        <v/>
      </c>
      <c r="D333" s="64">
        <f>Flights!$D$14</f>
        <v/>
      </c>
      <c r="E333" s="63">
        <f>Flights!$G$14&amp;"-"&amp;Flights!$H$14</f>
        <v/>
      </c>
      <c r="F333" s="63">
        <f>Flights!$K$14</f>
        <v/>
      </c>
      <c r="G333" s="63" t="inlineStr">
        <is>
          <t>T-12H PREP</t>
        </is>
      </c>
      <c r="H333" s="63" t="inlineStr">
        <is>
          <t>Preparation</t>
        </is>
      </c>
      <c r="I333" s="63" t="inlineStr">
        <is>
          <t>Meal</t>
        </is>
      </c>
      <c r="J333" s="63" t="inlineStr">
        <is>
          <t>Meal quantities vs menu checklist</t>
        </is>
      </c>
      <c r="K333" s="73" t="inlineStr">
        <is>
          <t>Enter expected &amp; actual</t>
        </is>
      </c>
      <c r="L333" s="73" t="inlineStr">
        <is>
          <t>User brief (T-12 hours)</t>
        </is>
      </c>
      <c r="M333" s="73" t="inlineStr"/>
      <c r="N333" s="73" t="inlineStr">
        <is>
          <t>Required</t>
        </is>
      </c>
      <c r="O333" s="73" t="inlineStr">
        <is>
          <t>Preparation check at caterer - does NOT confirm loading.</t>
        </is>
      </c>
      <c r="P333" s="63" t="inlineStr">
        <is>
          <t>KUL</t>
        </is>
      </c>
      <c r="Q333" s="65">
        <f>Flights!$AE$14</f>
        <v/>
      </c>
      <c r="R333" s="65">
        <f>Q333+(IF(AND(INDEX(TZ_DSTS,MATCH(P333,TZ_STN,0))&lt;&gt;"",Q333&gt;=INDEX(TZ_DSTS,MATCH(P333,TZ_STN,0)),Q333&lt;INDEX(TZ_DSTE,MATCH(P333,TZ_STN,0))),INDEX(TZ_DST,MATCH(P333,TZ_STN,0)),INDEX(TZ_STD,MATCH(P333,TZ_STN,0))))/24</f>
        <v/>
      </c>
      <c r="S333" s="65">
        <f>Q333-T12EarlyH/24</f>
        <v/>
      </c>
      <c r="T333" s="66" t="n"/>
      <c r="U333" s="66" t="n"/>
      <c r="V333" s="66" t="n"/>
      <c r="W333" s="67" t="n"/>
      <c r="X333" s="66" t="n"/>
      <c r="Y333" s="66" t="n"/>
      <c r="Z333" s="66" t="n"/>
      <c r="AA333" s="66" t="n"/>
      <c r="AB333" s="66" t="n"/>
      <c r="AC333" s="66" t="n"/>
      <c r="AD333" s="72" t="n"/>
      <c r="AE333" s="66" t="n"/>
      <c r="AF333" s="67">
        <f>IF(AND(ISNUMBER(X333),ISNUMBER(Y333)),Y333-X333,"")</f>
        <v/>
      </c>
      <c r="AG333" s="68">
        <f>IF(ISNUMBER(AD333),AD333-(IF(AND(INDEX(TZ_DSTS,MATCH(P333,TZ_STN,0))&lt;&gt;"",(AD333-INDEX(TZ_STD,MATCH(P333,TZ_STN,0))/24)&gt;=INDEX(TZ_DSTS,MATCH(P333,TZ_STN,0)),(AD333-INDEX(TZ_STD,MATCH(P333,TZ_STN,0))/24)&lt;INDEX(TZ_DSTE,MATCH(P333,TZ_STN,0))),INDEX(TZ_DST,MATCH(P333,TZ_STN,0)),INDEX(TZ_STD,MATCH(P333,TZ_STN,0))))/24,"")</f>
        <v/>
      </c>
      <c r="AH333" s="71">
        <f>IF(N333="N/A – rule","N/A – RULE",IF(TRIM(U333)="N/A",IF(AT333=0,"INVALID – N/A not permitted for this mandatory check",IF(AND(TRIM(AC333)&lt;&gt;"",TRIM(AE333)&lt;&gt;"",TRIM(T333)&lt;&gt;""),"N/A – JUSTIFIED","INVALID – N/A needs justification, PIC and verifier")),IF(OR(TRIM(U333)="Pass",TRIM(U333)="Pass after CA"),IF(NOT(ISNUMBER(AD333)),"INVALID – completion time missing",IF(TRIM(T333)="","INVALID – PIC missing",IF(TRIM(Z333)="","INVALID – evidence missing",IF(TRIM(AE333)="","INVALID – verifier missing",IF(AND(AQ333=1,TRIM(W333)=""),"INVALID – batch ID missing",IF(AND(AR333=1,OR(NOT(ISNUMBER(X333)),NOT(ISNUMBER(Y333)))),"INVALID – expected/actual qty missing",IF(IF(AND(TRIM(U333)="Pass",ISNUMBER(AF333)),IF(AF333&lt;&gt;0,"INVALID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recorded/closed","")&lt;&gt;"",IF(AND(TRIM(U333)="Pass",ISNUMBER(AF333)),IF(AF333&lt;&gt;0,"INVALID – qty variance: use Fail or Pass after CA",""),"")&amp;IF(AND(TRIM(U333)="Pass",AB333="Open"),"INVALID – corrective action still open: use Fail, then Pass after CA","")&amp;IF(AND(TRIM(U333)="Pass after CA",OR(TRIM(AA333)="",AB333&lt;&gt;"Closed")),"INVALID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window"),IF(AG333&gt;Flights!$AA$14,"INVALID – completed after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f>
        <v/>
      </c>
      <c r="AI333" s="67">
        <f>IF(OR(AH333="N/A – RULE",AH333="N/A – JUSTIFIED"),0,1)</f>
        <v/>
      </c>
      <c r="AJ333" s="67">
        <f>IF(LEFT(AH333,8)="COMPLETE",1,0)</f>
        <v/>
      </c>
      <c r="AK333" s="67">
        <f>IF(AND(AI333=1,AJ333=0,AsOfUTC&gt;Q333),1,0)</f>
        <v/>
      </c>
      <c r="AL333" s="67">
        <f>IF(AND(AI333=1,OR(TRIM(U333)="Fail",AB333="Open",AND(ISNUMBER(AF333),AF333&lt;&gt;0,TRIM(U333)&lt;&gt;"Pass after CA"))),1,0)</f>
        <v/>
      </c>
      <c r="AM333" s="67">
        <f>IF(LEFT(AH333,7)="INVALID",1,0)</f>
        <v/>
      </c>
      <c r="AN333" s="67">
        <f>IF(AND(N333="Clarification required",AI333=1,AJ333=0),1,0)</f>
        <v/>
      </c>
      <c r="AO333" s="67">
        <f>IF(AK333=1,SUM(AK$5:AK333),"")</f>
        <v/>
      </c>
      <c r="AP333" s="67">
        <f>IF(AL333=1,SUM(AL$5:AL333),"")</f>
        <v/>
      </c>
      <c r="AQ333" s="67" t="n">
        <v>0</v>
      </c>
      <c r="AR333" s="67" t="n">
        <v>1</v>
      </c>
      <c r="AS333" s="67" t="n">
        <v>0</v>
      </c>
      <c r="AT333" s="67" t="n">
        <v>0</v>
      </c>
    </row>
    <row r="334" ht="40" customHeight="1">
      <c r="A334" s="63" t="inlineStr">
        <is>
          <t>F10-T12-03</t>
        </is>
      </c>
      <c r="B334" s="63" t="inlineStr">
        <is>
          <t>F10</t>
        </is>
      </c>
      <c r="C334" s="63">
        <f>Flights!$F$14</f>
        <v/>
      </c>
      <c r="D334" s="64">
        <f>Flights!$D$14</f>
        <v/>
      </c>
      <c r="E334" s="63">
        <f>Flights!$G$14&amp;"-"&amp;Flights!$H$14</f>
        <v/>
      </c>
      <c r="F334" s="63">
        <f>Flights!$K$14</f>
        <v/>
      </c>
      <c r="G334" s="63" t="inlineStr">
        <is>
          <t>T-12H PREP</t>
        </is>
      </c>
      <c r="H334" s="63" t="inlineStr">
        <is>
          <t>Preparation</t>
        </is>
      </c>
      <c r="I334" s="63" t="inlineStr">
        <is>
          <t>Equipment</t>
        </is>
      </c>
      <c r="J334" s="63" t="inlineStr">
        <is>
          <t>Equipment cleanliness vs GLD</t>
        </is>
      </c>
      <c r="K334" s="73" t="inlineStr"/>
      <c r="L334" s="73" t="inlineStr">
        <is>
          <t>User brief (T-12 hours)</t>
        </is>
      </c>
      <c r="M334" s="73" t="inlineStr"/>
      <c r="N334" s="73" t="inlineStr">
        <is>
          <t>Required</t>
        </is>
      </c>
      <c r="O334" s="73" t="inlineStr">
        <is>
          <t>Preparation check at caterer - does NOT confirm loading.</t>
        </is>
      </c>
      <c r="P334" s="63" t="inlineStr">
        <is>
          <t>KUL</t>
        </is>
      </c>
      <c r="Q334" s="65">
        <f>Flights!$AE$14</f>
        <v/>
      </c>
      <c r="R334" s="65">
        <f>Q334+(IF(AND(INDEX(TZ_DSTS,MATCH(P334,TZ_STN,0))&lt;&gt;"",Q334&gt;=INDEX(TZ_DSTS,MATCH(P334,TZ_STN,0)),Q334&lt;INDEX(TZ_DSTE,MATCH(P334,TZ_STN,0))),INDEX(TZ_DST,MATCH(P334,TZ_STN,0)),INDEX(TZ_STD,MATCH(P334,TZ_STN,0))))/24</f>
        <v/>
      </c>
      <c r="S334" s="65">
        <f>Q334-T12EarlyH/24</f>
        <v/>
      </c>
      <c r="T334" s="66" t="n"/>
      <c r="U334" s="66" t="n"/>
      <c r="V334" s="66" t="n"/>
      <c r="W334" s="67" t="n"/>
      <c r="X334" s="66" t="n"/>
      <c r="Y334" s="66" t="n"/>
      <c r="Z334" s="66" t="n"/>
      <c r="AA334" s="66" t="n"/>
      <c r="AB334" s="66" t="n"/>
      <c r="AC334" s="66" t="n"/>
      <c r="AD334" s="72" t="n"/>
      <c r="AE334" s="66" t="n"/>
      <c r="AF334" s="67">
        <f>IF(AND(ISNUMBER(X334),ISNUMBER(Y334)),Y334-X334,"")</f>
        <v/>
      </c>
      <c r="AG334" s="68">
        <f>IF(ISNUMBER(AD334),AD334-(IF(AND(INDEX(TZ_DSTS,MATCH(P334,TZ_STN,0))&lt;&gt;"",(AD334-INDEX(TZ_STD,MATCH(P334,TZ_STN,0))/24)&gt;=INDEX(TZ_DSTS,MATCH(P334,TZ_STN,0)),(AD334-INDEX(TZ_STD,MATCH(P334,TZ_STN,0))/24)&lt;INDEX(TZ_DSTE,MATCH(P334,TZ_STN,0))),INDEX(TZ_DST,MATCH(P334,TZ_STN,0)),INDEX(TZ_STD,MATCH(P334,TZ_STN,0))))/24,"")</f>
        <v/>
      </c>
      <c r="AH334" s="71">
        <f>IF(N334="N/A – rule","N/A – RULE",IF(TRIM(U334)="N/A",IF(AT334=0,"INVALID – N/A not permitted for this mandatory check",IF(AND(TRIM(AC334)&lt;&gt;"",TRIM(AE334)&lt;&gt;"",TRIM(T334)&lt;&gt;""),"N/A – JUSTIFIED","INVALID – N/A needs justification, PIC and verifier")),IF(OR(TRIM(U334)="Pass",TRIM(U334)="Pass after CA"),IF(NOT(ISNUMBER(AD334)),"INVALID – completion time missing",IF(TRIM(T334)="","INVALID – PIC missing",IF(TRIM(Z334)="","INVALID – evidence missing",IF(TRIM(AE334)="","INVALID – verifier missing",IF(AND(AQ334=1,TRIM(W334)=""),"INVALID – batch ID missing",IF(AND(AR334=1,OR(NOT(ISNUMBER(X334)),NOT(ISNUMBER(Y334)))),"INVALID – expected/actual qty missing",IF(IF(AND(TRIM(U334)="Pass",ISNUMBER(AF334)),IF(AF334&lt;&gt;0,"INVALID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recorded/closed","")&lt;&gt;"",IF(AND(TRIM(U334)="Pass",ISNUMBER(AF334)),IF(AF334&lt;&gt;0,"INVALID – qty variance: use Fail or Pass after CA",""),"")&amp;IF(AND(TRIM(U334)="Pass",AB334="Open"),"INVALID – corrective action still open: use Fail, then Pass after CA","")&amp;IF(AND(TRIM(U334)="Pass after CA",OR(TRIM(AA334)="",AB334&lt;&gt;"Closed")),"INVALID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window"),IF(AG334&gt;Flights!$AA$14,"INVALID – completed after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f>
        <v/>
      </c>
      <c r="AI334" s="67">
        <f>IF(OR(AH334="N/A – RULE",AH334="N/A – JUSTIFIED"),0,1)</f>
        <v/>
      </c>
      <c r="AJ334" s="67">
        <f>IF(LEFT(AH334,8)="COMPLETE",1,0)</f>
        <v/>
      </c>
      <c r="AK334" s="67">
        <f>IF(AND(AI334=1,AJ334=0,AsOfUTC&gt;Q334),1,0)</f>
        <v/>
      </c>
      <c r="AL334" s="67">
        <f>IF(AND(AI334=1,OR(TRIM(U334)="Fail",AB334="Open",AND(ISNUMBER(AF334),AF334&lt;&gt;0,TRIM(U334)&lt;&gt;"Pass after CA"))),1,0)</f>
        <v/>
      </c>
      <c r="AM334" s="67">
        <f>IF(LEFT(AH334,7)="INVALID",1,0)</f>
        <v/>
      </c>
      <c r="AN334" s="67">
        <f>IF(AND(N334="Clarification required",AI334=1,AJ334=0),1,0)</f>
        <v/>
      </c>
      <c r="AO334" s="67">
        <f>IF(AK334=1,SUM(AK$5:AK334),"")</f>
        <v/>
      </c>
      <c r="AP334" s="67">
        <f>IF(AL334=1,SUM(AL$5:AL334),"")</f>
        <v/>
      </c>
      <c r="AQ334" s="67" t="n">
        <v>0</v>
      </c>
      <c r="AR334" s="67" t="n">
        <v>0</v>
      </c>
      <c r="AS334" s="67" t="n">
        <v>0</v>
      </c>
      <c r="AT334" s="67" t="n">
        <v>0</v>
      </c>
    </row>
    <row r="335" ht="40" customHeight="1">
      <c r="A335" s="63" t="inlineStr">
        <is>
          <t>F10-T12-04</t>
        </is>
      </c>
      <c r="B335" s="63" t="inlineStr">
        <is>
          <t>F10</t>
        </is>
      </c>
      <c r="C335" s="63">
        <f>Flights!$F$14</f>
        <v/>
      </c>
      <c r="D335" s="64">
        <f>Flights!$D$14</f>
        <v/>
      </c>
      <c r="E335" s="63">
        <f>Flights!$G$14&amp;"-"&amp;Flights!$H$14</f>
        <v/>
      </c>
      <c r="F335" s="63">
        <f>Flights!$K$14</f>
        <v/>
      </c>
      <c r="G335" s="63" t="inlineStr">
        <is>
          <t>T-12H PREP</t>
        </is>
      </c>
      <c r="H335" s="63" t="inlineStr">
        <is>
          <t>Preparation</t>
        </is>
      </c>
      <c r="I335" s="63" t="inlineStr">
        <is>
          <t>Equipment</t>
        </is>
      </c>
      <c r="J335" s="63" t="inlineStr">
        <is>
          <t>Equipment presentation vs GLD</t>
        </is>
      </c>
      <c r="K335" s="73" t="inlineStr"/>
      <c r="L335" s="73" t="inlineStr">
        <is>
          <t>User brief (T-12 hours)</t>
        </is>
      </c>
      <c r="M335" s="73" t="inlineStr"/>
      <c r="N335" s="73" t="inlineStr">
        <is>
          <t>Required</t>
        </is>
      </c>
      <c r="O335" s="73" t="inlineStr">
        <is>
          <t>Preparation check at caterer - does NOT confirm loading.</t>
        </is>
      </c>
      <c r="P335" s="63" t="inlineStr">
        <is>
          <t>KUL</t>
        </is>
      </c>
      <c r="Q335" s="65">
        <f>Flights!$AE$14</f>
        <v/>
      </c>
      <c r="R335" s="65">
        <f>Q335+(IF(AND(INDEX(TZ_DSTS,MATCH(P335,TZ_STN,0))&lt;&gt;"",Q335&gt;=INDEX(TZ_DSTS,MATCH(P335,TZ_STN,0)),Q335&lt;INDEX(TZ_DSTE,MATCH(P335,TZ_STN,0))),INDEX(TZ_DST,MATCH(P335,TZ_STN,0)),INDEX(TZ_STD,MATCH(P335,TZ_STN,0))))/24</f>
        <v/>
      </c>
      <c r="S335" s="65">
        <f>Q335-T12EarlyH/24</f>
        <v/>
      </c>
      <c r="T335" s="66" t="n"/>
      <c r="U335" s="66" t="n"/>
      <c r="V335" s="66" t="n"/>
      <c r="W335" s="67" t="n"/>
      <c r="X335" s="66" t="n"/>
      <c r="Y335" s="66" t="n"/>
      <c r="Z335" s="66" t="n"/>
      <c r="AA335" s="66" t="n"/>
      <c r="AB335" s="66" t="n"/>
      <c r="AC335" s="66" t="n"/>
      <c r="AD335" s="72" t="n"/>
      <c r="AE335" s="66" t="n"/>
      <c r="AF335" s="67">
        <f>IF(AND(ISNUMBER(X335),ISNUMBER(Y335)),Y335-X335,"")</f>
        <v/>
      </c>
      <c r="AG335" s="68">
        <f>IF(ISNUMBER(AD335),AD335-(IF(AND(INDEX(TZ_DSTS,MATCH(P335,TZ_STN,0))&lt;&gt;"",(AD335-INDEX(TZ_STD,MATCH(P335,TZ_STN,0))/24)&gt;=INDEX(TZ_DSTS,MATCH(P335,TZ_STN,0)),(AD335-INDEX(TZ_STD,MATCH(P335,TZ_STN,0))/24)&lt;INDEX(TZ_DSTE,MATCH(P335,TZ_STN,0))),INDEX(TZ_DST,MATCH(P335,TZ_STN,0)),INDEX(TZ_STD,MATCH(P335,TZ_STN,0))))/24,"")</f>
        <v/>
      </c>
      <c r="AH335" s="71">
        <f>IF(N335="N/A – rule","N/A – RULE",IF(TRIM(U335)="N/A",IF(AT335=0,"INVALID – N/A not permitted for this mandatory check",IF(AND(TRIM(AC335)&lt;&gt;"",TRIM(AE335)&lt;&gt;"",TRIM(T335)&lt;&gt;""),"N/A – JUSTIFIED","INVALID – N/A needs justification, PIC and verifier")),IF(OR(TRIM(U335)="Pass",TRIM(U335)="Pass after CA"),IF(NOT(ISNUMBER(AD335)),"INVALID – completion time missing",IF(TRIM(T335)="","INVALID – PIC missing",IF(TRIM(Z335)="","INVALID – evidence missing",IF(TRIM(AE335)="","INVALID – verifier missing",IF(AND(AQ335=1,TRIM(W335)=""),"INVALID – batch ID missing",IF(AND(AR335=1,OR(NOT(ISNUMBER(X335)),NOT(ISNUMBER(Y335)))),"INVALID – expected/actual qty missing",IF(IF(AND(TRIM(U335)="Pass",ISNUMBER(AF335)),IF(AF335&lt;&gt;0,"INVALID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recorded/closed","")&lt;&gt;"",IF(AND(TRIM(U335)="Pass",ISNUMBER(AF335)),IF(AF335&lt;&gt;0,"INVALID – qty variance: use Fail or Pass after CA",""),"")&amp;IF(AND(TRIM(U335)="Pass",AB335="Open"),"INVALID – corrective action still open: use Fail, then Pass after CA","")&amp;IF(AND(TRIM(U335)="Pass after CA",OR(TRIM(AA335)="",AB335&lt;&gt;"Closed")),"INVALID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window"),IF(AG335&gt;Flights!$AA$14,"INVALID – completed after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f>
        <v/>
      </c>
      <c r="AI335" s="67">
        <f>IF(OR(AH335="N/A – RULE",AH335="N/A – JUSTIFIED"),0,1)</f>
        <v/>
      </c>
      <c r="AJ335" s="67">
        <f>IF(LEFT(AH335,8)="COMPLETE",1,0)</f>
        <v/>
      </c>
      <c r="AK335" s="67">
        <f>IF(AND(AI335=1,AJ335=0,AsOfUTC&gt;Q335),1,0)</f>
        <v/>
      </c>
      <c r="AL335" s="67">
        <f>IF(AND(AI335=1,OR(TRIM(U335)="Fail",AB335="Open",AND(ISNUMBER(AF335),AF335&lt;&gt;0,TRIM(U335)&lt;&gt;"Pass after CA"))),1,0)</f>
        <v/>
      </c>
      <c r="AM335" s="67">
        <f>IF(LEFT(AH335,7)="INVALID",1,0)</f>
        <v/>
      </c>
      <c r="AN335" s="67">
        <f>IF(AND(N335="Clarification required",AI335=1,AJ335=0),1,0)</f>
        <v/>
      </c>
      <c r="AO335" s="67">
        <f>IF(AK335=1,SUM(AK$5:AK335),"")</f>
        <v/>
      </c>
      <c r="AP335" s="67">
        <f>IF(AL335=1,SUM(AL$5:AL335),"")</f>
        <v/>
      </c>
      <c r="AQ335" s="67" t="n">
        <v>0</v>
      </c>
      <c r="AR335" s="67" t="n">
        <v>0</v>
      </c>
      <c r="AS335" s="67" t="n">
        <v>0</v>
      </c>
      <c r="AT335" s="67" t="n">
        <v>0</v>
      </c>
    </row>
    <row r="336" ht="40" customHeight="1">
      <c r="A336" s="63" t="inlineStr">
        <is>
          <t>F10-T12-05</t>
        </is>
      </c>
      <c r="B336" s="63" t="inlineStr">
        <is>
          <t>F10</t>
        </is>
      </c>
      <c r="C336" s="63">
        <f>Flights!$F$14</f>
        <v/>
      </c>
      <c r="D336" s="64">
        <f>Flights!$D$14</f>
        <v/>
      </c>
      <c r="E336" s="63">
        <f>Flights!$G$14&amp;"-"&amp;Flights!$H$14</f>
        <v/>
      </c>
      <c r="F336" s="63">
        <f>Flights!$K$14</f>
        <v/>
      </c>
      <c r="G336" s="63" t="inlineStr">
        <is>
          <t>T-12H PREP</t>
        </is>
      </c>
      <c r="H336" s="63" t="inlineStr">
        <is>
          <t>Preparation</t>
        </is>
      </c>
      <c r="I336" s="63" t="inlineStr">
        <is>
          <t>Equipment</t>
        </is>
      </c>
      <c r="J336" s="63" t="inlineStr">
        <is>
          <t>Equipment serviceability vs GLD</t>
        </is>
      </c>
      <c r="K336" s="73" t="inlineStr"/>
      <c r="L336" s="73" t="inlineStr">
        <is>
          <t>User brief (T-12 hours)</t>
        </is>
      </c>
      <c r="M336" s="73" t="inlineStr"/>
      <c r="N336" s="73" t="inlineStr">
        <is>
          <t>Required</t>
        </is>
      </c>
      <c r="O336" s="73" t="inlineStr">
        <is>
          <t>Preparation check at caterer - does NOT confirm loading.</t>
        </is>
      </c>
      <c r="P336" s="63" t="inlineStr">
        <is>
          <t>KUL</t>
        </is>
      </c>
      <c r="Q336" s="65">
        <f>Flights!$AE$14</f>
        <v/>
      </c>
      <c r="R336" s="65">
        <f>Q336+(IF(AND(INDEX(TZ_DSTS,MATCH(P336,TZ_STN,0))&lt;&gt;"",Q336&gt;=INDEX(TZ_DSTS,MATCH(P336,TZ_STN,0)),Q336&lt;INDEX(TZ_DSTE,MATCH(P336,TZ_STN,0))),INDEX(TZ_DST,MATCH(P336,TZ_STN,0)),INDEX(TZ_STD,MATCH(P336,TZ_STN,0))))/24</f>
        <v/>
      </c>
      <c r="S336" s="65">
        <f>Q336-T12EarlyH/24</f>
        <v/>
      </c>
      <c r="T336" s="66" t="n"/>
      <c r="U336" s="66" t="n"/>
      <c r="V336" s="66" t="n"/>
      <c r="W336" s="67" t="n"/>
      <c r="X336" s="66" t="n"/>
      <c r="Y336" s="66" t="n"/>
      <c r="Z336" s="66" t="n"/>
      <c r="AA336" s="66" t="n"/>
      <c r="AB336" s="66" t="n"/>
      <c r="AC336" s="66" t="n"/>
      <c r="AD336" s="72" t="n"/>
      <c r="AE336" s="66" t="n"/>
      <c r="AF336" s="67">
        <f>IF(AND(ISNUMBER(X336),ISNUMBER(Y336)),Y336-X336,"")</f>
        <v/>
      </c>
      <c r="AG336" s="68">
        <f>IF(ISNUMBER(AD336),AD336-(IF(AND(INDEX(TZ_DSTS,MATCH(P336,TZ_STN,0))&lt;&gt;"",(AD336-INDEX(TZ_STD,MATCH(P336,TZ_STN,0))/24)&gt;=INDEX(TZ_DSTS,MATCH(P336,TZ_STN,0)),(AD336-INDEX(TZ_STD,MATCH(P336,TZ_STN,0))/24)&lt;INDEX(TZ_DSTE,MATCH(P336,TZ_STN,0))),INDEX(TZ_DST,MATCH(P336,TZ_STN,0)),INDEX(TZ_STD,MATCH(P336,TZ_STN,0))))/24,"")</f>
        <v/>
      </c>
      <c r="AH336" s="71">
        <f>IF(N336="N/A – rule","N/A – RULE",IF(TRIM(U336)="N/A",IF(AT336=0,"INVALID – N/A not permitted for this mandatory check",IF(AND(TRIM(AC336)&lt;&gt;"",TRIM(AE336)&lt;&gt;"",TRIM(T336)&lt;&gt;""),"N/A – JUSTIFIED","INVALID – N/A needs justification, PIC and verifier")),IF(OR(TRIM(U336)="Pass",TRIM(U336)="Pass after CA"),IF(NOT(ISNUMBER(AD336)),"INVALID – completion time missing",IF(TRIM(T336)="","INVALID – PIC missing",IF(TRIM(Z336)="","INVALID – evidence missing",IF(TRIM(AE336)="","INVALID – verifier missing",IF(AND(AQ336=1,TRIM(W336)=""),"INVALID – batch ID missing",IF(AND(AR336=1,OR(NOT(ISNUMBER(X336)),NOT(ISNUMBER(Y336)))),"INVALID – expected/actual qty missing",IF(IF(AND(TRIM(U336)="Pass",ISNUMBER(AF336)),IF(AF336&lt;&gt;0,"INVALID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recorded/closed","")&lt;&gt;"",IF(AND(TRIM(U336)="Pass",ISNUMBER(AF336)),IF(AF336&lt;&gt;0,"INVALID – qty variance: use Fail or Pass after CA",""),"")&amp;IF(AND(TRIM(U336)="Pass",AB336="Open"),"INVALID – corrective action still open: use Fail, then Pass after CA","")&amp;IF(AND(TRIM(U336)="Pass after CA",OR(TRIM(AA336)="",AB336&lt;&gt;"Closed")),"INVALID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window"),IF(AG336&gt;Flights!$AA$14,"INVALID – completed after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f>
        <v/>
      </c>
      <c r="AI336" s="67">
        <f>IF(OR(AH336="N/A – RULE",AH336="N/A – JUSTIFIED"),0,1)</f>
        <v/>
      </c>
      <c r="AJ336" s="67">
        <f>IF(LEFT(AH336,8)="COMPLETE",1,0)</f>
        <v/>
      </c>
      <c r="AK336" s="67">
        <f>IF(AND(AI336=1,AJ336=0,AsOfUTC&gt;Q336),1,0)</f>
        <v/>
      </c>
      <c r="AL336" s="67">
        <f>IF(AND(AI336=1,OR(TRIM(U336)="Fail",AB336="Open",AND(ISNUMBER(AF336),AF336&lt;&gt;0,TRIM(U336)&lt;&gt;"Pass after CA"))),1,0)</f>
        <v/>
      </c>
      <c r="AM336" s="67">
        <f>IF(LEFT(AH336,7)="INVALID",1,0)</f>
        <v/>
      </c>
      <c r="AN336" s="67">
        <f>IF(AND(N336="Clarification required",AI336=1,AJ336=0),1,0)</f>
        <v/>
      </c>
      <c r="AO336" s="67">
        <f>IF(AK336=1,SUM(AK$5:AK336),"")</f>
        <v/>
      </c>
      <c r="AP336" s="67">
        <f>IF(AL336=1,SUM(AL$5:AL336),"")</f>
        <v/>
      </c>
      <c r="AQ336" s="67" t="n">
        <v>0</v>
      </c>
      <c r="AR336" s="67" t="n">
        <v>0</v>
      </c>
      <c r="AS336" s="67" t="n">
        <v>0</v>
      </c>
      <c r="AT336" s="67" t="n">
        <v>0</v>
      </c>
    </row>
    <row r="337" ht="79" customHeight="1">
      <c r="A337" s="63" t="inlineStr">
        <is>
          <t>F10-T12-06</t>
        </is>
      </c>
      <c r="B337" s="63" t="inlineStr">
        <is>
          <t>F10</t>
        </is>
      </c>
      <c r="C337" s="63">
        <f>Flights!$F$14</f>
        <v/>
      </c>
      <c r="D337" s="64">
        <f>Flights!$D$14</f>
        <v/>
      </c>
      <c r="E337" s="63">
        <f>Flights!$G$14&amp;"-"&amp;Flights!$H$14</f>
        <v/>
      </c>
      <c r="F337" s="63">
        <f>Flights!$K$14</f>
        <v/>
      </c>
      <c r="G337" s="63" t="inlineStr">
        <is>
          <t>T-12H PREP</t>
        </is>
      </c>
      <c r="H337" s="63" t="inlineStr">
        <is>
          <t>Preparation</t>
        </is>
      </c>
      <c r="I337" s="63" t="inlineStr">
        <is>
          <t>Equipment</t>
        </is>
      </c>
      <c r="J337" s="63" t="inlineStr">
        <is>
          <t>Equipment quantities vs GLD</t>
        </is>
      </c>
      <c r="K337" s="73" t="inlineStr">
        <is>
          <t>Enter expected &amp; actual. Aircraft galley data: B737-8 (B7M8): carts 10.5, SU 25, ovens 6, warming ovens -, fridges -, water heaters 3, beverage makers -, espresso -, folding trolleys -, headsets - (AIRCRAFT TYPE!C16:R16)</t>
        </is>
      </c>
      <c r="L337" s="73" t="inlineStr">
        <is>
          <t>User brief (T-12 hours)</t>
        </is>
      </c>
      <c r="M337" s="73" t="inlineStr"/>
      <c r="N337" s="73" t="inlineStr">
        <is>
          <t>Required</t>
        </is>
      </c>
      <c r="O337" s="73" t="inlineStr">
        <is>
          <t>Preparation check at caterer - does NOT confirm loading.</t>
        </is>
      </c>
      <c r="P337" s="63" t="inlineStr">
        <is>
          <t>KUL</t>
        </is>
      </c>
      <c r="Q337" s="65">
        <f>Flights!$AE$14</f>
        <v/>
      </c>
      <c r="R337" s="65">
        <f>Q337+(IF(AND(INDEX(TZ_DSTS,MATCH(P337,TZ_STN,0))&lt;&gt;"",Q337&gt;=INDEX(TZ_DSTS,MATCH(P337,TZ_STN,0)),Q337&lt;INDEX(TZ_DSTE,MATCH(P337,TZ_STN,0))),INDEX(TZ_DST,MATCH(P337,TZ_STN,0)),INDEX(TZ_STD,MATCH(P337,TZ_STN,0))))/24</f>
        <v/>
      </c>
      <c r="S337" s="65">
        <f>Q337-T12EarlyH/24</f>
        <v/>
      </c>
      <c r="T337" s="66" t="n"/>
      <c r="U337" s="66" t="n"/>
      <c r="V337" s="66" t="n"/>
      <c r="W337" s="67" t="n"/>
      <c r="X337" s="66" t="n"/>
      <c r="Y337" s="66" t="n"/>
      <c r="Z337" s="66" t="n"/>
      <c r="AA337" s="66" t="n"/>
      <c r="AB337" s="66" t="n"/>
      <c r="AC337" s="66" t="n"/>
      <c r="AD337" s="72" t="n"/>
      <c r="AE337" s="66" t="n"/>
      <c r="AF337" s="67">
        <f>IF(AND(ISNUMBER(X337),ISNUMBER(Y337)),Y337-X337,"")</f>
        <v/>
      </c>
      <c r="AG337" s="68">
        <f>IF(ISNUMBER(AD337),AD337-(IF(AND(INDEX(TZ_DSTS,MATCH(P337,TZ_STN,0))&lt;&gt;"",(AD337-INDEX(TZ_STD,MATCH(P337,TZ_STN,0))/24)&gt;=INDEX(TZ_DSTS,MATCH(P337,TZ_STN,0)),(AD337-INDEX(TZ_STD,MATCH(P337,TZ_STN,0))/24)&lt;INDEX(TZ_DSTE,MATCH(P337,TZ_STN,0))),INDEX(TZ_DST,MATCH(P337,TZ_STN,0)),INDEX(TZ_STD,MATCH(P337,TZ_STN,0))))/24,"")</f>
        <v/>
      </c>
      <c r="AH337" s="71">
        <f>IF(N337="N/A – rule","N/A – RULE",IF(TRIM(U337)="N/A",IF(AT337=0,"INVALID – N/A not permitted for this mandatory check",IF(AND(TRIM(AC337)&lt;&gt;"",TRIM(AE337)&lt;&gt;"",TRIM(T337)&lt;&gt;""),"N/A – JUSTIFIED","INVALID – N/A needs justification, PIC and verifier")),IF(OR(TRIM(U337)="Pass",TRIM(U337)="Pass after CA"),IF(NOT(ISNUMBER(AD337)),"INVALID – completion time missing",IF(TRIM(T337)="","INVALID – PIC missing",IF(TRIM(Z337)="","INVALID – evidence missing",IF(TRIM(AE337)="","INVALID – verifier missing",IF(AND(AQ337=1,TRIM(W337)=""),"INVALID – batch ID missing",IF(AND(AR337=1,OR(NOT(ISNUMBER(X337)),NOT(ISNUMBER(Y337)))),"INVALID – expected/actual qty missing",IF(IF(AND(TRIM(U337)="Pass",ISNUMBER(AF337)),IF(AF337&lt;&gt;0,"INVALID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recorded/closed","")&lt;&gt;"",IF(AND(TRIM(U337)="Pass",ISNUMBER(AF337)),IF(AF337&lt;&gt;0,"INVALID – qty variance: use Fail or Pass after CA",""),"")&amp;IF(AND(TRIM(U337)="Pass",AB337="Open"),"INVALID – corrective action still open: use Fail, then Pass after CA","")&amp;IF(AND(TRIM(U337)="Pass after CA",OR(TRIM(AA337)="",AB337&lt;&gt;"Closed")),"INVALID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window"),IF(AG337&gt;Flights!$AA$14,"INVALID – completed after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f>
        <v/>
      </c>
      <c r="AI337" s="67">
        <f>IF(OR(AH337="N/A – RULE",AH337="N/A – JUSTIFIED"),0,1)</f>
        <v/>
      </c>
      <c r="AJ337" s="67">
        <f>IF(LEFT(AH337,8)="COMPLETE",1,0)</f>
        <v/>
      </c>
      <c r="AK337" s="67">
        <f>IF(AND(AI337=1,AJ337=0,AsOfUTC&gt;Q337),1,0)</f>
        <v/>
      </c>
      <c r="AL337" s="67">
        <f>IF(AND(AI337=1,OR(TRIM(U337)="Fail",AB337="Open",AND(ISNUMBER(AF337),AF337&lt;&gt;0,TRIM(U337)&lt;&gt;"Pass after CA"))),1,0)</f>
        <v/>
      </c>
      <c r="AM337" s="67">
        <f>IF(LEFT(AH337,7)="INVALID",1,0)</f>
        <v/>
      </c>
      <c r="AN337" s="67">
        <f>IF(AND(N337="Clarification required",AI337=1,AJ337=0),1,0)</f>
        <v/>
      </c>
      <c r="AO337" s="67">
        <f>IF(AK337=1,SUM(AK$5:AK337),"")</f>
        <v/>
      </c>
      <c r="AP337" s="67">
        <f>IF(AL337=1,SUM(AL$5:AL337),"")</f>
        <v/>
      </c>
      <c r="AQ337" s="67" t="n">
        <v>0</v>
      </c>
      <c r="AR337" s="67" t="n">
        <v>1</v>
      </c>
      <c r="AS337" s="67" t="n">
        <v>0</v>
      </c>
      <c r="AT337" s="67" t="n">
        <v>0</v>
      </c>
    </row>
    <row r="338" ht="40" customHeight="1">
      <c r="A338" s="63" t="inlineStr">
        <is>
          <t>F10-T12-07</t>
        </is>
      </c>
      <c r="B338" s="63" t="inlineStr">
        <is>
          <t>F10</t>
        </is>
      </c>
      <c r="C338" s="63">
        <f>Flights!$F$14</f>
        <v/>
      </c>
      <c r="D338" s="64">
        <f>Flights!$D$14</f>
        <v/>
      </c>
      <c r="E338" s="63">
        <f>Flights!$G$14&amp;"-"&amp;Flights!$H$14</f>
        <v/>
      </c>
      <c r="F338" s="63">
        <f>Flights!$K$14</f>
        <v/>
      </c>
      <c r="G338" s="63" t="inlineStr">
        <is>
          <t>T-12H PREP</t>
        </is>
      </c>
      <c r="H338" s="63" t="inlineStr">
        <is>
          <t>Preparation</t>
        </is>
      </c>
      <c r="I338" s="63" t="inlineStr">
        <is>
          <t>Equipment</t>
        </is>
      </c>
      <c r="J338" s="63" t="inlineStr">
        <is>
          <t>Loading positions planned vs GLD</t>
        </is>
      </c>
      <c r="K338" s="73" t="inlineStr"/>
      <c r="L338" s="73" t="inlineStr">
        <is>
          <t>User brief (T-12 hours)</t>
        </is>
      </c>
      <c r="M338" s="73" t="inlineStr"/>
      <c r="N338" s="73" t="inlineStr">
        <is>
          <t>Required</t>
        </is>
      </c>
      <c r="O338" s="73" t="inlineStr">
        <is>
          <t>Preparation check at caterer - does NOT confirm loading.</t>
        </is>
      </c>
      <c r="P338" s="63" t="inlineStr">
        <is>
          <t>KUL</t>
        </is>
      </c>
      <c r="Q338" s="65">
        <f>Flights!$AE$14</f>
        <v/>
      </c>
      <c r="R338" s="65">
        <f>Q338+(IF(AND(INDEX(TZ_DSTS,MATCH(P338,TZ_STN,0))&lt;&gt;"",Q338&gt;=INDEX(TZ_DSTS,MATCH(P338,TZ_STN,0)),Q338&lt;INDEX(TZ_DSTE,MATCH(P338,TZ_STN,0))),INDEX(TZ_DST,MATCH(P338,TZ_STN,0)),INDEX(TZ_STD,MATCH(P338,TZ_STN,0))))/24</f>
        <v/>
      </c>
      <c r="S338" s="65">
        <f>Q338-T12EarlyH/24</f>
        <v/>
      </c>
      <c r="T338" s="66" t="n"/>
      <c r="U338" s="66" t="n"/>
      <c r="V338" s="66" t="n"/>
      <c r="W338" s="67" t="n"/>
      <c r="X338" s="66" t="n"/>
      <c r="Y338" s="66" t="n"/>
      <c r="Z338" s="66" t="n"/>
      <c r="AA338" s="66" t="n"/>
      <c r="AB338" s="66" t="n"/>
      <c r="AC338" s="66" t="n"/>
      <c r="AD338" s="72" t="n"/>
      <c r="AE338" s="66" t="n"/>
      <c r="AF338" s="67">
        <f>IF(AND(ISNUMBER(X338),ISNUMBER(Y338)),Y338-X338,"")</f>
        <v/>
      </c>
      <c r="AG338" s="68">
        <f>IF(ISNUMBER(AD338),AD338-(IF(AND(INDEX(TZ_DSTS,MATCH(P338,TZ_STN,0))&lt;&gt;"",(AD338-INDEX(TZ_STD,MATCH(P338,TZ_STN,0))/24)&gt;=INDEX(TZ_DSTS,MATCH(P338,TZ_STN,0)),(AD338-INDEX(TZ_STD,MATCH(P338,TZ_STN,0))/24)&lt;INDEX(TZ_DSTE,MATCH(P338,TZ_STN,0))),INDEX(TZ_DST,MATCH(P338,TZ_STN,0)),INDEX(TZ_STD,MATCH(P338,TZ_STN,0))))/24,"")</f>
        <v/>
      </c>
      <c r="AH338" s="71">
        <f>IF(N338="N/A – rule","N/A – RULE",IF(TRIM(U338)="N/A",IF(AT338=0,"INVALID – N/A not permitted for this mandatory check",IF(AND(TRIM(AC338)&lt;&gt;"",TRIM(AE338)&lt;&gt;"",TRIM(T338)&lt;&gt;""),"N/A – JUSTIFIED","INVALID – N/A needs justification, PIC and verifier")),IF(OR(TRIM(U338)="Pass",TRIM(U338)="Pass after CA"),IF(NOT(ISNUMBER(AD338)),"INVALID – completion time missing",IF(TRIM(T338)="","INVALID – PIC missing",IF(TRIM(Z338)="","INVALID – evidence missing",IF(TRIM(AE338)="","INVALID – verifier missing",IF(AND(AQ338=1,TRIM(W338)=""),"INVALID – batch ID missing",IF(AND(AR338=1,OR(NOT(ISNUMBER(X338)),NOT(ISNUMBER(Y338)))),"INVALID – expected/actual qty missing",IF(IF(AND(TRIM(U338)="Pass",ISNUMBER(AF338)),IF(AF338&lt;&gt;0,"INVALID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recorded/closed","")&lt;&gt;"",IF(AND(TRIM(U338)="Pass",ISNUMBER(AF338)),IF(AF338&lt;&gt;0,"INVALID – qty variance: use Fail or Pass after CA",""),"")&amp;IF(AND(TRIM(U338)="Pass",AB338="Open"),"INVALID – corrective action still open: use Fail, then Pass after CA","")&amp;IF(AND(TRIM(U338)="Pass after CA",OR(TRIM(AA338)="",AB338&lt;&gt;"Closed")),"INVALID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window"),IF(AG338&gt;Flights!$AA$14,"INVALID – completed after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f>
        <v/>
      </c>
      <c r="AI338" s="67">
        <f>IF(OR(AH338="N/A – RULE",AH338="N/A – JUSTIFIED"),0,1)</f>
        <v/>
      </c>
      <c r="AJ338" s="67">
        <f>IF(LEFT(AH338,8)="COMPLETE",1,0)</f>
        <v/>
      </c>
      <c r="AK338" s="67">
        <f>IF(AND(AI338=1,AJ338=0,AsOfUTC&gt;Q338),1,0)</f>
        <v/>
      </c>
      <c r="AL338" s="67">
        <f>IF(AND(AI338=1,OR(TRIM(U338)="Fail",AB338="Open",AND(ISNUMBER(AF338),AF338&lt;&gt;0,TRIM(U338)&lt;&gt;"Pass after CA"))),1,0)</f>
        <v/>
      </c>
      <c r="AM338" s="67">
        <f>IF(LEFT(AH338,7)="INVALID",1,0)</f>
        <v/>
      </c>
      <c r="AN338" s="67">
        <f>IF(AND(N338="Clarification required",AI338=1,AJ338=0),1,0)</f>
        <v/>
      </c>
      <c r="AO338" s="67">
        <f>IF(AK338=1,SUM(AK$5:AK338),"")</f>
        <v/>
      </c>
      <c r="AP338" s="67">
        <f>IF(AL338=1,SUM(AL$5:AL338),"")</f>
        <v/>
      </c>
      <c r="AQ338" s="67" t="n">
        <v>0</v>
      </c>
      <c r="AR338" s="67" t="n">
        <v>0</v>
      </c>
      <c r="AS338" s="67" t="n">
        <v>0</v>
      </c>
      <c r="AT338" s="67" t="n">
        <v>0</v>
      </c>
    </row>
    <row r="339" ht="66.5" customHeight="1">
      <c r="A339" s="63" t="inlineStr">
        <is>
          <t>F10-T12-08</t>
        </is>
      </c>
      <c r="B339" s="63" t="inlineStr">
        <is>
          <t>F10</t>
        </is>
      </c>
      <c r="C339" s="63">
        <f>Flights!$F$14</f>
        <v/>
      </c>
      <c r="D339" s="64">
        <f>Flights!$D$14</f>
        <v/>
      </c>
      <c r="E339" s="63">
        <f>Flights!$G$14&amp;"-"&amp;Flights!$H$14</f>
        <v/>
      </c>
      <c r="F339" s="63">
        <f>Flights!$K$14</f>
        <v/>
      </c>
      <c r="G339" s="63" t="inlineStr">
        <is>
          <t>T-12H PREP</t>
        </is>
      </c>
      <c r="H339" s="63" t="inlineStr">
        <is>
          <t>Preparation</t>
        </is>
      </c>
      <c r="I339" s="63" t="inlineStr">
        <is>
          <t>Amenities</t>
        </is>
      </c>
      <c r="J339" s="63" t="inlineStr">
        <is>
          <t>Disposable slippers in DAM cart (BC, on request) - prepared</t>
        </is>
      </c>
      <c r="K339" s="73" t="inlineStr">
        <is>
          <t>Available in DAM cart on request basis</t>
        </is>
      </c>
      <c r="L339" s="73" t="inlineStr">
        <is>
          <t>STD UPLIFT INFORMATION.xlsx &gt; AMENITIES!G72 / C83</t>
        </is>
      </c>
      <c r="M339" s="73" t="inlineStr">
        <is>
          <t>Not stated in reference</t>
        </is>
      </c>
      <c r="N339" s="73" t="inlineStr">
        <is>
          <t>Required</t>
        </is>
      </c>
      <c r="O339" s="73" t="inlineStr">
        <is>
          <t>Sector has no BC slippers; note C83: disposable slipper available in DAM cart (on request basis). Reference gives no uplift stn for this item: preparation checked at the meal uplift stn (KUL) - confirm with caterer.</t>
        </is>
      </c>
      <c r="P339" s="63" t="inlineStr">
        <is>
          <t>KUL</t>
        </is>
      </c>
      <c r="Q339" s="65">
        <f>Flights!$AE$14</f>
        <v/>
      </c>
      <c r="R339" s="65">
        <f>Q339+(IF(AND(INDEX(TZ_DSTS,MATCH(P339,TZ_STN,0))&lt;&gt;"",Q339&gt;=INDEX(TZ_DSTS,MATCH(P339,TZ_STN,0)),Q339&lt;INDEX(TZ_DSTE,MATCH(P339,TZ_STN,0))),INDEX(TZ_DST,MATCH(P339,TZ_STN,0)),INDEX(TZ_STD,MATCH(P339,TZ_STN,0))))/24</f>
        <v/>
      </c>
      <c r="S339" s="65">
        <f>Q339-T12EarlyH/24</f>
        <v/>
      </c>
      <c r="T339" s="66" t="n"/>
      <c r="U339" s="66" t="n"/>
      <c r="V339" s="66" t="n"/>
      <c r="W339" s="67" t="n"/>
      <c r="X339" s="66" t="n"/>
      <c r="Y339" s="66" t="n"/>
      <c r="Z339" s="66" t="n"/>
      <c r="AA339" s="66" t="n"/>
      <c r="AB339" s="66" t="n"/>
      <c r="AC339" s="66" t="n"/>
      <c r="AD339" s="72" t="n"/>
      <c r="AE339" s="66" t="n"/>
      <c r="AF339" s="67">
        <f>IF(AND(ISNUMBER(X339),ISNUMBER(Y339)),Y339-X339,"")</f>
        <v/>
      </c>
      <c r="AG339" s="68">
        <f>IF(ISNUMBER(AD339),AD339-(IF(AND(INDEX(TZ_DSTS,MATCH(P339,TZ_STN,0))&lt;&gt;"",(AD339-INDEX(TZ_STD,MATCH(P339,TZ_STN,0))/24)&gt;=INDEX(TZ_DSTS,MATCH(P339,TZ_STN,0)),(AD339-INDEX(TZ_STD,MATCH(P339,TZ_STN,0))/24)&lt;INDEX(TZ_DSTE,MATCH(P339,TZ_STN,0))),INDEX(TZ_DST,MATCH(P339,TZ_STN,0)),INDEX(TZ_STD,MATCH(P339,TZ_STN,0))))/24,"")</f>
        <v/>
      </c>
      <c r="AH339" s="71">
        <f>IF(N339="N/A – rule","N/A – RULE",IF(TRIM(U339)="N/A",IF(AT339=0,"INVALID – N/A not permitted for this mandatory check",IF(AND(TRIM(AC339)&lt;&gt;"",TRIM(AE339)&lt;&gt;"",TRIM(T339)&lt;&gt;""),"N/A – JUSTIFIED","INVALID – N/A needs justification, PIC and verifier")),IF(OR(TRIM(U339)="Pass",TRIM(U339)="Pass after CA"),IF(NOT(ISNUMBER(AD339)),"INVALID – completion time missing",IF(TRIM(T339)="","INVALID – PIC missing",IF(TRIM(Z339)="","INVALID – evidence missing",IF(TRIM(AE339)="","INVALID – verifier missing",IF(AND(AQ339=1,TRIM(W339)=""),"INVALID – batch ID missing",IF(AND(AR339=1,OR(NOT(ISNUMBER(X339)),NOT(ISNUMBER(Y339)))),"INVALID – expected/actual qty missing",IF(IF(AND(TRIM(U339)="Pass",ISNUMBER(AF339)),IF(AF339&lt;&gt;0,"INVALID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recorded/closed","")&lt;&gt;"",IF(AND(TRIM(U339)="Pass",ISNUMBER(AF339)),IF(AF339&lt;&gt;0,"INVALID – qty variance: use Fail or Pass after CA",""),"")&amp;IF(AND(TRIM(U339)="Pass",AB339="Open"),"INVALID – corrective action still open: use Fail, then Pass after CA","")&amp;IF(AND(TRIM(U339)="Pass after CA",OR(TRIM(AA339)="",AB339&lt;&gt;"Closed")),"INVALID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window"),IF(AG339&gt;Flights!$AA$14,"INVALID – completed after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f>
        <v/>
      </c>
      <c r="AI339" s="67">
        <f>IF(OR(AH339="N/A – RULE",AH339="N/A – JUSTIFIED"),0,1)</f>
        <v/>
      </c>
      <c r="AJ339" s="67">
        <f>IF(LEFT(AH339,8)="COMPLETE",1,0)</f>
        <v/>
      </c>
      <c r="AK339" s="67">
        <f>IF(AND(AI339=1,AJ339=0,AsOfUTC&gt;Q339),1,0)</f>
        <v/>
      </c>
      <c r="AL339" s="67">
        <f>IF(AND(AI339=1,OR(TRIM(U339)="Fail",AB339="Open",AND(ISNUMBER(AF339),AF339&lt;&gt;0,TRIM(U339)&lt;&gt;"Pass after CA"))),1,0)</f>
        <v/>
      </c>
      <c r="AM339" s="67">
        <f>IF(LEFT(AH339,7)="INVALID",1,0)</f>
        <v/>
      </c>
      <c r="AN339" s="67">
        <f>IF(AND(N339="Clarification required",AI339=1,AJ339=0),1,0)</f>
        <v/>
      </c>
      <c r="AO339" s="67">
        <f>IF(AK339=1,SUM(AK$5:AK339),"")</f>
        <v/>
      </c>
      <c r="AP339" s="67">
        <f>IF(AL339=1,SUM(AL$5:AL339),"")</f>
        <v/>
      </c>
      <c r="AQ339" s="67" t="n">
        <v>0</v>
      </c>
      <c r="AR339" s="67" t="n">
        <v>0</v>
      </c>
      <c r="AS339" s="67" t="n">
        <v>0</v>
      </c>
      <c r="AT339" s="67" t="n">
        <v>1</v>
      </c>
    </row>
    <row r="340" ht="41.5" customHeight="1">
      <c r="A340" s="63" t="inlineStr">
        <is>
          <t>F10-T12-09</t>
        </is>
      </c>
      <c r="B340" s="63" t="inlineStr">
        <is>
          <t>F10</t>
        </is>
      </c>
      <c r="C340" s="63">
        <f>Flights!$F$14</f>
        <v/>
      </c>
      <c r="D340" s="64">
        <f>Flights!$D$14</f>
        <v/>
      </c>
      <c r="E340" s="63">
        <f>Flights!$G$14&amp;"-"&amp;Flights!$H$14</f>
        <v/>
      </c>
      <c r="F340" s="63">
        <f>Flights!$K$14</f>
        <v/>
      </c>
      <c r="G340" s="63" t="inlineStr">
        <is>
          <t>T-12H PREP</t>
        </is>
      </c>
      <c r="H340" s="63" t="inlineStr">
        <is>
          <t>Preparation</t>
        </is>
      </c>
      <c r="I340" s="63" t="inlineStr">
        <is>
          <t>F&amp;B Linen</t>
        </is>
      </c>
      <c r="J340" s="63" t="inlineStr">
        <is>
          <t>Towel - prepared</t>
        </is>
      </c>
      <c r="K340" s="73" t="inlineStr">
        <is>
          <t>Available (ticked in reference)</t>
        </is>
      </c>
      <c r="L340" s="73" t="inlineStr">
        <is>
          <t>STD UPLIFT INFORMATION.xlsx &gt; F&amp;B LINEN!D66</t>
        </is>
      </c>
      <c r="M340" s="73" t="inlineStr">
        <is>
          <t>Not stated in reference</t>
        </is>
      </c>
      <c r="N340" s="73" t="inlineStr">
        <is>
          <t>Required</t>
        </is>
      </c>
      <c r="O340" s="73" t="inlineStr">
        <is>
          <t>Reference gives no uplift stn for this item: preparation checked at the meal uplift stn (KUL) - confirm with caterer.</t>
        </is>
      </c>
      <c r="P340" s="63" t="inlineStr">
        <is>
          <t>KUL</t>
        </is>
      </c>
      <c r="Q340" s="65">
        <f>Flights!$AE$14</f>
        <v/>
      </c>
      <c r="R340" s="65">
        <f>Q340+(IF(AND(INDEX(TZ_DSTS,MATCH(P340,TZ_STN,0))&lt;&gt;"",Q340&gt;=INDEX(TZ_DSTS,MATCH(P340,TZ_STN,0)),Q340&lt;INDEX(TZ_DSTE,MATCH(P340,TZ_STN,0))),INDEX(TZ_DST,MATCH(P340,TZ_STN,0)),INDEX(TZ_STD,MATCH(P340,TZ_STN,0))))/24</f>
        <v/>
      </c>
      <c r="S340" s="65">
        <f>Q340-T12EarlyH/24</f>
        <v/>
      </c>
      <c r="T340" s="66" t="n"/>
      <c r="U340" s="66" t="n"/>
      <c r="V340" s="66" t="n"/>
      <c r="W340" s="67" t="n"/>
      <c r="X340" s="66" t="n"/>
      <c r="Y340" s="66" t="n"/>
      <c r="Z340" s="66" t="n"/>
      <c r="AA340" s="66" t="n"/>
      <c r="AB340" s="66" t="n"/>
      <c r="AC340" s="66" t="n"/>
      <c r="AD340" s="72" t="n"/>
      <c r="AE340" s="66" t="n"/>
      <c r="AF340" s="67">
        <f>IF(AND(ISNUMBER(X340),ISNUMBER(Y340)),Y340-X340,"")</f>
        <v/>
      </c>
      <c r="AG340" s="68">
        <f>IF(ISNUMBER(AD340),AD340-(IF(AND(INDEX(TZ_DSTS,MATCH(P340,TZ_STN,0))&lt;&gt;"",(AD340-INDEX(TZ_STD,MATCH(P340,TZ_STN,0))/24)&gt;=INDEX(TZ_DSTS,MATCH(P340,TZ_STN,0)),(AD340-INDEX(TZ_STD,MATCH(P340,TZ_STN,0))/24)&lt;INDEX(TZ_DSTE,MATCH(P340,TZ_STN,0))),INDEX(TZ_DST,MATCH(P340,TZ_STN,0)),INDEX(TZ_STD,MATCH(P340,TZ_STN,0))))/24,"")</f>
        <v/>
      </c>
      <c r="AH340" s="71">
        <f>IF(N340="N/A – rule","N/A – RULE",IF(TRIM(U340)="N/A",IF(AT340=0,"INVALID – N/A not permitted for this mandatory check",IF(AND(TRIM(AC340)&lt;&gt;"",TRIM(AE340)&lt;&gt;"",TRIM(T340)&lt;&gt;""),"N/A – JUSTIFIED","INVALID – N/A needs justification, PIC and verifier")),IF(OR(TRIM(U340)="Pass",TRIM(U340)="Pass after CA"),IF(NOT(ISNUMBER(AD340)),"INVALID – completion time missing",IF(TRIM(T340)="","INVALID – PIC missing",IF(TRIM(Z340)="","INVALID – evidence missing",IF(TRIM(AE340)="","INVALID – verifier missing",IF(AND(AQ340=1,TRIM(W340)=""),"INVALID – batch ID missing",IF(AND(AR340=1,OR(NOT(ISNUMBER(X340)),NOT(ISNUMBER(Y340)))),"INVALID – expected/actual qty missing",IF(IF(AND(TRIM(U340)="Pass",ISNUMBER(AF340)),IF(AF340&lt;&gt;0,"INVALID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recorded/closed","")&lt;&gt;"",IF(AND(TRIM(U340)="Pass",ISNUMBER(AF340)),IF(AF340&lt;&gt;0,"INVALID – qty variance: use Fail or Pass after CA",""),"")&amp;IF(AND(TRIM(U340)="Pass",AB340="Open"),"INVALID – corrective action still open: use Fail, then Pass after CA","")&amp;IF(AND(TRIM(U340)="Pass after CA",OR(TRIM(AA340)="",AB340&lt;&gt;"Closed")),"INVALID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window"),IF(AG340&gt;Flights!$AA$14,"INVALID – completed after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f>
        <v/>
      </c>
      <c r="AI340" s="67">
        <f>IF(OR(AH340="N/A – RULE",AH340="N/A – JUSTIFIED"),0,1)</f>
        <v/>
      </c>
      <c r="AJ340" s="67">
        <f>IF(LEFT(AH340,8)="COMPLETE",1,0)</f>
        <v/>
      </c>
      <c r="AK340" s="67">
        <f>IF(AND(AI340=1,AJ340=0,AsOfUTC&gt;Q340),1,0)</f>
        <v/>
      </c>
      <c r="AL340" s="67">
        <f>IF(AND(AI340=1,OR(TRIM(U340)="Fail",AB340="Open",AND(ISNUMBER(AF340),AF340&lt;&gt;0,TRIM(U340)&lt;&gt;"Pass after CA"))),1,0)</f>
        <v/>
      </c>
      <c r="AM340" s="67">
        <f>IF(LEFT(AH340,7)="INVALID",1,0)</f>
        <v/>
      </c>
      <c r="AN340" s="67">
        <f>IF(AND(N340="Clarification required",AI340=1,AJ340=0),1,0)</f>
        <v/>
      </c>
      <c r="AO340" s="67">
        <f>IF(AK340=1,SUM(AK$5:AK340),"")</f>
        <v/>
      </c>
      <c r="AP340" s="67">
        <f>IF(AL340=1,SUM(AL$5:AL340),"")</f>
        <v/>
      </c>
      <c r="AQ340" s="67" t="n">
        <v>0</v>
      </c>
      <c r="AR340" s="67" t="n">
        <v>0</v>
      </c>
      <c r="AS340" s="67" t="n">
        <v>0</v>
      </c>
      <c r="AT340" s="67" t="n">
        <v>1</v>
      </c>
    </row>
    <row r="341" ht="41.5" customHeight="1">
      <c r="A341" s="63" t="inlineStr">
        <is>
          <t>F10-T12-10</t>
        </is>
      </c>
      <c r="B341" s="63" t="inlineStr">
        <is>
          <t>F10</t>
        </is>
      </c>
      <c r="C341" s="63">
        <f>Flights!$F$14</f>
        <v/>
      </c>
      <c r="D341" s="64">
        <f>Flights!$D$14</f>
        <v/>
      </c>
      <c r="E341" s="63">
        <f>Flights!$G$14&amp;"-"&amp;Flights!$H$14</f>
        <v/>
      </c>
      <c r="F341" s="63">
        <f>Flights!$K$14</f>
        <v/>
      </c>
      <c r="G341" s="63" t="inlineStr">
        <is>
          <t>T-12H PREP</t>
        </is>
      </c>
      <c r="H341" s="63" t="inlineStr">
        <is>
          <t>Preparation</t>
        </is>
      </c>
      <c r="I341" s="63" t="inlineStr">
        <is>
          <t>F&amp;B Linen</t>
        </is>
      </c>
      <c r="J341" s="63" t="inlineStr">
        <is>
          <t>Tray cloth - prepared</t>
        </is>
      </c>
      <c r="K341" s="73" t="inlineStr">
        <is>
          <t>Available (ticked in reference)</t>
        </is>
      </c>
      <c r="L341" s="73" t="inlineStr">
        <is>
          <t>STD UPLIFT INFORMATION.xlsx &gt; F&amp;B LINEN!E66</t>
        </is>
      </c>
      <c r="M341" s="73" t="inlineStr">
        <is>
          <t>Not stated in reference</t>
        </is>
      </c>
      <c r="N341" s="73" t="inlineStr">
        <is>
          <t>Required</t>
        </is>
      </c>
      <c r="O341" s="73" t="inlineStr">
        <is>
          <t>Reference gives no uplift stn for this item: preparation checked at the meal uplift stn (KUL) - confirm with caterer.</t>
        </is>
      </c>
      <c r="P341" s="63" t="inlineStr">
        <is>
          <t>KUL</t>
        </is>
      </c>
      <c r="Q341" s="65">
        <f>Flights!$AE$14</f>
        <v/>
      </c>
      <c r="R341" s="65">
        <f>Q341+(IF(AND(INDEX(TZ_DSTS,MATCH(P341,TZ_STN,0))&lt;&gt;"",Q341&gt;=INDEX(TZ_DSTS,MATCH(P341,TZ_STN,0)),Q341&lt;INDEX(TZ_DSTE,MATCH(P341,TZ_STN,0))),INDEX(TZ_DST,MATCH(P341,TZ_STN,0)),INDEX(TZ_STD,MATCH(P341,TZ_STN,0))))/24</f>
        <v/>
      </c>
      <c r="S341" s="65">
        <f>Q341-T12EarlyH/24</f>
        <v/>
      </c>
      <c r="T341" s="66" t="n"/>
      <c r="U341" s="66" t="n"/>
      <c r="V341" s="66" t="n"/>
      <c r="W341" s="67" t="n"/>
      <c r="X341" s="66" t="n"/>
      <c r="Y341" s="66" t="n"/>
      <c r="Z341" s="66" t="n"/>
      <c r="AA341" s="66" t="n"/>
      <c r="AB341" s="66" t="n"/>
      <c r="AC341" s="66" t="n"/>
      <c r="AD341" s="72" t="n"/>
      <c r="AE341" s="66" t="n"/>
      <c r="AF341" s="67">
        <f>IF(AND(ISNUMBER(X341),ISNUMBER(Y341)),Y341-X341,"")</f>
        <v/>
      </c>
      <c r="AG341" s="68">
        <f>IF(ISNUMBER(AD341),AD341-(IF(AND(INDEX(TZ_DSTS,MATCH(P341,TZ_STN,0))&lt;&gt;"",(AD341-INDEX(TZ_STD,MATCH(P341,TZ_STN,0))/24)&gt;=INDEX(TZ_DSTS,MATCH(P341,TZ_STN,0)),(AD341-INDEX(TZ_STD,MATCH(P341,TZ_STN,0))/24)&lt;INDEX(TZ_DSTE,MATCH(P341,TZ_STN,0))),INDEX(TZ_DST,MATCH(P341,TZ_STN,0)),INDEX(TZ_STD,MATCH(P341,TZ_STN,0))))/24,"")</f>
        <v/>
      </c>
      <c r="AH341" s="71">
        <f>IF(N341="N/A – rule","N/A – RULE",IF(TRIM(U341)="N/A",IF(AT341=0,"INVALID – N/A not permitted for this mandatory check",IF(AND(TRIM(AC341)&lt;&gt;"",TRIM(AE341)&lt;&gt;"",TRIM(T341)&lt;&gt;""),"N/A – JUSTIFIED","INVALID – N/A needs justification, PIC and verifier")),IF(OR(TRIM(U341)="Pass",TRIM(U341)="Pass after CA"),IF(NOT(ISNUMBER(AD341)),"INVALID – completion time missing",IF(TRIM(T341)="","INVALID – PIC missing",IF(TRIM(Z341)="","INVALID – evidence missing",IF(TRIM(AE341)="","INVALID – verifier missing",IF(AND(AQ341=1,TRIM(W341)=""),"INVALID – batch ID missing",IF(AND(AR341=1,OR(NOT(ISNUMBER(X341)),NOT(ISNUMBER(Y341)))),"INVALID – expected/actual qty missing",IF(IF(AND(TRIM(U341)="Pass",ISNUMBER(AF341)),IF(AF341&lt;&gt;0,"INVALID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recorded/closed","")&lt;&gt;"",IF(AND(TRIM(U341)="Pass",ISNUMBER(AF341)),IF(AF341&lt;&gt;0,"INVALID – qty variance: use Fail or Pass after CA",""),"")&amp;IF(AND(TRIM(U341)="Pass",AB341="Open"),"INVALID – corrective action still open: use Fail, then Pass after CA","")&amp;IF(AND(TRIM(U341)="Pass after CA",OR(TRIM(AA341)="",AB341&lt;&gt;"Closed")),"INVALID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window"),IF(AG341&gt;Flights!$AA$14,"INVALID – completed after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f>
        <v/>
      </c>
      <c r="AI341" s="67">
        <f>IF(OR(AH341="N/A – RULE",AH341="N/A – JUSTIFIED"),0,1)</f>
        <v/>
      </c>
      <c r="AJ341" s="67">
        <f>IF(LEFT(AH341,8)="COMPLETE",1,0)</f>
        <v/>
      </c>
      <c r="AK341" s="67">
        <f>IF(AND(AI341=1,AJ341=0,AsOfUTC&gt;Q341),1,0)</f>
        <v/>
      </c>
      <c r="AL341" s="67">
        <f>IF(AND(AI341=1,OR(TRIM(U341)="Fail",AB341="Open",AND(ISNUMBER(AF341),AF341&lt;&gt;0,TRIM(U341)&lt;&gt;"Pass after CA"))),1,0)</f>
        <v/>
      </c>
      <c r="AM341" s="67">
        <f>IF(LEFT(AH341,7)="INVALID",1,0)</f>
        <v/>
      </c>
      <c r="AN341" s="67">
        <f>IF(AND(N341="Clarification required",AI341=1,AJ341=0),1,0)</f>
        <v/>
      </c>
      <c r="AO341" s="67">
        <f>IF(AK341=1,SUM(AK$5:AK341),"")</f>
        <v/>
      </c>
      <c r="AP341" s="67">
        <f>IF(AL341=1,SUM(AL$5:AL341),"")</f>
        <v/>
      </c>
      <c r="AQ341" s="67" t="n">
        <v>0</v>
      </c>
      <c r="AR341" s="67" t="n">
        <v>0</v>
      </c>
      <c r="AS341" s="67" t="n">
        <v>0</v>
      </c>
      <c r="AT341" s="67" t="n">
        <v>1</v>
      </c>
    </row>
    <row r="342" ht="41.5" customHeight="1">
      <c r="A342" s="63" t="inlineStr">
        <is>
          <t>F10-T12-11</t>
        </is>
      </c>
      <c r="B342" s="63" t="inlineStr">
        <is>
          <t>F10</t>
        </is>
      </c>
      <c r="C342" s="63">
        <f>Flights!$F$14</f>
        <v/>
      </c>
      <c r="D342" s="64">
        <f>Flights!$D$14</f>
        <v/>
      </c>
      <c r="E342" s="63">
        <f>Flights!$G$14&amp;"-"&amp;Flights!$H$14</f>
        <v/>
      </c>
      <c r="F342" s="63">
        <f>Flights!$K$14</f>
        <v/>
      </c>
      <c r="G342" s="63" t="inlineStr">
        <is>
          <t>T-12H PREP</t>
        </is>
      </c>
      <c r="H342" s="63" t="inlineStr">
        <is>
          <t>Preparation</t>
        </is>
      </c>
      <c r="I342" s="63" t="inlineStr">
        <is>
          <t>F&amp;B Linen</t>
        </is>
      </c>
      <c r="J342" s="63" t="inlineStr">
        <is>
          <t>Napkin - prepared</t>
        </is>
      </c>
      <c r="K342" s="73" t="inlineStr">
        <is>
          <t>Available (ticked in reference)</t>
        </is>
      </c>
      <c r="L342" s="73" t="inlineStr">
        <is>
          <t>STD UPLIFT INFORMATION.xlsx &gt; F&amp;B LINEN!F66</t>
        </is>
      </c>
      <c r="M342" s="73" t="inlineStr">
        <is>
          <t>Not stated in reference</t>
        </is>
      </c>
      <c r="N342" s="73" t="inlineStr">
        <is>
          <t>Required</t>
        </is>
      </c>
      <c r="O342" s="73" t="inlineStr">
        <is>
          <t>Reference gives no uplift stn for this item: preparation checked at the meal uplift stn (KUL) - confirm with caterer.</t>
        </is>
      </c>
      <c r="P342" s="63" t="inlineStr">
        <is>
          <t>KUL</t>
        </is>
      </c>
      <c r="Q342" s="65">
        <f>Flights!$AE$14</f>
        <v/>
      </c>
      <c r="R342" s="65">
        <f>Q342+(IF(AND(INDEX(TZ_DSTS,MATCH(P342,TZ_STN,0))&lt;&gt;"",Q342&gt;=INDEX(TZ_DSTS,MATCH(P342,TZ_STN,0)),Q342&lt;INDEX(TZ_DSTE,MATCH(P342,TZ_STN,0))),INDEX(TZ_DST,MATCH(P342,TZ_STN,0)),INDEX(TZ_STD,MATCH(P342,TZ_STN,0))))/24</f>
        <v/>
      </c>
      <c r="S342" s="65">
        <f>Q342-T12EarlyH/24</f>
        <v/>
      </c>
      <c r="T342" s="66" t="n"/>
      <c r="U342" s="66" t="n"/>
      <c r="V342" s="66" t="n"/>
      <c r="W342" s="67" t="n"/>
      <c r="X342" s="66" t="n"/>
      <c r="Y342" s="66" t="n"/>
      <c r="Z342" s="66" t="n"/>
      <c r="AA342" s="66" t="n"/>
      <c r="AB342" s="66" t="n"/>
      <c r="AC342" s="66" t="n"/>
      <c r="AD342" s="72" t="n"/>
      <c r="AE342" s="66" t="n"/>
      <c r="AF342" s="67">
        <f>IF(AND(ISNUMBER(X342),ISNUMBER(Y342)),Y342-X342,"")</f>
        <v/>
      </c>
      <c r="AG342" s="68">
        <f>IF(ISNUMBER(AD342),AD342-(IF(AND(INDEX(TZ_DSTS,MATCH(P342,TZ_STN,0))&lt;&gt;"",(AD342-INDEX(TZ_STD,MATCH(P342,TZ_STN,0))/24)&gt;=INDEX(TZ_DSTS,MATCH(P342,TZ_STN,0)),(AD342-INDEX(TZ_STD,MATCH(P342,TZ_STN,0))/24)&lt;INDEX(TZ_DSTE,MATCH(P342,TZ_STN,0))),INDEX(TZ_DST,MATCH(P342,TZ_STN,0)),INDEX(TZ_STD,MATCH(P342,TZ_STN,0))))/24,"")</f>
        <v/>
      </c>
      <c r="AH342" s="71">
        <f>IF(N342="N/A – rule","N/A – RULE",IF(TRIM(U342)="N/A",IF(AT342=0,"INVALID – N/A not permitted for this mandatory check",IF(AND(TRIM(AC342)&lt;&gt;"",TRIM(AE342)&lt;&gt;"",TRIM(T342)&lt;&gt;""),"N/A – JUSTIFIED","INVALID – N/A needs justification, PIC and verifier")),IF(OR(TRIM(U342)="Pass",TRIM(U342)="Pass after CA"),IF(NOT(ISNUMBER(AD342)),"INVALID – completion time missing",IF(TRIM(T342)="","INVALID – PIC missing",IF(TRIM(Z342)="","INVALID – evidence missing",IF(TRIM(AE342)="","INVALID – verifier missing",IF(AND(AQ342=1,TRIM(W342)=""),"INVALID – batch ID missing",IF(AND(AR342=1,OR(NOT(ISNUMBER(X342)),NOT(ISNUMBER(Y342)))),"INVALID – expected/actual qty missing",IF(IF(AND(TRIM(U342)="Pass",ISNUMBER(AF342)),IF(AF342&lt;&gt;0,"INVALID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recorded/closed","")&lt;&gt;"",IF(AND(TRIM(U342)="Pass",ISNUMBER(AF342)),IF(AF342&lt;&gt;0,"INVALID – qty variance: use Fail or Pass after CA",""),"")&amp;IF(AND(TRIM(U342)="Pass",AB342="Open"),"INVALID – corrective action still open: use Fail, then Pass after CA","")&amp;IF(AND(TRIM(U342)="Pass after CA",OR(TRIM(AA342)="",AB342&lt;&gt;"Closed")),"INVALID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window"),IF(AG342&gt;Flights!$AA$14,"INVALID – completed after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f>
        <v/>
      </c>
      <c r="AI342" s="67">
        <f>IF(OR(AH342="N/A – RULE",AH342="N/A – JUSTIFIED"),0,1)</f>
        <v/>
      </c>
      <c r="AJ342" s="67">
        <f>IF(LEFT(AH342,8)="COMPLETE",1,0)</f>
        <v/>
      </c>
      <c r="AK342" s="67">
        <f>IF(AND(AI342=1,AJ342=0,AsOfUTC&gt;Q342),1,0)</f>
        <v/>
      </c>
      <c r="AL342" s="67">
        <f>IF(AND(AI342=1,OR(TRIM(U342)="Fail",AB342="Open",AND(ISNUMBER(AF342),AF342&lt;&gt;0,TRIM(U342)&lt;&gt;"Pass after CA"))),1,0)</f>
        <v/>
      </c>
      <c r="AM342" s="67">
        <f>IF(LEFT(AH342,7)="INVALID",1,0)</f>
        <v/>
      </c>
      <c r="AN342" s="67">
        <f>IF(AND(N342="Clarification required",AI342=1,AJ342=0),1,0)</f>
        <v/>
      </c>
      <c r="AO342" s="67">
        <f>IF(AK342=1,SUM(AK$5:AK342),"")</f>
        <v/>
      </c>
      <c r="AP342" s="67">
        <f>IF(AL342=1,SUM(AL$5:AL342),"")</f>
        <v/>
      </c>
      <c r="AQ342" s="67" t="n">
        <v>0</v>
      </c>
      <c r="AR342" s="67" t="n">
        <v>0</v>
      </c>
      <c r="AS342" s="67" t="n">
        <v>0</v>
      </c>
      <c r="AT342" s="67" t="n">
        <v>1</v>
      </c>
    </row>
    <row r="343" ht="54" customHeight="1">
      <c r="A343" s="63" t="inlineStr">
        <is>
          <t>F10-T12-12</t>
        </is>
      </c>
      <c r="B343" s="63" t="inlineStr">
        <is>
          <t>F10</t>
        </is>
      </c>
      <c r="C343" s="63">
        <f>Flights!$F$14</f>
        <v/>
      </c>
      <c r="D343" s="64">
        <f>Flights!$D$14</f>
        <v/>
      </c>
      <c r="E343" s="63">
        <f>Flights!$G$14&amp;"-"&amp;Flights!$H$14</f>
        <v/>
      </c>
      <c r="F343" s="63">
        <f>Flights!$K$14</f>
        <v/>
      </c>
      <c r="G343" s="63" t="inlineStr">
        <is>
          <t>T-12H PREP</t>
        </is>
      </c>
      <c r="H343" s="63" t="inlineStr">
        <is>
          <t>Preparation</t>
        </is>
      </c>
      <c r="I343" s="63" t="inlineStr">
        <is>
          <t>F&amp;B Linen</t>
        </is>
      </c>
      <c r="J343" s="63" t="inlineStr">
        <is>
          <t>Trolley cloth - prepared</t>
        </is>
      </c>
      <c r="K343" s="73" t="inlineStr">
        <is>
          <t>Narrow body: Top only</t>
        </is>
      </c>
      <c r="L343" s="73" t="inlineStr">
        <is>
          <t>STD UPLIFT INFORMATION.xlsx &gt; F&amp;B LINEN!I66</t>
        </is>
      </c>
      <c r="M343" s="73" t="inlineStr">
        <is>
          <t>Not stated in reference</t>
        </is>
      </c>
      <c r="N343" s="73" t="inlineStr">
        <is>
          <t>Required</t>
        </is>
      </c>
      <c r="O343" s="73" t="inlineStr">
        <is>
          <t>Per note F&amp;B LINEN!B79:C80. Reference gives no uplift stn for this item: preparation checked at the meal uplift stn (KUL) - confirm with caterer.</t>
        </is>
      </c>
      <c r="P343" s="63" t="inlineStr">
        <is>
          <t>KUL</t>
        </is>
      </c>
      <c r="Q343" s="65">
        <f>Flights!$AE$14</f>
        <v/>
      </c>
      <c r="R343" s="65">
        <f>Q343+(IF(AND(INDEX(TZ_DSTS,MATCH(P343,TZ_STN,0))&lt;&gt;"",Q343&gt;=INDEX(TZ_DSTS,MATCH(P343,TZ_STN,0)),Q343&lt;INDEX(TZ_DSTE,MATCH(P343,TZ_STN,0))),INDEX(TZ_DST,MATCH(P343,TZ_STN,0)),INDEX(TZ_STD,MATCH(P343,TZ_STN,0))))/24</f>
        <v/>
      </c>
      <c r="S343" s="65">
        <f>Q343-T12EarlyH/24</f>
        <v/>
      </c>
      <c r="T343" s="66" t="n"/>
      <c r="U343" s="66" t="n"/>
      <c r="V343" s="66" t="n"/>
      <c r="W343" s="67" t="n"/>
      <c r="X343" s="66" t="n"/>
      <c r="Y343" s="66" t="n"/>
      <c r="Z343" s="66" t="n"/>
      <c r="AA343" s="66" t="n"/>
      <c r="AB343" s="66" t="n"/>
      <c r="AC343" s="66" t="n"/>
      <c r="AD343" s="72" t="n"/>
      <c r="AE343" s="66" t="n"/>
      <c r="AF343" s="67">
        <f>IF(AND(ISNUMBER(X343),ISNUMBER(Y343)),Y343-X343,"")</f>
        <v/>
      </c>
      <c r="AG343" s="68">
        <f>IF(ISNUMBER(AD343),AD343-(IF(AND(INDEX(TZ_DSTS,MATCH(P343,TZ_STN,0))&lt;&gt;"",(AD343-INDEX(TZ_STD,MATCH(P343,TZ_STN,0))/24)&gt;=INDEX(TZ_DSTS,MATCH(P343,TZ_STN,0)),(AD343-INDEX(TZ_STD,MATCH(P343,TZ_STN,0))/24)&lt;INDEX(TZ_DSTE,MATCH(P343,TZ_STN,0))),INDEX(TZ_DST,MATCH(P343,TZ_STN,0)),INDEX(TZ_STD,MATCH(P343,TZ_STN,0))))/24,"")</f>
        <v/>
      </c>
      <c r="AH343" s="71">
        <f>IF(N343="N/A – rule","N/A – RULE",IF(TRIM(U343)="N/A",IF(AT343=0,"INVALID – N/A not permitted for this mandatory check",IF(AND(TRIM(AC343)&lt;&gt;"",TRIM(AE343)&lt;&gt;"",TRIM(T343)&lt;&gt;""),"N/A – JUSTIFIED","INVALID – N/A needs justification, PIC and verifier")),IF(OR(TRIM(U343)="Pass",TRIM(U343)="Pass after CA"),IF(NOT(ISNUMBER(AD343)),"INVALID – completion time missing",IF(TRIM(T343)="","INVALID – PIC missing",IF(TRIM(Z343)="","INVALID – evidence missing",IF(TRIM(AE343)="","INVALID – verifier missing",IF(AND(AQ343=1,TRIM(W343)=""),"INVALID – batch ID missing",IF(AND(AR343=1,OR(NOT(ISNUMBER(X343)),NOT(ISNUMBER(Y343)))),"INVALID – expected/actual qty missing",IF(IF(AND(TRIM(U343)="Pass",ISNUMBER(AF343)),IF(AF343&lt;&gt;0,"INVALID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recorded/closed","")&lt;&gt;"",IF(AND(TRIM(U343)="Pass",ISNUMBER(AF343)),IF(AF343&lt;&gt;0,"INVALID – qty variance: use Fail or Pass after CA",""),"")&amp;IF(AND(TRIM(U343)="Pass",AB343="Open"),"INVALID – corrective action still open: use Fail, then Pass after CA","")&amp;IF(AND(TRIM(U343)="Pass after CA",OR(TRIM(AA343)="",AB343&lt;&gt;"Closed")),"INVALID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window"),IF(AG343&gt;Flights!$AA$14,"INVALID – completed after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f>
        <v/>
      </c>
      <c r="AI343" s="67">
        <f>IF(OR(AH343="N/A – RULE",AH343="N/A – JUSTIFIED"),0,1)</f>
        <v/>
      </c>
      <c r="AJ343" s="67">
        <f>IF(LEFT(AH343,8)="COMPLETE",1,0)</f>
        <v/>
      </c>
      <c r="AK343" s="67">
        <f>IF(AND(AI343=1,AJ343=0,AsOfUTC&gt;Q343),1,0)</f>
        <v/>
      </c>
      <c r="AL343" s="67">
        <f>IF(AND(AI343=1,OR(TRIM(U343)="Fail",AB343="Open",AND(ISNUMBER(AF343),AF343&lt;&gt;0,TRIM(U343)&lt;&gt;"Pass after CA"))),1,0)</f>
        <v/>
      </c>
      <c r="AM343" s="67">
        <f>IF(LEFT(AH343,7)="INVALID",1,0)</f>
        <v/>
      </c>
      <c r="AN343" s="67">
        <f>IF(AND(N343="Clarification required",AI343=1,AJ343=0),1,0)</f>
        <v/>
      </c>
      <c r="AO343" s="67">
        <f>IF(AK343=1,SUM(AK$5:AK343),"")</f>
        <v/>
      </c>
      <c r="AP343" s="67">
        <f>IF(AL343=1,SUM(AL$5:AL343),"")</f>
        <v/>
      </c>
      <c r="AQ343" s="67" t="n">
        <v>0</v>
      </c>
      <c r="AR343" s="67" t="n">
        <v>0</v>
      </c>
      <c r="AS343" s="67" t="n">
        <v>0</v>
      </c>
      <c r="AT343" s="67" t="n">
        <v>1</v>
      </c>
    </row>
    <row r="344" ht="41.5" customHeight="1">
      <c r="A344" s="63" t="inlineStr">
        <is>
          <t>F10-T12-13</t>
        </is>
      </c>
      <c r="B344" s="63" t="inlineStr">
        <is>
          <t>F10</t>
        </is>
      </c>
      <c r="C344" s="63">
        <f>Flights!$F$14</f>
        <v/>
      </c>
      <c r="D344" s="64">
        <f>Flights!$D$14</f>
        <v/>
      </c>
      <c r="E344" s="63">
        <f>Flights!$G$14&amp;"-"&amp;Flights!$H$14</f>
        <v/>
      </c>
      <c r="F344" s="63">
        <f>Flights!$K$14</f>
        <v/>
      </c>
      <c r="G344" s="63" t="inlineStr">
        <is>
          <t>T-12H PREP</t>
        </is>
      </c>
      <c r="H344" s="63" t="inlineStr">
        <is>
          <t>Preparation</t>
        </is>
      </c>
      <c r="I344" s="63" t="inlineStr">
        <is>
          <t>F&amp;B Linen</t>
        </is>
      </c>
      <c r="J344" s="63" t="inlineStr">
        <is>
          <t>Linen bag - prepared</t>
        </is>
      </c>
      <c r="K344" s="73" t="inlineStr">
        <is>
          <t>Available (ticked in reference)</t>
        </is>
      </c>
      <c r="L344" s="73" t="inlineStr">
        <is>
          <t>STD UPLIFT INFORMATION.xlsx &gt; F&amp;B LINEN!J66</t>
        </is>
      </c>
      <c r="M344" s="73" t="inlineStr">
        <is>
          <t>Not stated in reference</t>
        </is>
      </c>
      <c r="N344" s="73" t="inlineStr">
        <is>
          <t>Required</t>
        </is>
      </c>
      <c r="O344" s="73" t="inlineStr">
        <is>
          <t>Reference gives no uplift stn for this item: preparation checked at the meal uplift stn (KUL) - confirm with caterer.</t>
        </is>
      </c>
      <c r="P344" s="63" t="inlineStr">
        <is>
          <t>KUL</t>
        </is>
      </c>
      <c r="Q344" s="65">
        <f>Flights!$AE$14</f>
        <v/>
      </c>
      <c r="R344" s="65">
        <f>Q344+(IF(AND(INDEX(TZ_DSTS,MATCH(P344,TZ_STN,0))&lt;&gt;"",Q344&gt;=INDEX(TZ_DSTS,MATCH(P344,TZ_STN,0)),Q344&lt;INDEX(TZ_DSTE,MATCH(P344,TZ_STN,0))),INDEX(TZ_DST,MATCH(P344,TZ_STN,0)),INDEX(TZ_STD,MATCH(P344,TZ_STN,0))))/24</f>
        <v/>
      </c>
      <c r="S344" s="65">
        <f>Q344-T12EarlyH/24</f>
        <v/>
      </c>
      <c r="T344" s="66" t="n"/>
      <c r="U344" s="66" t="n"/>
      <c r="V344" s="66" t="n"/>
      <c r="W344" s="67" t="n"/>
      <c r="X344" s="66" t="n"/>
      <c r="Y344" s="66" t="n"/>
      <c r="Z344" s="66" t="n"/>
      <c r="AA344" s="66" t="n"/>
      <c r="AB344" s="66" t="n"/>
      <c r="AC344" s="66" t="n"/>
      <c r="AD344" s="72" t="n"/>
      <c r="AE344" s="66" t="n"/>
      <c r="AF344" s="67">
        <f>IF(AND(ISNUMBER(X344),ISNUMBER(Y344)),Y344-X344,"")</f>
        <v/>
      </c>
      <c r="AG344" s="68">
        <f>IF(ISNUMBER(AD344),AD344-(IF(AND(INDEX(TZ_DSTS,MATCH(P344,TZ_STN,0))&lt;&gt;"",(AD344-INDEX(TZ_STD,MATCH(P344,TZ_STN,0))/24)&gt;=INDEX(TZ_DSTS,MATCH(P344,TZ_STN,0)),(AD344-INDEX(TZ_STD,MATCH(P344,TZ_STN,0))/24)&lt;INDEX(TZ_DSTE,MATCH(P344,TZ_STN,0))),INDEX(TZ_DST,MATCH(P344,TZ_STN,0)),INDEX(TZ_STD,MATCH(P344,TZ_STN,0))))/24,"")</f>
        <v/>
      </c>
      <c r="AH344" s="71">
        <f>IF(N344="N/A – rule","N/A – RULE",IF(TRIM(U344)="N/A",IF(AT344=0,"INVALID – N/A not permitted for this mandatory check",IF(AND(TRIM(AC344)&lt;&gt;"",TRIM(AE344)&lt;&gt;"",TRIM(T344)&lt;&gt;""),"N/A – JUSTIFIED","INVALID – N/A needs justification, PIC and verifier")),IF(OR(TRIM(U344)="Pass",TRIM(U344)="Pass after CA"),IF(NOT(ISNUMBER(AD344)),"INVALID – completion time missing",IF(TRIM(T344)="","INVALID – PIC missing",IF(TRIM(Z344)="","INVALID – evidence missing",IF(TRIM(AE344)="","INVALID – verifier missing",IF(AND(AQ344=1,TRIM(W344)=""),"INVALID – batch ID missing",IF(AND(AR344=1,OR(NOT(ISNUMBER(X344)),NOT(ISNUMBER(Y344)))),"INVALID – expected/actual qty missing",IF(IF(AND(TRIM(U344)="Pass",ISNUMBER(AF344)),IF(AF344&lt;&gt;0,"INVALID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recorded/closed","")&lt;&gt;"",IF(AND(TRIM(U344)="Pass",ISNUMBER(AF344)),IF(AF344&lt;&gt;0,"INVALID – qty variance: use Fail or Pass after CA",""),"")&amp;IF(AND(TRIM(U344)="Pass",AB344="Open"),"INVALID – corrective action still open: use Fail, then Pass after CA","")&amp;IF(AND(TRIM(U344)="Pass after CA",OR(TRIM(AA344)="",AB344&lt;&gt;"Closed")),"INVALID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window"),IF(AG344&gt;Flights!$AA$14,"INVALID – completed after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f>
        <v/>
      </c>
      <c r="AI344" s="67">
        <f>IF(OR(AH344="N/A – RULE",AH344="N/A – JUSTIFIED"),0,1)</f>
        <v/>
      </c>
      <c r="AJ344" s="67">
        <f>IF(LEFT(AH344,8)="COMPLETE",1,0)</f>
        <v/>
      </c>
      <c r="AK344" s="67">
        <f>IF(AND(AI344=1,AJ344=0,AsOfUTC&gt;Q344),1,0)</f>
        <v/>
      </c>
      <c r="AL344" s="67">
        <f>IF(AND(AI344=1,OR(TRIM(U344)="Fail",AB344="Open",AND(ISNUMBER(AF344),AF344&lt;&gt;0,TRIM(U344)&lt;&gt;"Pass after CA"))),1,0)</f>
        <v/>
      </c>
      <c r="AM344" s="67">
        <f>IF(LEFT(AH344,7)="INVALID",1,0)</f>
        <v/>
      </c>
      <c r="AN344" s="67">
        <f>IF(AND(N344="Clarification required",AI344=1,AJ344=0),1,0)</f>
        <v/>
      </c>
      <c r="AO344" s="67">
        <f>IF(AK344=1,SUM(AK$5:AK344),"")</f>
        <v/>
      </c>
      <c r="AP344" s="67">
        <f>IF(AL344=1,SUM(AL$5:AL344),"")</f>
        <v/>
      </c>
      <c r="AQ344" s="67" t="n">
        <v>0</v>
      </c>
      <c r="AR344" s="67" t="n">
        <v>0</v>
      </c>
      <c r="AS344" s="67" t="n">
        <v>0</v>
      </c>
      <c r="AT344" s="67" t="n">
        <v>1</v>
      </c>
    </row>
    <row r="345" ht="41.5" customHeight="1">
      <c r="A345" s="63" t="inlineStr">
        <is>
          <t>F10-T12-14</t>
        </is>
      </c>
      <c r="B345" s="63" t="inlineStr">
        <is>
          <t>F10</t>
        </is>
      </c>
      <c r="C345" s="63">
        <f>Flights!$F$14</f>
        <v/>
      </c>
      <c r="D345" s="64">
        <f>Flights!$D$14</f>
        <v/>
      </c>
      <c r="E345" s="63">
        <f>Flights!$G$14&amp;"-"&amp;Flights!$H$14</f>
        <v/>
      </c>
      <c r="F345" s="63">
        <f>Flights!$K$14</f>
        <v/>
      </c>
      <c r="G345" s="63" t="inlineStr">
        <is>
          <t>T-12H PREP</t>
        </is>
      </c>
      <c r="H345" s="63" t="inlineStr">
        <is>
          <t>Preparation</t>
        </is>
      </c>
      <c r="I345" s="63" t="inlineStr">
        <is>
          <t>Seat Linen</t>
        </is>
      </c>
      <c r="J345" s="63" t="inlineStr">
        <is>
          <t>Seat pillow (BS &amp; BC) - prepared</t>
        </is>
      </c>
      <c r="K345" s="73" t="inlineStr">
        <is>
          <t>Available 100% (ticked in reference)</t>
        </is>
      </c>
      <c r="L345" s="73" t="inlineStr">
        <is>
          <t>STD UPLIFT INFORMATION.xlsx &gt; SEAT LINEN!E62</t>
        </is>
      </c>
      <c r="M345" s="73" t="inlineStr">
        <is>
          <t>Not stated in reference</t>
        </is>
      </c>
      <c r="N345" s="73" t="inlineStr">
        <is>
          <t>Required</t>
        </is>
      </c>
      <c r="O345" s="73" t="inlineStr">
        <is>
          <t>Reference gives no uplift stn for this item: preparation checked at the meal uplift stn (KUL) - confirm with caterer.</t>
        </is>
      </c>
      <c r="P345" s="63" t="inlineStr">
        <is>
          <t>KUL</t>
        </is>
      </c>
      <c r="Q345" s="65">
        <f>Flights!$AE$14</f>
        <v/>
      </c>
      <c r="R345" s="65">
        <f>Q345+(IF(AND(INDEX(TZ_DSTS,MATCH(P345,TZ_STN,0))&lt;&gt;"",Q345&gt;=INDEX(TZ_DSTS,MATCH(P345,TZ_STN,0)),Q345&lt;INDEX(TZ_DSTE,MATCH(P345,TZ_STN,0))),INDEX(TZ_DST,MATCH(P345,TZ_STN,0)),INDEX(TZ_STD,MATCH(P345,TZ_STN,0))))/24</f>
        <v/>
      </c>
      <c r="S345" s="65">
        <f>Q345-T12EarlyH/24</f>
        <v/>
      </c>
      <c r="T345" s="66" t="n"/>
      <c r="U345" s="66" t="n"/>
      <c r="V345" s="66" t="n"/>
      <c r="W345" s="67" t="n"/>
      <c r="X345" s="66" t="n"/>
      <c r="Y345" s="66" t="n"/>
      <c r="Z345" s="66" t="n"/>
      <c r="AA345" s="66" t="n"/>
      <c r="AB345" s="66" t="n"/>
      <c r="AC345" s="66" t="n"/>
      <c r="AD345" s="72" t="n"/>
      <c r="AE345" s="66" t="n"/>
      <c r="AF345" s="67">
        <f>IF(AND(ISNUMBER(X345),ISNUMBER(Y345)),Y345-X345,"")</f>
        <v/>
      </c>
      <c r="AG345" s="68">
        <f>IF(ISNUMBER(AD345),AD345-(IF(AND(INDEX(TZ_DSTS,MATCH(P345,TZ_STN,0))&lt;&gt;"",(AD345-INDEX(TZ_STD,MATCH(P345,TZ_STN,0))/24)&gt;=INDEX(TZ_DSTS,MATCH(P345,TZ_STN,0)),(AD345-INDEX(TZ_STD,MATCH(P345,TZ_STN,0))/24)&lt;INDEX(TZ_DSTE,MATCH(P345,TZ_STN,0))),INDEX(TZ_DST,MATCH(P345,TZ_STN,0)),INDEX(TZ_STD,MATCH(P345,TZ_STN,0))))/24,"")</f>
        <v/>
      </c>
      <c r="AH345" s="71">
        <f>IF(N345="N/A – rule","N/A – RULE",IF(TRIM(U345)="N/A",IF(AT345=0,"INVALID – N/A not permitted for this mandatory check",IF(AND(TRIM(AC345)&lt;&gt;"",TRIM(AE345)&lt;&gt;"",TRIM(T345)&lt;&gt;""),"N/A – JUSTIFIED","INVALID – N/A needs justification, PIC and verifier")),IF(OR(TRIM(U345)="Pass",TRIM(U345)="Pass after CA"),IF(NOT(ISNUMBER(AD345)),"INVALID – completion time missing",IF(TRIM(T345)="","INVALID – PIC missing",IF(TRIM(Z345)="","INVALID – evidence missing",IF(TRIM(AE345)="","INVALID – verifier missing",IF(AND(AQ345=1,TRIM(W345)=""),"INVALID – batch ID missing",IF(AND(AR345=1,OR(NOT(ISNUMBER(X345)),NOT(ISNUMBER(Y345)))),"INVALID – expected/actual qty missing",IF(IF(AND(TRIM(U345)="Pass",ISNUMBER(AF345)),IF(AF345&lt;&gt;0,"INVALID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recorded/closed","")&lt;&gt;"",IF(AND(TRIM(U345)="Pass",ISNUMBER(AF345)),IF(AF345&lt;&gt;0,"INVALID – qty variance: use Fail or Pass after CA",""),"")&amp;IF(AND(TRIM(U345)="Pass",AB345="Open"),"INVALID – corrective action still open: use Fail, then Pass after CA","")&amp;IF(AND(TRIM(U345)="Pass after CA",OR(TRIM(AA345)="",AB345&lt;&gt;"Closed")),"INVALID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window"),IF(AG345&gt;Flights!$AA$14,"INVALID – completed after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f>
        <v/>
      </c>
      <c r="AI345" s="67">
        <f>IF(OR(AH345="N/A – RULE",AH345="N/A – JUSTIFIED"),0,1)</f>
        <v/>
      </c>
      <c r="AJ345" s="67">
        <f>IF(LEFT(AH345,8)="COMPLETE",1,0)</f>
        <v/>
      </c>
      <c r="AK345" s="67">
        <f>IF(AND(AI345=1,AJ345=0,AsOfUTC&gt;Q345),1,0)</f>
        <v/>
      </c>
      <c r="AL345" s="67">
        <f>IF(AND(AI345=1,OR(TRIM(U345)="Fail",AB345="Open",AND(ISNUMBER(AF345),AF345&lt;&gt;0,TRIM(U345)&lt;&gt;"Pass after CA"))),1,0)</f>
        <v/>
      </c>
      <c r="AM345" s="67">
        <f>IF(LEFT(AH345,7)="INVALID",1,0)</f>
        <v/>
      </c>
      <c r="AN345" s="67">
        <f>IF(AND(N345="Clarification required",AI345=1,AJ345=0),1,0)</f>
        <v/>
      </c>
      <c r="AO345" s="67">
        <f>IF(AK345=1,SUM(AK$5:AK345),"")</f>
        <v/>
      </c>
      <c r="AP345" s="67">
        <f>IF(AL345=1,SUM(AL$5:AL345),"")</f>
        <v/>
      </c>
      <c r="AQ345" s="67" t="n">
        <v>0</v>
      </c>
      <c r="AR345" s="67" t="n">
        <v>0</v>
      </c>
      <c r="AS345" s="67" t="n">
        <v>0</v>
      </c>
      <c r="AT345" s="67" t="n">
        <v>1</v>
      </c>
    </row>
    <row r="346" ht="41.5" customHeight="1">
      <c r="A346" s="63" t="inlineStr">
        <is>
          <t>F10-T12-15</t>
        </is>
      </c>
      <c r="B346" s="63" t="inlineStr">
        <is>
          <t>F10</t>
        </is>
      </c>
      <c r="C346" s="63">
        <f>Flights!$F$14</f>
        <v/>
      </c>
      <c r="D346" s="64">
        <f>Flights!$D$14</f>
        <v/>
      </c>
      <c r="E346" s="63">
        <f>Flights!$G$14&amp;"-"&amp;Flights!$H$14</f>
        <v/>
      </c>
      <c r="F346" s="63">
        <f>Flights!$K$14</f>
        <v/>
      </c>
      <c r="G346" s="63" t="inlineStr">
        <is>
          <t>T-12H PREP</t>
        </is>
      </c>
      <c r="H346" s="63" t="inlineStr">
        <is>
          <t>Preparation</t>
        </is>
      </c>
      <c r="I346" s="63" t="inlineStr">
        <is>
          <t>Seat Linen</t>
        </is>
      </c>
      <c r="J346" s="63" t="inlineStr">
        <is>
          <t>Blanket (BS &amp; BC) - prepared</t>
        </is>
      </c>
      <c r="K346" s="73" t="inlineStr">
        <is>
          <t>Available 100% (ticked in reference)</t>
        </is>
      </c>
      <c r="L346" s="73" t="inlineStr">
        <is>
          <t>STD UPLIFT INFORMATION.xlsx &gt; SEAT LINEN!H62</t>
        </is>
      </c>
      <c r="M346" s="73" t="inlineStr">
        <is>
          <t>Not stated in reference</t>
        </is>
      </c>
      <c r="N346" s="73" t="inlineStr">
        <is>
          <t>Required</t>
        </is>
      </c>
      <c r="O346" s="73" t="inlineStr">
        <is>
          <t>Reference gives no uplift stn for this item: preparation checked at the meal uplift stn (KUL) - confirm with caterer.</t>
        </is>
      </c>
      <c r="P346" s="63" t="inlineStr">
        <is>
          <t>KUL</t>
        </is>
      </c>
      <c r="Q346" s="65">
        <f>Flights!$AE$14</f>
        <v/>
      </c>
      <c r="R346" s="65">
        <f>Q346+(IF(AND(INDEX(TZ_DSTS,MATCH(P346,TZ_STN,0))&lt;&gt;"",Q346&gt;=INDEX(TZ_DSTS,MATCH(P346,TZ_STN,0)),Q346&lt;INDEX(TZ_DSTE,MATCH(P346,TZ_STN,0))),INDEX(TZ_DST,MATCH(P346,TZ_STN,0)),INDEX(TZ_STD,MATCH(P346,TZ_STN,0))))/24</f>
        <v/>
      </c>
      <c r="S346" s="65">
        <f>Q346-T12EarlyH/24</f>
        <v/>
      </c>
      <c r="T346" s="66" t="n"/>
      <c r="U346" s="66" t="n"/>
      <c r="V346" s="66" t="n"/>
      <c r="W346" s="67" t="n"/>
      <c r="X346" s="66" t="n"/>
      <c r="Y346" s="66" t="n"/>
      <c r="Z346" s="66" t="n"/>
      <c r="AA346" s="66" t="n"/>
      <c r="AB346" s="66" t="n"/>
      <c r="AC346" s="66" t="n"/>
      <c r="AD346" s="72" t="n"/>
      <c r="AE346" s="66" t="n"/>
      <c r="AF346" s="67">
        <f>IF(AND(ISNUMBER(X346),ISNUMBER(Y346)),Y346-X346,"")</f>
        <v/>
      </c>
      <c r="AG346" s="68">
        <f>IF(ISNUMBER(AD346),AD346-(IF(AND(INDEX(TZ_DSTS,MATCH(P346,TZ_STN,0))&lt;&gt;"",(AD346-INDEX(TZ_STD,MATCH(P346,TZ_STN,0))/24)&gt;=INDEX(TZ_DSTS,MATCH(P346,TZ_STN,0)),(AD346-INDEX(TZ_STD,MATCH(P346,TZ_STN,0))/24)&lt;INDEX(TZ_DSTE,MATCH(P346,TZ_STN,0))),INDEX(TZ_DST,MATCH(P346,TZ_STN,0)),INDEX(TZ_STD,MATCH(P346,TZ_STN,0))))/24,"")</f>
        <v/>
      </c>
      <c r="AH346" s="71">
        <f>IF(N346="N/A – rule","N/A – RULE",IF(TRIM(U346)="N/A",IF(AT346=0,"INVALID – N/A not permitted for this mandatory check",IF(AND(TRIM(AC346)&lt;&gt;"",TRIM(AE346)&lt;&gt;"",TRIM(T346)&lt;&gt;""),"N/A – JUSTIFIED","INVALID – N/A needs justification, PIC and verifier")),IF(OR(TRIM(U346)="Pass",TRIM(U346)="Pass after CA"),IF(NOT(ISNUMBER(AD346)),"INVALID – completion time missing",IF(TRIM(T346)="","INVALID – PIC missing",IF(TRIM(Z346)="","INVALID – evidence missing",IF(TRIM(AE346)="","INVALID – verifier missing",IF(AND(AQ346=1,TRIM(W346)=""),"INVALID – batch ID missing",IF(AND(AR346=1,OR(NOT(ISNUMBER(X346)),NOT(ISNUMBER(Y346)))),"INVALID – expected/actual qty missing",IF(IF(AND(TRIM(U346)="Pass",ISNUMBER(AF346)),IF(AF346&lt;&gt;0,"INVALID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recorded/closed","")&lt;&gt;"",IF(AND(TRIM(U346)="Pass",ISNUMBER(AF346)),IF(AF346&lt;&gt;0,"INVALID – qty variance: use Fail or Pass after CA",""),"")&amp;IF(AND(TRIM(U346)="Pass",AB346="Open"),"INVALID – corrective action still open: use Fail, then Pass after CA","")&amp;IF(AND(TRIM(U346)="Pass after CA",OR(TRIM(AA346)="",AB346&lt;&gt;"Closed")),"INVALID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window"),IF(AG346&gt;Flights!$AA$14,"INVALID – completed after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f>
        <v/>
      </c>
      <c r="AI346" s="67">
        <f>IF(OR(AH346="N/A – RULE",AH346="N/A – JUSTIFIED"),0,1)</f>
        <v/>
      </c>
      <c r="AJ346" s="67">
        <f>IF(LEFT(AH346,8)="COMPLETE",1,0)</f>
        <v/>
      </c>
      <c r="AK346" s="67">
        <f>IF(AND(AI346=1,AJ346=0,AsOfUTC&gt;Q346),1,0)</f>
        <v/>
      </c>
      <c r="AL346" s="67">
        <f>IF(AND(AI346=1,OR(TRIM(U346)="Fail",AB346="Open",AND(ISNUMBER(AF346),AF346&lt;&gt;0,TRIM(U346)&lt;&gt;"Pass after CA"))),1,0)</f>
        <v/>
      </c>
      <c r="AM346" s="67">
        <f>IF(LEFT(AH346,7)="INVALID",1,0)</f>
        <v/>
      </c>
      <c r="AN346" s="67">
        <f>IF(AND(N346="Clarification required",AI346=1,AJ346=0),1,0)</f>
        <v/>
      </c>
      <c r="AO346" s="67">
        <f>IF(AK346=1,SUM(AK$5:AK346),"")</f>
        <v/>
      </c>
      <c r="AP346" s="67">
        <f>IF(AL346=1,SUM(AL$5:AL346),"")</f>
        <v/>
      </c>
      <c r="AQ346" s="67" t="n">
        <v>0</v>
      </c>
      <c r="AR346" s="67" t="n">
        <v>0</v>
      </c>
      <c r="AS346" s="67" t="n">
        <v>0</v>
      </c>
      <c r="AT346" s="67" t="n">
        <v>1</v>
      </c>
    </row>
    <row r="347" ht="40" customHeight="1">
      <c r="A347" s="63" t="inlineStr">
        <is>
          <t>F10-UPL-01</t>
        </is>
      </c>
      <c r="B347" s="63" t="inlineStr">
        <is>
          <t>F10</t>
        </is>
      </c>
      <c r="C347" s="63">
        <f>Flights!$F$14</f>
        <v/>
      </c>
      <c r="D347" s="64">
        <f>Flights!$D$14</f>
        <v/>
      </c>
      <c r="E347" s="63">
        <f>Flights!$G$14&amp;"-"&amp;Flights!$H$14</f>
        <v/>
      </c>
      <c r="F347" s="63">
        <f>Flights!$K$14</f>
        <v/>
      </c>
      <c r="G347" s="63" t="inlineStr">
        <is>
          <t>UPLIFT</t>
        </is>
      </c>
      <c r="H347" s="63" t="inlineStr">
        <is>
          <t>Physical uplift</t>
        </is>
      </c>
      <c r="I347" s="63" t="inlineStr">
        <is>
          <t>Meal</t>
        </is>
      </c>
      <c r="J347" s="63" t="inlineStr">
        <is>
          <t>Meals physically uplifted on board - quantity vs menu checklist</t>
        </is>
      </c>
      <c r="K347" s="73" t="inlineStr">
        <is>
          <t>Enter expected &amp; actual</t>
        </is>
      </c>
      <c r="L347" s="73" t="inlineStr">
        <is>
          <t>User brief (T-12 hours - physical uplift)</t>
        </is>
      </c>
      <c r="M347" s="73" t="inlineStr"/>
      <c r="N347" s="73" t="inlineStr">
        <is>
          <t>Required</t>
        </is>
      </c>
      <c r="O347" s="73" t="inlineStr">
        <is>
          <t>Confirm on board before departure; completion time must fall inside the uplift window.</t>
        </is>
      </c>
      <c r="P347" s="63" t="inlineStr">
        <is>
          <t>KUL</t>
        </is>
      </c>
      <c r="Q347" s="65">
        <f>Flights!$AF$14</f>
        <v/>
      </c>
      <c r="R347" s="65">
        <f>Q347+(IF(AND(INDEX(TZ_DSTS,MATCH(P347,TZ_STN,0))&lt;&gt;"",Q347&gt;=INDEX(TZ_DSTS,MATCH(P347,TZ_STN,0)),Q347&lt;INDEX(TZ_DSTE,MATCH(P347,TZ_STN,0))),INDEX(TZ_DST,MATCH(P347,TZ_STN,0)),INDEX(TZ_STD,MATCH(P347,TZ_STN,0))))/24</f>
        <v/>
      </c>
      <c r="S347" s="65">
        <f>Q347-UpliftWindowH/24</f>
        <v/>
      </c>
      <c r="T347" s="66" t="n"/>
      <c r="U347" s="66" t="n"/>
      <c r="V347" s="66" t="n"/>
      <c r="W347" s="67" t="n"/>
      <c r="X347" s="66" t="n"/>
      <c r="Y347" s="66" t="n"/>
      <c r="Z347" s="66" t="n"/>
      <c r="AA347" s="66" t="n"/>
      <c r="AB347" s="66" t="n"/>
      <c r="AC347" s="66" t="n"/>
      <c r="AD347" s="72" t="n"/>
      <c r="AE347" s="66" t="n"/>
      <c r="AF347" s="67">
        <f>IF(AND(ISNUMBER(X347),ISNUMBER(Y347)),Y347-X347,"")</f>
        <v/>
      </c>
      <c r="AG347" s="68">
        <f>IF(ISNUMBER(AD347),AD347-(IF(AND(INDEX(TZ_DSTS,MATCH(P347,TZ_STN,0))&lt;&gt;"",(AD347-INDEX(TZ_STD,MATCH(P347,TZ_STN,0))/24)&gt;=INDEX(TZ_DSTS,MATCH(P347,TZ_STN,0)),(AD347-INDEX(TZ_STD,MATCH(P347,TZ_STN,0))/24)&lt;INDEX(TZ_DSTE,MATCH(P347,TZ_STN,0))),INDEX(TZ_DST,MATCH(P347,TZ_STN,0)),INDEX(TZ_STD,MATCH(P347,TZ_STN,0))))/24,"")</f>
        <v/>
      </c>
      <c r="AH347" s="71">
        <f>IF(N347="N/A – rule","N/A – RULE",IF(TRIM(U347)="N/A",IF(AT347=0,"INVALID – N/A not permitted for this mandatory check",IF(AND(TRIM(AC347)&lt;&gt;"",TRIM(AE347)&lt;&gt;"",TRIM(T347)&lt;&gt;""),"N/A – JUSTIFIED","INVALID – N/A needs justification, PIC and verifier")),IF(OR(TRIM(U347)="Pass",TRIM(U347)="Pass after CA"),IF(NOT(ISNUMBER(AD347)),"INVALID – completion time missing",IF(TRIM(T347)="","INVALID – PIC missing",IF(TRIM(Z347)="","INVALID – evidence missing",IF(TRIM(AE347)="","INVALID – verifier missing",IF(AND(AQ347=1,TRIM(W347)=""),"INVALID – batch ID missing",IF(AND(AR347=1,OR(NOT(ISNUMBER(X347)),NOT(ISNUMBER(Y347)))),"INVALID – expected/actual qty missing",IF(IF(AND(TRIM(U347)="Pass",ISNUMBER(AF347)),IF(AF347&lt;&gt;0,"INVALID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recorded/closed","")&lt;&gt;"",IF(AND(TRIM(U347)="Pass",ISNUMBER(AF347)),IF(AF347&lt;&gt;0,"INVALID – qty variance: use Fail or Pass after CA",""),"")&amp;IF(AND(TRIM(U347)="Pass",AB347="Open"),"INVALID – corrective action still open: use Fail, then Pass after CA","")&amp;IF(AND(TRIM(U347)="Pass after CA",OR(TRIM(AA347)="",AB347&lt;&gt;"Closed")),"INVALID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window"),IF(AG347&gt;Flights!$AA$14,"INVALID – completed after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f>
        <v/>
      </c>
      <c r="AI347" s="67">
        <f>IF(OR(AH347="N/A – RULE",AH347="N/A – JUSTIFIED"),0,1)</f>
        <v/>
      </c>
      <c r="AJ347" s="67">
        <f>IF(LEFT(AH347,8)="COMPLETE",1,0)</f>
        <v/>
      </c>
      <c r="AK347" s="67">
        <f>IF(AND(AI347=1,AJ347=0,AsOfUTC&gt;Q347),1,0)</f>
        <v/>
      </c>
      <c r="AL347" s="67">
        <f>IF(AND(AI347=1,OR(TRIM(U347)="Fail",AB347="Open",AND(ISNUMBER(AF347),AF347&lt;&gt;0,TRIM(U347)&lt;&gt;"Pass after CA"))),1,0)</f>
        <v/>
      </c>
      <c r="AM347" s="67">
        <f>IF(LEFT(AH347,7)="INVALID",1,0)</f>
        <v/>
      </c>
      <c r="AN347" s="67">
        <f>IF(AND(N347="Clarification required",AI347=1,AJ347=0),1,0)</f>
        <v/>
      </c>
      <c r="AO347" s="67">
        <f>IF(AK347=1,SUM(AK$5:AK347),"")</f>
        <v/>
      </c>
      <c r="AP347" s="67">
        <f>IF(AL347=1,SUM(AL$5:AL347),"")</f>
        <v/>
      </c>
      <c r="AQ347" s="67" t="n">
        <v>0</v>
      </c>
      <c r="AR347" s="67" t="n">
        <v>1</v>
      </c>
      <c r="AS347" s="67" t="n">
        <v>0</v>
      </c>
      <c r="AT347" s="67" t="n">
        <v>0</v>
      </c>
    </row>
    <row r="348" ht="40" customHeight="1">
      <c r="A348" s="63" t="inlineStr">
        <is>
          <t>F10-UPL-02</t>
        </is>
      </c>
      <c r="B348" s="63" t="inlineStr">
        <is>
          <t>F10</t>
        </is>
      </c>
      <c r="C348" s="63">
        <f>Flights!$F$14</f>
        <v/>
      </c>
      <c r="D348" s="64">
        <f>Flights!$D$14</f>
        <v/>
      </c>
      <c r="E348" s="63">
        <f>Flights!$G$14&amp;"-"&amp;Flights!$H$14</f>
        <v/>
      </c>
      <c r="F348" s="63">
        <f>Flights!$K$14</f>
        <v/>
      </c>
      <c r="G348" s="63" t="inlineStr">
        <is>
          <t>UPLIFT</t>
        </is>
      </c>
      <c r="H348" s="63" t="inlineStr">
        <is>
          <t>Physical uplift</t>
        </is>
      </c>
      <c r="I348" s="63" t="inlineStr">
        <is>
          <t>Equipment</t>
        </is>
      </c>
      <c r="J348" s="63" t="inlineStr">
        <is>
          <t>Equipment physically loaded at GLD positions - quantity &amp; positions</t>
        </is>
      </c>
      <c r="K348" s="73" t="inlineStr">
        <is>
          <t>Enter expected &amp; actual</t>
        </is>
      </c>
      <c r="L348" s="73" t="inlineStr">
        <is>
          <t>User brief (T-12 hours - physical uplift)</t>
        </is>
      </c>
      <c r="M348" s="73" t="inlineStr"/>
      <c r="N348" s="73" t="inlineStr">
        <is>
          <t>Required</t>
        </is>
      </c>
      <c r="O348" s="73" t="inlineStr">
        <is>
          <t>Confirm on board before departure; completion time must fall inside the uplift window.</t>
        </is>
      </c>
      <c r="P348" s="63" t="inlineStr">
        <is>
          <t>KUL</t>
        </is>
      </c>
      <c r="Q348" s="65">
        <f>Flights!$AF$14</f>
        <v/>
      </c>
      <c r="R348" s="65">
        <f>Q348+(IF(AND(INDEX(TZ_DSTS,MATCH(P348,TZ_STN,0))&lt;&gt;"",Q348&gt;=INDEX(TZ_DSTS,MATCH(P348,TZ_STN,0)),Q348&lt;INDEX(TZ_DSTE,MATCH(P348,TZ_STN,0))),INDEX(TZ_DST,MATCH(P348,TZ_STN,0)),INDEX(TZ_STD,MATCH(P348,TZ_STN,0))))/24</f>
        <v/>
      </c>
      <c r="S348" s="65">
        <f>Q348-UpliftWindowH/24</f>
        <v/>
      </c>
      <c r="T348" s="66" t="n"/>
      <c r="U348" s="66" t="n"/>
      <c r="V348" s="66" t="n"/>
      <c r="W348" s="67" t="n"/>
      <c r="X348" s="66" t="n"/>
      <c r="Y348" s="66" t="n"/>
      <c r="Z348" s="66" t="n"/>
      <c r="AA348" s="66" t="n"/>
      <c r="AB348" s="66" t="n"/>
      <c r="AC348" s="66" t="n"/>
      <c r="AD348" s="72" t="n"/>
      <c r="AE348" s="66" t="n"/>
      <c r="AF348" s="67">
        <f>IF(AND(ISNUMBER(X348),ISNUMBER(Y348)),Y348-X348,"")</f>
        <v/>
      </c>
      <c r="AG348" s="68">
        <f>IF(ISNUMBER(AD348),AD348-(IF(AND(INDEX(TZ_DSTS,MATCH(P348,TZ_STN,0))&lt;&gt;"",(AD348-INDEX(TZ_STD,MATCH(P348,TZ_STN,0))/24)&gt;=INDEX(TZ_DSTS,MATCH(P348,TZ_STN,0)),(AD348-INDEX(TZ_STD,MATCH(P348,TZ_STN,0))/24)&lt;INDEX(TZ_DSTE,MATCH(P348,TZ_STN,0))),INDEX(TZ_DST,MATCH(P348,TZ_STN,0)),INDEX(TZ_STD,MATCH(P348,TZ_STN,0))))/24,"")</f>
        <v/>
      </c>
      <c r="AH348" s="71">
        <f>IF(N348="N/A – rule","N/A – RULE",IF(TRIM(U348)="N/A",IF(AT348=0,"INVALID – N/A not permitted for this mandatory check",IF(AND(TRIM(AC348)&lt;&gt;"",TRIM(AE348)&lt;&gt;"",TRIM(T348)&lt;&gt;""),"N/A – JUSTIFIED","INVALID – N/A needs justification, PIC and verifier")),IF(OR(TRIM(U348)="Pass",TRIM(U348)="Pass after CA"),IF(NOT(ISNUMBER(AD348)),"INVALID – completion time missing",IF(TRIM(T348)="","INVALID – PIC missing",IF(TRIM(Z348)="","INVALID – evidence missing",IF(TRIM(AE348)="","INVALID – verifier missing",IF(AND(AQ348=1,TRIM(W348)=""),"INVALID – batch ID missing",IF(AND(AR348=1,OR(NOT(ISNUMBER(X348)),NOT(ISNUMBER(Y348)))),"INVALID – expected/actual qty missing",IF(IF(AND(TRIM(U348)="Pass",ISNUMBER(AF348)),IF(AF348&lt;&gt;0,"INVALID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recorded/closed","")&lt;&gt;"",IF(AND(TRIM(U348)="Pass",ISNUMBER(AF348)),IF(AF348&lt;&gt;0,"INVALID – qty variance: use Fail or Pass after CA",""),"")&amp;IF(AND(TRIM(U348)="Pass",AB348="Open"),"INVALID – corrective action still open: use Fail, then Pass after CA","")&amp;IF(AND(TRIM(U348)="Pass after CA",OR(TRIM(AA348)="",AB348&lt;&gt;"Closed")),"INVALID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window"),IF(AG348&gt;Flights!$AA$14,"INVALID – completed after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f>
        <v/>
      </c>
      <c r="AI348" s="67">
        <f>IF(OR(AH348="N/A – RULE",AH348="N/A – JUSTIFIED"),0,1)</f>
        <v/>
      </c>
      <c r="AJ348" s="67">
        <f>IF(LEFT(AH348,8)="COMPLETE",1,0)</f>
        <v/>
      </c>
      <c r="AK348" s="67">
        <f>IF(AND(AI348=1,AJ348=0,AsOfUTC&gt;Q348),1,0)</f>
        <v/>
      </c>
      <c r="AL348" s="67">
        <f>IF(AND(AI348=1,OR(TRIM(U348)="Fail",AB348="Open",AND(ISNUMBER(AF348),AF348&lt;&gt;0,TRIM(U348)&lt;&gt;"Pass after CA"))),1,0)</f>
        <v/>
      </c>
      <c r="AM348" s="67">
        <f>IF(LEFT(AH348,7)="INVALID",1,0)</f>
        <v/>
      </c>
      <c r="AN348" s="67">
        <f>IF(AND(N348="Clarification required",AI348=1,AJ348=0),1,0)</f>
        <v/>
      </c>
      <c r="AO348" s="67">
        <f>IF(AK348=1,SUM(AK$5:AK348),"")</f>
        <v/>
      </c>
      <c r="AP348" s="67">
        <f>IF(AL348=1,SUM(AL$5:AL348),"")</f>
        <v/>
      </c>
      <c r="AQ348" s="67" t="n">
        <v>0</v>
      </c>
      <c r="AR348" s="67" t="n">
        <v>1</v>
      </c>
      <c r="AS348" s="67" t="n">
        <v>0</v>
      </c>
      <c r="AT348" s="67" t="n">
        <v>0</v>
      </c>
    </row>
    <row r="349" ht="41.5" customHeight="1">
      <c r="A349" s="63" t="inlineStr">
        <is>
          <t>F10-UPL-03</t>
        </is>
      </c>
      <c r="B349" s="63" t="inlineStr">
        <is>
          <t>F10</t>
        </is>
      </c>
      <c r="C349" s="63">
        <f>Flights!$F$14</f>
        <v/>
      </c>
      <c r="D349" s="64">
        <f>Flights!$D$14</f>
        <v/>
      </c>
      <c r="E349" s="63">
        <f>Flights!$G$14&amp;"-"&amp;Flights!$H$14</f>
        <v/>
      </c>
      <c r="F349" s="63">
        <f>Flights!$K$14</f>
        <v/>
      </c>
      <c r="G349" s="63" t="inlineStr">
        <is>
          <t>UPLIFT</t>
        </is>
      </c>
      <c r="H349" s="63" t="inlineStr">
        <is>
          <t>Physical uplift</t>
        </is>
      </c>
      <c r="I349" s="63" t="inlineStr">
        <is>
          <t>Amenities</t>
        </is>
      </c>
      <c r="J349" s="63" t="inlineStr">
        <is>
          <t>Disposable slippers in DAM cart (BC, on request) - on board</t>
        </is>
      </c>
      <c r="K349" s="73" t="inlineStr">
        <is>
          <t>Available in DAM cart on request basis</t>
        </is>
      </c>
      <c r="L349" s="73" t="inlineStr">
        <is>
          <t>STD UPLIFT INFORMATION.xlsx &gt; AMENITIES!G72 / C83</t>
        </is>
      </c>
      <c r="M349" s="73" t="inlineStr">
        <is>
          <t>Not stated in reference</t>
        </is>
      </c>
      <c r="N349" s="73" t="inlineStr">
        <is>
          <t>Required</t>
        </is>
      </c>
      <c r="O349" s="73" t="inlineStr">
        <is>
          <t>Sector has no BC slippers; note C83: disposable slipper available in DAM cart (on request basis).</t>
        </is>
      </c>
      <c r="P349" s="63" t="inlineStr">
        <is>
          <t>KUL</t>
        </is>
      </c>
      <c r="Q349" s="65">
        <f>Flights!$AF$14</f>
        <v/>
      </c>
      <c r="R349" s="65">
        <f>Q349+(IF(AND(INDEX(TZ_DSTS,MATCH(P349,TZ_STN,0))&lt;&gt;"",Q349&gt;=INDEX(TZ_DSTS,MATCH(P349,TZ_STN,0)),Q349&lt;INDEX(TZ_DSTE,MATCH(P349,TZ_STN,0))),INDEX(TZ_DST,MATCH(P349,TZ_STN,0)),INDEX(TZ_STD,MATCH(P349,TZ_STN,0))))/24</f>
        <v/>
      </c>
      <c r="S349" s="65">
        <f>Q349-UpliftWindowH/24</f>
        <v/>
      </c>
      <c r="T349" s="66" t="n"/>
      <c r="U349" s="66" t="n"/>
      <c r="V349" s="66" t="n"/>
      <c r="W349" s="67" t="n"/>
      <c r="X349" s="66" t="n"/>
      <c r="Y349" s="66" t="n"/>
      <c r="Z349" s="66" t="n"/>
      <c r="AA349" s="66" t="n"/>
      <c r="AB349" s="66" t="n"/>
      <c r="AC349" s="66" t="n"/>
      <c r="AD349" s="72" t="n"/>
      <c r="AE349" s="66" t="n"/>
      <c r="AF349" s="67">
        <f>IF(AND(ISNUMBER(X349),ISNUMBER(Y349)),Y349-X349,"")</f>
        <v/>
      </c>
      <c r="AG349" s="68">
        <f>IF(ISNUMBER(AD349),AD349-(IF(AND(INDEX(TZ_DSTS,MATCH(P349,TZ_STN,0))&lt;&gt;"",(AD349-INDEX(TZ_STD,MATCH(P349,TZ_STN,0))/24)&gt;=INDEX(TZ_DSTS,MATCH(P349,TZ_STN,0)),(AD349-INDEX(TZ_STD,MATCH(P349,TZ_STN,0))/24)&lt;INDEX(TZ_DSTE,MATCH(P349,TZ_STN,0))),INDEX(TZ_DST,MATCH(P349,TZ_STN,0)),INDEX(TZ_STD,MATCH(P349,TZ_STN,0))))/24,"")</f>
        <v/>
      </c>
      <c r="AH349" s="71">
        <f>IF(N349="N/A – rule","N/A – RULE",IF(TRIM(U349)="N/A",IF(AT349=0,"INVALID – N/A not permitted for this mandatory check",IF(AND(TRIM(AC349)&lt;&gt;"",TRIM(AE349)&lt;&gt;"",TRIM(T349)&lt;&gt;""),"N/A – JUSTIFIED","INVALID – N/A needs justification, PIC and verifier")),IF(OR(TRIM(U349)="Pass",TRIM(U349)="Pass after CA"),IF(NOT(ISNUMBER(AD349)),"INVALID – completion time missing",IF(TRIM(T349)="","INVALID – PIC missing",IF(TRIM(Z349)="","INVALID – evidence missing",IF(TRIM(AE349)="","INVALID – verifier missing",IF(AND(AQ349=1,TRIM(W349)=""),"INVALID – batch ID missing",IF(AND(AR349=1,OR(NOT(ISNUMBER(X349)),NOT(ISNUMBER(Y349)))),"INVALID – expected/actual qty missing",IF(IF(AND(TRIM(U349)="Pass",ISNUMBER(AF349)),IF(AF349&lt;&gt;0,"INVALID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recorded/closed","")&lt;&gt;"",IF(AND(TRIM(U349)="Pass",ISNUMBER(AF349)),IF(AF349&lt;&gt;0,"INVALID – qty variance: use Fail or Pass after CA",""),"")&amp;IF(AND(TRIM(U349)="Pass",AB349="Open"),"INVALID – corrective action still open: use Fail, then Pass after CA","")&amp;IF(AND(TRIM(U349)="Pass after CA",OR(TRIM(AA349)="",AB349&lt;&gt;"Closed")),"INVALID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window"),IF(AG349&gt;Flights!$AA$14,"INVALID – completed after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f>
        <v/>
      </c>
      <c r="AI349" s="67">
        <f>IF(OR(AH349="N/A – RULE",AH349="N/A – JUSTIFIED"),0,1)</f>
        <v/>
      </c>
      <c r="AJ349" s="67">
        <f>IF(LEFT(AH349,8)="COMPLETE",1,0)</f>
        <v/>
      </c>
      <c r="AK349" s="67">
        <f>IF(AND(AI349=1,AJ349=0,AsOfUTC&gt;Q349),1,0)</f>
        <v/>
      </c>
      <c r="AL349" s="67">
        <f>IF(AND(AI349=1,OR(TRIM(U349)="Fail",AB349="Open",AND(ISNUMBER(AF349),AF349&lt;&gt;0,TRIM(U349)&lt;&gt;"Pass after CA"))),1,0)</f>
        <v/>
      </c>
      <c r="AM349" s="67">
        <f>IF(LEFT(AH349,7)="INVALID",1,0)</f>
        <v/>
      </c>
      <c r="AN349" s="67">
        <f>IF(AND(N349="Clarification required",AI349=1,AJ349=0),1,0)</f>
        <v/>
      </c>
      <c r="AO349" s="67">
        <f>IF(AK349=1,SUM(AK$5:AK349),"")</f>
        <v/>
      </c>
      <c r="AP349" s="67">
        <f>IF(AL349=1,SUM(AL$5:AL349),"")</f>
        <v/>
      </c>
      <c r="AQ349" s="67" t="n">
        <v>0</v>
      </c>
      <c r="AR349" s="67" t="n">
        <v>0</v>
      </c>
      <c r="AS349" s="67" t="n">
        <v>0</v>
      </c>
      <c r="AT349" s="67" t="n">
        <v>1</v>
      </c>
    </row>
    <row r="350" ht="40" customHeight="1">
      <c r="A350" s="63" t="inlineStr">
        <is>
          <t>F10-UPL-04</t>
        </is>
      </c>
      <c r="B350" s="63" t="inlineStr">
        <is>
          <t>F10</t>
        </is>
      </c>
      <c r="C350" s="63">
        <f>Flights!$F$14</f>
        <v/>
      </c>
      <c r="D350" s="64">
        <f>Flights!$D$14</f>
        <v/>
      </c>
      <c r="E350" s="63">
        <f>Flights!$G$14&amp;"-"&amp;Flights!$H$14</f>
        <v/>
      </c>
      <c r="F350" s="63">
        <f>Flights!$K$14</f>
        <v/>
      </c>
      <c r="G350" s="63" t="inlineStr">
        <is>
          <t>UPLIFT</t>
        </is>
      </c>
      <c r="H350" s="63" t="inlineStr">
        <is>
          <t>Physical uplift</t>
        </is>
      </c>
      <c r="I350" s="63" t="inlineStr">
        <is>
          <t>F&amp;B Linen</t>
        </is>
      </c>
      <c r="J350" s="63" t="inlineStr">
        <is>
          <t>Towel - on board</t>
        </is>
      </c>
      <c r="K350" s="73" t="inlineStr">
        <is>
          <t>Available (ticked in reference)</t>
        </is>
      </c>
      <c r="L350" s="73" t="inlineStr">
        <is>
          <t>STD UPLIFT INFORMATION.xlsx &gt; F&amp;B LINEN!D66</t>
        </is>
      </c>
      <c r="M350" s="73" t="inlineStr">
        <is>
          <t>Not stated in reference</t>
        </is>
      </c>
      <c r="N350" s="73" t="inlineStr">
        <is>
          <t>Required</t>
        </is>
      </c>
      <c r="O350" s="73" t="inlineStr"/>
      <c r="P350" s="63" t="inlineStr">
        <is>
          <t>KUL</t>
        </is>
      </c>
      <c r="Q350" s="65">
        <f>Flights!$AF$14</f>
        <v/>
      </c>
      <c r="R350" s="65">
        <f>Q350+(IF(AND(INDEX(TZ_DSTS,MATCH(P350,TZ_STN,0))&lt;&gt;"",Q350&gt;=INDEX(TZ_DSTS,MATCH(P350,TZ_STN,0)),Q350&lt;INDEX(TZ_DSTE,MATCH(P350,TZ_STN,0))),INDEX(TZ_DST,MATCH(P350,TZ_STN,0)),INDEX(TZ_STD,MATCH(P350,TZ_STN,0))))/24</f>
        <v/>
      </c>
      <c r="S350" s="65">
        <f>Q350-UpliftWindowH/24</f>
        <v/>
      </c>
      <c r="T350" s="66" t="n"/>
      <c r="U350" s="66" t="n"/>
      <c r="V350" s="66" t="n"/>
      <c r="W350" s="67" t="n"/>
      <c r="X350" s="66" t="n"/>
      <c r="Y350" s="66" t="n"/>
      <c r="Z350" s="66" t="n"/>
      <c r="AA350" s="66" t="n"/>
      <c r="AB350" s="66" t="n"/>
      <c r="AC350" s="66" t="n"/>
      <c r="AD350" s="72" t="n"/>
      <c r="AE350" s="66" t="n"/>
      <c r="AF350" s="67">
        <f>IF(AND(ISNUMBER(X350),ISNUMBER(Y350)),Y350-X350,"")</f>
        <v/>
      </c>
      <c r="AG350" s="68">
        <f>IF(ISNUMBER(AD350),AD350-(IF(AND(INDEX(TZ_DSTS,MATCH(P350,TZ_STN,0))&lt;&gt;"",(AD350-INDEX(TZ_STD,MATCH(P350,TZ_STN,0))/24)&gt;=INDEX(TZ_DSTS,MATCH(P350,TZ_STN,0)),(AD350-INDEX(TZ_STD,MATCH(P350,TZ_STN,0))/24)&lt;INDEX(TZ_DSTE,MATCH(P350,TZ_STN,0))),INDEX(TZ_DST,MATCH(P350,TZ_STN,0)),INDEX(TZ_STD,MATCH(P350,TZ_STN,0))))/24,"")</f>
        <v/>
      </c>
      <c r="AH350" s="71">
        <f>IF(N350="N/A – rule","N/A – RULE",IF(TRIM(U350)="N/A",IF(AT350=0,"INVALID – N/A not permitted for this mandatory check",IF(AND(TRIM(AC350)&lt;&gt;"",TRIM(AE350)&lt;&gt;"",TRIM(T350)&lt;&gt;""),"N/A – JUSTIFIED","INVALID – N/A needs justification, PIC and verifier")),IF(OR(TRIM(U350)="Pass",TRIM(U350)="Pass after CA"),IF(NOT(ISNUMBER(AD350)),"INVALID – completion time missing",IF(TRIM(T350)="","INVALID – PIC missing",IF(TRIM(Z350)="","INVALID – evidence missing",IF(TRIM(AE350)="","INVALID – verifier missing",IF(AND(AQ350=1,TRIM(W350)=""),"INVALID – batch ID missing",IF(AND(AR350=1,OR(NOT(ISNUMBER(X350)),NOT(ISNUMBER(Y350)))),"INVALID – expected/actual qty missing",IF(IF(AND(TRIM(U350)="Pass",ISNUMBER(AF350)),IF(AF350&lt;&gt;0,"INVALID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recorded/closed","")&lt;&gt;"",IF(AND(TRIM(U350)="Pass",ISNUMBER(AF350)),IF(AF350&lt;&gt;0,"INVALID – qty variance: use Fail or Pass after CA",""),"")&amp;IF(AND(TRIM(U350)="Pass",AB350="Open"),"INVALID – corrective action still open: use Fail, then Pass after CA","")&amp;IF(AND(TRIM(U350)="Pass after CA",OR(TRIM(AA350)="",AB350&lt;&gt;"Closed")),"INVALID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window"),IF(AG350&gt;Flights!$AA$14,"INVALID – completed after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f>
        <v/>
      </c>
      <c r="AI350" s="67">
        <f>IF(OR(AH350="N/A – RULE",AH350="N/A – JUSTIFIED"),0,1)</f>
        <v/>
      </c>
      <c r="AJ350" s="67">
        <f>IF(LEFT(AH350,8)="COMPLETE",1,0)</f>
        <v/>
      </c>
      <c r="AK350" s="67">
        <f>IF(AND(AI350=1,AJ350=0,AsOfUTC&gt;Q350),1,0)</f>
        <v/>
      </c>
      <c r="AL350" s="67">
        <f>IF(AND(AI350=1,OR(TRIM(U350)="Fail",AB350="Open",AND(ISNUMBER(AF350),AF350&lt;&gt;0,TRIM(U350)&lt;&gt;"Pass after CA"))),1,0)</f>
        <v/>
      </c>
      <c r="AM350" s="67">
        <f>IF(LEFT(AH350,7)="INVALID",1,0)</f>
        <v/>
      </c>
      <c r="AN350" s="67">
        <f>IF(AND(N350="Clarification required",AI350=1,AJ350=0),1,0)</f>
        <v/>
      </c>
      <c r="AO350" s="67">
        <f>IF(AK350=1,SUM(AK$5:AK350),"")</f>
        <v/>
      </c>
      <c r="AP350" s="67">
        <f>IF(AL350=1,SUM(AL$5:AL350),"")</f>
        <v/>
      </c>
      <c r="AQ350" s="67" t="n">
        <v>0</v>
      </c>
      <c r="AR350" s="67" t="n">
        <v>0</v>
      </c>
      <c r="AS350" s="67" t="n">
        <v>0</v>
      </c>
      <c r="AT350" s="67" t="n">
        <v>1</v>
      </c>
    </row>
    <row r="351" ht="40" customHeight="1">
      <c r="A351" s="63" t="inlineStr">
        <is>
          <t>F10-UPL-05</t>
        </is>
      </c>
      <c r="B351" s="63" t="inlineStr">
        <is>
          <t>F10</t>
        </is>
      </c>
      <c r="C351" s="63">
        <f>Flights!$F$14</f>
        <v/>
      </c>
      <c r="D351" s="64">
        <f>Flights!$D$14</f>
        <v/>
      </c>
      <c r="E351" s="63">
        <f>Flights!$G$14&amp;"-"&amp;Flights!$H$14</f>
        <v/>
      </c>
      <c r="F351" s="63">
        <f>Flights!$K$14</f>
        <v/>
      </c>
      <c r="G351" s="63" t="inlineStr">
        <is>
          <t>UPLIFT</t>
        </is>
      </c>
      <c r="H351" s="63" t="inlineStr">
        <is>
          <t>Physical uplift</t>
        </is>
      </c>
      <c r="I351" s="63" t="inlineStr">
        <is>
          <t>F&amp;B Linen</t>
        </is>
      </c>
      <c r="J351" s="63" t="inlineStr">
        <is>
          <t>Tray cloth - on board</t>
        </is>
      </c>
      <c r="K351" s="73" t="inlineStr">
        <is>
          <t>Available (ticked in reference)</t>
        </is>
      </c>
      <c r="L351" s="73" t="inlineStr">
        <is>
          <t>STD UPLIFT INFORMATION.xlsx &gt; F&amp;B LINEN!E66</t>
        </is>
      </c>
      <c r="M351" s="73" t="inlineStr">
        <is>
          <t>Not stated in reference</t>
        </is>
      </c>
      <c r="N351" s="73" t="inlineStr">
        <is>
          <t>Required</t>
        </is>
      </c>
      <c r="O351" s="73" t="inlineStr"/>
      <c r="P351" s="63" t="inlineStr">
        <is>
          <t>KUL</t>
        </is>
      </c>
      <c r="Q351" s="65">
        <f>Flights!$AF$14</f>
        <v/>
      </c>
      <c r="R351" s="65">
        <f>Q351+(IF(AND(INDEX(TZ_DSTS,MATCH(P351,TZ_STN,0))&lt;&gt;"",Q351&gt;=INDEX(TZ_DSTS,MATCH(P351,TZ_STN,0)),Q351&lt;INDEX(TZ_DSTE,MATCH(P351,TZ_STN,0))),INDEX(TZ_DST,MATCH(P351,TZ_STN,0)),INDEX(TZ_STD,MATCH(P351,TZ_STN,0))))/24</f>
        <v/>
      </c>
      <c r="S351" s="65">
        <f>Q351-UpliftWindowH/24</f>
        <v/>
      </c>
      <c r="T351" s="66" t="n"/>
      <c r="U351" s="66" t="n"/>
      <c r="V351" s="66" t="n"/>
      <c r="W351" s="67" t="n"/>
      <c r="X351" s="66" t="n"/>
      <c r="Y351" s="66" t="n"/>
      <c r="Z351" s="66" t="n"/>
      <c r="AA351" s="66" t="n"/>
      <c r="AB351" s="66" t="n"/>
      <c r="AC351" s="66" t="n"/>
      <c r="AD351" s="72" t="n"/>
      <c r="AE351" s="66" t="n"/>
      <c r="AF351" s="67">
        <f>IF(AND(ISNUMBER(X351),ISNUMBER(Y351)),Y351-X351,"")</f>
        <v/>
      </c>
      <c r="AG351" s="68">
        <f>IF(ISNUMBER(AD351),AD351-(IF(AND(INDEX(TZ_DSTS,MATCH(P351,TZ_STN,0))&lt;&gt;"",(AD351-INDEX(TZ_STD,MATCH(P351,TZ_STN,0))/24)&gt;=INDEX(TZ_DSTS,MATCH(P351,TZ_STN,0)),(AD351-INDEX(TZ_STD,MATCH(P351,TZ_STN,0))/24)&lt;INDEX(TZ_DSTE,MATCH(P351,TZ_STN,0))),INDEX(TZ_DST,MATCH(P351,TZ_STN,0)),INDEX(TZ_STD,MATCH(P351,TZ_STN,0))))/24,"")</f>
        <v/>
      </c>
      <c r="AH351" s="71">
        <f>IF(N351="N/A – rule","N/A – RULE",IF(TRIM(U351)="N/A",IF(AT351=0,"INVALID – N/A not permitted for this mandatory check",IF(AND(TRIM(AC351)&lt;&gt;"",TRIM(AE351)&lt;&gt;"",TRIM(T351)&lt;&gt;""),"N/A – JUSTIFIED","INVALID – N/A needs justification, PIC and verifier")),IF(OR(TRIM(U351)="Pass",TRIM(U351)="Pass after CA"),IF(NOT(ISNUMBER(AD351)),"INVALID – completion time missing",IF(TRIM(T351)="","INVALID – PIC missing",IF(TRIM(Z351)="","INVALID – evidence missing",IF(TRIM(AE351)="","INVALID – verifier missing",IF(AND(AQ351=1,TRIM(W351)=""),"INVALID – batch ID missing",IF(AND(AR351=1,OR(NOT(ISNUMBER(X351)),NOT(ISNUMBER(Y351)))),"INVALID – expected/actual qty missing",IF(IF(AND(TRIM(U351)="Pass",ISNUMBER(AF351)),IF(AF351&lt;&gt;0,"INVALID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recorded/closed","")&lt;&gt;"",IF(AND(TRIM(U351)="Pass",ISNUMBER(AF351)),IF(AF351&lt;&gt;0,"INVALID – qty variance: use Fail or Pass after CA",""),"")&amp;IF(AND(TRIM(U351)="Pass",AB351="Open"),"INVALID – corrective action still open: use Fail, then Pass after CA","")&amp;IF(AND(TRIM(U351)="Pass after CA",OR(TRIM(AA351)="",AB351&lt;&gt;"Closed")),"INVALID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window"),IF(AG351&gt;Flights!$AA$14,"INVALID – completed after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f>
        <v/>
      </c>
      <c r="AI351" s="67">
        <f>IF(OR(AH351="N/A – RULE",AH351="N/A – JUSTIFIED"),0,1)</f>
        <v/>
      </c>
      <c r="AJ351" s="67">
        <f>IF(LEFT(AH351,8)="COMPLETE",1,0)</f>
        <v/>
      </c>
      <c r="AK351" s="67">
        <f>IF(AND(AI351=1,AJ351=0,AsOfUTC&gt;Q351),1,0)</f>
        <v/>
      </c>
      <c r="AL351" s="67">
        <f>IF(AND(AI351=1,OR(TRIM(U351)="Fail",AB351="Open",AND(ISNUMBER(AF351),AF351&lt;&gt;0,TRIM(U351)&lt;&gt;"Pass after CA"))),1,0)</f>
        <v/>
      </c>
      <c r="AM351" s="67">
        <f>IF(LEFT(AH351,7)="INVALID",1,0)</f>
        <v/>
      </c>
      <c r="AN351" s="67">
        <f>IF(AND(N351="Clarification required",AI351=1,AJ351=0),1,0)</f>
        <v/>
      </c>
      <c r="AO351" s="67">
        <f>IF(AK351=1,SUM(AK$5:AK351),"")</f>
        <v/>
      </c>
      <c r="AP351" s="67">
        <f>IF(AL351=1,SUM(AL$5:AL351),"")</f>
        <v/>
      </c>
      <c r="AQ351" s="67" t="n">
        <v>0</v>
      </c>
      <c r="AR351" s="67" t="n">
        <v>0</v>
      </c>
      <c r="AS351" s="67" t="n">
        <v>0</v>
      </c>
      <c r="AT351" s="67" t="n">
        <v>1</v>
      </c>
    </row>
    <row r="352" ht="40" customHeight="1">
      <c r="A352" s="63" t="inlineStr">
        <is>
          <t>F10-UPL-06</t>
        </is>
      </c>
      <c r="B352" s="63" t="inlineStr">
        <is>
          <t>F10</t>
        </is>
      </c>
      <c r="C352" s="63">
        <f>Flights!$F$14</f>
        <v/>
      </c>
      <c r="D352" s="64">
        <f>Flights!$D$14</f>
        <v/>
      </c>
      <c r="E352" s="63">
        <f>Flights!$G$14&amp;"-"&amp;Flights!$H$14</f>
        <v/>
      </c>
      <c r="F352" s="63">
        <f>Flights!$K$14</f>
        <v/>
      </c>
      <c r="G352" s="63" t="inlineStr">
        <is>
          <t>UPLIFT</t>
        </is>
      </c>
      <c r="H352" s="63" t="inlineStr">
        <is>
          <t>Physical uplift</t>
        </is>
      </c>
      <c r="I352" s="63" t="inlineStr">
        <is>
          <t>F&amp;B Linen</t>
        </is>
      </c>
      <c r="J352" s="63" t="inlineStr">
        <is>
          <t>Napkin - on board</t>
        </is>
      </c>
      <c r="K352" s="73" t="inlineStr">
        <is>
          <t>Available (ticked in reference)</t>
        </is>
      </c>
      <c r="L352" s="73" t="inlineStr">
        <is>
          <t>STD UPLIFT INFORMATION.xlsx &gt; F&amp;B LINEN!F66</t>
        </is>
      </c>
      <c r="M352" s="73" t="inlineStr">
        <is>
          <t>Not stated in reference</t>
        </is>
      </c>
      <c r="N352" s="73" t="inlineStr">
        <is>
          <t>Required</t>
        </is>
      </c>
      <c r="O352" s="73" t="inlineStr"/>
      <c r="P352" s="63" t="inlineStr">
        <is>
          <t>KUL</t>
        </is>
      </c>
      <c r="Q352" s="65">
        <f>Flights!$AF$14</f>
        <v/>
      </c>
      <c r="R352" s="65">
        <f>Q352+(IF(AND(INDEX(TZ_DSTS,MATCH(P352,TZ_STN,0))&lt;&gt;"",Q352&gt;=INDEX(TZ_DSTS,MATCH(P352,TZ_STN,0)),Q352&lt;INDEX(TZ_DSTE,MATCH(P352,TZ_STN,0))),INDEX(TZ_DST,MATCH(P352,TZ_STN,0)),INDEX(TZ_STD,MATCH(P352,TZ_STN,0))))/24</f>
        <v/>
      </c>
      <c r="S352" s="65">
        <f>Q352-UpliftWindowH/24</f>
        <v/>
      </c>
      <c r="T352" s="66" t="n"/>
      <c r="U352" s="66" t="n"/>
      <c r="V352" s="66" t="n"/>
      <c r="W352" s="67" t="n"/>
      <c r="X352" s="66" t="n"/>
      <c r="Y352" s="66" t="n"/>
      <c r="Z352" s="66" t="n"/>
      <c r="AA352" s="66" t="n"/>
      <c r="AB352" s="66" t="n"/>
      <c r="AC352" s="66" t="n"/>
      <c r="AD352" s="72" t="n"/>
      <c r="AE352" s="66" t="n"/>
      <c r="AF352" s="67">
        <f>IF(AND(ISNUMBER(X352),ISNUMBER(Y352)),Y352-X352,"")</f>
        <v/>
      </c>
      <c r="AG352" s="68">
        <f>IF(ISNUMBER(AD352),AD352-(IF(AND(INDEX(TZ_DSTS,MATCH(P352,TZ_STN,0))&lt;&gt;"",(AD352-INDEX(TZ_STD,MATCH(P352,TZ_STN,0))/24)&gt;=INDEX(TZ_DSTS,MATCH(P352,TZ_STN,0)),(AD352-INDEX(TZ_STD,MATCH(P352,TZ_STN,0))/24)&lt;INDEX(TZ_DSTE,MATCH(P352,TZ_STN,0))),INDEX(TZ_DST,MATCH(P352,TZ_STN,0)),INDEX(TZ_STD,MATCH(P352,TZ_STN,0))))/24,"")</f>
        <v/>
      </c>
      <c r="AH352" s="71">
        <f>IF(N352="N/A – rule","N/A – RULE",IF(TRIM(U352)="N/A",IF(AT352=0,"INVALID – N/A not permitted for this mandatory check",IF(AND(TRIM(AC352)&lt;&gt;"",TRIM(AE352)&lt;&gt;"",TRIM(T352)&lt;&gt;""),"N/A – JUSTIFIED","INVALID – N/A needs justification, PIC and verifier")),IF(OR(TRIM(U352)="Pass",TRIM(U352)="Pass after CA"),IF(NOT(ISNUMBER(AD352)),"INVALID – completion time missing",IF(TRIM(T352)="","INVALID – PIC missing",IF(TRIM(Z352)="","INVALID – evidence missing",IF(TRIM(AE352)="","INVALID – verifier missing",IF(AND(AQ352=1,TRIM(W352)=""),"INVALID – batch ID missing",IF(AND(AR352=1,OR(NOT(ISNUMBER(X352)),NOT(ISNUMBER(Y352)))),"INVALID – expected/actual qty missing",IF(IF(AND(TRIM(U352)="Pass",ISNUMBER(AF352)),IF(AF352&lt;&gt;0,"INVALID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recorded/closed","")&lt;&gt;"",IF(AND(TRIM(U352)="Pass",ISNUMBER(AF352)),IF(AF352&lt;&gt;0,"INVALID – qty variance: use Fail or Pass after CA",""),"")&amp;IF(AND(TRIM(U352)="Pass",AB352="Open"),"INVALID – corrective action still open: use Fail, then Pass after CA","")&amp;IF(AND(TRIM(U352)="Pass after CA",OR(TRIM(AA352)="",AB352&lt;&gt;"Closed")),"INVALID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window"),IF(AG352&gt;Flights!$AA$14,"INVALID – completed after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f>
        <v/>
      </c>
      <c r="AI352" s="67">
        <f>IF(OR(AH352="N/A – RULE",AH352="N/A – JUSTIFIED"),0,1)</f>
        <v/>
      </c>
      <c r="AJ352" s="67">
        <f>IF(LEFT(AH352,8)="COMPLETE",1,0)</f>
        <v/>
      </c>
      <c r="AK352" s="67">
        <f>IF(AND(AI352=1,AJ352=0,AsOfUTC&gt;Q352),1,0)</f>
        <v/>
      </c>
      <c r="AL352" s="67">
        <f>IF(AND(AI352=1,OR(TRIM(U352)="Fail",AB352="Open",AND(ISNUMBER(AF352),AF352&lt;&gt;0,TRIM(U352)&lt;&gt;"Pass after CA"))),1,0)</f>
        <v/>
      </c>
      <c r="AM352" s="67">
        <f>IF(LEFT(AH352,7)="INVALID",1,0)</f>
        <v/>
      </c>
      <c r="AN352" s="67">
        <f>IF(AND(N352="Clarification required",AI352=1,AJ352=0),1,0)</f>
        <v/>
      </c>
      <c r="AO352" s="67">
        <f>IF(AK352=1,SUM(AK$5:AK352),"")</f>
        <v/>
      </c>
      <c r="AP352" s="67">
        <f>IF(AL352=1,SUM(AL$5:AL352),"")</f>
        <v/>
      </c>
      <c r="AQ352" s="67" t="n">
        <v>0</v>
      </c>
      <c r="AR352" s="67" t="n">
        <v>0</v>
      </c>
      <c r="AS352" s="67" t="n">
        <v>0</v>
      </c>
      <c r="AT352" s="67" t="n">
        <v>1</v>
      </c>
    </row>
    <row r="353" ht="40" customHeight="1">
      <c r="A353" s="63" t="inlineStr">
        <is>
          <t>F10-UPL-07</t>
        </is>
      </c>
      <c r="B353" s="63" t="inlineStr">
        <is>
          <t>F10</t>
        </is>
      </c>
      <c r="C353" s="63">
        <f>Flights!$F$14</f>
        <v/>
      </c>
      <c r="D353" s="64">
        <f>Flights!$D$14</f>
        <v/>
      </c>
      <c r="E353" s="63">
        <f>Flights!$G$14&amp;"-"&amp;Flights!$H$14</f>
        <v/>
      </c>
      <c r="F353" s="63">
        <f>Flights!$K$14</f>
        <v/>
      </c>
      <c r="G353" s="63" t="inlineStr">
        <is>
          <t>UPLIFT</t>
        </is>
      </c>
      <c r="H353" s="63" t="inlineStr">
        <is>
          <t>Physical uplift</t>
        </is>
      </c>
      <c r="I353" s="63" t="inlineStr">
        <is>
          <t>F&amp;B Linen</t>
        </is>
      </c>
      <c r="J353" s="63" t="inlineStr">
        <is>
          <t>Trolley cloth - on board</t>
        </is>
      </c>
      <c r="K353" s="73" t="inlineStr">
        <is>
          <t>Narrow body: Top only</t>
        </is>
      </c>
      <c r="L353" s="73" t="inlineStr">
        <is>
          <t>STD UPLIFT INFORMATION.xlsx &gt; F&amp;B LINEN!I66</t>
        </is>
      </c>
      <c r="M353" s="73" t="inlineStr">
        <is>
          <t>Not stated in reference</t>
        </is>
      </c>
      <c r="N353" s="73" t="inlineStr">
        <is>
          <t>Required</t>
        </is>
      </c>
      <c r="O353" s="73" t="inlineStr">
        <is>
          <t>Per note F&amp;B LINEN!B79:C80.</t>
        </is>
      </c>
      <c r="P353" s="63" t="inlineStr">
        <is>
          <t>KUL</t>
        </is>
      </c>
      <c r="Q353" s="65">
        <f>Flights!$AF$14</f>
        <v/>
      </c>
      <c r="R353" s="65">
        <f>Q353+(IF(AND(INDEX(TZ_DSTS,MATCH(P353,TZ_STN,0))&lt;&gt;"",Q353&gt;=INDEX(TZ_DSTS,MATCH(P353,TZ_STN,0)),Q353&lt;INDEX(TZ_DSTE,MATCH(P353,TZ_STN,0))),INDEX(TZ_DST,MATCH(P353,TZ_STN,0)),INDEX(TZ_STD,MATCH(P353,TZ_STN,0))))/24</f>
        <v/>
      </c>
      <c r="S353" s="65">
        <f>Q353-UpliftWindowH/24</f>
        <v/>
      </c>
      <c r="T353" s="66" t="n"/>
      <c r="U353" s="66" t="n"/>
      <c r="V353" s="66" t="n"/>
      <c r="W353" s="67" t="n"/>
      <c r="X353" s="66" t="n"/>
      <c r="Y353" s="66" t="n"/>
      <c r="Z353" s="66" t="n"/>
      <c r="AA353" s="66" t="n"/>
      <c r="AB353" s="66" t="n"/>
      <c r="AC353" s="66" t="n"/>
      <c r="AD353" s="72" t="n"/>
      <c r="AE353" s="66" t="n"/>
      <c r="AF353" s="67">
        <f>IF(AND(ISNUMBER(X353),ISNUMBER(Y353)),Y353-X353,"")</f>
        <v/>
      </c>
      <c r="AG353" s="68">
        <f>IF(ISNUMBER(AD353),AD353-(IF(AND(INDEX(TZ_DSTS,MATCH(P353,TZ_STN,0))&lt;&gt;"",(AD353-INDEX(TZ_STD,MATCH(P353,TZ_STN,0))/24)&gt;=INDEX(TZ_DSTS,MATCH(P353,TZ_STN,0)),(AD353-INDEX(TZ_STD,MATCH(P353,TZ_STN,0))/24)&lt;INDEX(TZ_DSTE,MATCH(P353,TZ_STN,0))),INDEX(TZ_DST,MATCH(P353,TZ_STN,0)),INDEX(TZ_STD,MATCH(P353,TZ_STN,0))))/24,"")</f>
        <v/>
      </c>
      <c r="AH353" s="71">
        <f>IF(N353="N/A – rule","N/A – RULE",IF(TRIM(U353)="N/A",IF(AT353=0,"INVALID – N/A not permitted for this mandatory check",IF(AND(TRIM(AC353)&lt;&gt;"",TRIM(AE353)&lt;&gt;"",TRIM(T353)&lt;&gt;""),"N/A – JUSTIFIED","INVALID – N/A needs justification, PIC and verifier")),IF(OR(TRIM(U353)="Pass",TRIM(U353)="Pass after CA"),IF(NOT(ISNUMBER(AD353)),"INVALID – completion time missing",IF(TRIM(T353)="","INVALID – PIC missing",IF(TRIM(Z353)="","INVALID – evidence missing",IF(TRIM(AE353)="","INVALID – verifier missing",IF(AND(AQ353=1,TRIM(W353)=""),"INVALID – batch ID missing",IF(AND(AR353=1,OR(NOT(ISNUMBER(X353)),NOT(ISNUMBER(Y353)))),"INVALID – expected/actual qty missing",IF(IF(AND(TRIM(U353)="Pass",ISNUMBER(AF353)),IF(AF353&lt;&gt;0,"INVALID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recorded/closed","")&lt;&gt;"",IF(AND(TRIM(U353)="Pass",ISNUMBER(AF353)),IF(AF353&lt;&gt;0,"INVALID – qty variance: use Fail or Pass after CA",""),"")&amp;IF(AND(TRIM(U353)="Pass",AB353="Open"),"INVALID – corrective action still open: use Fail, then Pass after CA","")&amp;IF(AND(TRIM(U353)="Pass after CA",OR(TRIM(AA353)="",AB353&lt;&gt;"Closed")),"INVALID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window"),IF(AG353&gt;Flights!$AA$14,"INVALID – completed after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f>
        <v/>
      </c>
      <c r="AI353" s="67">
        <f>IF(OR(AH353="N/A – RULE",AH353="N/A – JUSTIFIED"),0,1)</f>
        <v/>
      </c>
      <c r="AJ353" s="67">
        <f>IF(LEFT(AH353,8)="COMPLETE",1,0)</f>
        <v/>
      </c>
      <c r="AK353" s="67">
        <f>IF(AND(AI353=1,AJ353=0,AsOfUTC&gt;Q353),1,0)</f>
        <v/>
      </c>
      <c r="AL353" s="67">
        <f>IF(AND(AI353=1,OR(TRIM(U353)="Fail",AB353="Open",AND(ISNUMBER(AF353),AF353&lt;&gt;0,TRIM(U353)&lt;&gt;"Pass after CA"))),1,0)</f>
        <v/>
      </c>
      <c r="AM353" s="67">
        <f>IF(LEFT(AH353,7)="INVALID",1,0)</f>
        <v/>
      </c>
      <c r="AN353" s="67">
        <f>IF(AND(N353="Clarification required",AI353=1,AJ353=0),1,0)</f>
        <v/>
      </c>
      <c r="AO353" s="67">
        <f>IF(AK353=1,SUM(AK$5:AK353),"")</f>
        <v/>
      </c>
      <c r="AP353" s="67">
        <f>IF(AL353=1,SUM(AL$5:AL353),"")</f>
        <v/>
      </c>
      <c r="AQ353" s="67" t="n">
        <v>0</v>
      </c>
      <c r="AR353" s="67" t="n">
        <v>0</v>
      </c>
      <c r="AS353" s="67" t="n">
        <v>0</v>
      </c>
      <c r="AT353" s="67" t="n">
        <v>1</v>
      </c>
    </row>
    <row r="354" ht="40" customHeight="1">
      <c r="A354" s="63" t="inlineStr">
        <is>
          <t>F10-UPL-08</t>
        </is>
      </c>
      <c r="B354" s="63" t="inlineStr">
        <is>
          <t>F10</t>
        </is>
      </c>
      <c r="C354" s="63">
        <f>Flights!$F$14</f>
        <v/>
      </c>
      <c r="D354" s="64">
        <f>Flights!$D$14</f>
        <v/>
      </c>
      <c r="E354" s="63">
        <f>Flights!$G$14&amp;"-"&amp;Flights!$H$14</f>
        <v/>
      </c>
      <c r="F354" s="63">
        <f>Flights!$K$14</f>
        <v/>
      </c>
      <c r="G354" s="63" t="inlineStr">
        <is>
          <t>UPLIFT</t>
        </is>
      </c>
      <c r="H354" s="63" t="inlineStr">
        <is>
          <t>Physical uplift</t>
        </is>
      </c>
      <c r="I354" s="63" t="inlineStr">
        <is>
          <t>F&amp;B Linen</t>
        </is>
      </c>
      <c r="J354" s="63" t="inlineStr">
        <is>
          <t>Linen bag - on board</t>
        </is>
      </c>
      <c r="K354" s="73" t="inlineStr">
        <is>
          <t>Available (ticked in reference)</t>
        </is>
      </c>
      <c r="L354" s="73" t="inlineStr">
        <is>
          <t>STD UPLIFT INFORMATION.xlsx &gt; F&amp;B LINEN!J66</t>
        </is>
      </c>
      <c r="M354" s="73" t="inlineStr">
        <is>
          <t>Not stated in reference</t>
        </is>
      </c>
      <c r="N354" s="73" t="inlineStr">
        <is>
          <t>Required</t>
        </is>
      </c>
      <c r="O354" s="73" t="inlineStr"/>
      <c r="P354" s="63" t="inlineStr">
        <is>
          <t>KUL</t>
        </is>
      </c>
      <c r="Q354" s="65">
        <f>Flights!$AF$14</f>
        <v/>
      </c>
      <c r="R354" s="65">
        <f>Q354+(IF(AND(INDEX(TZ_DSTS,MATCH(P354,TZ_STN,0))&lt;&gt;"",Q354&gt;=INDEX(TZ_DSTS,MATCH(P354,TZ_STN,0)),Q354&lt;INDEX(TZ_DSTE,MATCH(P354,TZ_STN,0))),INDEX(TZ_DST,MATCH(P354,TZ_STN,0)),INDEX(TZ_STD,MATCH(P354,TZ_STN,0))))/24</f>
        <v/>
      </c>
      <c r="S354" s="65">
        <f>Q354-UpliftWindowH/24</f>
        <v/>
      </c>
      <c r="T354" s="66" t="n"/>
      <c r="U354" s="66" t="n"/>
      <c r="V354" s="66" t="n"/>
      <c r="W354" s="67" t="n"/>
      <c r="X354" s="66" t="n"/>
      <c r="Y354" s="66" t="n"/>
      <c r="Z354" s="66" t="n"/>
      <c r="AA354" s="66" t="n"/>
      <c r="AB354" s="66" t="n"/>
      <c r="AC354" s="66" t="n"/>
      <c r="AD354" s="72" t="n"/>
      <c r="AE354" s="66" t="n"/>
      <c r="AF354" s="67">
        <f>IF(AND(ISNUMBER(X354),ISNUMBER(Y354)),Y354-X354,"")</f>
        <v/>
      </c>
      <c r="AG354" s="68">
        <f>IF(ISNUMBER(AD354),AD354-(IF(AND(INDEX(TZ_DSTS,MATCH(P354,TZ_STN,0))&lt;&gt;"",(AD354-INDEX(TZ_STD,MATCH(P354,TZ_STN,0))/24)&gt;=INDEX(TZ_DSTS,MATCH(P354,TZ_STN,0)),(AD354-INDEX(TZ_STD,MATCH(P354,TZ_STN,0))/24)&lt;INDEX(TZ_DSTE,MATCH(P354,TZ_STN,0))),INDEX(TZ_DST,MATCH(P354,TZ_STN,0)),INDEX(TZ_STD,MATCH(P354,TZ_STN,0))))/24,"")</f>
        <v/>
      </c>
      <c r="AH354" s="71">
        <f>IF(N354="N/A – rule","N/A – RULE",IF(TRIM(U354)="N/A",IF(AT354=0,"INVALID – N/A not permitted for this mandatory check",IF(AND(TRIM(AC354)&lt;&gt;"",TRIM(AE354)&lt;&gt;"",TRIM(T354)&lt;&gt;""),"N/A – JUSTIFIED","INVALID – N/A needs justification, PIC and verifier")),IF(OR(TRIM(U354)="Pass",TRIM(U354)="Pass after CA"),IF(NOT(ISNUMBER(AD354)),"INVALID – completion time missing",IF(TRIM(T354)="","INVALID – PIC missing",IF(TRIM(Z354)="","INVALID – evidence missing",IF(TRIM(AE354)="","INVALID – verifier missing",IF(AND(AQ354=1,TRIM(W354)=""),"INVALID – batch ID missing",IF(AND(AR354=1,OR(NOT(ISNUMBER(X354)),NOT(ISNUMBER(Y354)))),"INVALID – expected/actual qty missing",IF(IF(AND(TRIM(U354)="Pass",ISNUMBER(AF354)),IF(AF354&lt;&gt;0,"INVALID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recorded/closed","")&lt;&gt;"",IF(AND(TRIM(U354)="Pass",ISNUMBER(AF354)),IF(AF354&lt;&gt;0,"INVALID – qty variance: use Fail or Pass after CA",""),"")&amp;IF(AND(TRIM(U354)="Pass",AB354="Open"),"INVALID – corrective action still open: use Fail, then Pass after CA","")&amp;IF(AND(TRIM(U354)="Pass after CA",OR(TRIM(AA354)="",AB354&lt;&gt;"Closed")),"INVALID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window"),IF(AG354&gt;Flights!$AA$14,"INVALID – completed after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f>
        <v/>
      </c>
      <c r="AI354" s="67">
        <f>IF(OR(AH354="N/A – RULE",AH354="N/A – JUSTIFIED"),0,1)</f>
        <v/>
      </c>
      <c r="AJ354" s="67">
        <f>IF(LEFT(AH354,8)="COMPLETE",1,0)</f>
        <v/>
      </c>
      <c r="AK354" s="67">
        <f>IF(AND(AI354=1,AJ354=0,AsOfUTC&gt;Q354),1,0)</f>
        <v/>
      </c>
      <c r="AL354" s="67">
        <f>IF(AND(AI354=1,OR(TRIM(U354)="Fail",AB354="Open",AND(ISNUMBER(AF354),AF354&lt;&gt;0,TRIM(U354)&lt;&gt;"Pass after CA"))),1,0)</f>
        <v/>
      </c>
      <c r="AM354" s="67">
        <f>IF(LEFT(AH354,7)="INVALID",1,0)</f>
        <v/>
      </c>
      <c r="AN354" s="67">
        <f>IF(AND(N354="Clarification required",AI354=1,AJ354=0),1,0)</f>
        <v/>
      </c>
      <c r="AO354" s="67">
        <f>IF(AK354=1,SUM(AK$5:AK354),"")</f>
        <v/>
      </c>
      <c r="AP354" s="67">
        <f>IF(AL354=1,SUM(AL$5:AL354),"")</f>
        <v/>
      </c>
      <c r="AQ354" s="67" t="n">
        <v>0</v>
      </c>
      <c r="AR354" s="67" t="n">
        <v>0</v>
      </c>
      <c r="AS354" s="67" t="n">
        <v>0</v>
      </c>
      <c r="AT354" s="67" t="n">
        <v>1</v>
      </c>
    </row>
    <row r="355" ht="40" customHeight="1">
      <c r="A355" s="63" t="inlineStr">
        <is>
          <t>F10-UPL-09</t>
        </is>
      </c>
      <c r="B355" s="63" t="inlineStr">
        <is>
          <t>F10</t>
        </is>
      </c>
      <c r="C355" s="63">
        <f>Flights!$F$14</f>
        <v/>
      </c>
      <c r="D355" s="64">
        <f>Flights!$D$14</f>
        <v/>
      </c>
      <c r="E355" s="63">
        <f>Flights!$G$14&amp;"-"&amp;Flights!$H$14</f>
        <v/>
      </c>
      <c r="F355" s="63">
        <f>Flights!$K$14</f>
        <v/>
      </c>
      <c r="G355" s="63" t="inlineStr">
        <is>
          <t>UPLIFT</t>
        </is>
      </c>
      <c r="H355" s="63" t="inlineStr">
        <is>
          <t>Physical uplift</t>
        </is>
      </c>
      <c r="I355" s="63" t="inlineStr">
        <is>
          <t>Seat Linen</t>
        </is>
      </c>
      <c r="J355" s="63" t="inlineStr">
        <is>
          <t>Seat pillow (BS &amp; BC) - on board</t>
        </is>
      </c>
      <c r="K355" s="73" t="inlineStr">
        <is>
          <t>Available 100% (ticked in reference)</t>
        </is>
      </c>
      <c r="L355" s="73" t="inlineStr">
        <is>
          <t>STD UPLIFT INFORMATION.xlsx &gt; SEAT LINEN!E62</t>
        </is>
      </c>
      <c r="M355" s="73" t="inlineStr">
        <is>
          <t>Not stated in reference</t>
        </is>
      </c>
      <c r="N355" s="73" t="inlineStr">
        <is>
          <t>Required</t>
        </is>
      </c>
      <c r="O355" s="73" t="inlineStr"/>
      <c r="P355" s="63" t="inlineStr">
        <is>
          <t>KUL</t>
        </is>
      </c>
      <c r="Q355" s="65">
        <f>Flights!$AF$14</f>
        <v/>
      </c>
      <c r="R355" s="65">
        <f>Q355+(IF(AND(INDEX(TZ_DSTS,MATCH(P355,TZ_STN,0))&lt;&gt;"",Q355&gt;=INDEX(TZ_DSTS,MATCH(P355,TZ_STN,0)),Q355&lt;INDEX(TZ_DSTE,MATCH(P355,TZ_STN,0))),INDEX(TZ_DST,MATCH(P355,TZ_STN,0)),INDEX(TZ_STD,MATCH(P355,TZ_STN,0))))/24</f>
        <v/>
      </c>
      <c r="S355" s="65">
        <f>Q355-UpliftWindowH/24</f>
        <v/>
      </c>
      <c r="T355" s="66" t="n"/>
      <c r="U355" s="66" t="n"/>
      <c r="V355" s="66" t="n"/>
      <c r="W355" s="67" t="n"/>
      <c r="X355" s="66" t="n"/>
      <c r="Y355" s="66" t="n"/>
      <c r="Z355" s="66" t="n"/>
      <c r="AA355" s="66" t="n"/>
      <c r="AB355" s="66" t="n"/>
      <c r="AC355" s="66" t="n"/>
      <c r="AD355" s="72" t="n"/>
      <c r="AE355" s="66" t="n"/>
      <c r="AF355" s="67">
        <f>IF(AND(ISNUMBER(X355),ISNUMBER(Y355)),Y355-X355,"")</f>
        <v/>
      </c>
      <c r="AG355" s="68">
        <f>IF(ISNUMBER(AD355),AD355-(IF(AND(INDEX(TZ_DSTS,MATCH(P355,TZ_STN,0))&lt;&gt;"",(AD355-INDEX(TZ_STD,MATCH(P355,TZ_STN,0))/24)&gt;=INDEX(TZ_DSTS,MATCH(P355,TZ_STN,0)),(AD355-INDEX(TZ_STD,MATCH(P355,TZ_STN,0))/24)&lt;INDEX(TZ_DSTE,MATCH(P355,TZ_STN,0))),INDEX(TZ_DST,MATCH(P355,TZ_STN,0)),INDEX(TZ_STD,MATCH(P355,TZ_STN,0))))/24,"")</f>
        <v/>
      </c>
      <c r="AH355" s="71">
        <f>IF(N355="N/A – rule","N/A – RULE",IF(TRIM(U355)="N/A",IF(AT355=0,"INVALID – N/A not permitted for this mandatory check",IF(AND(TRIM(AC355)&lt;&gt;"",TRIM(AE355)&lt;&gt;"",TRIM(T355)&lt;&gt;""),"N/A – JUSTIFIED","INVALID – N/A needs justification, PIC and verifier")),IF(OR(TRIM(U355)="Pass",TRIM(U355)="Pass after CA"),IF(NOT(ISNUMBER(AD355)),"INVALID – completion time missing",IF(TRIM(T355)="","INVALID – PIC missing",IF(TRIM(Z355)="","INVALID – evidence missing",IF(TRIM(AE355)="","INVALID – verifier missing",IF(AND(AQ355=1,TRIM(W355)=""),"INVALID – batch ID missing",IF(AND(AR355=1,OR(NOT(ISNUMBER(X355)),NOT(ISNUMBER(Y355)))),"INVALID – expected/actual qty missing",IF(IF(AND(TRIM(U355)="Pass",ISNUMBER(AF355)),IF(AF355&lt;&gt;0,"INVALID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recorded/closed","")&lt;&gt;"",IF(AND(TRIM(U355)="Pass",ISNUMBER(AF355)),IF(AF355&lt;&gt;0,"INVALID – qty variance: use Fail or Pass after CA",""),"")&amp;IF(AND(TRIM(U355)="Pass",AB355="Open"),"INVALID – corrective action still open: use Fail, then Pass after CA","")&amp;IF(AND(TRIM(U355)="Pass after CA",OR(TRIM(AA355)="",AB355&lt;&gt;"Closed")),"INVALID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window"),IF(AG355&gt;Flights!$AA$14,"INVALID – completed after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f>
        <v/>
      </c>
      <c r="AI355" s="67">
        <f>IF(OR(AH355="N/A – RULE",AH355="N/A – JUSTIFIED"),0,1)</f>
        <v/>
      </c>
      <c r="AJ355" s="67">
        <f>IF(LEFT(AH355,8)="COMPLETE",1,0)</f>
        <v/>
      </c>
      <c r="AK355" s="67">
        <f>IF(AND(AI355=1,AJ355=0,AsOfUTC&gt;Q355),1,0)</f>
        <v/>
      </c>
      <c r="AL355" s="67">
        <f>IF(AND(AI355=1,OR(TRIM(U355)="Fail",AB355="Open",AND(ISNUMBER(AF355),AF355&lt;&gt;0,TRIM(U355)&lt;&gt;"Pass after CA"))),1,0)</f>
        <v/>
      </c>
      <c r="AM355" s="67">
        <f>IF(LEFT(AH355,7)="INVALID",1,0)</f>
        <v/>
      </c>
      <c r="AN355" s="67">
        <f>IF(AND(N355="Clarification required",AI355=1,AJ355=0),1,0)</f>
        <v/>
      </c>
      <c r="AO355" s="67">
        <f>IF(AK355=1,SUM(AK$5:AK355),"")</f>
        <v/>
      </c>
      <c r="AP355" s="67">
        <f>IF(AL355=1,SUM(AL$5:AL355),"")</f>
        <v/>
      </c>
      <c r="AQ355" s="67" t="n">
        <v>0</v>
      </c>
      <c r="AR355" s="67" t="n">
        <v>0</v>
      </c>
      <c r="AS355" s="67" t="n">
        <v>0</v>
      </c>
      <c r="AT355" s="67" t="n">
        <v>1</v>
      </c>
    </row>
    <row r="356" ht="40" customHeight="1">
      <c r="A356" s="63" t="inlineStr">
        <is>
          <t>F10-UPL-10</t>
        </is>
      </c>
      <c r="B356" s="63" t="inlineStr">
        <is>
          <t>F10</t>
        </is>
      </c>
      <c r="C356" s="63">
        <f>Flights!$F$14</f>
        <v/>
      </c>
      <c r="D356" s="64">
        <f>Flights!$D$14</f>
        <v/>
      </c>
      <c r="E356" s="63">
        <f>Flights!$G$14&amp;"-"&amp;Flights!$H$14</f>
        <v/>
      </c>
      <c r="F356" s="63">
        <f>Flights!$K$14</f>
        <v/>
      </c>
      <c r="G356" s="63" t="inlineStr">
        <is>
          <t>UPLIFT</t>
        </is>
      </c>
      <c r="H356" s="63" t="inlineStr">
        <is>
          <t>Physical uplift</t>
        </is>
      </c>
      <c r="I356" s="63" t="inlineStr">
        <is>
          <t>Seat Linen</t>
        </is>
      </c>
      <c r="J356" s="63" t="inlineStr">
        <is>
          <t>Blanket (BS &amp; BC) - on board</t>
        </is>
      </c>
      <c r="K356" s="73" t="inlineStr">
        <is>
          <t>Available 100% (ticked in reference)</t>
        </is>
      </c>
      <c r="L356" s="73" t="inlineStr">
        <is>
          <t>STD UPLIFT INFORMATION.xlsx &gt; SEAT LINEN!H62</t>
        </is>
      </c>
      <c r="M356" s="73" t="inlineStr">
        <is>
          <t>Not stated in reference</t>
        </is>
      </c>
      <c r="N356" s="73" t="inlineStr">
        <is>
          <t>Required</t>
        </is>
      </c>
      <c r="O356" s="73" t="inlineStr"/>
      <c r="P356" s="63" t="inlineStr">
        <is>
          <t>KUL</t>
        </is>
      </c>
      <c r="Q356" s="65">
        <f>Flights!$AF$14</f>
        <v/>
      </c>
      <c r="R356" s="65">
        <f>Q356+(IF(AND(INDEX(TZ_DSTS,MATCH(P356,TZ_STN,0))&lt;&gt;"",Q356&gt;=INDEX(TZ_DSTS,MATCH(P356,TZ_STN,0)),Q356&lt;INDEX(TZ_DSTE,MATCH(P356,TZ_STN,0))),INDEX(TZ_DST,MATCH(P356,TZ_STN,0)),INDEX(TZ_STD,MATCH(P356,TZ_STN,0))))/24</f>
        <v/>
      </c>
      <c r="S356" s="65">
        <f>Q356-UpliftWindowH/24</f>
        <v/>
      </c>
      <c r="T356" s="66" t="n"/>
      <c r="U356" s="66" t="n"/>
      <c r="V356" s="66" t="n"/>
      <c r="W356" s="67" t="n"/>
      <c r="X356" s="66" t="n"/>
      <c r="Y356" s="66" t="n"/>
      <c r="Z356" s="66" t="n"/>
      <c r="AA356" s="66" t="n"/>
      <c r="AB356" s="66" t="n"/>
      <c r="AC356" s="66" t="n"/>
      <c r="AD356" s="72" t="n"/>
      <c r="AE356" s="66" t="n"/>
      <c r="AF356" s="67">
        <f>IF(AND(ISNUMBER(X356),ISNUMBER(Y356)),Y356-X356,"")</f>
        <v/>
      </c>
      <c r="AG356" s="68">
        <f>IF(ISNUMBER(AD356),AD356-(IF(AND(INDEX(TZ_DSTS,MATCH(P356,TZ_STN,0))&lt;&gt;"",(AD356-INDEX(TZ_STD,MATCH(P356,TZ_STN,0))/24)&gt;=INDEX(TZ_DSTS,MATCH(P356,TZ_STN,0)),(AD356-INDEX(TZ_STD,MATCH(P356,TZ_STN,0))/24)&lt;INDEX(TZ_DSTE,MATCH(P356,TZ_STN,0))),INDEX(TZ_DST,MATCH(P356,TZ_STN,0)),INDEX(TZ_STD,MATCH(P356,TZ_STN,0))))/24,"")</f>
        <v/>
      </c>
      <c r="AH356" s="71">
        <f>IF(N356="N/A – rule","N/A – RULE",IF(TRIM(U356)="N/A",IF(AT356=0,"INVALID – N/A not permitted for this mandatory check",IF(AND(TRIM(AC356)&lt;&gt;"",TRIM(AE356)&lt;&gt;"",TRIM(T356)&lt;&gt;""),"N/A – JUSTIFIED","INVALID – N/A needs justification, PIC and verifier")),IF(OR(TRIM(U356)="Pass",TRIM(U356)="Pass after CA"),IF(NOT(ISNUMBER(AD356)),"INVALID – completion time missing",IF(TRIM(T356)="","INVALID – PIC missing",IF(TRIM(Z356)="","INVALID – evidence missing",IF(TRIM(AE356)="","INVALID – verifier missing",IF(AND(AQ356=1,TRIM(W356)=""),"INVALID – batch ID missing",IF(AND(AR356=1,OR(NOT(ISNUMBER(X356)),NOT(ISNUMBER(Y356)))),"INVALID – expected/actual qty missing",IF(IF(AND(TRIM(U356)="Pass",ISNUMBER(AF356)),IF(AF356&lt;&gt;0,"INVALID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recorded/closed","")&lt;&gt;"",IF(AND(TRIM(U356)="Pass",ISNUMBER(AF356)),IF(AF356&lt;&gt;0,"INVALID – qty variance: use Fail or Pass after CA",""),"")&amp;IF(AND(TRIM(U356)="Pass",AB356="Open"),"INVALID – corrective action still open: use Fail, then Pass after CA","")&amp;IF(AND(TRIM(U356)="Pass after CA",OR(TRIM(AA356)="",AB356&lt;&gt;"Closed")),"INVALID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window"),IF(AG356&gt;Flights!$AA$14,"INVALID – completed after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f>
        <v/>
      </c>
      <c r="AI356" s="67">
        <f>IF(OR(AH356="N/A – RULE",AH356="N/A – JUSTIFIED"),0,1)</f>
        <v/>
      </c>
      <c r="AJ356" s="67">
        <f>IF(LEFT(AH356,8)="COMPLETE",1,0)</f>
        <v/>
      </c>
      <c r="AK356" s="67">
        <f>IF(AND(AI356=1,AJ356=0,AsOfUTC&gt;Q356),1,0)</f>
        <v/>
      </c>
      <c r="AL356" s="67">
        <f>IF(AND(AI356=1,OR(TRIM(U356)="Fail",AB356="Open",AND(ISNUMBER(AF356),AF356&lt;&gt;0,TRIM(U356)&lt;&gt;"Pass after CA"))),1,0)</f>
        <v/>
      </c>
      <c r="AM356" s="67">
        <f>IF(LEFT(AH356,7)="INVALID",1,0)</f>
        <v/>
      </c>
      <c r="AN356" s="67">
        <f>IF(AND(N356="Clarification required",AI356=1,AJ356=0),1,0)</f>
        <v/>
      </c>
      <c r="AO356" s="67">
        <f>IF(AK356=1,SUM(AK$5:AK356),"")</f>
        <v/>
      </c>
      <c r="AP356" s="67">
        <f>IF(AL356=1,SUM(AL$5:AL356),"")</f>
        <v/>
      </c>
      <c r="AQ356" s="67" t="n">
        <v>0</v>
      </c>
      <c r="AR356" s="67" t="n">
        <v>0</v>
      </c>
      <c r="AS356" s="67" t="n">
        <v>0</v>
      </c>
      <c r="AT356" s="67" t="n">
        <v>1</v>
      </c>
    </row>
    <row r="357" ht="40" customHeight="1">
      <c r="A357" s="63" t="inlineStr">
        <is>
          <t>F11-T7-01</t>
        </is>
      </c>
      <c r="B357" s="63" t="inlineStr">
        <is>
          <t>F11</t>
        </is>
      </c>
      <c r="C357" s="63">
        <f>Flights!$F$15</f>
        <v/>
      </c>
      <c r="D357" s="64">
        <f>Flights!$D$15</f>
        <v/>
      </c>
      <c r="E357" s="63">
        <f>Flights!$G$15&amp;"-"&amp;Flights!$H$15</f>
        <v/>
      </c>
      <c r="F357" s="63">
        <f>Flights!$K$15</f>
        <v/>
      </c>
      <c r="G357" s="63" t="inlineStr">
        <is>
          <t>T-7D</t>
        </is>
      </c>
      <c r="H357" s="63" t="inlineStr">
        <is>
          <t>Preparation</t>
        </is>
      </c>
      <c r="I357" s="63" t="inlineStr">
        <is>
          <t>Meal</t>
        </is>
      </c>
      <c r="J357" s="63" t="inlineStr">
        <is>
          <t>Meal sensory testing completed for this flight's menu cycle (assessed class)</t>
        </is>
      </c>
      <c r="K357" s="73" t="inlineStr">
        <is>
          <t>Record panel result / score in Result</t>
        </is>
      </c>
      <c r="L357" s="73" t="inlineStr">
        <is>
          <t>User brief (T-7 days)</t>
        </is>
      </c>
      <c r="M357" s="73" t="inlineStr"/>
      <c r="N357" s="73" t="inlineStr">
        <is>
          <t>Required</t>
        </is>
      </c>
      <c r="O357" s="73" t="inlineStr">
        <is>
          <t>Refreshment service: sensory test covers the refreshment items.</t>
        </is>
      </c>
      <c r="P357" s="63" t="inlineStr">
        <is>
          <t>KUL</t>
        </is>
      </c>
      <c r="Q357" s="65">
        <f>Flights!$AC$15</f>
        <v/>
      </c>
      <c r="R357" s="65">
        <f>Q357+(IF(AND(INDEX(TZ_DSTS,MATCH(P357,TZ_STN,0))&lt;&gt;"",Q357&gt;=INDEX(TZ_DSTS,MATCH(P357,TZ_STN,0)),Q357&lt;INDEX(TZ_DSTE,MATCH(P357,TZ_STN,0))),INDEX(TZ_DST,MATCH(P357,TZ_STN,0)),INDEX(TZ_STD,MATCH(P357,TZ_STN,0))))/24</f>
        <v/>
      </c>
      <c r="S357" s="65" t="inlineStr"/>
      <c r="T357" s="66" t="n"/>
      <c r="U357" s="66" t="n"/>
      <c r="V357" s="66" t="n"/>
      <c r="W357" s="67" t="n"/>
      <c r="X357" s="66" t="n"/>
      <c r="Y357" s="66" t="n"/>
      <c r="Z357" s="66" t="n"/>
      <c r="AA357" s="66" t="n"/>
      <c r="AB357" s="66" t="n"/>
      <c r="AC357" s="66" t="n"/>
      <c r="AD357" s="72" t="n"/>
      <c r="AE357" s="66" t="n"/>
      <c r="AF357" s="67">
        <f>IF(AND(ISNUMBER(X357),ISNUMBER(Y357)),Y357-X357,"")</f>
        <v/>
      </c>
      <c r="AG357" s="68">
        <f>IF(ISNUMBER(AD357),AD357-(IF(AND(INDEX(TZ_DSTS,MATCH(P357,TZ_STN,0))&lt;&gt;"",(AD357-INDEX(TZ_STD,MATCH(P357,TZ_STN,0))/24)&gt;=INDEX(TZ_DSTS,MATCH(P357,TZ_STN,0)),(AD357-INDEX(TZ_STD,MATCH(P357,TZ_STN,0))/24)&lt;INDEX(TZ_DSTE,MATCH(P357,TZ_STN,0))),INDEX(TZ_DST,MATCH(P357,TZ_STN,0)),INDEX(TZ_STD,MATCH(P357,TZ_STN,0))))/24,"")</f>
        <v/>
      </c>
      <c r="AH357" s="71">
        <f>IF(N357="N/A – rule","N/A – RULE",IF(TRIM(U357)="N/A",IF(AT357=0,"INVALID – N/A not permitted for this mandatory check",IF(AND(TRIM(AC357)&lt;&gt;"",TRIM(AE357)&lt;&gt;"",TRIM(T357)&lt;&gt;""),"N/A – JUSTIFIED","INVALID – N/A needs justification, PIC and verifier")),IF(OR(TRIM(U357)="Pass",TRIM(U357)="Pass after CA"),IF(NOT(ISNUMBER(AD357)),"INVALID – completion time missing",IF(TRIM(T357)="","INVALID – PIC missing",IF(TRIM(Z357)="","INVALID – evidence missing",IF(TRIM(AE357)="","INVALID – verifier missing",IF(AND(AQ357=1,TRIM(W357)=""),"INVALID – batch ID missing",IF(AND(AR357=1,OR(NOT(ISNUMBER(X357)),NOT(ISNUMBER(Y357)))),"INVALID – expected/actual qty missing",IF(IF(AND(TRIM(U357)="Pass",ISNUMBER(AF357)),IF(AF357&lt;&gt;0,"INVALID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recorded/closed","")&lt;&gt;"",IF(AND(TRIM(U357)="Pass",ISNUMBER(AF357)),IF(AF357&lt;&gt;0,"INVALID – qty variance: use Fail or Pass after CA",""),"")&amp;IF(AND(TRIM(U357)="Pass",AB357="Open"),"INVALID – corrective action still open: use Fail, then Pass after CA","")&amp;IF(AND(TRIM(U357)="Pass after CA",OR(TRIM(AA357)="",AB357&lt;&gt;"Closed")),"INVALID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window"),IF(AG357&gt;Flights!$AA$15,"INVALID – completed after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f>
        <v/>
      </c>
      <c r="AI357" s="67">
        <f>IF(OR(AH357="N/A – RULE",AH357="N/A – JUSTIFIED"),0,1)</f>
        <v/>
      </c>
      <c r="AJ357" s="67">
        <f>IF(LEFT(AH357,8)="COMPLETE",1,0)</f>
        <v/>
      </c>
      <c r="AK357" s="67">
        <f>IF(AND(AI357=1,AJ357=0,AsOfUTC&gt;Q357),1,0)</f>
        <v/>
      </c>
      <c r="AL357" s="67">
        <f>IF(AND(AI357=1,OR(TRIM(U357)="Fail",AB357="Open",AND(ISNUMBER(AF357),AF357&lt;&gt;0,TRIM(U357)&lt;&gt;"Pass after CA"))),1,0)</f>
        <v/>
      </c>
      <c r="AM357" s="67">
        <f>IF(LEFT(AH357,7)="INVALID",1,0)</f>
        <v/>
      </c>
      <c r="AN357" s="67">
        <f>IF(AND(N357="Clarification required",AI357=1,AJ357=0),1,0)</f>
        <v/>
      </c>
      <c r="AO357" s="67">
        <f>IF(AK357=1,SUM(AK$5:AK357),"")</f>
        <v/>
      </c>
      <c r="AP357" s="67">
        <f>IF(AL357=1,SUM(AL$5:AL357),"")</f>
        <v/>
      </c>
      <c r="AQ357" s="67" t="n">
        <v>0</v>
      </c>
      <c r="AR357" s="67" t="n">
        <v>0</v>
      </c>
      <c r="AS357" s="67" t="n">
        <v>0</v>
      </c>
      <c r="AT357" s="67" t="n">
        <v>0</v>
      </c>
    </row>
    <row r="358" ht="41.5" customHeight="1">
      <c r="A358" s="63" t="inlineStr">
        <is>
          <t>F11-T7-02</t>
        </is>
      </c>
      <c r="B358" s="63" t="inlineStr">
        <is>
          <t>F11</t>
        </is>
      </c>
      <c r="C358" s="63">
        <f>Flights!$F$15</f>
        <v/>
      </c>
      <c r="D358" s="64">
        <f>Flights!$D$15</f>
        <v/>
      </c>
      <c r="E358" s="63">
        <f>Flights!$G$15&amp;"-"&amp;Flights!$H$15</f>
        <v/>
      </c>
      <c r="F358" s="63">
        <f>Flights!$K$15</f>
        <v/>
      </c>
      <c r="G358" s="63" t="inlineStr">
        <is>
          <t>T-7D</t>
        </is>
      </c>
      <c r="H358" s="63" t="inlineStr">
        <is>
          <t>Preparation</t>
        </is>
      </c>
      <c r="I358" s="63" t="inlineStr">
        <is>
          <t>Menu</t>
        </is>
      </c>
      <c r="J358" s="63" t="inlineStr">
        <is>
          <t>Printed menu cards confirmed (content, cycle, language, quantity)</t>
        </is>
      </c>
      <c r="K358" s="73" t="inlineStr">
        <is>
          <t>Menu card matches approved menu for this flight</t>
        </is>
      </c>
      <c r="L358" s="73" t="inlineStr">
        <is>
          <t>User brief (T-7 days)</t>
        </is>
      </c>
      <c r="M358" s="73" t="inlineStr"/>
      <c r="N358" s="73" t="inlineStr">
        <is>
          <t>Required</t>
        </is>
      </c>
      <c r="O358" s="73" t="inlineStr">
        <is>
          <t>Refreshment service (peanut &amp; water). If no printed menu card is used, mark N/A with the confirmation as justification.</t>
        </is>
      </c>
      <c r="P358" s="63" t="inlineStr">
        <is>
          <t>KUL</t>
        </is>
      </c>
      <c r="Q358" s="65">
        <f>Flights!$AC$15</f>
        <v/>
      </c>
      <c r="R358" s="65">
        <f>Q358+(IF(AND(INDEX(TZ_DSTS,MATCH(P358,TZ_STN,0))&lt;&gt;"",Q358&gt;=INDEX(TZ_DSTS,MATCH(P358,TZ_STN,0)),Q358&lt;INDEX(TZ_DSTE,MATCH(P358,TZ_STN,0))),INDEX(TZ_DST,MATCH(P358,TZ_STN,0)),INDEX(TZ_STD,MATCH(P358,TZ_STN,0))))/24</f>
        <v/>
      </c>
      <c r="S358" s="65" t="inlineStr"/>
      <c r="T358" s="66" t="n"/>
      <c r="U358" s="66" t="n"/>
      <c r="V358" s="66" t="n"/>
      <c r="W358" s="67" t="n"/>
      <c r="X358" s="66" t="n"/>
      <c r="Y358" s="66" t="n"/>
      <c r="Z358" s="66" t="n"/>
      <c r="AA358" s="66" t="n"/>
      <c r="AB358" s="66" t="n"/>
      <c r="AC358" s="66" t="n"/>
      <c r="AD358" s="72" t="n"/>
      <c r="AE358" s="66" t="n"/>
      <c r="AF358" s="67">
        <f>IF(AND(ISNUMBER(X358),ISNUMBER(Y358)),Y358-X358,"")</f>
        <v/>
      </c>
      <c r="AG358" s="68">
        <f>IF(ISNUMBER(AD358),AD358-(IF(AND(INDEX(TZ_DSTS,MATCH(P358,TZ_STN,0))&lt;&gt;"",(AD358-INDEX(TZ_STD,MATCH(P358,TZ_STN,0))/24)&gt;=INDEX(TZ_DSTS,MATCH(P358,TZ_STN,0)),(AD358-INDEX(TZ_STD,MATCH(P358,TZ_STN,0))/24)&lt;INDEX(TZ_DSTE,MATCH(P358,TZ_STN,0))),INDEX(TZ_DST,MATCH(P358,TZ_STN,0)),INDEX(TZ_STD,MATCH(P358,TZ_STN,0))))/24,"")</f>
        <v/>
      </c>
      <c r="AH358" s="71">
        <f>IF(N358="N/A – rule","N/A – RULE",IF(TRIM(U358)="N/A",IF(AT358=0,"INVALID – N/A not permitted for this mandatory check",IF(AND(TRIM(AC358)&lt;&gt;"",TRIM(AE358)&lt;&gt;"",TRIM(T358)&lt;&gt;""),"N/A – JUSTIFIED","INVALID – N/A needs justification, PIC and verifier")),IF(OR(TRIM(U358)="Pass",TRIM(U358)="Pass after CA"),IF(NOT(ISNUMBER(AD358)),"INVALID – completion time missing",IF(TRIM(T358)="","INVALID – PIC missing",IF(TRIM(Z358)="","INVALID – evidence missing",IF(TRIM(AE358)="","INVALID – verifier missing",IF(AND(AQ358=1,TRIM(W358)=""),"INVALID – batch ID missing",IF(AND(AR358=1,OR(NOT(ISNUMBER(X358)),NOT(ISNUMBER(Y358)))),"INVALID – expected/actual qty missing",IF(IF(AND(TRIM(U358)="Pass",ISNUMBER(AF358)),IF(AF358&lt;&gt;0,"INVALID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recorded/closed","")&lt;&gt;"",IF(AND(TRIM(U358)="Pass",ISNUMBER(AF358)),IF(AF358&lt;&gt;0,"INVALID – qty variance: use Fail or Pass after CA",""),"")&amp;IF(AND(TRIM(U358)="Pass",AB358="Open"),"INVALID – corrective action still open: use Fail, then Pass after CA","")&amp;IF(AND(TRIM(U358)="Pass after CA",OR(TRIM(AA358)="",AB358&lt;&gt;"Closed")),"INVALID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window"),IF(AG358&gt;Flights!$AA$15,"INVALID – completed after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f>
        <v/>
      </c>
      <c r="AI358" s="67">
        <f>IF(OR(AH358="N/A – RULE",AH358="N/A – JUSTIFIED"),0,1)</f>
        <v/>
      </c>
      <c r="AJ358" s="67">
        <f>IF(LEFT(AH358,8)="COMPLETE",1,0)</f>
        <v/>
      </c>
      <c r="AK358" s="67">
        <f>IF(AND(AI358=1,AJ358=0,AsOfUTC&gt;Q358),1,0)</f>
        <v/>
      </c>
      <c r="AL358" s="67">
        <f>IF(AND(AI358=1,OR(TRIM(U358)="Fail",AB358="Open",AND(ISNUMBER(AF358),AF358&lt;&gt;0,TRIM(U358)&lt;&gt;"Pass after CA"))),1,0)</f>
        <v/>
      </c>
      <c r="AM358" s="67">
        <f>IF(LEFT(AH358,7)="INVALID",1,0)</f>
        <v/>
      </c>
      <c r="AN358" s="67">
        <f>IF(AND(N358="Clarification required",AI358=1,AJ358=0),1,0)</f>
        <v/>
      </c>
      <c r="AO358" s="67">
        <f>IF(AK358=1,SUM(AK$5:AK358),"")</f>
        <v/>
      </c>
      <c r="AP358" s="67">
        <f>IF(AL358=1,SUM(AL$5:AL358),"")</f>
        <v/>
      </c>
      <c r="AQ358" s="67" t="n">
        <v>0</v>
      </c>
      <c r="AR358" s="67" t="n">
        <v>0</v>
      </c>
      <c r="AS358" s="67" t="n">
        <v>0</v>
      </c>
      <c r="AT358" s="67" t="n">
        <v>1</v>
      </c>
    </row>
    <row r="359" ht="41.5" customHeight="1">
      <c r="A359" s="63" t="inlineStr">
        <is>
          <t>F11-T7-03</t>
        </is>
      </c>
      <c r="B359" s="63" t="inlineStr">
        <is>
          <t>F11</t>
        </is>
      </c>
      <c r="C359" s="63">
        <f>Flights!$F$15</f>
        <v/>
      </c>
      <c r="D359" s="64">
        <f>Flights!$D$15</f>
        <v/>
      </c>
      <c r="E359" s="63">
        <f>Flights!$G$15&amp;"-"&amp;Flights!$H$15</f>
        <v/>
      </c>
      <c r="F359" s="63">
        <f>Flights!$K$15</f>
        <v/>
      </c>
      <c r="G359" s="63" t="inlineStr">
        <is>
          <t>T-7D</t>
        </is>
      </c>
      <c r="H359" s="63" t="inlineStr">
        <is>
          <t>Preparation</t>
        </is>
      </c>
      <c r="I359" s="63" t="inlineStr">
        <is>
          <t>IFE</t>
        </is>
      </c>
      <c r="J359" s="63" t="inlineStr">
        <is>
          <t>Digital menu in IFE confirmed (A339 only)</t>
        </is>
      </c>
      <c r="K359" s="73" t="inlineStr">
        <is>
          <t>Applies when fleet = A339</t>
        </is>
      </c>
      <c r="L359" s="73" t="inlineStr">
        <is>
          <t>User brief (T-7 days)</t>
        </is>
      </c>
      <c r="M359" s="73" t="inlineStr"/>
      <c r="N359" s="73">
        <f>IF(TRIM(Flights!$L$15)="A339","Required","N/A – rule")</f>
        <v/>
      </c>
      <c r="O359" s="73" t="inlineStr">
        <is>
          <t>Digital IFE menu applies to A339 only (user brief). Applicability follows the Fleet cell on Flights.</t>
        </is>
      </c>
      <c r="P359" s="63" t="inlineStr">
        <is>
          <t>KUL</t>
        </is>
      </c>
      <c r="Q359" s="65">
        <f>Flights!$AC$15</f>
        <v/>
      </c>
      <c r="R359" s="65">
        <f>Q359+(IF(AND(INDEX(TZ_DSTS,MATCH(P359,TZ_STN,0))&lt;&gt;"",Q359&gt;=INDEX(TZ_DSTS,MATCH(P359,TZ_STN,0)),Q359&lt;INDEX(TZ_DSTE,MATCH(P359,TZ_STN,0))),INDEX(TZ_DST,MATCH(P359,TZ_STN,0)),INDEX(TZ_STD,MATCH(P359,TZ_STN,0))))/24</f>
        <v/>
      </c>
      <c r="S359" s="65" t="inlineStr"/>
      <c r="T359" s="66" t="n"/>
      <c r="U359" s="66" t="n"/>
      <c r="V359" s="66" t="n"/>
      <c r="W359" s="67" t="n"/>
      <c r="X359" s="66" t="n"/>
      <c r="Y359" s="66" t="n"/>
      <c r="Z359" s="66" t="n"/>
      <c r="AA359" s="66" t="n"/>
      <c r="AB359" s="66" t="n"/>
      <c r="AC359" s="66" t="n"/>
      <c r="AD359" s="72" t="n"/>
      <c r="AE359" s="66" t="n"/>
      <c r="AF359" s="67">
        <f>IF(AND(ISNUMBER(X359),ISNUMBER(Y359)),Y359-X359,"")</f>
        <v/>
      </c>
      <c r="AG359" s="68">
        <f>IF(ISNUMBER(AD359),AD359-(IF(AND(INDEX(TZ_DSTS,MATCH(P359,TZ_STN,0))&lt;&gt;"",(AD359-INDEX(TZ_STD,MATCH(P359,TZ_STN,0))/24)&gt;=INDEX(TZ_DSTS,MATCH(P359,TZ_STN,0)),(AD359-INDEX(TZ_STD,MATCH(P359,TZ_STN,0))/24)&lt;INDEX(TZ_DSTE,MATCH(P359,TZ_STN,0))),INDEX(TZ_DST,MATCH(P359,TZ_STN,0)),INDEX(TZ_STD,MATCH(P359,TZ_STN,0))))/24,"")</f>
        <v/>
      </c>
      <c r="AH359" s="71">
        <f>IF(N359="N/A – rule","N/A – RULE",IF(TRIM(U359)="N/A",IF(AT359=0,"INVALID – N/A not permitted for this mandatory check",IF(AND(TRIM(AC359)&lt;&gt;"",TRIM(AE359)&lt;&gt;"",TRIM(T359)&lt;&gt;""),"N/A – JUSTIFIED","INVALID – N/A needs justification, PIC and verifier")),IF(OR(TRIM(U359)="Pass",TRIM(U359)="Pass after CA"),IF(NOT(ISNUMBER(AD359)),"INVALID – completion time missing",IF(TRIM(T359)="","INVALID – PIC missing",IF(TRIM(Z359)="","INVALID – evidence missing",IF(TRIM(AE359)="","INVALID – verifier missing",IF(AND(AQ359=1,TRIM(W359)=""),"INVALID – batch ID missing",IF(AND(AR359=1,OR(NOT(ISNUMBER(X359)),NOT(ISNUMBER(Y359)))),"INVALID – expected/actual qty missing",IF(IF(AND(TRIM(U359)="Pass",ISNUMBER(AF359)),IF(AF359&lt;&gt;0,"INVALID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recorded/closed","")&lt;&gt;"",IF(AND(TRIM(U359)="Pass",ISNUMBER(AF359)),IF(AF359&lt;&gt;0,"INVALID – qty variance: use Fail or Pass after CA",""),"")&amp;IF(AND(TRIM(U359)="Pass",AB359="Open"),"INVALID – corrective action still open: use Fail, then Pass after CA","")&amp;IF(AND(TRIM(U359)="Pass after CA",OR(TRIM(AA359)="",AB359&lt;&gt;"Closed")),"INVALID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window"),IF(AG359&gt;Flights!$AA$15,"INVALID – completed after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f>
        <v/>
      </c>
      <c r="AI359" s="67">
        <f>IF(OR(AH359="N/A – RULE",AH359="N/A – JUSTIFIED"),0,1)</f>
        <v/>
      </c>
      <c r="AJ359" s="67">
        <f>IF(LEFT(AH359,8)="COMPLETE",1,0)</f>
        <v/>
      </c>
      <c r="AK359" s="67">
        <f>IF(AND(AI359=1,AJ359=0,AsOfUTC&gt;Q359),1,0)</f>
        <v/>
      </c>
      <c r="AL359" s="67">
        <f>IF(AND(AI359=1,OR(TRIM(U359)="Fail",AB359="Open",AND(ISNUMBER(AF359),AF359&lt;&gt;0,TRIM(U359)&lt;&gt;"Pass after CA"))),1,0)</f>
        <v/>
      </c>
      <c r="AM359" s="67">
        <f>IF(LEFT(AH359,7)="INVALID",1,0)</f>
        <v/>
      </c>
      <c r="AN359" s="67">
        <f>IF(AND(N359="Clarification required",AI359=1,AJ359=0),1,0)</f>
        <v/>
      </c>
      <c r="AO359" s="67">
        <f>IF(AK359=1,SUM(AK$5:AK359),"")</f>
        <v/>
      </c>
      <c r="AP359" s="67">
        <f>IF(AL359=1,SUM(AL$5:AL359),"")</f>
        <v/>
      </c>
      <c r="AQ359" s="67" t="n">
        <v>0</v>
      </c>
      <c r="AR359" s="67" t="n">
        <v>0</v>
      </c>
      <c r="AS359" s="67" t="n">
        <v>0</v>
      </c>
      <c r="AT359" s="67" t="n">
        <v>0</v>
      </c>
    </row>
    <row r="360" ht="40" customHeight="1">
      <c r="A360" s="63" t="inlineStr">
        <is>
          <t>F11-T7-04</t>
        </is>
      </c>
      <c r="B360" s="63" t="inlineStr">
        <is>
          <t>F11</t>
        </is>
      </c>
      <c r="C360" s="63">
        <f>Flights!$F$15</f>
        <v/>
      </c>
      <c r="D360" s="64">
        <f>Flights!$D$15</f>
        <v/>
      </c>
      <c r="E360" s="63">
        <f>Flights!$G$15&amp;"-"&amp;Flights!$H$15</f>
        <v/>
      </c>
      <c r="F360" s="63">
        <f>Flights!$K$15</f>
        <v/>
      </c>
      <c r="G360" s="63" t="inlineStr">
        <is>
          <t>T-7D</t>
        </is>
      </c>
      <c r="H360" s="63" t="inlineStr">
        <is>
          <t>Preparation</t>
        </is>
      </c>
      <c r="I360" s="63" t="inlineStr">
        <is>
          <t>Staffing</t>
        </is>
      </c>
      <c r="J360" s="63" t="inlineStr">
        <is>
          <t>Experienced catering officer assigned to this flight</t>
        </is>
      </c>
      <c r="K360" s="73" t="inlineStr">
        <is>
          <t>Record officer name in Result</t>
        </is>
      </c>
      <c r="L360" s="73" t="inlineStr">
        <is>
          <t>User brief (T-7 days)</t>
        </is>
      </c>
      <c r="M360" s="73" t="inlineStr"/>
      <c r="N360" s="73" t="inlineStr">
        <is>
          <t>Required</t>
        </is>
      </c>
      <c r="O360" s="73" t="inlineStr"/>
      <c r="P360" s="63" t="inlineStr">
        <is>
          <t>KUL</t>
        </is>
      </c>
      <c r="Q360" s="65">
        <f>Flights!$AC$15</f>
        <v/>
      </c>
      <c r="R360" s="65">
        <f>Q360+(IF(AND(INDEX(TZ_DSTS,MATCH(P360,TZ_STN,0))&lt;&gt;"",Q360&gt;=INDEX(TZ_DSTS,MATCH(P360,TZ_STN,0)),Q360&lt;INDEX(TZ_DSTE,MATCH(P360,TZ_STN,0))),INDEX(TZ_DST,MATCH(P360,TZ_STN,0)),INDEX(TZ_STD,MATCH(P360,TZ_STN,0))))/24</f>
        <v/>
      </c>
      <c r="S360" s="65" t="inlineStr"/>
      <c r="T360" s="66" t="n"/>
      <c r="U360" s="66" t="n"/>
      <c r="V360" s="66" t="n"/>
      <c r="W360" s="67" t="n"/>
      <c r="X360" s="66" t="n"/>
      <c r="Y360" s="66" t="n"/>
      <c r="Z360" s="66" t="n"/>
      <c r="AA360" s="66" t="n"/>
      <c r="AB360" s="66" t="n"/>
      <c r="AC360" s="66" t="n"/>
      <c r="AD360" s="72" t="n"/>
      <c r="AE360" s="66" t="n"/>
      <c r="AF360" s="67">
        <f>IF(AND(ISNUMBER(X360),ISNUMBER(Y360)),Y360-X360,"")</f>
        <v/>
      </c>
      <c r="AG360" s="68">
        <f>IF(ISNUMBER(AD360),AD360-(IF(AND(INDEX(TZ_DSTS,MATCH(P360,TZ_STN,0))&lt;&gt;"",(AD360-INDEX(TZ_STD,MATCH(P360,TZ_STN,0))/24)&gt;=INDEX(TZ_DSTS,MATCH(P360,TZ_STN,0)),(AD360-INDEX(TZ_STD,MATCH(P360,TZ_STN,0))/24)&lt;INDEX(TZ_DSTE,MATCH(P360,TZ_STN,0))),INDEX(TZ_DST,MATCH(P360,TZ_STN,0)),INDEX(TZ_STD,MATCH(P360,TZ_STN,0))))/24,"")</f>
        <v/>
      </c>
      <c r="AH360" s="71">
        <f>IF(N360="N/A – rule","N/A – RULE",IF(TRIM(U360)="N/A",IF(AT360=0,"INVALID – N/A not permitted for this mandatory check",IF(AND(TRIM(AC360)&lt;&gt;"",TRIM(AE360)&lt;&gt;"",TRIM(T360)&lt;&gt;""),"N/A – JUSTIFIED","INVALID – N/A needs justification, PIC and verifier")),IF(OR(TRIM(U360)="Pass",TRIM(U360)="Pass after CA"),IF(NOT(ISNUMBER(AD360)),"INVALID – completion time missing",IF(TRIM(T360)="","INVALID – PIC missing",IF(TRIM(Z360)="","INVALID – evidence missing",IF(TRIM(AE360)="","INVALID – verifier missing",IF(AND(AQ360=1,TRIM(W360)=""),"INVALID – batch ID missing",IF(AND(AR360=1,OR(NOT(ISNUMBER(X360)),NOT(ISNUMBER(Y360)))),"INVALID – expected/actual qty missing",IF(IF(AND(TRIM(U360)="Pass",ISNUMBER(AF360)),IF(AF360&lt;&gt;0,"INVALID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recorded/closed","")&lt;&gt;"",IF(AND(TRIM(U360)="Pass",ISNUMBER(AF360)),IF(AF360&lt;&gt;0,"INVALID – qty variance: use Fail or Pass after CA",""),"")&amp;IF(AND(TRIM(U360)="Pass",AB360="Open"),"INVALID – corrective action still open: use Fail, then Pass after CA","")&amp;IF(AND(TRIM(U360)="Pass after CA",OR(TRIM(AA360)="",AB360&lt;&gt;"Closed")),"INVALID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window"),IF(AG360&gt;Flights!$AA$15,"INVALID – completed after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f>
        <v/>
      </c>
      <c r="AI360" s="67">
        <f>IF(OR(AH360="N/A – RULE",AH360="N/A – JUSTIFIED"),0,1)</f>
        <v/>
      </c>
      <c r="AJ360" s="67">
        <f>IF(LEFT(AH360,8)="COMPLETE",1,0)</f>
        <v/>
      </c>
      <c r="AK360" s="67">
        <f>IF(AND(AI360=1,AJ360=0,AsOfUTC&gt;Q360),1,0)</f>
        <v/>
      </c>
      <c r="AL360" s="67">
        <f>IF(AND(AI360=1,OR(TRIM(U360)="Fail",AB360="Open",AND(ISNUMBER(AF360),AF360&lt;&gt;0,TRIM(U360)&lt;&gt;"Pass after CA"))),1,0)</f>
        <v/>
      </c>
      <c r="AM360" s="67">
        <f>IF(LEFT(AH360,7)="INVALID",1,0)</f>
        <v/>
      </c>
      <c r="AN360" s="67">
        <f>IF(AND(N360="Clarification required",AI360=1,AJ360=0),1,0)</f>
        <v/>
      </c>
      <c r="AO360" s="67">
        <f>IF(AK360=1,SUM(AK$5:AK360),"")</f>
        <v/>
      </c>
      <c r="AP360" s="67">
        <f>IF(AL360=1,SUM(AL$5:AL360),"")</f>
        <v/>
      </c>
      <c r="AQ360" s="67" t="n">
        <v>0</v>
      </c>
      <c r="AR360" s="67" t="n">
        <v>0</v>
      </c>
      <c r="AS360" s="67" t="n">
        <v>0</v>
      </c>
      <c r="AT360" s="67" t="n">
        <v>0</v>
      </c>
    </row>
    <row r="361" ht="40" customHeight="1">
      <c r="A361" s="63" t="inlineStr">
        <is>
          <t>F11-T7-05</t>
        </is>
      </c>
      <c r="B361" s="63" t="inlineStr">
        <is>
          <t>F11</t>
        </is>
      </c>
      <c r="C361" s="63">
        <f>Flights!$F$15</f>
        <v/>
      </c>
      <c r="D361" s="64">
        <f>Flights!$D$15</f>
        <v/>
      </c>
      <c r="E361" s="63">
        <f>Flights!$G$15&amp;"-"&amp;Flights!$H$15</f>
        <v/>
      </c>
      <c r="F361" s="63">
        <f>Flights!$K$15</f>
        <v/>
      </c>
      <c r="G361" s="63" t="inlineStr">
        <is>
          <t>T-7D</t>
        </is>
      </c>
      <c r="H361" s="63" t="inlineStr">
        <is>
          <t>Preparation</t>
        </is>
      </c>
      <c r="I361" s="63" t="inlineStr">
        <is>
          <t>ISOP</t>
        </is>
      </c>
      <c r="J361" s="63" t="inlineStr">
        <is>
          <t>All latest applicable ISOP revisions communicated to caterer</t>
        </is>
      </c>
      <c r="K361" s="73" t="inlineStr">
        <is>
          <t>List revision numbers in Result (see ISOP register)</t>
        </is>
      </c>
      <c r="L361" s="73" t="inlineStr">
        <is>
          <t>User brief (T-7 days)</t>
        </is>
      </c>
      <c r="M361" s="73" t="inlineStr"/>
      <c r="N361" s="73" t="inlineStr">
        <is>
          <t>Required</t>
        </is>
      </c>
      <c r="O361" s="73" t="inlineStr"/>
      <c r="P361" s="63" t="inlineStr">
        <is>
          <t>KUL</t>
        </is>
      </c>
      <c r="Q361" s="65">
        <f>Flights!$AC$15</f>
        <v/>
      </c>
      <c r="R361" s="65">
        <f>Q361+(IF(AND(INDEX(TZ_DSTS,MATCH(P361,TZ_STN,0))&lt;&gt;"",Q361&gt;=INDEX(TZ_DSTS,MATCH(P361,TZ_STN,0)),Q361&lt;INDEX(TZ_DSTE,MATCH(P361,TZ_STN,0))),INDEX(TZ_DST,MATCH(P361,TZ_STN,0)),INDEX(TZ_STD,MATCH(P361,TZ_STN,0))))/24</f>
        <v/>
      </c>
      <c r="S361" s="65" t="inlineStr"/>
      <c r="T361" s="66" t="n"/>
      <c r="U361" s="66" t="n"/>
      <c r="V361" s="66" t="n"/>
      <c r="W361" s="67" t="n"/>
      <c r="X361" s="66" t="n"/>
      <c r="Y361" s="66" t="n"/>
      <c r="Z361" s="66" t="n"/>
      <c r="AA361" s="66" t="n"/>
      <c r="AB361" s="66" t="n"/>
      <c r="AC361" s="66" t="n"/>
      <c r="AD361" s="72" t="n"/>
      <c r="AE361" s="66" t="n"/>
      <c r="AF361" s="67">
        <f>IF(AND(ISNUMBER(X361),ISNUMBER(Y361)),Y361-X361,"")</f>
        <v/>
      </c>
      <c r="AG361" s="68">
        <f>IF(ISNUMBER(AD361),AD361-(IF(AND(INDEX(TZ_DSTS,MATCH(P361,TZ_STN,0))&lt;&gt;"",(AD361-INDEX(TZ_STD,MATCH(P361,TZ_STN,0))/24)&gt;=INDEX(TZ_DSTS,MATCH(P361,TZ_STN,0)),(AD361-INDEX(TZ_STD,MATCH(P361,TZ_STN,0))/24)&lt;INDEX(TZ_DSTE,MATCH(P361,TZ_STN,0))),INDEX(TZ_DST,MATCH(P361,TZ_STN,0)),INDEX(TZ_STD,MATCH(P361,TZ_STN,0))))/24,"")</f>
        <v/>
      </c>
      <c r="AH361" s="71">
        <f>IF(N361="N/A – rule","N/A – RULE",IF(TRIM(U361)="N/A",IF(AT361=0,"INVALID – N/A not permitted for this mandatory check",IF(AND(TRIM(AC361)&lt;&gt;"",TRIM(AE361)&lt;&gt;"",TRIM(T361)&lt;&gt;""),"N/A – JUSTIFIED","INVALID – N/A needs justification, PIC and verifier")),IF(OR(TRIM(U361)="Pass",TRIM(U361)="Pass after CA"),IF(NOT(ISNUMBER(AD361)),"INVALID – completion time missing",IF(TRIM(T361)="","INVALID – PIC missing",IF(TRIM(Z361)="","INVALID – evidence missing",IF(TRIM(AE361)="","INVALID – verifier missing",IF(AND(AQ361=1,TRIM(W361)=""),"INVALID – batch ID missing",IF(AND(AR361=1,OR(NOT(ISNUMBER(X361)),NOT(ISNUMBER(Y361)))),"INVALID – expected/actual qty missing",IF(IF(AND(TRIM(U361)="Pass",ISNUMBER(AF361)),IF(AF361&lt;&gt;0,"INVALID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recorded/closed","")&lt;&gt;"",IF(AND(TRIM(U361)="Pass",ISNUMBER(AF361)),IF(AF361&lt;&gt;0,"INVALID – qty variance: use Fail or Pass after CA",""),"")&amp;IF(AND(TRIM(U361)="Pass",AB361="Open"),"INVALID – corrective action still open: use Fail, then Pass after CA","")&amp;IF(AND(TRIM(U361)="Pass after CA",OR(TRIM(AA361)="",AB361&lt;&gt;"Closed")),"INVALID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window"),IF(AG361&gt;Flights!$AA$15,"INVALID – completed after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f>
        <v/>
      </c>
      <c r="AI361" s="67">
        <f>IF(OR(AH361="N/A – RULE",AH361="N/A – JUSTIFIED"),0,1)</f>
        <v/>
      </c>
      <c r="AJ361" s="67">
        <f>IF(LEFT(AH361,8)="COMPLETE",1,0)</f>
        <v/>
      </c>
      <c r="AK361" s="67">
        <f>IF(AND(AI361=1,AJ361=0,AsOfUTC&gt;Q361),1,0)</f>
        <v/>
      </c>
      <c r="AL361" s="67">
        <f>IF(AND(AI361=1,OR(TRIM(U361)="Fail",AB361="Open",AND(ISNUMBER(AF361),AF361&lt;&gt;0,TRIM(U361)&lt;&gt;"Pass after CA"))),1,0)</f>
        <v/>
      </c>
      <c r="AM361" s="67">
        <f>IF(LEFT(AH361,7)="INVALID",1,0)</f>
        <v/>
      </c>
      <c r="AN361" s="67">
        <f>IF(AND(N361="Clarification required",AI361=1,AJ361=0),1,0)</f>
        <v/>
      </c>
      <c r="AO361" s="67">
        <f>IF(AK361=1,SUM(AK$5:AK361),"")</f>
        <v/>
      </c>
      <c r="AP361" s="67">
        <f>IF(AL361=1,SUM(AL$5:AL361),"")</f>
        <v/>
      </c>
      <c r="AQ361" s="67" t="n">
        <v>0</v>
      </c>
      <c r="AR361" s="67" t="n">
        <v>0</v>
      </c>
      <c r="AS361" s="67" t="n">
        <v>0</v>
      </c>
      <c r="AT361" s="67" t="n">
        <v>0</v>
      </c>
    </row>
    <row r="362" ht="40" customHeight="1">
      <c r="A362" s="63" t="inlineStr">
        <is>
          <t>F11-T7-06</t>
        </is>
      </c>
      <c r="B362" s="63" t="inlineStr">
        <is>
          <t>F11</t>
        </is>
      </c>
      <c r="C362" s="63">
        <f>Flights!$F$15</f>
        <v/>
      </c>
      <c r="D362" s="64">
        <f>Flights!$D$15</f>
        <v/>
      </c>
      <c r="E362" s="63">
        <f>Flights!$G$15&amp;"-"&amp;Flights!$H$15</f>
        <v/>
      </c>
      <c r="F362" s="63">
        <f>Flights!$K$15</f>
        <v/>
      </c>
      <c r="G362" s="63" t="inlineStr">
        <is>
          <t>T-7D</t>
        </is>
      </c>
      <c r="H362" s="63" t="inlineStr">
        <is>
          <t>Preparation</t>
        </is>
      </c>
      <c r="I362" s="63" t="inlineStr">
        <is>
          <t>ISOP</t>
        </is>
      </c>
      <c r="J362" s="63" t="inlineStr">
        <is>
          <t>Caterer acknowledgement of ISOP revisions recorded</t>
        </is>
      </c>
      <c r="K362" s="73" t="inlineStr">
        <is>
          <t>Record acknowledgement ref in Evidence</t>
        </is>
      </c>
      <c r="L362" s="73" t="inlineStr">
        <is>
          <t>User brief (T-7 days)</t>
        </is>
      </c>
      <c r="M362" s="73" t="inlineStr"/>
      <c r="N362" s="73" t="inlineStr">
        <is>
          <t>Required</t>
        </is>
      </c>
      <c r="O362" s="73" t="inlineStr"/>
      <c r="P362" s="63" t="inlineStr">
        <is>
          <t>KUL</t>
        </is>
      </c>
      <c r="Q362" s="65">
        <f>Flights!$AC$15</f>
        <v/>
      </c>
      <c r="R362" s="65">
        <f>Q362+(IF(AND(INDEX(TZ_DSTS,MATCH(P362,TZ_STN,0))&lt;&gt;"",Q362&gt;=INDEX(TZ_DSTS,MATCH(P362,TZ_STN,0)),Q362&lt;INDEX(TZ_DSTE,MATCH(P362,TZ_STN,0))),INDEX(TZ_DST,MATCH(P362,TZ_STN,0)),INDEX(TZ_STD,MATCH(P362,TZ_STN,0))))/24</f>
        <v/>
      </c>
      <c r="S362" s="65" t="inlineStr"/>
      <c r="T362" s="66" t="n"/>
      <c r="U362" s="66" t="n"/>
      <c r="V362" s="66" t="n"/>
      <c r="W362" s="67" t="n"/>
      <c r="X362" s="66" t="n"/>
      <c r="Y362" s="66" t="n"/>
      <c r="Z362" s="66" t="n"/>
      <c r="AA362" s="66" t="n"/>
      <c r="AB362" s="66" t="n"/>
      <c r="AC362" s="66" t="n"/>
      <c r="AD362" s="72" t="n"/>
      <c r="AE362" s="66" t="n"/>
      <c r="AF362" s="67">
        <f>IF(AND(ISNUMBER(X362),ISNUMBER(Y362)),Y362-X362,"")</f>
        <v/>
      </c>
      <c r="AG362" s="68">
        <f>IF(ISNUMBER(AD362),AD362-(IF(AND(INDEX(TZ_DSTS,MATCH(P362,TZ_STN,0))&lt;&gt;"",(AD362-INDEX(TZ_STD,MATCH(P362,TZ_STN,0))/24)&gt;=INDEX(TZ_DSTS,MATCH(P362,TZ_STN,0)),(AD362-INDEX(TZ_STD,MATCH(P362,TZ_STN,0))/24)&lt;INDEX(TZ_DSTE,MATCH(P362,TZ_STN,0))),INDEX(TZ_DST,MATCH(P362,TZ_STN,0)),INDEX(TZ_STD,MATCH(P362,TZ_STN,0))))/24,"")</f>
        <v/>
      </c>
      <c r="AH362" s="71">
        <f>IF(N362="N/A – rule","N/A – RULE",IF(TRIM(U362)="N/A",IF(AT362=0,"INVALID – N/A not permitted for this mandatory check",IF(AND(TRIM(AC362)&lt;&gt;"",TRIM(AE362)&lt;&gt;"",TRIM(T362)&lt;&gt;""),"N/A – JUSTIFIED","INVALID – N/A needs justification, PIC and verifier")),IF(OR(TRIM(U362)="Pass",TRIM(U362)="Pass after CA"),IF(NOT(ISNUMBER(AD362)),"INVALID – completion time missing",IF(TRIM(T362)="","INVALID – PIC missing",IF(TRIM(Z362)="","INVALID – evidence missing",IF(TRIM(AE362)="","INVALID – verifier missing",IF(AND(AQ362=1,TRIM(W362)=""),"INVALID – batch ID missing",IF(AND(AR362=1,OR(NOT(ISNUMBER(X362)),NOT(ISNUMBER(Y362)))),"INVALID – expected/actual qty missing",IF(IF(AND(TRIM(U362)="Pass",ISNUMBER(AF362)),IF(AF362&lt;&gt;0,"INVALID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recorded/closed","")&lt;&gt;"",IF(AND(TRIM(U362)="Pass",ISNUMBER(AF362)),IF(AF362&lt;&gt;0,"INVALID – qty variance: use Fail or Pass after CA",""),"")&amp;IF(AND(TRIM(U362)="Pass",AB362="Open"),"INVALID – corrective action still open: use Fail, then Pass after CA","")&amp;IF(AND(TRIM(U362)="Pass after CA",OR(TRIM(AA362)="",AB362&lt;&gt;"Closed")),"INVALID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window"),IF(AG362&gt;Flights!$AA$15,"INVALID – completed after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f>
        <v/>
      </c>
      <c r="AI362" s="67">
        <f>IF(OR(AH362="N/A – RULE",AH362="N/A – JUSTIFIED"),0,1)</f>
        <v/>
      </c>
      <c r="AJ362" s="67">
        <f>IF(LEFT(AH362,8)="COMPLETE",1,0)</f>
        <v/>
      </c>
      <c r="AK362" s="67">
        <f>IF(AND(AI362=1,AJ362=0,AsOfUTC&gt;Q362),1,0)</f>
        <v/>
      </c>
      <c r="AL362" s="67">
        <f>IF(AND(AI362=1,OR(TRIM(U362)="Fail",AB362="Open",AND(ISNUMBER(AF362),AF362&lt;&gt;0,TRIM(U362)&lt;&gt;"Pass after CA"))),1,0)</f>
        <v/>
      </c>
      <c r="AM362" s="67">
        <f>IF(LEFT(AH362,7)="INVALID",1,0)</f>
        <v/>
      </c>
      <c r="AN362" s="67">
        <f>IF(AND(N362="Clarification required",AI362=1,AJ362=0),1,0)</f>
        <v/>
      </c>
      <c r="AO362" s="67">
        <f>IF(AK362=1,SUM(AK$5:AK362),"")</f>
        <v/>
      </c>
      <c r="AP362" s="67">
        <f>IF(AL362=1,SUM(AL$5:AL362),"")</f>
        <v/>
      </c>
      <c r="AQ362" s="67" t="n">
        <v>0</v>
      </c>
      <c r="AR362" s="67" t="n">
        <v>0</v>
      </c>
      <c r="AS362" s="67" t="n">
        <v>0</v>
      </c>
      <c r="AT362" s="67" t="n">
        <v>0</v>
      </c>
    </row>
    <row r="363" ht="40" customHeight="1">
      <c r="A363" s="63" t="inlineStr">
        <is>
          <t>F11-T7-07</t>
        </is>
      </c>
      <c r="B363" s="63" t="inlineStr">
        <is>
          <t>F11</t>
        </is>
      </c>
      <c r="C363" s="63">
        <f>Flights!$F$15</f>
        <v/>
      </c>
      <c r="D363" s="64">
        <f>Flights!$D$15</f>
        <v/>
      </c>
      <c r="E363" s="63">
        <f>Flights!$G$15&amp;"-"&amp;Flights!$H$15</f>
        <v/>
      </c>
      <c r="F363" s="63">
        <f>Flights!$K$15</f>
        <v/>
      </c>
      <c r="G363" s="63" t="inlineStr">
        <is>
          <t>T-7D</t>
        </is>
      </c>
      <c r="H363" s="63" t="inlineStr">
        <is>
          <t>Preparation</t>
        </is>
      </c>
      <c r="I363" s="63" t="inlineStr">
        <is>
          <t>Documents</t>
        </is>
      </c>
      <c r="J363" s="63" t="inlineStr">
        <is>
          <t>Galley loading diagram (GLD) received, revision recorded &amp; attached</t>
        </is>
      </c>
      <c r="K363" s="73" t="inlineStr">
        <is>
          <t>Documents sheet row complete</t>
        </is>
      </c>
      <c r="L363" s="73" t="inlineStr">
        <is>
          <t>User brief (T-7 days)</t>
        </is>
      </c>
      <c r="M363" s="73" t="inlineStr"/>
      <c r="N363" s="73" t="inlineStr">
        <is>
          <t>Required</t>
        </is>
      </c>
      <c r="O363" s="73" t="inlineStr"/>
      <c r="P363" s="63" t="inlineStr">
        <is>
          <t>KUL</t>
        </is>
      </c>
      <c r="Q363" s="65">
        <f>Flights!$AC$15</f>
        <v/>
      </c>
      <c r="R363" s="65">
        <f>Q363+(IF(AND(INDEX(TZ_DSTS,MATCH(P363,TZ_STN,0))&lt;&gt;"",Q363&gt;=INDEX(TZ_DSTS,MATCH(P363,TZ_STN,0)),Q363&lt;INDEX(TZ_DSTE,MATCH(P363,TZ_STN,0))),INDEX(TZ_DST,MATCH(P363,TZ_STN,0)),INDEX(TZ_STD,MATCH(P363,TZ_STN,0))))/24</f>
        <v/>
      </c>
      <c r="S363" s="65" t="inlineStr"/>
      <c r="T363" s="66" t="n"/>
      <c r="U363" s="66" t="n"/>
      <c r="V363" s="66" t="n"/>
      <c r="W363" s="67" t="n"/>
      <c r="X363" s="66" t="n"/>
      <c r="Y363" s="66" t="n"/>
      <c r="Z363" s="66" t="n"/>
      <c r="AA363" s="66" t="n"/>
      <c r="AB363" s="66" t="n"/>
      <c r="AC363" s="66" t="n"/>
      <c r="AD363" s="72" t="n"/>
      <c r="AE363" s="66" t="n"/>
      <c r="AF363" s="67">
        <f>IF(AND(ISNUMBER(X363),ISNUMBER(Y363)),Y363-X363,"")</f>
        <v/>
      </c>
      <c r="AG363" s="68">
        <f>IF(ISNUMBER(AD363),AD363-(IF(AND(INDEX(TZ_DSTS,MATCH(P363,TZ_STN,0))&lt;&gt;"",(AD363-INDEX(TZ_STD,MATCH(P363,TZ_STN,0))/24)&gt;=INDEX(TZ_DSTS,MATCH(P363,TZ_STN,0)),(AD363-INDEX(TZ_STD,MATCH(P363,TZ_STN,0))/24)&lt;INDEX(TZ_DSTE,MATCH(P363,TZ_STN,0))),INDEX(TZ_DST,MATCH(P363,TZ_STN,0)),INDEX(TZ_STD,MATCH(P363,TZ_STN,0))))/24,"")</f>
        <v/>
      </c>
      <c r="AH363" s="71">
        <f>IF(N363="N/A – rule","N/A – RULE",IF(TRIM(U363)="N/A",IF(AT363=0,"INVALID – N/A not permitted for this mandatory check",IF(AND(TRIM(AC363)&lt;&gt;"",TRIM(AE363)&lt;&gt;"",TRIM(T363)&lt;&gt;""),"N/A – JUSTIFIED","INVALID – N/A needs justification, PIC and verifier")),IF(OR(TRIM(U363)="Pass",TRIM(U363)="Pass after CA"),IF(NOT(ISNUMBER(AD363)),"INVALID – completion time missing",IF(TRIM(T363)="","INVALID – PIC missing",IF(TRIM(Z363)="","INVALID – evidence missing",IF(TRIM(AE363)="","INVALID – verifier missing",IF(AND(AQ363=1,TRIM(W363)=""),"INVALID – batch ID missing",IF(AND(AR363=1,OR(NOT(ISNUMBER(X363)),NOT(ISNUMBER(Y363)))),"INVALID – expected/actual qty missing",IF(IF(AND(TRIM(U363)="Pass",ISNUMBER(AF363)),IF(AF363&lt;&gt;0,"INVALID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recorded/closed","")&lt;&gt;"",IF(AND(TRIM(U363)="Pass",ISNUMBER(AF363)),IF(AF363&lt;&gt;0,"INVALID – qty variance: use Fail or Pass after CA",""),"")&amp;IF(AND(TRIM(U363)="Pass",AB363="Open"),"INVALID – corrective action still open: use Fail, then Pass after CA","")&amp;IF(AND(TRIM(U363)="Pass after CA",OR(TRIM(AA363)="",AB363&lt;&gt;"Closed")),"INVALID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window"),IF(AG363&gt;Flights!$AA$15,"INVALID – completed after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f>
        <v/>
      </c>
      <c r="AI363" s="67">
        <f>IF(OR(AH363="N/A – RULE",AH363="N/A – JUSTIFIED"),0,1)</f>
        <v/>
      </c>
      <c r="AJ363" s="67">
        <f>IF(LEFT(AH363,8)="COMPLETE",1,0)</f>
        <v/>
      </c>
      <c r="AK363" s="67">
        <f>IF(AND(AI363=1,AJ363=0,AsOfUTC&gt;Q363),1,0)</f>
        <v/>
      </c>
      <c r="AL363" s="67">
        <f>IF(AND(AI363=1,OR(TRIM(U363)="Fail",AB363="Open",AND(ISNUMBER(AF363),AF363&lt;&gt;0,TRIM(U363)&lt;&gt;"Pass after CA"))),1,0)</f>
        <v/>
      </c>
      <c r="AM363" s="67">
        <f>IF(LEFT(AH363,7)="INVALID",1,0)</f>
        <v/>
      </c>
      <c r="AN363" s="67">
        <f>IF(AND(N363="Clarification required",AI363=1,AJ363=0),1,0)</f>
        <v/>
      </c>
      <c r="AO363" s="67">
        <f>IF(AK363=1,SUM(AK$5:AK363),"")</f>
        <v/>
      </c>
      <c r="AP363" s="67">
        <f>IF(AL363=1,SUM(AL$5:AL363),"")</f>
        <v/>
      </c>
      <c r="AQ363" s="67" t="n">
        <v>0</v>
      </c>
      <c r="AR363" s="67" t="n">
        <v>0</v>
      </c>
      <c r="AS363" s="67" t="n">
        <v>1</v>
      </c>
      <c r="AT363" s="67" t="n">
        <v>0</v>
      </c>
    </row>
    <row r="364" ht="40" customHeight="1">
      <c r="A364" s="63" t="inlineStr">
        <is>
          <t>F11-T7-08</t>
        </is>
      </c>
      <c r="B364" s="63" t="inlineStr">
        <is>
          <t>F11</t>
        </is>
      </c>
      <c r="C364" s="63">
        <f>Flights!$F$15</f>
        <v/>
      </c>
      <c r="D364" s="64">
        <f>Flights!$D$15</f>
        <v/>
      </c>
      <c r="E364" s="63">
        <f>Flights!$G$15&amp;"-"&amp;Flights!$H$15</f>
        <v/>
      </c>
      <c r="F364" s="63">
        <f>Flights!$K$15</f>
        <v/>
      </c>
      <c r="G364" s="63" t="inlineStr">
        <is>
          <t>T-7D</t>
        </is>
      </c>
      <c r="H364" s="63" t="inlineStr">
        <is>
          <t>Preparation</t>
        </is>
      </c>
      <c r="I364" s="63" t="inlineStr">
        <is>
          <t>Documents</t>
        </is>
      </c>
      <c r="J364" s="63" t="inlineStr">
        <is>
          <t>Menu checklist received, revision recorded &amp; attached</t>
        </is>
      </c>
      <c r="K364" s="73" t="inlineStr">
        <is>
          <t>Documents sheet row complete</t>
        </is>
      </c>
      <c r="L364" s="73" t="inlineStr">
        <is>
          <t>User brief (T-7 days)</t>
        </is>
      </c>
      <c r="M364" s="73" t="inlineStr"/>
      <c r="N364" s="73" t="inlineStr">
        <is>
          <t>Required</t>
        </is>
      </c>
      <c r="O364" s="73" t="inlineStr"/>
      <c r="P364" s="63" t="inlineStr">
        <is>
          <t>KUL</t>
        </is>
      </c>
      <c r="Q364" s="65">
        <f>Flights!$AC$15</f>
        <v/>
      </c>
      <c r="R364" s="65">
        <f>Q364+(IF(AND(INDEX(TZ_DSTS,MATCH(P364,TZ_STN,0))&lt;&gt;"",Q364&gt;=INDEX(TZ_DSTS,MATCH(P364,TZ_STN,0)),Q364&lt;INDEX(TZ_DSTE,MATCH(P364,TZ_STN,0))),INDEX(TZ_DST,MATCH(P364,TZ_STN,0)),INDEX(TZ_STD,MATCH(P364,TZ_STN,0))))/24</f>
        <v/>
      </c>
      <c r="S364" s="65" t="inlineStr"/>
      <c r="T364" s="66" t="n"/>
      <c r="U364" s="66" t="n"/>
      <c r="V364" s="66" t="n"/>
      <c r="W364" s="67" t="n"/>
      <c r="X364" s="66" t="n"/>
      <c r="Y364" s="66" t="n"/>
      <c r="Z364" s="66" t="n"/>
      <c r="AA364" s="66" t="n"/>
      <c r="AB364" s="66" t="n"/>
      <c r="AC364" s="66" t="n"/>
      <c r="AD364" s="72" t="n"/>
      <c r="AE364" s="66" t="n"/>
      <c r="AF364" s="67">
        <f>IF(AND(ISNUMBER(X364),ISNUMBER(Y364)),Y364-X364,"")</f>
        <v/>
      </c>
      <c r="AG364" s="68">
        <f>IF(ISNUMBER(AD364),AD364-(IF(AND(INDEX(TZ_DSTS,MATCH(P364,TZ_STN,0))&lt;&gt;"",(AD364-INDEX(TZ_STD,MATCH(P364,TZ_STN,0))/24)&gt;=INDEX(TZ_DSTS,MATCH(P364,TZ_STN,0)),(AD364-INDEX(TZ_STD,MATCH(P364,TZ_STN,0))/24)&lt;INDEX(TZ_DSTE,MATCH(P364,TZ_STN,0))),INDEX(TZ_DST,MATCH(P364,TZ_STN,0)),INDEX(TZ_STD,MATCH(P364,TZ_STN,0))))/24,"")</f>
        <v/>
      </c>
      <c r="AH364" s="71">
        <f>IF(N364="N/A – rule","N/A – RULE",IF(TRIM(U364)="N/A",IF(AT364=0,"INVALID – N/A not permitted for this mandatory check",IF(AND(TRIM(AC364)&lt;&gt;"",TRIM(AE364)&lt;&gt;"",TRIM(T364)&lt;&gt;""),"N/A – JUSTIFIED","INVALID – N/A needs justification, PIC and verifier")),IF(OR(TRIM(U364)="Pass",TRIM(U364)="Pass after CA"),IF(NOT(ISNUMBER(AD364)),"INVALID – completion time missing",IF(TRIM(T364)="","INVALID – PIC missing",IF(TRIM(Z364)="","INVALID – evidence missing",IF(TRIM(AE364)="","INVALID – verifier missing",IF(AND(AQ364=1,TRIM(W364)=""),"INVALID – batch ID missing",IF(AND(AR364=1,OR(NOT(ISNUMBER(X364)),NOT(ISNUMBER(Y364)))),"INVALID – expected/actual qty missing",IF(IF(AND(TRIM(U364)="Pass",ISNUMBER(AF364)),IF(AF364&lt;&gt;0,"INVALID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recorded/closed","")&lt;&gt;"",IF(AND(TRIM(U364)="Pass",ISNUMBER(AF364)),IF(AF364&lt;&gt;0,"INVALID – qty variance: use Fail or Pass after CA",""),"")&amp;IF(AND(TRIM(U364)="Pass",AB364="Open"),"INVALID – corrective action still open: use Fail, then Pass after CA","")&amp;IF(AND(TRIM(U364)="Pass after CA",OR(TRIM(AA364)="",AB364&lt;&gt;"Closed")),"INVALID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window"),IF(AG364&gt;Flights!$AA$15,"INVALID – completed after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f>
        <v/>
      </c>
      <c r="AI364" s="67">
        <f>IF(OR(AH364="N/A – RULE",AH364="N/A – JUSTIFIED"),0,1)</f>
        <v/>
      </c>
      <c r="AJ364" s="67">
        <f>IF(LEFT(AH364,8)="COMPLETE",1,0)</f>
        <v/>
      </c>
      <c r="AK364" s="67">
        <f>IF(AND(AI364=1,AJ364=0,AsOfUTC&gt;Q364),1,0)</f>
        <v/>
      </c>
      <c r="AL364" s="67">
        <f>IF(AND(AI364=1,OR(TRIM(U364)="Fail",AB364="Open",AND(ISNUMBER(AF364),AF364&lt;&gt;0,TRIM(U364)&lt;&gt;"Pass after CA"))),1,0)</f>
        <v/>
      </c>
      <c r="AM364" s="67">
        <f>IF(LEFT(AH364,7)="INVALID",1,0)</f>
        <v/>
      </c>
      <c r="AN364" s="67">
        <f>IF(AND(N364="Clarification required",AI364=1,AJ364=0),1,0)</f>
        <v/>
      </c>
      <c r="AO364" s="67">
        <f>IF(AK364=1,SUM(AK$5:AK364),"")</f>
        <v/>
      </c>
      <c r="AP364" s="67">
        <f>IF(AL364=1,SUM(AL$5:AL364),"")</f>
        <v/>
      </c>
      <c r="AQ364" s="67" t="n">
        <v>0</v>
      </c>
      <c r="AR364" s="67" t="n">
        <v>0</v>
      </c>
      <c r="AS364" s="67" t="n">
        <v>2</v>
      </c>
      <c r="AT364" s="67" t="n">
        <v>0</v>
      </c>
    </row>
    <row r="365" ht="41.5" customHeight="1">
      <c r="A365" s="63" t="inlineStr">
        <is>
          <t>F11-T7-09</t>
        </is>
      </c>
      <c r="B365" s="63" t="inlineStr">
        <is>
          <t>F11</t>
        </is>
      </c>
      <c r="C365" s="63">
        <f>Flights!$F$15</f>
        <v/>
      </c>
      <c r="D365" s="64">
        <f>Flights!$D$15</f>
        <v/>
      </c>
      <c r="E365" s="63">
        <f>Flights!$G$15&amp;"-"&amp;Flights!$H$15</f>
        <v/>
      </c>
      <c r="F365" s="63">
        <f>Flights!$K$15</f>
        <v/>
      </c>
      <c r="G365" s="63" t="inlineStr">
        <is>
          <t>T-7D</t>
        </is>
      </c>
      <c r="H365" s="63" t="inlineStr">
        <is>
          <t>Preparation</t>
        </is>
      </c>
      <c r="I365" s="63" t="inlineStr">
        <is>
          <t>Uplift plan</t>
        </is>
      </c>
      <c r="J365" s="63" t="inlineStr">
        <is>
          <t>Uplift plan confirmed with caterer vs STD Uplift Information</t>
        </is>
      </c>
      <c r="K365" s="73" t="inlineStr">
        <is>
          <t>Service: Refreshment (Peanut &amp; Water); meal uplift stn KUL (ref lists KUL)</t>
        </is>
      </c>
      <c r="L365" s="73" t="inlineStr">
        <is>
          <t>STD UPLIFT INFORMATION.xlsx &gt; CATERING UPLIFT STN!C68:G68</t>
        </is>
      </c>
      <c r="M365" s="73" t="inlineStr"/>
      <c r="N365" s="73" t="inlineStr">
        <is>
          <t>Required</t>
        </is>
      </c>
      <c r="O365" s="73" t="inlineStr">
        <is>
          <t>Return catering uplifted at KUL on the outbound rotation (ref uplift stn = KUL). Confirm aircraft rotation.</t>
        </is>
      </c>
      <c r="P365" s="63" t="inlineStr">
        <is>
          <t>KUL</t>
        </is>
      </c>
      <c r="Q365" s="65">
        <f>Flights!$AC$15</f>
        <v/>
      </c>
      <c r="R365" s="65">
        <f>Q365+(IF(AND(INDEX(TZ_DSTS,MATCH(P365,TZ_STN,0))&lt;&gt;"",Q365&gt;=INDEX(TZ_DSTS,MATCH(P365,TZ_STN,0)),Q365&lt;INDEX(TZ_DSTE,MATCH(P365,TZ_STN,0))),INDEX(TZ_DST,MATCH(P365,TZ_STN,0)),INDEX(TZ_STD,MATCH(P365,TZ_STN,0))))/24</f>
        <v/>
      </c>
      <c r="S365" s="65" t="inlineStr"/>
      <c r="T365" s="66" t="n"/>
      <c r="U365" s="66" t="n"/>
      <c r="V365" s="66" t="n"/>
      <c r="W365" s="67" t="n"/>
      <c r="X365" s="66" t="n"/>
      <c r="Y365" s="66" t="n"/>
      <c r="Z365" s="66" t="n"/>
      <c r="AA365" s="66" t="n"/>
      <c r="AB365" s="66" t="n"/>
      <c r="AC365" s="66" t="n"/>
      <c r="AD365" s="72" t="n"/>
      <c r="AE365" s="66" t="n"/>
      <c r="AF365" s="67">
        <f>IF(AND(ISNUMBER(X365),ISNUMBER(Y365)),Y365-X365,"")</f>
        <v/>
      </c>
      <c r="AG365" s="68">
        <f>IF(ISNUMBER(AD365),AD365-(IF(AND(INDEX(TZ_DSTS,MATCH(P365,TZ_STN,0))&lt;&gt;"",(AD365-INDEX(TZ_STD,MATCH(P365,TZ_STN,0))/24)&gt;=INDEX(TZ_DSTS,MATCH(P365,TZ_STN,0)),(AD365-INDEX(TZ_STD,MATCH(P365,TZ_STN,0))/24)&lt;INDEX(TZ_DSTE,MATCH(P365,TZ_STN,0))),INDEX(TZ_DST,MATCH(P365,TZ_STN,0)),INDEX(TZ_STD,MATCH(P365,TZ_STN,0))))/24,"")</f>
        <v/>
      </c>
      <c r="AH365" s="71">
        <f>IF(N365="N/A – rule","N/A – RULE",IF(TRIM(U365)="N/A",IF(AT365=0,"INVALID – N/A not permitted for this mandatory check",IF(AND(TRIM(AC365)&lt;&gt;"",TRIM(AE365)&lt;&gt;"",TRIM(T365)&lt;&gt;""),"N/A – JUSTIFIED","INVALID – N/A needs justification, PIC and verifier")),IF(OR(TRIM(U365)="Pass",TRIM(U365)="Pass after CA"),IF(NOT(ISNUMBER(AD365)),"INVALID – completion time missing",IF(TRIM(T365)="","INVALID – PIC missing",IF(TRIM(Z365)="","INVALID – evidence missing",IF(TRIM(AE365)="","INVALID – verifier missing",IF(AND(AQ365=1,TRIM(W365)=""),"INVALID – batch ID missing",IF(AND(AR365=1,OR(NOT(ISNUMBER(X365)),NOT(ISNUMBER(Y365)))),"INVALID – expected/actual qty missing",IF(IF(AND(TRIM(U365)="Pass",ISNUMBER(AF365)),IF(AF365&lt;&gt;0,"INVALID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recorded/closed","")&lt;&gt;"",IF(AND(TRIM(U365)="Pass",ISNUMBER(AF365)),IF(AF365&lt;&gt;0,"INVALID – qty variance: use Fail or Pass after CA",""),"")&amp;IF(AND(TRIM(U365)="Pass",AB365="Open"),"INVALID – corrective action still open: use Fail, then Pass after CA","")&amp;IF(AND(TRIM(U365)="Pass after CA",OR(TRIM(AA365)="",AB365&lt;&gt;"Closed")),"INVALID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window"),IF(AG365&gt;Flights!$AA$15,"INVALID – completed after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f>
        <v/>
      </c>
      <c r="AI365" s="67">
        <f>IF(OR(AH365="N/A – RULE",AH365="N/A – JUSTIFIED"),0,1)</f>
        <v/>
      </c>
      <c r="AJ365" s="67">
        <f>IF(LEFT(AH365,8)="COMPLETE",1,0)</f>
        <v/>
      </c>
      <c r="AK365" s="67">
        <f>IF(AND(AI365=1,AJ365=0,AsOfUTC&gt;Q365),1,0)</f>
        <v/>
      </c>
      <c r="AL365" s="67">
        <f>IF(AND(AI365=1,OR(TRIM(U365)="Fail",AB365="Open",AND(ISNUMBER(AF365),AF365&lt;&gt;0,TRIM(U365)&lt;&gt;"Pass after CA"))),1,0)</f>
        <v/>
      </c>
      <c r="AM365" s="67">
        <f>IF(LEFT(AH365,7)="INVALID",1,0)</f>
        <v/>
      </c>
      <c r="AN365" s="67">
        <f>IF(AND(N365="Clarification required",AI365=1,AJ365=0),1,0)</f>
        <v/>
      </c>
      <c r="AO365" s="67">
        <f>IF(AK365=1,SUM(AK$5:AK365),"")</f>
        <v/>
      </c>
      <c r="AP365" s="67">
        <f>IF(AL365=1,SUM(AL$5:AL365),"")</f>
        <v/>
      </c>
      <c r="AQ365" s="67" t="n">
        <v>0</v>
      </c>
      <c r="AR365" s="67" t="n">
        <v>0</v>
      </c>
      <c r="AS365" s="67" t="n">
        <v>0</v>
      </c>
      <c r="AT365" s="67" t="n">
        <v>0</v>
      </c>
    </row>
    <row r="366" ht="91.5" customHeight="1">
      <c r="A366" s="63" t="inlineStr">
        <is>
          <t>F11-T7-10</t>
        </is>
      </c>
      <c r="B366" s="63" t="inlineStr">
        <is>
          <t>F11</t>
        </is>
      </c>
      <c r="C366" s="63">
        <f>Flights!$F$15</f>
        <v/>
      </c>
      <c r="D366" s="64">
        <f>Flights!$D$15</f>
        <v/>
      </c>
      <c r="E366" s="63">
        <f>Flights!$G$15&amp;"-"&amp;Flights!$H$15</f>
        <v/>
      </c>
      <c r="F366" s="63">
        <f>Flights!$K$15</f>
        <v/>
      </c>
      <c r="G366" s="63" t="inlineStr">
        <is>
          <t>T-7D</t>
        </is>
      </c>
      <c r="H366" s="63" t="inlineStr">
        <is>
          <t>Preparation</t>
        </is>
      </c>
      <c r="I366" s="63" t="inlineStr">
        <is>
          <t>Uplift plan</t>
        </is>
      </c>
      <c r="J366" s="63" t="inlineStr">
        <is>
          <t>Carrying flight for this leg's return catering identified and its KUL departure (UTC) entered on Flights col AX</t>
        </is>
      </c>
      <c r="K366" s="73" t="inlineStr">
        <is>
          <t>All catering for MH1149 PEN-KUL is uplifted at KUL (ref uplift stn KUL only)</t>
        </is>
      </c>
      <c r="L366" s="73" t="inlineStr">
        <is>
          <t>STD UPLIFT INFORMATION.xlsx &gt; CATERING UPLIFT STN!C68:G68</t>
        </is>
      </c>
      <c r="M366" s="73" t="inlineStr"/>
      <c r="N366" s="73" t="inlineStr">
        <is>
          <t>Clarification required</t>
        </is>
      </c>
      <c r="O366" s="73" t="inlineStr">
        <is>
          <t>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t>
        </is>
      </c>
      <c r="P366" s="63" t="inlineStr">
        <is>
          <t>KUL</t>
        </is>
      </c>
      <c r="Q366" s="65">
        <f>Flights!$AC$15</f>
        <v/>
      </c>
      <c r="R366" s="65">
        <f>Q366+(IF(AND(INDEX(TZ_DSTS,MATCH(P366,TZ_STN,0))&lt;&gt;"",Q366&gt;=INDEX(TZ_DSTS,MATCH(P366,TZ_STN,0)),Q366&lt;INDEX(TZ_DSTE,MATCH(P366,TZ_STN,0))),INDEX(TZ_DST,MATCH(P366,TZ_STN,0)),INDEX(TZ_STD,MATCH(P366,TZ_STN,0))))/24</f>
        <v/>
      </c>
      <c r="S366" s="65" t="inlineStr"/>
      <c r="T366" s="66" t="n"/>
      <c r="U366" s="66" t="n"/>
      <c r="V366" s="66" t="n"/>
      <c r="W366" s="67" t="n"/>
      <c r="X366" s="66" t="n"/>
      <c r="Y366" s="66" t="n"/>
      <c r="Z366" s="66" t="n"/>
      <c r="AA366" s="66" t="n"/>
      <c r="AB366" s="66" t="n"/>
      <c r="AC366" s="66" t="n"/>
      <c r="AD366" s="72" t="n"/>
      <c r="AE366" s="66" t="n"/>
      <c r="AF366" s="67">
        <f>IF(AND(ISNUMBER(X366),ISNUMBER(Y366)),Y366-X366,"")</f>
        <v/>
      </c>
      <c r="AG366" s="68">
        <f>IF(ISNUMBER(AD366),AD366-(IF(AND(INDEX(TZ_DSTS,MATCH(P366,TZ_STN,0))&lt;&gt;"",(AD366-INDEX(TZ_STD,MATCH(P366,TZ_STN,0))/24)&gt;=INDEX(TZ_DSTS,MATCH(P366,TZ_STN,0)),(AD366-INDEX(TZ_STD,MATCH(P366,TZ_STN,0))/24)&lt;INDEX(TZ_DSTE,MATCH(P366,TZ_STN,0))),INDEX(TZ_DST,MATCH(P366,TZ_STN,0)),INDEX(TZ_STD,MATCH(P366,TZ_STN,0))))/24,"")</f>
        <v/>
      </c>
      <c r="AH366" s="71">
        <f>IF(N366="N/A – rule","N/A – RULE",IF(TRIM(U366)="N/A",IF(AT366=0,"INVALID – N/A not permitted for this mandatory check",IF(AND(TRIM(AC366)&lt;&gt;"",TRIM(AE366)&lt;&gt;"",TRIM(T366)&lt;&gt;""),"N/A – JUSTIFIED","INVALID – N/A needs justification, PIC and verifier")),IF(OR(TRIM(U366)="Pass",TRIM(U366)="Pass after CA"),IF(NOT(ISNUMBER(AD366)),"INVALID – completion time missing",IF(TRIM(T366)="","INVALID – PIC missing",IF(TRIM(Z366)="","INVALID – evidence missing",IF(TRIM(AE366)="","INVALID – verifier missing",IF(AND(AQ366=1,TRIM(W366)=""),"INVALID – batch ID missing",IF(AND(AR366=1,OR(NOT(ISNUMBER(X366)),NOT(ISNUMBER(Y366)))),"INVALID – expected/actual qty missing",IF(IF(AND(TRIM(U366)="Pass",ISNUMBER(AF366)),IF(AF366&lt;&gt;0,"INVALID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recorded/closed","")&lt;&gt;"",IF(AND(TRIM(U366)="Pass",ISNUMBER(AF366)),IF(AF366&lt;&gt;0,"INVALID – qty variance: use Fail or Pass after CA",""),"")&amp;IF(AND(TRIM(U366)="Pass",AB366="Open"),"INVALID – corrective action still open: use Fail, then Pass after CA","")&amp;IF(AND(TRIM(U366)="Pass after CA",OR(TRIM(AA366)="",AB366&lt;&gt;"Closed")),"INVALID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window"),IF(AG366&gt;Flights!$AA$15,"INVALID – completed after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f>
        <v/>
      </c>
      <c r="AI366" s="67">
        <f>IF(OR(AH366="N/A – RULE",AH366="N/A – JUSTIFIED"),0,1)</f>
        <v/>
      </c>
      <c r="AJ366" s="67">
        <f>IF(LEFT(AH366,8)="COMPLETE",1,0)</f>
        <v/>
      </c>
      <c r="AK366" s="67">
        <f>IF(AND(AI366=1,AJ366=0,AsOfUTC&gt;Q366),1,0)</f>
        <v/>
      </c>
      <c r="AL366" s="67">
        <f>IF(AND(AI366=1,OR(TRIM(U366)="Fail",AB366="Open",AND(ISNUMBER(AF366),AF366&lt;&gt;0,TRIM(U366)&lt;&gt;"Pass after CA"))),1,0)</f>
        <v/>
      </c>
      <c r="AM366" s="67">
        <f>IF(LEFT(AH366,7)="INVALID",1,0)</f>
        <v/>
      </c>
      <c r="AN366" s="67">
        <f>IF(AND(N366="Clarification required",AI366=1,AJ366=0),1,0)</f>
        <v/>
      </c>
      <c r="AO366" s="67">
        <f>IF(AK366=1,SUM(AK$5:AK366),"")</f>
        <v/>
      </c>
      <c r="AP366" s="67">
        <f>IF(AL366=1,SUM(AL$5:AL366),"")</f>
        <v/>
      </c>
      <c r="AQ366" s="67" t="n">
        <v>0</v>
      </c>
      <c r="AR366" s="67" t="n">
        <v>0</v>
      </c>
      <c r="AS366" s="67" t="n">
        <v>3</v>
      </c>
      <c r="AT366" s="67" t="n">
        <v>1</v>
      </c>
    </row>
    <row r="367" ht="40" customHeight="1">
      <c r="A367" s="63" t="inlineStr">
        <is>
          <t>F11-T24-01</t>
        </is>
      </c>
      <c r="B367" s="63" t="inlineStr">
        <is>
          <t>F11</t>
        </is>
      </c>
      <c r="C367" s="63">
        <f>Flights!$F$15</f>
        <v/>
      </c>
      <c r="D367" s="64">
        <f>Flights!$D$15</f>
        <v/>
      </c>
      <c r="E367" s="63">
        <f>Flights!$G$15&amp;"-"&amp;Flights!$H$15</f>
        <v/>
      </c>
      <c r="F367" s="63">
        <f>Flights!$K$15</f>
        <v/>
      </c>
      <c r="G367" s="63" t="inlineStr">
        <is>
          <t>T-24H</t>
        </is>
      </c>
      <c r="H367" s="63" t="inlineStr">
        <is>
          <t>Preparation</t>
        </is>
      </c>
      <c r="I367" s="63" t="inlineStr">
        <is>
          <t>Meal</t>
        </is>
      </c>
      <c r="J367" s="63" t="inlineStr">
        <is>
          <t>Sensory test repeated on ACTUAL production batch for this flight</t>
        </is>
      </c>
      <c r="K367" s="73" t="inlineStr">
        <is>
          <t>Batch ID, result, CA and acceptance mandatory</t>
        </is>
      </c>
      <c r="L367" s="73" t="inlineStr">
        <is>
          <t>User brief (T-24 hours)</t>
        </is>
      </c>
      <c r="M367" s="73" t="inlineStr"/>
      <c r="N367" s="73" t="inlineStr">
        <is>
          <t>Required</t>
        </is>
      </c>
      <c r="O367" s="73" t="inlineStr">
        <is>
          <t>Round-trip catered from KUL: due capped at the KUL loading deadline (Flights AY).</t>
        </is>
      </c>
      <c r="P367" s="63" t="inlineStr">
        <is>
          <t>KUL</t>
        </is>
      </c>
      <c r="Q367" s="65">
        <f>MIN(Flights!$AD$15,Flights!$AY$15)</f>
        <v/>
      </c>
      <c r="R367" s="65">
        <f>Q367+(IF(AND(INDEX(TZ_DSTS,MATCH(P367,TZ_STN,0))&lt;&gt;"",Q367&gt;=INDEX(TZ_DSTS,MATCH(P367,TZ_STN,0)),Q367&lt;INDEX(TZ_DSTE,MATCH(P367,TZ_STN,0))),INDEX(TZ_DST,MATCH(P367,TZ_STN,0)),INDEX(TZ_STD,MATCH(P367,TZ_STN,0))))/24</f>
        <v/>
      </c>
      <c r="S367" s="65">
        <f>Q367-T24EarlyH/24</f>
        <v/>
      </c>
      <c r="T367" s="66" t="n"/>
      <c r="U367" s="66" t="n"/>
      <c r="V367" s="66" t="n"/>
      <c r="W367" s="66" t="n"/>
      <c r="X367" s="66" t="n"/>
      <c r="Y367" s="66" t="n"/>
      <c r="Z367" s="66" t="n"/>
      <c r="AA367" s="66" t="n"/>
      <c r="AB367" s="66" t="n"/>
      <c r="AC367" s="66" t="n"/>
      <c r="AD367" s="72" t="n"/>
      <c r="AE367" s="66" t="n"/>
      <c r="AF367" s="67">
        <f>IF(AND(ISNUMBER(X367),ISNUMBER(Y367)),Y367-X367,"")</f>
        <v/>
      </c>
      <c r="AG367" s="68">
        <f>IF(ISNUMBER(AD367),AD367-(IF(AND(INDEX(TZ_DSTS,MATCH(P367,TZ_STN,0))&lt;&gt;"",(AD367-INDEX(TZ_STD,MATCH(P367,TZ_STN,0))/24)&gt;=INDEX(TZ_DSTS,MATCH(P367,TZ_STN,0)),(AD367-INDEX(TZ_STD,MATCH(P367,TZ_STN,0))/24)&lt;INDEX(TZ_DSTE,MATCH(P367,TZ_STN,0))),INDEX(TZ_DST,MATCH(P367,TZ_STN,0)),INDEX(TZ_STD,MATCH(P367,TZ_STN,0))))/24,"")</f>
        <v/>
      </c>
      <c r="AH367" s="71">
        <f>IF(N367="N/A – rule","N/A – RULE",IF(TRIM(U367)="N/A",IF(AT367=0,"INVALID – N/A not permitted for this mandatory check",IF(AND(TRIM(AC367)&lt;&gt;"",TRIM(AE367)&lt;&gt;"",TRIM(T367)&lt;&gt;""),"N/A – JUSTIFIED","INVALID – N/A needs justification, PIC and verifier")),IF(OR(TRIM(U367)="Pass",TRIM(U367)="Pass after CA"),IF(NOT(ISNUMBER(AD367)),"INVALID – completion time missing",IF(TRIM(T367)="","INVALID – PIC missing",IF(TRIM(Z367)="","INVALID – evidence missing",IF(TRIM(AE367)="","INVALID – verifier missing",IF(AND(AQ367=1,TRIM(W367)=""),"INVALID – batch ID missing",IF(AND(AR367=1,OR(NOT(ISNUMBER(X367)),NOT(ISNUMBER(Y367)))),"INVALID – expected/actual qty missing",IF(IF(AND(TRIM(U367)="Pass",ISNUMBER(AF367)),IF(AF367&lt;&gt;0,"INVALID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recorded/closed","")&lt;&gt;"",IF(AND(TRIM(U367)="Pass",ISNUMBER(AF367)),IF(AF367&lt;&gt;0,"INVALID – qty variance: use Fail or Pass after CA",""),"")&amp;IF(AND(TRIM(U367)="Pass",AB367="Open"),"INVALID – corrective action still open: use Fail, then Pass after CA","")&amp;IF(AND(TRIM(U367)="Pass after CA",OR(TRIM(AA367)="",AB367&lt;&gt;"Closed")),"INVALID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window"),IF(AG367&gt;Flights!$AA$15,"INVALID – completed after departure (cannot establish readiness)",IF(AND(H367="Physical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f>
        <v/>
      </c>
      <c r="AI367" s="67">
        <f>IF(OR(AH367="N/A – RULE",AH367="N/A – JUSTIFIED"),0,1)</f>
        <v/>
      </c>
      <c r="AJ367" s="67">
        <f>IF(LEFT(AH367,8)="COMPLETE",1,0)</f>
        <v/>
      </c>
      <c r="AK367" s="67">
        <f>IF(AND(AI367=1,AJ367=0,AsOfUTC&gt;Q367),1,0)</f>
        <v/>
      </c>
      <c r="AL367" s="67">
        <f>IF(AND(AI367=1,OR(TRIM(U367)="Fail",AB367="Open",AND(ISNUMBER(AF367),AF367&lt;&gt;0,TRIM(U367)&lt;&gt;"Pass after CA"))),1,0)</f>
        <v/>
      </c>
      <c r="AM367" s="67">
        <f>IF(LEFT(AH367,7)="INVALID",1,0)</f>
        <v/>
      </c>
      <c r="AN367" s="67">
        <f>IF(AND(N367="Clarification required",AI367=1,AJ367=0),1,0)</f>
        <v/>
      </c>
      <c r="AO367" s="67">
        <f>IF(AK367=1,SUM(AK$5:AK367),"")</f>
        <v/>
      </c>
      <c r="AP367" s="67">
        <f>IF(AL367=1,SUM(AL$5:AL367),"")</f>
        <v/>
      </c>
      <c r="AQ367" s="67" t="n">
        <v>1</v>
      </c>
      <c r="AR367" s="67" t="n">
        <v>0</v>
      </c>
      <c r="AS367" s="67" t="n">
        <v>0</v>
      </c>
      <c r="AT367" s="67" t="n">
        <v>0</v>
      </c>
    </row>
    <row r="368" ht="41.5" customHeight="1">
      <c r="A368" s="63" t="inlineStr">
        <is>
          <t>F11-T12-01</t>
        </is>
      </c>
      <c r="B368" s="63" t="inlineStr">
        <is>
          <t>F11</t>
        </is>
      </c>
      <c r="C368" s="63">
        <f>Flights!$F$15</f>
        <v/>
      </c>
      <c r="D368" s="64">
        <f>Flights!$D$15</f>
        <v/>
      </c>
      <c r="E368" s="63">
        <f>Flights!$G$15&amp;"-"&amp;Flights!$H$15</f>
        <v/>
      </c>
      <c r="F368" s="63">
        <f>Flights!$K$15</f>
        <v/>
      </c>
      <c r="G368" s="63" t="inlineStr">
        <is>
          <t>T-12H PREP</t>
        </is>
      </c>
      <c r="H368" s="63" t="inlineStr">
        <is>
          <t>Preparation</t>
        </is>
      </c>
      <c r="I368" s="63" t="inlineStr">
        <is>
          <t>Meal</t>
        </is>
      </c>
      <c r="J368" s="63" t="inlineStr">
        <is>
          <t>Meal quality vs menu checklist</t>
        </is>
      </c>
      <c r="K368" s="73" t="inlineStr"/>
      <c r="L368" s="73" t="inlineStr">
        <is>
          <t>User brief (T-12 hours)</t>
        </is>
      </c>
      <c r="M368" s="73" t="inlineStr"/>
      <c r="N368" s="73" t="inlineStr">
        <is>
          <t>Required</t>
        </is>
      </c>
      <c r="O368" s="73" t="inlineStr">
        <is>
          <t>Preparation check at caterer - does NOT confirm loading. Round-trip catered from KUL: due capped at the KUL loading deadline (Flights AY).</t>
        </is>
      </c>
      <c r="P368" s="63" t="inlineStr">
        <is>
          <t>KUL</t>
        </is>
      </c>
      <c r="Q368" s="65">
        <f>MIN(Flights!$AE$15,Flights!$AY$15)</f>
        <v/>
      </c>
      <c r="R368" s="65">
        <f>Q368+(IF(AND(INDEX(TZ_DSTS,MATCH(P368,TZ_STN,0))&lt;&gt;"",Q368&gt;=INDEX(TZ_DSTS,MATCH(P368,TZ_STN,0)),Q368&lt;INDEX(TZ_DSTE,MATCH(P368,TZ_STN,0))),INDEX(TZ_DST,MATCH(P368,TZ_STN,0)),INDEX(TZ_STD,MATCH(P368,TZ_STN,0))))/24</f>
        <v/>
      </c>
      <c r="S368" s="65">
        <f>Q368-T12EarlyH/24</f>
        <v/>
      </c>
      <c r="T368" s="66" t="n"/>
      <c r="U368" s="66" t="n"/>
      <c r="V368" s="66" t="n"/>
      <c r="W368" s="67" t="n"/>
      <c r="X368" s="66" t="n"/>
      <c r="Y368" s="66" t="n"/>
      <c r="Z368" s="66" t="n"/>
      <c r="AA368" s="66" t="n"/>
      <c r="AB368" s="66" t="n"/>
      <c r="AC368" s="66" t="n"/>
      <c r="AD368" s="72" t="n"/>
      <c r="AE368" s="66" t="n"/>
      <c r="AF368" s="67">
        <f>IF(AND(ISNUMBER(X368),ISNUMBER(Y368)),Y368-X368,"")</f>
        <v/>
      </c>
      <c r="AG368" s="68">
        <f>IF(ISNUMBER(AD368),AD368-(IF(AND(INDEX(TZ_DSTS,MATCH(P368,TZ_STN,0))&lt;&gt;"",(AD368-INDEX(TZ_STD,MATCH(P368,TZ_STN,0))/24)&gt;=INDEX(TZ_DSTS,MATCH(P368,TZ_STN,0)),(AD368-INDEX(TZ_STD,MATCH(P368,TZ_STN,0))/24)&lt;INDEX(TZ_DSTE,MATCH(P368,TZ_STN,0))),INDEX(TZ_DST,MATCH(P368,TZ_STN,0)),INDEX(TZ_STD,MATCH(P368,TZ_STN,0))))/24,"")</f>
        <v/>
      </c>
      <c r="AH368" s="71">
        <f>IF(N368="N/A – rule","N/A – RULE",IF(TRIM(U368)="N/A",IF(AT368=0,"INVALID – N/A not permitted for this mandatory check",IF(AND(TRIM(AC368)&lt;&gt;"",TRIM(AE368)&lt;&gt;"",TRIM(T368)&lt;&gt;""),"N/A – JUSTIFIED","INVALID – N/A needs justification, PIC and verifier")),IF(OR(TRIM(U368)="Pass",TRIM(U368)="Pass after CA"),IF(NOT(ISNUMBER(AD368)),"INVALID – completion time missing",IF(TRIM(T368)="","INVALID – PIC missing",IF(TRIM(Z368)="","INVALID – evidence missing",IF(TRIM(AE368)="","INVALID – verifier missing",IF(AND(AQ368=1,TRIM(W368)=""),"INVALID – batch ID missing",IF(AND(AR368=1,OR(NOT(ISNUMBER(X368)),NOT(ISNUMBER(Y368)))),"INVALID – expected/actual qty missing",IF(IF(AND(TRIM(U368)="Pass",ISNUMBER(AF368)),IF(AF368&lt;&gt;0,"INVALID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recorded/closed","")&lt;&gt;"",IF(AND(TRIM(U368)="Pass",ISNUMBER(AF368)),IF(AF368&lt;&gt;0,"INVALID – qty variance: use Fail or Pass after CA",""),"")&amp;IF(AND(TRIM(U368)="Pass",AB368="Open"),"INVALID – corrective action still open: use Fail, then Pass after CA","")&amp;IF(AND(TRIM(U368)="Pass after CA",OR(TRIM(AA368)="",AB368&lt;&gt;"Closed")),"INVALID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window"),IF(AG368&gt;Flights!$AA$15,"INVALID – completed after departure (cannot establish readiness)",IF(AND(H368="Physical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f>
        <v/>
      </c>
      <c r="AI368" s="67">
        <f>IF(OR(AH368="N/A – RULE",AH368="N/A – JUSTIFIED"),0,1)</f>
        <v/>
      </c>
      <c r="AJ368" s="67">
        <f>IF(LEFT(AH368,8)="COMPLETE",1,0)</f>
        <v/>
      </c>
      <c r="AK368" s="67">
        <f>IF(AND(AI368=1,AJ368=0,AsOfUTC&gt;Q368),1,0)</f>
        <v/>
      </c>
      <c r="AL368" s="67">
        <f>IF(AND(AI368=1,OR(TRIM(U368)="Fail",AB368="Open",AND(ISNUMBER(AF368),AF368&lt;&gt;0,TRIM(U368)&lt;&gt;"Pass after CA"))),1,0)</f>
        <v/>
      </c>
      <c r="AM368" s="67">
        <f>IF(LEFT(AH368,7)="INVALID",1,0)</f>
        <v/>
      </c>
      <c r="AN368" s="67">
        <f>IF(AND(N368="Clarification required",AI368=1,AJ368=0),1,0)</f>
        <v/>
      </c>
      <c r="AO368" s="67">
        <f>IF(AK368=1,SUM(AK$5:AK368),"")</f>
        <v/>
      </c>
      <c r="AP368" s="67">
        <f>IF(AL368=1,SUM(AL$5:AL368),"")</f>
        <v/>
      </c>
      <c r="AQ368" s="67" t="n">
        <v>0</v>
      </c>
      <c r="AR368" s="67" t="n">
        <v>0</v>
      </c>
      <c r="AS368" s="67" t="n">
        <v>0</v>
      </c>
      <c r="AT368" s="67" t="n">
        <v>0</v>
      </c>
    </row>
    <row r="369" ht="41.5" customHeight="1">
      <c r="A369" s="63" t="inlineStr">
        <is>
          <t>F11-T12-02</t>
        </is>
      </c>
      <c r="B369" s="63" t="inlineStr">
        <is>
          <t>F11</t>
        </is>
      </c>
      <c r="C369" s="63">
        <f>Flights!$F$15</f>
        <v/>
      </c>
      <c r="D369" s="64">
        <f>Flights!$D$15</f>
        <v/>
      </c>
      <c r="E369" s="63">
        <f>Flights!$G$15&amp;"-"&amp;Flights!$H$15</f>
        <v/>
      </c>
      <c r="F369" s="63">
        <f>Flights!$K$15</f>
        <v/>
      </c>
      <c r="G369" s="63" t="inlineStr">
        <is>
          <t>T-12H PREP</t>
        </is>
      </c>
      <c r="H369" s="63" t="inlineStr">
        <is>
          <t>Preparation</t>
        </is>
      </c>
      <c r="I369" s="63" t="inlineStr">
        <is>
          <t>Meal</t>
        </is>
      </c>
      <c r="J369" s="63" t="inlineStr">
        <is>
          <t>Meal quantities vs menu checklist</t>
        </is>
      </c>
      <c r="K369" s="73" t="inlineStr">
        <is>
          <t>Enter expected &amp; actual</t>
        </is>
      </c>
      <c r="L369" s="73" t="inlineStr">
        <is>
          <t>User brief (T-12 hours)</t>
        </is>
      </c>
      <c r="M369" s="73" t="inlineStr"/>
      <c r="N369" s="73" t="inlineStr">
        <is>
          <t>Required</t>
        </is>
      </c>
      <c r="O369" s="73" t="inlineStr">
        <is>
          <t>Preparation check at caterer - does NOT confirm loading. Round-trip catered from KUL: due capped at the KUL loading deadline (Flights AY).</t>
        </is>
      </c>
      <c r="P369" s="63" t="inlineStr">
        <is>
          <t>KUL</t>
        </is>
      </c>
      <c r="Q369" s="65">
        <f>MIN(Flights!$AE$15,Flights!$AY$15)</f>
        <v/>
      </c>
      <c r="R369" s="65">
        <f>Q369+(IF(AND(INDEX(TZ_DSTS,MATCH(P369,TZ_STN,0))&lt;&gt;"",Q369&gt;=INDEX(TZ_DSTS,MATCH(P369,TZ_STN,0)),Q369&lt;INDEX(TZ_DSTE,MATCH(P369,TZ_STN,0))),INDEX(TZ_DST,MATCH(P369,TZ_STN,0)),INDEX(TZ_STD,MATCH(P369,TZ_STN,0))))/24</f>
        <v/>
      </c>
      <c r="S369" s="65">
        <f>Q369-T12EarlyH/24</f>
        <v/>
      </c>
      <c r="T369" s="66" t="n"/>
      <c r="U369" s="66" t="n"/>
      <c r="V369" s="66" t="n"/>
      <c r="W369" s="67" t="n"/>
      <c r="X369" s="66" t="n"/>
      <c r="Y369" s="66" t="n"/>
      <c r="Z369" s="66" t="n"/>
      <c r="AA369" s="66" t="n"/>
      <c r="AB369" s="66" t="n"/>
      <c r="AC369" s="66" t="n"/>
      <c r="AD369" s="72" t="n"/>
      <c r="AE369" s="66" t="n"/>
      <c r="AF369" s="67">
        <f>IF(AND(ISNUMBER(X369),ISNUMBER(Y369)),Y369-X369,"")</f>
        <v/>
      </c>
      <c r="AG369" s="68">
        <f>IF(ISNUMBER(AD369),AD369-(IF(AND(INDEX(TZ_DSTS,MATCH(P369,TZ_STN,0))&lt;&gt;"",(AD369-INDEX(TZ_STD,MATCH(P369,TZ_STN,0))/24)&gt;=INDEX(TZ_DSTS,MATCH(P369,TZ_STN,0)),(AD369-INDEX(TZ_STD,MATCH(P369,TZ_STN,0))/24)&lt;INDEX(TZ_DSTE,MATCH(P369,TZ_STN,0))),INDEX(TZ_DST,MATCH(P369,TZ_STN,0)),INDEX(TZ_STD,MATCH(P369,TZ_STN,0))))/24,"")</f>
        <v/>
      </c>
      <c r="AH369" s="71">
        <f>IF(N369="N/A – rule","N/A – RULE",IF(TRIM(U369)="N/A",IF(AT369=0,"INVALID – N/A not permitted for this mandatory check",IF(AND(TRIM(AC369)&lt;&gt;"",TRIM(AE369)&lt;&gt;"",TRIM(T369)&lt;&gt;""),"N/A – JUSTIFIED","INVALID – N/A needs justification, PIC and verifier")),IF(OR(TRIM(U369)="Pass",TRIM(U369)="Pass after CA"),IF(NOT(ISNUMBER(AD369)),"INVALID – completion time missing",IF(TRIM(T369)="","INVALID – PIC missing",IF(TRIM(Z369)="","INVALID – evidence missing",IF(TRIM(AE369)="","INVALID – verifier missing",IF(AND(AQ369=1,TRIM(W369)=""),"INVALID – batch ID missing",IF(AND(AR369=1,OR(NOT(ISNUMBER(X369)),NOT(ISNUMBER(Y369)))),"INVALID – expected/actual qty missing",IF(IF(AND(TRIM(U369)="Pass",ISNUMBER(AF369)),IF(AF369&lt;&gt;0,"INVALID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recorded/closed","")&lt;&gt;"",IF(AND(TRIM(U369)="Pass",ISNUMBER(AF369)),IF(AF369&lt;&gt;0,"INVALID – qty variance: use Fail or Pass after CA",""),"")&amp;IF(AND(TRIM(U369)="Pass",AB369="Open"),"INVALID – corrective action still open: use Fail, then Pass after CA","")&amp;IF(AND(TRIM(U369)="Pass after CA",OR(TRIM(AA369)="",AB369&lt;&gt;"Closed")),"INVALID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window"),IF(AG369&gt;Flights!$AA$15,"INVALID – completed after departure (cannot establish readiness)",IF(AND(H369="Physical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f>
        <v/>
      </c>
      <c r="AI369" s="67">
        <f>IF(OR(AH369="N/A – RULE",AH369="N/A – JUSTIFIED"),0,1)</f>
        <v/>
      </c>
      <c r="AJ369" s="67">
        <f>IF(LEFT(AH369,8)="COMPLETE",1,0)</f>
        <v/>
      </c>
      <c r="AK369" s="67">
        <f>IF(AND(AI369=1,AJ369=0,AsOfUTC&gt;Q369),1,0)</f>
        <v/>
      </c>
      <c r="AL369" s="67">
        <f>IF(AND(AI369=1,OR(TRIM(U369)="Fail",AB369="Open",AND(ISNUMBER(AF369),AF369&lt;&gt;0,TRIM(U369)&lt;&gt;"Pass after CA"))),1,0)</f>
        <v/>
      </c>
      <c r="AM369" s="67">
        <f>IF(LEFT(AH369,7)="INVALID",1,0)</f>
        <v/>
      </c>
      <c r="AN369" s="67">
        <f>IF(AND(N369="Clarification required",AI369=1,AJ369=0),1,0)</f>
        <v/>
      </c>
      <c r="AO369" s="67">
        <f>IF(AK369=1,SUM(AK$5:AK369),"")</f>
        <v/>
      </c>
      <c r="AP369" s="67">
        <f>IF(AL369=1,SUM(AL$5:AL369),"")</f>
        <v/>
      </c>
      <c r="AQ369" s="67" t="n">
        <v>0</v>
      </c>
      <c r="AR369" s="67" t="n">
        <v>1</v>
      </c>
      <c r="AS369" s="67" t="n">
        <v>0</v>
      </c>
      <c r="AT369" s="67" t="n">
        <v>0</v>
      </c>
    </row>
    <row r="370" ht="41.5" customHeight="1">
      <c r="A370" s="63" t="inlineStr">
        <is>
          <t>F11-T12-03</t>
        </is>
      </c>
      <c r="B370" s="63" t="inlineStr">
        <is>
          <t>F11</t>
        </is>
      </c>
      <c r="C370" s="63">
        <f>Flights!$F$15</f>
        <v/>
      </c>
      <c r="D370" s="64">
        <f>Flights!$D$15</f>
        <v/>
      </c>
      <c r="E370" s="63">
        <f>Flights!$G$15&amp;"-"&amp;Flights!$H$15</f>
        <v/>
      </c>
      <c r="F370" s="63">
        <f>Flights!$K$15</f>
        <v/>
      </c>
      <c r="G370" s="63" t="inlineStr">
        <is>
          <t>T-12H PREP</t>
        </is>
      </c>
      <c r="H370" s="63" t="inlineStr">
        <is>
          <t>Preparation</t>
        </is>
      </c>
      <c r="I370" s="63" t="inlineStr">
        <is>
          <t>Equipment</t>
        </is>
      </c>
      <c r="J370" s="63" t="inlineStr">
        <is>
          <t>Equipment cleanliness vs GLD</t>
        </is>
      </c>
      <c r="K370" s="73" t="inlineStr"/>
      <c r="L370" s="73" t="inlineStr">
        <is>
          <t>User brief (T-12 hours)</t>
        </is>
      </c>
      <c r="M370" s="73" t="inlineStr"/>
      <c r="N370" s="73" t="inlineStr">
        <is>
          <t>Required</t>
        </is>
      </c>
      <c r="O370" s="73" t="inlineStr">
        <is>
          <t>Preparation check at caterer - does NOT confirm loading. Round-trip catered from KUL: due capped at the KUL loading deadline (Flights AY).</t>
        </is>
      </c>
      <c r="P370" s="63" t="inlineStr">
        <is>
          <t>KUL</t>
        </is>
      </c>
      <c r="Q370" s="65">
        <f>MIN(Flights!$AE$15,Flights!$AY$15)</f>
        <v/>
      </c>
      <c r="R370" s="65">
        <f>Q370+(IF(AND(INDEX(TZ_DSTS,MATCH(P370,TZ_STN,0))&lt;&gt;"",Q370&gt;=INDEX(TZ_DSTS,MATCH(P370,TZ_STN,0)),Q370&lt;INDEX(TZ_DSTE,MATCH(P370,TZ_STN,0))),INDEX(TZ_DST,MATCH(P370,TZ_STN,0)),INDEX(TZ_STD,MATCH(P370,TZ_STN,0))))/24</f>
        <v/>
      </c>
      <c r="S370" s="65">
        <f>Q370-T12EarlyH/24</f>
        <v/>
      </c>
      <c r="T370" s="66" t="n"/>
      <c r="U370" s="66" t="n"/>
      <c r="V370" s="66" t="n"/>
      <c r="W370" s="67" t="n"/>
      <c r="X370" s="66" t="n"/>
      <c r="Y370" s="66" t="n"/>
      <c r="Z370" s="66" t="n"/>
      <c r="AA370" s="66" t="n"/>
      <c r="AB370" s="66" t="n"/>
      <c r="AC370" s="66" t="n"/>
      <c r="AD370" s="72" t="n"/>
      <c r="AE370" s="66" t="n"/>
      <c r="AF370" s="67">
        <f>IF(AND(ISNUMBER(X370),ISNUMBER(Y370)),Y370-X370,"")</f>
        <v/>
      </c>
      <c r="AG370" s="68">
        <f>IF(ISNUMBER(AD370),AD370-(IF(AND(INDEX(TZ_DSTS,MATCH(P370,TZ_STN,0))&lt;&gt;"",(AD370-INDEX(TZ_STD,MATCH(P370,TZ_STN,0))/24)&gt;=INDEX(TZ_DSTS,MATCH(P370,TZ_STN,0)),(AD370-INDEX(TZ_STD,MATCH(P370,TZ_STN,0))/24)&lt;INDEX(TZ_DSTE,MATCH(P370,TZ_STN,0))),INDEX(TZ_DST,MATCH(P370,TZ_STN,0)),INDEX(TZ_STD,MATCH(P370,TZ_STN,0))))/24,"")</f>
        <v/>
      </c>
      <c r="AH370" s="71">
        <f>IF(N370="N/A – rule","N/A – RULE",IF(TRIM(U370)="N/A",IF(AT370=0,"INVALID – N/A not permitted for this mandatory check",IF(AND(TRIM(AC370)&lt;&gt;"",TRIM(AE370)&lt;&gt;"",TRIM(T370)&lt;&gt;""),"N/A – JUSTIFIED","INVALID – N/A needs justification, PIC and verifier")),IF(OR(TRIM(U370)="Pass",TRIM(U370)="Pass after CA"),IF(NOT(ISNUMBER(AD370)),"INVALID – completion time missing",IF(TRIM(T370)="","INVALID – PIC missing",IF(TRIM(Z370)="","INVALID – evidence missing",IF(TRIM(AE370)="","INVALID – verifier missing",IF(AND(AQ370=1,TRIM(W370)=""),"INVALID – batch ID missing",IF(AND(AR370=1,OR(NOT(ISNUMBER(X370)),NOT(ISNUMBER(Y370)))),"INVALID – expected/actual qty missing",IF(IF(AND(TRIM(U370)="Pass",ISNUMBER(AF370)),IF(AF370&lt;&gt;0,"INVALID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recorded/closed","")&lt;&gt;"",IF(AND(TRIM(U370)="Pass",ISNUMBER(AF370)),IF(AF370&lt;&gt;0,"INVALID – qty variance: use Fail or Pass after CA",""),"")&amp;IF(AND(TRIM(U370)="Pass",AB370="Open"),"INVALID – corrective action still open: use Fail, then Pass after CA","")&amp;IF(AND(TRIM(U370)="Pass after CA",OR(TRIM(AA370)="",AB370&lt;&gt;"Closed")),"INVALID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window"),IF(AG370&gt;Flights!$AA$15,"INVALID – completed after departure (cannot establish readiness)",IF(AND(H370="Physical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f>
        <v/>
      </c>
      <c r="AI370" s="67">
        <f>IF(OR(AH370="N/A – RULE",AH370="N/A – JUSTIFIED"),0,1)</f>
        <v/>
      </c>
      <c r="AJ370" s="67">
        <f>IF(LEFT(AH370,8)="COMPLETE",1,0)</f>
        <v/>
      </c>
      <c r="AK370" s="67">
        <f>IF(AND(AI370=1,AJ370=0,AsOfUTC&gt;Q370),1,0)</f>
        <v/>
      </c>
      <c r="AL370" s="67">
        <f>IF(AND(AI370=1,OR(TRIM(U370)="Fail",AB370="Open",AND(ISNUMBER(AF370),AF370&lt;&gt;0,TRIM(U370)&lt;&gt;"Pass after CA"))),1,0)</f>
        <v/>
      </c>
      <c r="AM370" s="67">
        <f>IF(LEFT(AH370,7)="INVALID",1,0)</f>
        <v/>
      </c>
      <c r="AN370" s="67">
        <f>IF(AND(N370="Clarification required",AI370=1,AJ370=0),1,0)</f>
        <v/>
      </c>
      <c r="AO370" s="67">
        <f>IF(AK370=1,SUM(AK$5:AK370),"")</f>
        <v/>
      </c>
      <c r="AP370" s="67">
        <f>IF(AL370=1,SUM(AL$5:AL370),"")</f>
        <v/>
      </c>
      <c r="AQ370" s="67" t="n">
        <v>0</v>
      </c>
      <c r="AR370" s="67" t="n">
        <v>0</v>
      </c>
      <c r="AS370" s="67" t="n">
        <v>0</v>
      </c>
      <c r="AT370" s="67" t="n">
        <v>0</v>
      </c>
    </row>
    <row r="371" ht="41.5" customHeight="1">
      <c r="A371" s="63" t="inlineStr">
        <is>
          <t>F11-T12-04</t>
        </is>
      </c>
      <c r="B371" s="63" t="inlineStr">
        <is>
          <t>F11</t>
        </is>
      </c>
      <c r="C371" s="63">
        <f>Flights!$F$15</f>
        <v/>
      </c>
      <c r="D371" s="64">
        <f>Flights!$D$15</f>
        <v/>
      </c>
      <c r="E371" s="63">
        <f>Flights!$G$15&amp;"-"&amp;Flights!$H$15</f>
        <v/>
      </c>
      <c r="F371" s="63">
        <f>Flights!$K$15</f>
        <v/>
      </c>
      <c r="G371" s="63" t="inlineStr">
        <is>
          <t>T-12H PREP</t>
        </is>
      </c>
      <c r="H371" s="63" t="inlineStr">
        <is>
          <t>Preparation</t>
        </is>
      </c>
      <c r="I371" s="63" t="inlineStr">
        <is>
          <t>Equipment</t>
        </is>
      </c>
      <c r="J371" s="63" t="inlineStr">
        <is>
          <t>Equipment presentation vs GLD</t>
        </is>
      </c>
      <c r="K371" s="73" t="inlineStr"/>
      <c r="L371" s="73" t="inlineStr">
        <is>
          <t>User brief (T-12 hours)</t>
        </is>
      </c>
      <c r="M371" s="73" t="inlineStr"/>
      <c r="N371" s="73" t="inlineStr">
        <is>
          <t>Required</t>
        </is>
      </c>
      <c r="O371" s="73" t="inlineStr">
        <is>
          <t>Preparation check at caterer - does NOT confirm loading. Round-trip catered from KUL: due capped at the KUL loading deadline (Flights AY).</t>
        </is>
      </c>
      <c r="P371" s="63" t="inlineStr">
        <is>
          <t>KUL</t>
        </is>
      </c>
      <c r="Q371" s="65">
        <f>MIN(Flights!$AE$15,Flights!$AY$15)</f>
        <v/>
      </c>
      <c r="R371" s="65">
        <f>Q371+(IF(AND(INDEX(TZ_DSTS,MATCH(P371,TZ_STN,0))&lt;&gt;"",Q371&gt;=INDEX(TZ_DSTS,MATCH(P371,TZ_STN,0)),Q371&lt;INDEX(TZ_DSTE,MATCH(P371,TZ_STN,0))),INDEX(TZ_DST,MATCH(P371,TZ_STN,0)),INDEX(TZ_STD,MATCH(P371,TZ_STN,0))))/24</f>
        <v/>
      </c>
      <c r="S371" s="65">
        <f>Q371-T12EarlyH/24</f>
        <v/>
      </c>
      <c r="T371" s="66" t="n"/>
      <c r="U371" s="66" t="n"/>
      <c r="V371" s="66" t="n"/>
      <c r="W371" s="67" t="n"/>
      <c r="X371" s="66" t="n"/>
      <c r="Y371" s="66" t="n"/>
      <c r="Z371" s="66" t="n"/>
      <c r="AA371" s="66" t="n"/>
      <c r="AB371" s="66" t="n"/>
      <c r="AC371" s="66" t="n"/>
      <c r="AD371" s="72" t="n"/>
      <c r="AE371" s="66" t="n"/>
      <c r="AF371" s="67">
        <f>IF(AND(ISNUMBER(X371),ISNUMBER(Y371)),Y371-X371,"")</f>
        <v/>
      </c>
      <c r="AG371" s="68">
        <f>IF(ISNUMBER(AD371),AD371-(IF(AND(INDEX(TZ_DSTS,MATCH(P371,TZ_STN,0))&lt;&gt;"",(AD371-INDEX(TZ_STD,MATCH(P371,TZ_STN,0))/24)&gt;=INDEX(TZ_DSTS,MATCH(P371,TZ_STN,0)),(AD371-INDEX(TZ_STD,MATCH(P371,TZ_STN,0))/24)&lt;INDEX(TZ_DSTE,MATCH(P371,TZ_STN,0))),INDEX(TZ_DST,MATCH(P371,TZ_STN,0)),INDEX(TZ_STD,MATCH(P371,TZ_STN,0))))/24,"")</f>
        <v/>
      </c>
      <c r="AH371" s="71">
        <f>IF(N371="N/A – rule","N/A – RULE",IF(TRIM(U371)="N/A",IF(AT371=0,"INVALID – N/A not permitted for this mandatory check",IF(AND(TRIM(AC371)&lt;&gt;"",TRIM(AE371)&lt;&gt;"",TRIM(T371)&lt;&gt;""),"N/A – JUSTIFIED","INVALID – N/A needs justification, PIC and verifier")),IF(OR(TRIM(U371)="Pass",TRIM(U371)="Pass after CA"),IF(NOT(ISNUMBER(AD371)),"INVALID – completion time missing",IF(TRIM(T371)="","INVALID – PIC missing",IF(TRIM(Z371)="","INVALID – evidence missing",IF(TRIM(AE371)="","INVALID – verifier missing",IF(AND(AQ371=1,TRIM(W371)=""),"INVALID – batch ID missing",IF(AND(AR371=1,OR(NOT(ISNUMBER(X371)),NOT(ISNUMBER(Y371)))),"INVALID – expected/actual qty missing",IF(IF(AND(TRIM(U371)="Pass",ISNUMBER(AF371)),IF(AF371&lt;&gt;0,"INVALID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recorded/closed","")&lt;&gt;"",IF(AND(TRIM(U371)="Pass",ISNUMBER(AF371)),IF(AF371&lt;&gt;0,"INVALID – qty variance: use Fail or Pass after CA",""),"")&amp;IF(AND(TRIM(U371)="Pass",AB371="Open"),"INVALID – corrective action still open: use Fail, then Pass after CA","")&amp;IF(AND(TRIM(U371)="Pass after CA",OR(TRIM(AA371)="",AB371&lt;&gt;"Closed")),"INVALID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window"),IF(AG371&gt;Flights!$AA$15,"INVALID – completed after departure (cannot establish readiness)",IF(AND(H371="Physical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f>
        <v/>
      </c>
      <c r="AI371" s="67">
        <f>IF(OR(AH371="N/A – RULE",AH371="N/A – JUSTIFIED"),0,1)</f>
        <v/>
      </c>
      <c r="AJ371" s="67">
        <f>IF(LEFT(AH371,8)="COMPLETE",1,0)</f>
        <v/>
      </c>
      <c r="AK371" s="67">
        <f>IF(AND(AI371=1,AJ371=0,AsOfUTC&gt;Q371),1,0)</f>
        <v/>
      </c>
      <c r="AL371" s="67">
        <f>IF(AND(AI371=1,OR(TRIM(U371)="Fail",AB371="Open",AND(ISNUMBER(AF371),AF371&lt;&gt;0,TRIM(U371)&lt;&gt;"Pass after CA"))),1,0)</f>
        <v/>
      </c>
      <c r="AM371" s="67">
        <f>IF(LEFT(AH371,7)="INVALID",1,0)</f>
        <v/>
      </c>
      <c r="AN371" s="67">
        <f>IF(AND(N371="Clarification required",AI371=1,AJ371=0),1,0)</f>
        <v/>
      </c>
      <c r="AO371" s="67">
        <f>IF(AK371=1,SUM(AK$5:AK371),"")</f>
        <v/>
      </c>
      <c r="AP371" s="67">
        <f>IF(AL371=1,SUM(AL$5:AL371),"")</f>
        <v/>
      </c>
      <c r="AQ371" s="67" t="n">
        <v>0</v>
      </c>
      <c r="AR371" s="67" t="n">
        <v>0</v>
      </c>
      <c r="AS371" s="67" t="n">
        <v>0</v>
      </c>
      <c r="AT371" s="67" t="n">
        <v>0</v>
      </c>
    </row>
    <row r="372" ht="41.5" customHeight="1">
      <c r="A372" s="63" t="inlineStr">
        <is>
          <t>F11-T12-05</t>
        </is>
      </c>
      <c r="B372" s="63" t="inlineStr">
        <is>
          <t>F11</t>
        </is>
      </c>
      <c r="C372" s="63">
        <f>Flights!$F$15</f>
        <v/>
      </c>
      <c r="D372" s="64">
        <f>Flights!$D$15</f>
        <v/>
      </c>
      <c r="E372" s="63">
        <f>Flights!$G$15&amp;"-"&amp;Flights!$H$15</f>
        <v/>
      </c>
      <c r="F372" s="63">
        <f>Flights!$K$15</f>
        <v/>
      </c>
      <c r="G372" s="63" t="inlineStr">
        <is>
          <t>T-12H PREP</t>
        </is>
      </c>
      <c r="H372" s="63" t="inlineStr">
        <is>
          <t>Preparation</t>
        </is>
      </c>
      <c r="I372" s="63" t="inlineStr">
        <is>
          <t>Equipment</t>
        </is>
      </c>
      <c r="J372" s="63" t="inlineStr">
        <is>
          <t>Equipment serviceability vs GLD</t>
        </is>
      </c>
      <c r="K372" s="73" t="inlineStr"/>
      <c r="L372" s="73" t="inlineStr">
        <is>
          <t>User brief (T-12 hours)</t>
        </is>
      </c>
      <c r="M372" s="73" t="inlineStr"/>
      <c r="N372" s="73" t="inlineStr">
        <is>
          <t>Required</t>
        </is>
      </c>
      <c r="O372" s="73" t="inlineStr">
        <is>
          <t>Preparation check at caterer - does NOT confirm loading. Round-trip catered from KUL: due capped at the KUL loading deadline (Flights AY).</t>
        </is>
      </c>
      <c r="P372" s="63" t="inlineStr">
        <is>
          <t>KUL</t>
        </is>
      </c>
      <c r="Q372" s="65">
        <f>MIN(Flights!$AE$15,Flights!$AY$15)</f>
        <v/>
      </c>
      <c r="R372" s="65">
        <f>Q372+(IF(AND(INDEX(TZ_DSTS,MATCH(P372,TZ_STN,0))&lt;&gt;"",Q372&gt;=INDEX(TZ_DSTS,MATCH(P372,TZ_STN,0)),Q372&lt;INDEX(TZ_DSTE,MATCH(P372,TZ_STN,0))),INDEX(TZ_DST,MATCH(P372,TZ_STN,0)),INDEX(TZ_STD,MATCH(P372,TZ_STN,0))))/24</f>
        <v/>
      </c>
      <c r="S372" s="65">
        <f>Q372-T12EarlyH/24</f>
        <v/>
      </c>
      <c r="T372" s="66" t="n"/>
      <c r="U372" s="66" t="n"/>
      <c r="V372" s="66" t="n"/>
      <c r="W372" s="67" t="n"/>
      <c r="X372" s="66" t="n"/>
      <c r="Y372" s="66" t="n"/>
      <c r="Z372" s="66" t="n"/>
      <c r="AA372" s="66" t="n"/>
      <c r="AB372" s="66" t="n"/>
      <c r="AC372" s="66" t="n"/>
      <c r="AD372" s="72" t="n"/>
      <c r="AE372" s="66" t="n"/>
      <c r="AF372" s="67">
        <f>IF(AND(ISNUMBER(X372),ISNUMBER(Y372)),Y372-X372,"")</f>
        <v/>
      </c>
      <c r="AG372" s="68">
        <f>IF(ISNUMBER(AD372),AD372-(IF(AND(INDEX(TZ_DSTS,MATCH(P372,TZ_STN,0))&lt;&gt;"",(AD372-INDEX(TZ_STD,MATCH(P372,TZ_STN,0))/24)&gt;=INDEX(TZ_DSTS,MATCH(P372,TZ_STN,0)),(AD372-INDEX(TZ_STD,MATCH(P372,TZ_STN,0))/24)&lt;INDEX(TZ_DSTE,MATCH(P372,TZ_STN,0))),INDEX(TZ_DST,MATCH(P372,TZ_STN,0)),INDEX(TZ_STD,MATCH(P372,TZ_STN,0))))/24,"")</f>
        <v/>
      </c>
      <c r="AH372" s="71">
        <f>IF(N372="N/A – rule","N/A – RULE",IF(TRIM(U372)="N/A",IF(AT372=0,"INVALID – N/A not permitted for this mandatory check",IF(AND(TRIM(AC372)&lt;&gt;"",TRIM(AE372)&lt;&gt;"",TRIM(T372)&lt;&gt;""),"N/A – JUSTIFIED","INVALID – N/A needs justification, PIC and verifier")),IF(OR(TRIM(U372)="Pass",TRIM(U372)="Pass after CA"),IF(NOT(ISNUMBER(AD372)),"INVALID – completion time missing",IF(TRIM(T372)="","INVALID – PIC missing",IF(TRIM(Z372)="","INVALID – evidence missing",IF(TRIM(AE372)="","INVALID – verifier missing",IF(AND(AQ372=1,TRIM(W372)=""),"INVALID – batch ID missing",IF(AND(AR372=1,OR(NOT(ISNUMBER(X372)),NOT(ISNUMBER(Y372)))),"INVALID – expected/actual qty missing",IF(IF(AND(TRIM(U372)="Pass",ISNUMBER(AF372)),IF(AF372&lt;&gt;0,"INVALID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recorded/closed","")&lt;&gt;"",IF(AND(TRIM(U372)="Pass",ISNUMBER(AF372)),IF(AF372&lt;&gt;0,"INVALID – qty variance: use Fail or Pass after CA",""),"")&amp;IF(AND(TRIM(U372)="Pass",AB372="Open"),"INVALID – corrective action still open: use Fail, then Pass after CA","")&amp;IF(AND(TRIM(U372)="Pass after CA",OR(TRIM(AA372)="",AB372&lt;&gt;"Closed")),"INVALID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window"),IF(AG372&gt;Flights!$AA$15,"INVALID – completed after departure (cannot establish readiness)",IF(AND(H372="Physical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f>
        <v/>
      </c>
      <c r="AI372" s="67">
        <f>IF(OR(AH372="N/A – RULE",AH372="N/A – JUSTIFIED"),0,1)</f>
        <v/>
      </c>
      <c r="AJ372" s="67">
        <f>IF(LEFT(AH372,8)="COMPLETE",1,0)</f>
        <v/>
      </c>
      <c r="AK372" s="67">
        <f>IF(AND(AI372=1,AJ372=0,AsOfUTC&gt;Q372),1,0)</f>
        <v/>
      </c>
      <c r="AL372" s="67">
        <f>IF(AND(AI372=1,OR(TRIM(U372)="Fail",AB372="Open",AND(ISNUMBER(AF372),AF372&lt;&gt;0,TRIM(U372)&lt;&gt;"Pass after CA"))),1,0)</f>
        <v/>
      </c>
      <c r="AM372" s="67">
        <f>IF(LEFT(AH372,7)="INVALID",1,0)</f>
        <v/>
      </c>
      <c r="AN372" s="67">
        <f>IF(AND(N372="Clarification required",AI372=1,AJ372=0),1,0)</f>
        <v/>
      </c>
      <c r="AO372" s="67">
        <f>IF(AK372=1,SUM(AK$5:AK372),"")</f>
        <v/>
      </c>
      <c r="AP372" s="67">
        <f>IF(AL372=1,SUM(AL$5:AL372),"")</f>
        <v/>
      </c>
      <c r="AQ372" s="67" t="n">
        <v>0</v>
      </c>
      <c r="AR372" s="67" t="n">
        <v>0</v>
      </c>
      <c r="AS372" s="67" t="n">
        <v>0</v>
      </c>
      <c r="AT372" s="67" t="n">
        <v>0</v>
      </c>
    </row>
    <row r="373" ht="79" customHeight="1">
      <c r="A373" s="63" t="inlineStr">
        <is>
          <t>F11-T12-06</t>
        </is>
      </c>
      <c r="B373" s="63" t="inlineStr">
        <is>
          <t>F11</t>
        </is>
      </c>
      <c r="C373" s="63">
        <f>Flights!$F$15</f>
        <v/>
      </c>
      <c r="D373" s="64">
        <f>Flights!$D$15</f>
        <v/>
      </c>
      <c r="E373" s="63">
        <f>Flights!$G$15&amp;"-"&amp;Flights!$H$15</f>
        <v/>
      </c>
      <c r="F373" s="63">
        <f>Flights!$K$15</f>
        <v/>
      </c>
      <c r="G373" s="63" t="inlineStr">
        <is>
          <t>T-12H PREP</t>
        </is>
      </c>
      <c r="H373" s="63" t="inlineStr">
        <is>
          <t>Preparation</t>
        </is>
      </c>
      <c r="I373" s="63" t="inlineStr">
        <is>
          <t>Equipment</t>
        </is>
      </c>
      <c r="J373" s="63" t="inlineStr">
        <is>
          <t>Equipment quantities vs GLD</t>
        </is>
      </c>
      <c r="K373" s="73" t="inlineStr">
        <is>
          <t>Enter expected &amp; actual. Aircraft galley data: B737-8 (B7M8): carts 10.5, SU 25, ovens 6, warming ovens -, fridges -, water heaters 3, beverage makers -, espresso -, folding trolleys -, headsets - (AIRCRAFT TYPE!C16:R16)</t>
        </is>
      </c>
      <c r="L373" s="73" t="inlineStr">
        <is>
          <t>User brief (T-12 hours)</t>
        </is>
      </c>
      <c r="M373" s="73" t="inlineStr"/>
      <c r="N373" s="73" t="inlineStr">
        <is>
          <t>Required</t>
        </is>
      </c>
      <c r="O373" s="73" t="inlineStr">
        <is>
          <t>Preparation check at caterer - does NOT confirm loading. Round-trip catered from KUL: due capped at the KUL loading deadline (Flights AY).</t>
        </is>
      </c>
      <c r="P373" s="63" t="inlineStr">
        <is>
          <t>KUL</t>
        </is>
      </c>
      <c r="Q373" s="65">
        <f>MIN(Flights!$AE$15,Flights!$AY$15)</f>
        <v/>
      </c>
      <c r="R373" s="65">
        <f>Q373+(IF(AND(INDEX(TZ_DSTS,MATCH(P373,TZ_STN,0))&lt;&gt;"",Q373&gt;=INDEX(TZ_DSTS,MATCH(P373,TZ_STN,0)),Q373&lt;INDEX(TZ_DSTE,MATCH(P373,TZ_STN,0))),INDEX(TZ_DST,MATCH(P373,TZ_STN,0)),INDEX(TZ_STD,MATCH(P373,TZ_STN,0))))/24</f>
        <v/>
      </c>
      <c r="S373" s="65">
        <f>Q373-T12EarlyH/24</f>
        <v/>
      </c>
      <c r="T373" s="66" t="n"/>
      <c r="U373" s="66" t="n"/>
      <c r="V373" s="66" t="n"/>
      <c r="W373" s="67" t="n"/>
      <c r="X373" s="66" t="n"/>
      <c r="Y373" s="66" t="n"/>
      <c r="Z373" s="66" t="n"/>
      <c r="AA373" s="66" t="n"/>
      <c r="AB373" s="66" t="n"/>
      <c r="AC373" s="66" t="n"/>
      <c r="AD373" s="72" t="n"/>
      <c r="AE373" s="66" t="n"/>
      <c r="AF373" s="67">
        <f>IF(AND(ISNUMBER(X373),ISNUMBER(Y373)),Y373-X373,"")</f>
        <v/>
      </c>
      <c r="AG373" s="68">
        <f>IF(ISNUMBER(AD373),AD373-(IF(AND(INDEX(TZ_DSTS,MATCH(P373,TZ_STN,0))&lt;&gt;"",(AD373-INDEX(TZ_STD,MATCH(P373,TZ_STN,0))/24)&gt;=INDEX(TZ_DSTS,MATCH(P373,TZ_STN,0)),(AD373-INDEX(TZ_STD,MATCH(P373,TZ_STN,0))/24)&lt;INDEX(TZ_DSTE,MATCH(P373,TZ_STN,0))),INDEX(TZ_DST,MATCH(P373,TZ_STN,0)),INDEX(TZ_STD,MATCH(P373,TZ_STN,0))))/24,"")</f>
        <v/>
      </c>
      <c r="AH373" s="71">
        <f>IF(N373="N/A – rule","N/A – RULE",IF(TRIM(U373)="N/A",IF(AT373=0,"INVALID – N/A not permitted for this mandatory check",IF(AND(TRIM(AC373)&lt;&gt;"",TRIM(AE373)&lt;&gt;"",TRIM(T373)&lt;&gt;""),"N/A – JUSTIFIED","INVALID – N/A needs justification, PIC and verifier")),IF(OR(TRIM(U373)="Pass",TRIM(U373)="Pass after CA"),IF(NOT(ISNUMBER(AD373)),"INVALID – completion time missing",IF(TRIM(T373)="","INVALID – PIC missing",IF(TRIM(Z373)="","INVALID – evidence missing",IF(TRIM(AE373)="","INVALID – verifier missing",IF(AND(AQ373=1,TRIM(W373)=""),"INVALID – batch ID missing",IF(AND(AR373=1,OR(NOT(ISNUMBER(X373)),NOT(ISNUMBER(Y373)))),"INVALID – expected/actual qty missing",IF(IF(AND(TRIM(U373)="Pass",ISNUMBER(AF373)),IF(AF373&lt;&gt;0,"INVALID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recorded/closed","")&lt;&gt;"",IF(AND(TRIM(U373)="Pass",ISNUMBER(AF373)),IF(AF373&lt;&gt;0,"INVALID – qty variance: use Fail or Pass after CA",""),"")&amp;IF(AND(TRIM(U373)="Pass",AB373="Open"),"INVALID – corrective action still open: use Fail, then Pass after CA","")&amp;IF(AND(TRIM(U373)="Pass after CA",OR(TRIM(AA373)="",AB373&lt;&gt;"Closed")),"INVALID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window"),IF(AG373&gt;Flights!$AA$15,"INVALID – completed after departure (cannot establish readiness)",IF(AND(H373="Physical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f>
        <v/>
      </c>
      <c r="AI373" s="67">
        <f>IF(OR(AH373="N/A – RULE",AH373="N/A – JUSTIFIED"),0,1)</f>
        <v/>
      </c>
      <c r="AJ373" s="67">
        <f>IF(LEFT(AH373,8)="COMPLETE",1,0)</f>
        <v/>
      </c>
      <c r="AK373" s="67">
        <f>IF(AND(AI373=1,AJ373=0,AsOfUTC&gt;Q373),1,0)</f>
        <v/>
      </c>
      <c r="AL373" s="67">
        <f>IF(AND(AI373=1,OR(TRIM(U373)="Fail",AB373="Open",AND(ISNUMBER(AF373),AF373&lt;&gt;0,TRIM(U373)&lt;&gt;"Pass after CA"))),1,0)</f>
        <v/>
      </c>
      <c r="AM373" s="67">
        <f>IF(LEFT(AH373,7)="INVALID",1,0)</f>
        <v/>
      </c>
      <c r="AN373" s="67">
        <f>IF(AND(N373="Clarification required",AI373=1,AJ373=0),1,0)</f>
        <v/>
      </c>
      <c r="AO373" s="67">
        <f>IF(AK373=1,SUM(AK$5:AK373),"")</f>
        <v/>
      </c>
      <c r="AP373" s="67">
        <f>IF(AL373=1,SUM(AL$5:AL373),"")</f>
        <v/>
      </c>
      <c r="AQ373" s="67" t="n">
        <v>0</v>
      </c>
      <c r="AR373" s="67" t="n">
        <v>1</v>
      </c>
      <c r="AS373" s="67" t="n">
        <v>0</v>
      </c>
      <c r="AT373" s="67" t="n">
        <v>0</v>
      </c>
    </row>
    <row r="374" ht="41.5" customHeight="1">
      <c r="A374" s="63" t="inlineStr">
        <is>
          <t>F11-T12-07</t>
        </is>
      </c>
      <c r="B374" s="63" t="inlineStr">
        <is>
          <t>F11</t>
        </is>
      </c>
      <c r="C374" s="63">
        <f>Flights!$F$15</f>
        <v/>
      </c>
      <c r="D374" s="64">
        <f>Flights!$D$15</f>
        <v/>
      </c>
      <c r="E374" s="63">
        <f>Flights!$G$15&amp;"-"&amp;Flights!$H$15</f>
        <v/>
      </c>
      <c r="F374" s="63">
        <f>Flights!$K$15</f>
        <v/>
      </c>
      <c r="G374" s="63" t="inlineStr">
        <is>
          <t>T-12H PREP</t>
        </is>
      </c>
      <c r="H374" s="63" t="inlineStr">
        <is>
          <t>Preparation</t>
        </is>
      </c>
      <c r="I374" s="63" t="inlineStr">
        <is>
          <t>Equipment</t>
        </is>
      </c>
      <c r="J374" s="63" t="inlineStr">
        <is>
          <t>Loading positions planned vs GLD</t>
        </is>
      </c>
      <c r="K374" s="73" t="inlineStr"/>
      <c r="L374" s="73" t="inlineStr">
        <is>
          <t>User brief (T-12 hours)</t>
        </is>
      </c>
      <c r="M374" s="73" t="inlineStr"/>
      <c r="N374" s="73" t="inlineStr">
        <is>
          <t>Required</t>
        </is>
      </c>
      <c r="O374" s="73" t="inlineStr">
        <is>
          <t>Preparation check at caterer - does NOT confirm loading. Round-trip catered from KUL: due capped at the KUL loading deadline (Flights AY).</t>
        </is>
      </c>
      <c r="P374" s="63" t="inlineStr">
        <is>
          <t>KUL</t>
        </is>
      </c>
      <c r="Q374" s="65">
        <f>MIN(Flights!$AE$15,Flights!$AY$15)</f>
        <v/>
      </c>
      <c r="R374" s="65">
        <f>Q374+(IF(AND(INDEX(TZ_DSTS,MATCH(P374,TZ_STN,0))&lt;&gt;"",Q374&gt;=INDEX(TZ_DSTS,MATCH(P374,TZ_STN,0)),Q374&lt;INDEX(TZ_DSTE,MATCH(P374,TZ_STN,0))),INDEX(TZ_DST,MATCH(P374,TZ_STN,0)),INDEX(TZ_STD,MATCH(P374,TZ_STN,0))))/24</f>
        <v/>
      </c>
      <c r="S374" s="65">
        <f>Q374-T12EarlyH/24</f>
        <v/>
      </c>
      <c r="T374" s="66" t="n"/>
      <c r="U374" s="66" t="n"/>
      <c r="V374" s="66" t="n"/>
      <c r="W374" s="67" t="n"/>
      <c r="X374" s="66" t="n"/>
      <c r="Y374" s="66" t="n"/>
      <c r="Z374" s="66" t="n"/>
      <c r="AA374" s="66" t="n"/>
      <c r="AB374" s="66" t="n"/>
      <c r="AC374" s="66" t="n"/>
      <c r="AD374" s="72" t="n"/>
      <c r="AE374" s="66" t="n"/>
      <c r="AF374" s="67">
        <f>IF(AND(ISNUMBER(X374),ISNUMBER(Y374)),Y374-X374,"")</f>
        <v/>
      </c>
      <c r="AG374" s="68">
        <f>IF(ISNUMBER(AD374),AD374-(IF(AND(INDEX(TZ_DSTS,MATCH(P374,TZ_STN,0))&lt;&gt;"",(AD374-INDEX(TZ_STD,MATCH(P374,TZ_STN,0))/24)&gt;=INDEX(TZ_DSTS,MATCH(P374,TZ_STN,0)),(AD374-INDEX(TZ_STD,MATCH(P374,TZ_STN,0))/24)&lt;INDEX(TZ_DSTE,MATCH(P374,TZ_STN,0))),INDEX(TZ_DST,MATCH(P374,TZ_STN,0)),INDEX(TZ_STD,MATCH(P374,TZ_STN,0))))/24,"")</f>
        <v/>
      </c>
      <c r="AH374" s="71">
        <f>IF(N374="N/A – rule","N/A – RULE",IF(TRIM(U374)="N/A",IF(AT374=0,"INVALID – N/A not permitted for this mandatory check",IF(AND(TRIM(AC374)&lt;&gt;"",TRIM(AE374)&lt;&gt;"",TRIM(T374)&lt;&gt;""),"N/A – JUSTIFIED","INVALID – N/A needs justification, PIC and verifier")),IF(OR(TRIM(U374)="Pass",TRIM(U374)="Pass after CA"),IF(NOT(ISNUMBER(AD374)),"INVALID – completion time missing",IF(TRIM(T374)="","INVALID – PIC missing",IF(TRIM(Z374)="","INVALID – evidence missing",IF(TRIM(AE374)="","INVALID – verifier missing",IF(AND(AQ374=1,TRIM(W374)=""),"INVALID – batch ID missing",IF(AND(AR374=1,OR(NOT(ISNUMBER(X374)),NOT(ISNUMBER(Y374)))),"INVALID – expected/actual qty missing",IF(IF(AND(TRIM(U374)="Pass",ISNUMBER(AF374)),IF(AF374&lt;&gt;0,"INVALID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recorded/closed","")&lt;&gt;"",IF(AND(TRIM(U374)="Pass",ISNUMBER(AF374)),IF(AF374&lt;&gt;0,"INVALID – qty variance: use Fail or Pass after CA",""),"")&amp;IF(AND(TRIM(U374)="Pass",AB374="Open"),"INVALID – corrective action still open: use Fail, then Pass after CA","")&amp;IF(AND(TRIM(U374)="Pass after CA",OR(TRIM(AA374)="",AB374&lt;&gt;"Closed")),"INVALID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window"),IF(AG374&gt;Flights!$AA$15,"INVALID – completed after departure (cannot establish readiness)",IF(AND(H374="Physical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f>
        <v/>
      </c>
      <c r="AI374" s="67">
        <f>IF(OR(AH374="N/A – RULE",AH374="N/A – JUSTIFIED"),0,1)</f>
        <v/>
      </c>
      <c r="AJ374" s="67">
        <f>IF(LEFT(AH374,8)="COMPLETE",1,0)</f>
        <v/>
      </c>
      <c r="AK374" s="67">
        <f>IF(AND(AI374=1,AJ374=0,AsOfUTC&gt;Q374),1,0)</f>
        <v/>
      </c>
      <c r="AL374" s="67">
        <f>IF(AND(AI374=1,OR(TRIM(U374)="Fail",AB374="Open",AND(ISNUMBER(AF374),AF374&lt;&gt;0,TRIM(U374)&lt;&gt;"Pass after CA"))),1,0)</f>
        <v/>
      </c>
      <c r="AM374" s="67">
        <f>IF(LEFT(AH374,7)="INVALID",1,0)</f>
        <v/>
      </c>
      <c r="AN374" s="67">
        <f>IF(AND(N374="Clarification required",AI374=1,AJ374=0),1,0)</f>
        <v/>
      </c>
      <c r="AO374" s="67">
        <f>IF(AK374=1,SUM(AK$5:AK374),"")</f>
        <v/>
      </c>
      <c r="AP374" s="67">
        <f>IF(AL374=1,SUM(AL$5:AL374),"")</f>
        <v/>
      </c>
      <c r="AQ374" s="67" t="n">
        <v>0</v>
      </c>
      <c r="AR374" s="67" t="n">
        <v>0</v>
      </c>
      <c r="AS374" s="67" t="n">
        <v>0</v>
      </c>
      <c r="AT374" s="67" t="n">
        <v>0</v>
      </c>
    </row>
    <row r="375" ht="66.5" customHeight="1">
      <c r="A375" s="63" t="inlineStr">
        <is>
          <t>F11-T12-08</t>
        </is>
      </c>
      <c r="B375" s="63" t="inlineStr">
        <is>
          <t>F11</t>
        </is>
      </c>
      <c r="C375" s="63">
        <f>Flights!$F$15</f>
        <v/>
      </c>
      <c r="D375" s="64">
        <f>Flights!$D$15</f>
        <v/>
      </c>
      <c r="E375" s="63">
        <f>Flights!$G$15&amp;"-"&amp;Flights!$H$15</f>
        <v/>
      </c>
      <c r="F375" s="63">
        <f>Flights!$K$15</f>
        <v/>
      </c>
      <c r="G375" s="63" t="inlineStr">
        <is>
          <t>T-12H PREP</t>
        </is>
      </c>
      <c r="H375" s="63" t="inlineStr">
        <is>
          <t>Preparation</t>
        </is>
      </c>
      <c r="I375" s="63" t="inlineStr">
        <is>
          <t>Seat Linen</t>
        </is>
      </c>
      <c r="J375" s="63" t="inlineStr">
        <is>
          <t>Seat pillow (EY) - prepared</t>
        </is>
      </c>
      <c r="K375" s="73" t="inlineStr">
        <is>
          <t>Available 100% (ticked in reference)</t>
        </is>
      </c>
      <c r="L375" s="73" t="inlineStr">
        <is>
          <t>STD UPLIFT INFORMATION.xlsx &gt; SEAT LINEN!I62</t>
        </is>
      </c>
      <c r="M375" s="73" t="inlineStr">
        <is>
          <t>Not stated in reference</t>
        </is>
      </c>
      <c r="N375" s="73" t="inlineStr">
        <is>
          <t>Required</t>
        </is>
      </c>
      <c r="O375" s="73" t="inlineStr">
        <is>
          <t>Reference gives no uplift stn for this item: preparation checked at the meal uplift stn (KUL) - confirm with caterer. Round-trip catered from KUL: due capped at the KUL loading deadline (Flights AY).</t>
        </is>
      </c>
      <c r="P375" s="63" t="inlineStr">
        <is>
          <t>KUL</t>
        </is>
      </c>
      <c r="Q375" s="65">
        <f>MIN(Flights!$AE$15,Flights!$AY$15)</f>
        <v/>
      </c>
      <c r="R375" s="65">
        <f>Q375+(IF(AND(INDEX(TZ_DSTS,MATCH(P375,TZ_STN,0))&lt;&gt;"",Q375&gt;=INDEX(TZ_DSTS,MATCH(P375,TZ_STN,0)),Q375&lt;INDEX(TZ_DSTE,MATCH(P375,TZ_STN,0))),INDEX(TZ_DST,MATCH(P375,TZ_STN,0)),INDEX(TZ_STD,MATCH(P375,TZ_STN,0))))/24</f>
        <v/>
      </c>
      <c r="S375" s="65">
        <f>Q375-T12EarlyH/24</f>
        <v/>
      </c>
      <c r="T375" s="66" t="n"/>
      <c r="U375" s="66" t="n"/>
      <c r="V375" s="66" t="n"/>
      <c r="W375" s="67" t="n"/>
      <c r="X375" s="66" t="n"/>
      <c r="Y375" s="66" t="n"/>
      <c r="Z375" s="66" t="n"/>
      <c r="AA375" s="66" t="n"/>
      <c r="AB375" s="66" t="n"/>
      <c r="AC375" s="66" t="n"/>
      <c r="AD375" s="72" t="n"/>
      <c r="AE375" s="66" t="n"/>
      <c r="AF375" s="67">
        <f>IF(AND(ISNUMBER(X375),ISNUMBER(Y375)),Y375-X375,"")</f>
        <v/>
      </c>
      <c r="AG375" s="68">
        <f>IF(ISNUMBER(AD375),AD375-(IF(AND(INDEX(TZ_DSTS,MATCH(P375,TZ_STN,0))&lt;&gt;"",(AD375-INDEX(TZ_STD,MATCH(P375,TZ_STN,0))/24)&gt;=INDEX(TZ_DSTS,MATCH(P375,TZ_STN,0)),(AD375-INDEX(TZ_STD,MATCH(P375,TZ_STN,0))/24)&lt;INDEX(TZ_DSTE,MATCH(P375,TZ_STN,0))),INDEX(TZ_DST,MATCH(P375,TZ_STN,0)),INDEX(TZ_STD,MATCH(P375,TZ_STN,0))))/24,"")</f>
        <v/>
      </c>
      <c r="AH375" s="71">
        <f>IF(N375="N/A – rule","N/A – RULE",IF(TRIM(U375)="N/A",IF(AT375=0,"INVALID – N/A not permitted for this mandatory check",IF(AND(TRIM(AC375)&lt;&gt;"",TRIM(AE375)&lt;&gt;"",TRIM(T375)&lt;&gt;""),"N/A – JUSTIFIED","INVALID – N/A needs justification, PIC and verifier")),IF(OR(TRIM(U375)="Pass",TRIM(U375)="Pass after CA"),IF(NOT(ISNUMBER(AD375)),"INVALID – completion time missing",IF(TRIM(T375)="","INVALID – PIC missing",IF(TRIM(Z375)="","INVALID – evidence missing",IF(TRIM(AE375)="","INVALID – verifier missing",IF(AND(AQ375=1,TRIM(W375)=""),"INVALID – batch ID missing",IF(AND(AR375=1,OR(NOT(ISNUMBER(X375)),NOT(ISNUMBER(Y375)))),"INVALID – expected/actual qty missing",IF(IF(AND(TRIM(U375)="Pass",ISNUMBER(AF375)),IF(AF375&lt;&gt;0,"INVALID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recorded/closed","")&lt;&gt;"",IF(AND(TRIM(U375)="Pass",ISNUMBER(AF375)),IF(AF375&lt;&gt;0,"INVALID – qty variance: use Fail or Pass after CA",""),"")&amp;IF(AND(TRIM(U375)="Pass",AB375="Open"),"INVALID – corrective action still open: use Fail, then Pass after CA","")&amp;IF(AND(TRIM(U375)="Pass after CA",OR(TRIM(AA375)="",AB375&lt;&gt;"Closed")),"INVALID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window"),IF(AG375&gt;Flights!$AA$15,"INVALID – completed after departure (cannot establish readiness)",IF(AND(H375="Physical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f>
        <v/>
      </c>
      <c r="AI375" s="67">
        <f>IF(OR(AH375="N/A – RULE",AH375="N/A – JUSTIFIED"),0,1)</f>
        <v/>
      </c>
      <c r="AJ375" s="67">
        <f>IF(LEFT(AH375,8)="COMPLETE",1,0)</f>
        <v/>
      </c>
      <c r="AK375" s="67">
        <f>IF(AND(AI375=1,AJ375=0,AsOfUTC&gt;Q375),1,0)</f>
        <v/>
      </c>
      <c r="AL375" s="67">
        <f>IF(AND(AI375=1,OR(TRIM(U375)="Fail",AB375="Open",AND(ISNUMBER(AF375),AF375&lt;&gt;0,TRIM(U375)&lt;&gt;"Pass after CA"))),1,0)</f>
        <v/>
      </c>
      <c r="AM375" s="67">
        <f>IF(LEFT(AH375,7)="INVALID",1,0)</f>
        <v/>
      </c>
      <c r="AN375" s="67">
        <f>IF(AND(N375="Clarification required",AI375=1,AJ375=0),1,0)</f>
        <v/>
      </c>
      <c r="AO375" s="67">
        <f>IF(AK375=1,SUM(AK$5:AK375),"")</f>
        <v/>
      </c>
      <c r="AP375" s="67">
        <f>IF(AL375=1,SUM(AL$5:AL375),"")</f>
        <v/>
      </c>
      <c r="AQ375" s="67" t="n">
        <v>0</v>
      </c>
      <c r="AR375" s="67" t="n">
        <v>0</v>
      </c>
      <c r="AS375" s="67" t="n">
        <v>0</v>
      </c>
      <c r="AT375" s="67" t="n">
        <v>1</v>
      </c>
    </row>
    <row r="376" ht="40" customHeight="1">
      <c r="A376" s="63" t="inlineStr">
        <is>
          <t>F11-UPL-01</t>
        </is>
      </c>
      <c r="B376" s="63" t="inlineStr">
        <is>
          <t>F11</t>
        </is>
      </c>
      <c r="C376" s="63">
        <f>Flights!$F$15</f>
        <v/>
      </c>
      <c r="D376" s="64">
        <f>Flights!$D$15</f>
        <v/>
      </c>
      <c r="E376" s="63">
        <f>Flights!$G$15&amp;"-"&amp;Flights!$H$15</f>
        <v/>
      </c>
      <c r="F376" s="63">
        <f>Flights!$K$15</f>
        <v/>
      </c>
      <c r="G376" s="63" t="inlineStr">
        <is>
          <t>UPLIFT</t>
        </is>
      </c>
      <c r="H376" s="63" t="inlineStr">
        <is>
          <t>Physical uplift</t>
        </is>
      </c>
      <c r="I376" s="63" t="inlineStr">
        <is>
          <t>Meal</t>
        </is>
      </c>
      <c r="J376" s="63" t="inlineStr">
        <is>
          <t>Meals physically uplifted on board - quantity vs menu checklist</t>
        </is>
      </c>
      <c r="K376" s="73" t="inlineStr">
        <is>
          <t>Enter expected &amp; actual</t>
        </is>
      </c>
      <c r="L376" s="73" t="inlineStr">
        <is>
          <t>User brief (T-12 hours - physical uplift)</t>
        </is>
      </c>
      <c r="M376" s="73" t="inlineStr"/>
      <c r="N376" s="73" t="inlineStr">
        <is>
          <t>Required</t>
        </is>
      </c>
      <c r="O376" s="73" t="inlineStr">
        <is>
          <t>Confirm on board before departure; completion time must fall inside the uplift window.</t>
        </is>
      </c>
      <c r="P376" s="63" t="inlineStr">
        <is>
          <t>PEN</t>
        </is>
      </c>
      <c r="Q376" s="65">
        <f>Flights!$AF$15</f>
        <v/>
      </c>
      <c r="R376" s="65">
        <f>Q376+(IF(AND(INDEX(TZ_DSTS,MATCH(P376,TZ_STN,0))&lt;&gt;"",Q376&gt;=INDEX(TZ_DSTS,MATCH(P376,TZ_STN,0)),Q376&lt;INDEX(TZ_DSTE,MATCH(P376,TZ_STN,0))),INDEX(TZ_DST,MATCH(P376,TZ_STN,0)),INDEX(TZ_STD,MATCH(P376,TZ_STN,0))))/24</f>
        <v/>
      </c>
      <c r="S376" s="65">
        <f>Q376-UpliftWindowH/24</f>
        <v/>
      </c>
      <c r="T376" s="66" t="n"/>
      <c r="U376" s="66" t="n"/>
      <c r="V376" s="66" t="n"/>
      <c r="W376" s="67" t="n"/>
      <c r="X376" s="66" t="n"/>
      <c r="Y376" s="66" t="n"/>
      <c r="Z376" s="66" t="n"/>
      <c r="AA376" s="66" t="n"/>
      <c r="AB376" s="66" t="n"/>
      <c r="AC376" s="66" t="n"/>
      <c r="AD376" s="72" t="n"/>
      <c r="AE376" s="66" t="n"/>
      <c r="AF376" s="67">
        <f>IF(AND(ISNUMBER(X376),ISNUMBER(Y376)),Y376-X376,"")</f>
        <v/>
      </c>
      <c r="AG376" s="68">
        <f>IF(ISNUMBER(AD376),AD376-(IF(AND(INDEX(TZ_DSTS,MATCH(P376,TZ_STN,0))&lt;&gt;"",(AD376-INDEX(TZ_STD,MATCH(P376,TZ_STN,0))/24)&gt;=INDEX(TZ_DSTS,MATCH(P376,TZ_STN,0)),(AD376-INDEX(TZ_STD,MATCH(P376,TZ_STN,0))/24)&lt;INDEX(TZ_DSTE,MATCH(P376,TZ_STN,0))),INDEX(TZ_DST,MATCH(P376,TZ_STN,0)),INDEX(TZ_STD,MATCH(P376,TZ_STN,0))))/24,"")</f>
        <v/>
      </c>
      <c r="AH376" s="71">
        <f>IF(N376="N/A – rule","N/A – RULE",IF(TRIM(U376)="N/A",IF(AT376=0,"INVALID – N/A not permitted for this mandatory check",IF(AND(TRIM(AC376)&lt;&gt;"",TRIM(AE376)&lt;&gt;"",TRIM(T376)&lt;&gt;""),"N/A – JUSTIFIED","INVALID – N/A needs justification, PIC and verifier")),IF(OR(TRIM(U376)="Pass",TRIM(U376)="Pass after CA"),IF(NOT(ISNUMBER(AD376)),"INVALID – completion time missing",IF(TRIM(T376)="","INVALID – PIC missing",IF(TRIM(Z376)="","INVALID – evidence missing",IF(TRIM(AE376)="","INVALID – verifier missing",IF(AND(AQ376=1,TRIM(W376)=""),"INVALID – batch ID missing",IF(AND(AR376=1,OR(NOT(ISNUMBER(X376)),NOT(ISNUMBER(Y376)))),"INVALID – expected/actual qty missing",IF(IF(AND(TRIM(U376)="Pass",ISNUMBER(AF376)),IF(AF376&lt;&gt;0,"INVALID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recorded/closed","")&lt;&gt;"",IF(AND(TRIM(U376)="Pass",ISNUMBER(AF376)),IF(AF376&lt;&gt;0,"INVALID – qty variance: use Fail or Pass after CA",""),"")&amp;IF(AND(TRIM(U376)="Pass",AB376="Open"),"INVALID – corrective action still open: use Fail, then Pass after CA","")&amp;IF(AND(TRIM(U376)="Pass after CA",OR(TRIM(AA376)="",AB376&lt;&gt;"Closed")),"INVALID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window"),IF(AG376&gt;Flights!$AA$15,"INVALID – completed after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f>
        <v/>
      </c>
      <c r="AI376" s="67">
        <f>IF(OR(AH376="N/A – RULE",AH376="N/A – JUSTIFIED"),0,1)</f>
        <v/>
      </c>
      <c r="AJ376" s="67">
        <f>IF(LEFT(AH376,8)="COMPLETE",1,0)</f>
        <v/>
      </c>
      <c r="AK376" s="67">
        <f>IF(AND(AI376=1,AJ376=0,AsOfUTC&gt;Q376),1,0)</f>
        <v/>
      </c>
      <c r="AL376" s="67">
        <f>IF(AND(AI376=1,OR(TRIM(U376)="Fail",AB376="Open",AND(ISNUMBER(AF376),AF376&lt;&gt;0,TRIM(U376)&lt;&gt;"Pass after CA"))),1,0)</f>
        <v/>
      </c>
      <c r="AM376" s="67">
        <f>IF(LEFT(AH376,7)="INVALID",1,0)</f>
        <v/>
      </c>
      <c r="AN376" s="67">
        <f>IF(AND(N376="Clarification required",AI376=1,AJ376=0),1,0)</f>
        <v/>
      </c>
      <c r="AO376" s="67">
        <f>IF(AK376=1,SUM(AK$5:AK376),"")</f>
        <v/>
      </c>
      <c r="AP376" s="67">
        <f>IF(AL376=1,SUM(AL$5:AL376),"")</f>
        <v/>
      </c>
      <c r="AQ376" s="67" t="n">
        <v>0</v>
      </c>
      <c r="AR376" s="67" t="n">
        <v>1</v>
      </c>
      <c r="AS376" s="67" t="n">
        <v>0</v>
      </c>
      <c r="AT376" s="67" t="n">
        <v>0</v>
      </c>
    </row>
    <row r="377" ht="40" customHeight="1">
      <c r="A377" s="63" t="inlineStr">
        <is>
          <t>F11-UPL-02</t>
        </is>
      </c>
      <c r="B377" s="63" t="inlineStr">
        <is>
          <t>F11</t>
        </is>
      </c>
      <c r="C377" s="63">
        <f>Flights!$F$15</f>
        <v/>
      </c>
      <c r="D377" s="64">
        <f>Flights!$D$15</f>
        <v/>
      </c>
      <c r="E377" s="63">
        <f>Flights!$G$15&amp;"-"&amp;Flights!$H$15</f>
        <v/>
      </c>
      <c r="F377" s="63">
        <f>Flights!$K$15</f>
        <v/>
      </c>
      <c r="G377" s="63" t="inlineStr">
        <is>
          <t>UPLIFT</t>
        </is>
      </c>
      <c r="H377" s="63" t="inlineStr">
        <is>
          <t>Physical uplift</t>
        </is>
      </c>
      <c r="I377" s="63" t="inlineStr">
        <is>
          <t>Equipment</t>
        </is>
      </c>
      <c r="J377" s="63" t="inlineStr">
        <is>
          <t>Equipment physically loaded at GLD positions - quantity &amp; positions</t>
        </is>
      </c>
      <c r="K377" s="73" t="inlineStr">
        <is>
          <t>Enter expected &amp; actual</t>
        </is>
      </c>
      <c r="L377" s="73" t="inlineStr">
        <is>
          <t>User brief (T-12 hours - physical uplift)</t>
        </is>
      </c>
      <c r="M377" s="73" t="inlineStr"/>
      <c r="N377" s="73" t="inlineStr">
        <is>
          <t>Required</t>
        </is>
      </c>
      <c r="O377" s="73" t="inlineStr">
        <is>
          <t>Confirm on board before departure; completion time must fall inside the uplift window.</t>
        </is>
      </c>
      <c r="P377" s="63" t="inlineStr">
        <is>
          <t>PEN</t>
        </is>
      </c>
      <c r="Q377" s="65">
        <f>Flights!$AF$15</f>
        <v/>
      </c>
      <c r="R377" s="65">
        <f>Q377+(IF(AND(INDEX(TZ_DSTS,MATCH(P377,TZ_STN,0))&lt;&gt;"",Q377&gt;=INDEX(TZ_DSTS,MATCH(P377,TZ_STN,0)),Q377&lt;INDEX(TZ_DSTE,MATCH(P377,TZ_STN,0))),INDEX(TZ_DST,MATCH(P377,TZ_STN,0)),INDEX(TZ_STD,MATCH(P377,TZ_STN,0))))/24</f>
        <v/>
      </c>
      <c r="S377" s="65">
        <f>Q377-UpliftWindowH/24</f>
        <v/>
      </c>
      <c r="T377" s="66" t="n"/>
      <c r="U377" s="66" t="n"/>
      <c r="V377" s="66" t="n"/>
      <c r="W377" s="67" t="n"/>
      <c r="X377" s="66" t="n"/>
      <c r="Y377" s="66" t="n"/>
      <c r="Z377" s="66" t="n"/>
      <c r="AA377" s="66" t="n"/>
      <c r="AB377" s="66" t="n"/>
      <c r="AC377" s="66" t="n"/>
      <c r="AD377" s="72" t="n"/>
      <c r="AE377" s="66" t="n"/>
      <c r="AF377" s="67">
        <f>IF(AND(ISNUMBER(X377),ISNUMBER(Y377)),Y377-X377,"")</f>
        <v/>
      </c>
      <c r="AG377" s="68">
        <f>IF(ISNUMBER(AD377),AD377-(IF(AND(INDEX(TZ_DSTS,MATCH(P377,TZ_STN,0))&lt;&gt;"",(AD377-INDEX(TZ_STD,MATCH(P377,TZ_STN,0))/24)&gt;=INDEX(TZ_DSTS,MATCH(P377,TZ_STN,0)),(AD377-INDEX(TZ_STD,MATCH(P377,TZ_STN,0))/24)&lt;INDEX(TZ_DSTE,MATCH(P377,TZ_STN,0))),INDEX(TZ_DST,MATCH(P377,TZ_STN,0)),INDEX(TZ_STD,MATCH(P377,TZ_STN,0))))/24,"")</f>
        <v/>
      </c>
      <c r="AH377" s="71">
        <f>IF(N377="N/A – rule","N/A – RULE",IF(TRIM(U377)="N/A",IF(AT377=0,"INVALID – N/A not permitted for this mandatory check",IF(AND(TRIM(AC377)&lt;&gt;"",TRIM(AE377)&lt;&gt;"",TRIM(T377)&lt;&gt;""),"N/A – JUSTIFIED","INVALID – N/A needs justification, PIC and verifier")),IF(OR(TRIM(U377)="Pass",TRIM(U377)="Pass after CA"),IF(NOT(ISNUMBER(AD377)),"INVALID – completion time missing",IF(TRIM(T377)="","INVALID – PIC missing",IF(TRIM(Z377)="","INVALID – evidence missing",IF(TRIM(AE377)="","INVALID – verifier missing",IF(AND(AQ377=1,TRIM(W377)=""),"INVALID – batch ID missing",IF(AND(AR377=1,OR(NOT(ISNUMBER(X377)),NOT(ISNUMBER(Y377)))),"INVALID – expected/actual qty missing",IF(IF(AND(TRIM(U377)="Pass",ISNUMBER(AF377)),IF(AF377&lt;&gt;0,"INVALID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recorded/closed","")&lt;&gt;"",IF(AND(TRIM(U377)="Pass",ISNUMBER(AF377)),IF(AF377&lt;&gt;0,"INVALID – qty variance: use Fail or Pass after CA",""),"")&amp;IF(AND(TRIM(U377)="Pass",AB377="Open"),"INVALID – corrective action still open: use Fail, then Pass after CA","")&amp;IF(AND(TRIM(U377)="Pass after CA",OR(TRIM(AA377)="",AB377&lt;&gt;"Closed")),"INVALID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window"),IF(AG377&gt;Flights!$AA$15,"INVALID – completed after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f>
        <v/>
      </c>
      <c r="AI377" s="67">
        <f>IF(OR(AH377="N/A – RULE",AH377="N/A – JUSTIFIED"),0,1)</f>
        <v/>
      </c>
      <c r="AJ377" s="67">
        <f>IF(LEFT(AH377,8)="COMPLETE",1,0)</f>
        <v/>
      </c>
      <c r="AK377" s="67">
        <f>IF(AND(AI377=1,AJ377=0,AsOfUTC&gt;Q377),1,0)</f>
        <v/>
      </c>
      <c r="AL377" s="67">
        <f>IF(AND(AI377=1,OR(TRIM(U377)="Fail",AB377="Open",AND(ISNUMBER(AF377),AF377&lt;&gt;0,TRIM(U377)&lt;&gt;"Pass after CA"))),1,0)</f>
        <v/>
      </c>
      <c r="AM377" s="67">
        <f>IF(LEFT(AH377,7)="INVALID",1,0)</f>
        <v/>
      </c>
      <c r="AN377" s="67">
        <f>IF(AND(N377="Clarification required",AI377=1,AJ377=0),1,0)</f>
        <v/>
      </c>
      <c r="AO377" s="67">
        <f>IF(AK377=1,SUM(AK$5:AK377),"")</f>
        <v/>
      </c>
      <c r="AP377" s="67">
        <f>IF(AL377=1,SUM(AL$5:AL377),"")</f>
        <v/>
      </c>
      <c r="AQ377" s="67" t="n">
        <v>0</v>
      </c>
      <c r="AR377" s="67" t="n">
        <v>1</v>
      </c>
      <c r="AS377" s="67" t="n">
        <v>0</v>
      </c>
      <c r="AT377" s="67" t="n">
        <v>0</v>
      </c>
    </row>
    <row r="378" ht="66.5" customHeight="1">
      <c r="A378" s="63" t="inlineStr">
        <is>
          <t>F11-UPL-03</t>
        </is>
      </c>
      <c r="B378" s="63" t="inlineStr">
        <is>
          <t>F11</t>
        </is>
      </c>
      <c r="C378" s="63">
        <f>Flights!$F$15</f>
        <v/>
      </c>
      <c r="D378" s="64">
        <f>Flights!$D$15</f>
        <v/>
      </c>
      <c r="E378" s="63">
        <f>Flights!$G$15&amp;"-"&amp;Flights!$H$15</f>
        <v/>
      </c>
      <c r="F378" s="63">
        <f>Flights!$K$15</f>
        <v/>
      </c>
      <c r="G378" s="63" t="inlineStr">
        <is>
          <t>UPLIFT</t>
        </is>
      </c>
      <c r="H378" s="63" t="inlineStr">
        <is>
          <t>Physical uplift</t>
        </is>
      </c>
      <c r="I378" s="63" t="inlineStr">
        <is>
          <t>Uplift plan</t>
        </is>
      </c>
      <c r="J378" s="63" t="inlineStr">
        <is>
          <t>Return catering for MH1149 physically loaded at KUL on the carrying flight (meals, equipment and all items below)</t>
        </is>
      </c>
      <c r="K378" s="73" t="inlineStr">
        <is>
          <t>Items: meals / refreshment, equipment, Seat pillow (EY). Quantities as per menu checklist, GLD and Requirements</t>
        </is>
      </c>
      <c r="L378" s="73" t="inlineStr">
        <is>
          <t>User brief (physical uplift) + CATERING UPLIFT STN (KUL only)</t>
        </is>
      </c>
      <c r="M378" s="73" t="inlineStr"/>
      <c r="N378" s="73" t="inlineStr">
        <is>
          <t>Required</t>
        </is>
      </c>
      <c r="O378" s="73" t="inlineStr">
        <is>
          <t>Loading happens at KUL, so it is confirmed at KUL inside the uplift window before the carrying flight's KUL departure (Flights AX). The on-board lines below are then re-checked at the departure station.</t>
        </is>
      </c>
      <c r="P378" s="63" t="inlineStr">
        <is>
          <t>KUL</t>
        </is>
      </c>
      <c r="Q378" s="65">
        <f>Flights!$AY$15+UpliftWindowH/24</f>
        <v/>
      </c>
      <c r="R378" s="65">
        <f>Q378+(IF(AND(INDEX(TZ_DSTS,MATCH(P378,TZ_STN,0))&lt;&gt;"",Q378&gt;=INDEX(TZ_DSTS,MATCH(P378,TZ_STN,0)),Q378&lt;INDEX(TZ_DSTE,MATCH(P378,TZ_STN,0))),INDEX(TZ_DST,MATCH(P378,TZ_STN,0)),INDEX(TZ_STD,MATCH(P378,TZ_STN,0))))/24</f>
        <v/>
      </c>
      <c r="S378" s="65">
        <f>Q378-UpliftWindowH/24</f>
        <v/>
      </c>
      <c r="T378" s="66" t="n"/>
      <c r="U378" s="66" t="n"/>
      <c r="V378" s="66" t="n"/>
      <c r="W378" s="67" t="n"/>
      <c r="X378" s="66" t="n"/>
      <c r="Y378" s="66" t="n"/>
      <c r="Z378" s="66" t="n"/>
      <c r="AA378" s="66" t="n"/>
      <c r="AB378" s="66" t="n"/>
      <c r="AC378" s="66" t="n"/>
      <c r="AD378" s="72" t="n"/>
      <c r="AE378" s="66" t="n"/>
      <c r="AF378" s="67">
        <f>IF(AND(ISNUMBER(X378),ISNUMBER(Y378)),Y378-X378,"")</f>
        <v/>
      </c>
      <c r="AG378" s="68">
        <f>IF(ISNUMBER(AD378),AD378-(IF(AND(INDEX(TZ_DSTS,MATCH(P378,TZ_STN,0))&lt;&gt;"",(AD378-INDEX(TZ_STD,MATCH(P378,TZ_STN,0))/24)&gt;=INDEX(TZ_DSTS,MATCH(P378,TZ_STN,0)),(AD378-INDEX(TZ_STD,MATCH(P378,TZ_STN,0))/24)&lt;INDEX(TZ_DSTE,MATCH(P378,TZ_STN,0))),INDEX(TZ_DST,MATCH(P378,TZ_STN,0)),INDEX(TZ_STD,MATCH(P378,TZ_STN,0))))/24,"")</f>
        <v/>
      </c>
      <c r="AH378" s="71">
        <f>IF(N378="N/A – rule","N/A – RULE",IF(TRIM(U378)="N/A",IF(AT378=0,"INVALID – N/A not permitted for this mandatory check",IF(AND(TRIM(AC378)&lt;&gt;"",TRIM(AE378)&lt;&gt;"",TRIM(T378)&lt;&gt;""),"N/A – JUSTIFIED","INVALID – N/A needs justification, PIC and verifier")),IF(OR(TRIM(U378)="Pass",TRIM(U378)="Pass after CA"),IF(NOT(ISNUMBER(AD378)),"INVALID – completion time missing",IF(TRIM(T378)="","INVALID – PIC missing",IF(TRIM(Z378)="","INVALID – evidence missing",IF(TRIM(AE378)="","INVALID – verifier missing",IF(AND(AQ378=1,TRIM(W378)=""),"INVALID – batch ID missing",IF(AND(AR378=1,OR(NOT(ISNUMBER(X378)),NOT(ISNUMBER(Y378)))),"INVALID – expected/actual qty missing",IF(IF(AND(TRIM(U378)="Pass",ISNUMBER(AF378)),IF(AF378&lt;&gt;0,"INVALID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recorded/closed","")&lt;&gt;"",IF(AND(TRIM(U378)="Pass",ISNUMBER(AF378)),IF(AF378&lt;&gt;0,"INVALID – qty variance: use Fail or Pass after CA",""),"")&amp;IF(AND(TRIM(U378)="Pass",AB378="Open"),"INVALID – corrective action still open: use Fail, then Pass after CA","")&amp;IF(AND(TRIM(U378)="Pass after CA",OR(TRIM(AA378)="",AB378&lt;&gt;"Closed")),"INVALID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window"),IF(AG378&gt;Flights!$AA$15,"INVALID – completed after departure (cannot establish readiness)",IF(AND(H378="Physical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f>
        <v/>
      </c>
      <c r="AI378" s="67">
        <f>IF(OR(AH378="N/A – RULE",AH378="N/A – JUSTIFIED"),0,1)</f>
        <v/>
      </c>
      <c r="AJ378" s="67">
        <f>IF(LEFT(AH378,8)="COMPLETE",1,0)</f>
        <v/>
      </c>
      <c r="AK378" s="67">
        <f>IF(AND(AI378=1,AJ378=0,AsOfUTC&gt;Q378),1,0)</f>
        <v/>
      </c>
      <c r="AL378" s="67">
        <f>IF(AND(AI378=1,OR(TRIM(U378)="Fail",AB378="Open",AND(ISNUMBER(AF378),AF378&lt;&gt;0,TRIM(U378)&lt;&gt;"Pass after CA"))),1,0)</f>
        <v/>
      </c>
      <c r="AM378" s="67">
        <f>IF(LEFT(AH378,7)="INVALID",1,0)</f>
        <v/>
      </c>
      <c r="AN378" s="67">
        <f>IF(AND(N378="Clarification required",AI378=1,AJ378=0),1,0)</f>
        <v/>
      </c>
      <c r="AO378" s="67">
        <f>IF(AK378=1,SUM(AK$5:AK378),"")</f>
        <v/>
      </c>
      <c r="AP378" s="67">
        <f>IF(AL378=1,SUM(AL$5:AL378),"")</f>
        <v/>
      </c>
      <c r="AQ378" s="67" t="n">
        <v>0</v>
      </c>
      <c r="AR378" s="67" t="n">
        <v>0</v>
      </c>
      <c r="AS378" s="67" t="n">
        <v>0</v>
      </c>
      <c r="AT378" s="67" t="n">
        <v>0</v>
      </c>
    </row>
    <row r="379" ht="40" customHeight="1">
      <c r="A379" s="63" t="inlineStr">
        <is>
          <t>F11-UPL-04</t>
        </is>
      </c>
      <c r="B379" s="63" t="inlineStr">
        <is>
          <t>F11</t>
        </is>
      </c>
      <c r="C379" s="63">
        <f>Flights!$F$15</f>
        <v/>
      </c>
      <c r="D379" s="64">
        <f>Flights!$D$15</f>
        <v/>
      </c>
      <c r="E379" s="63">
        <f>Flights!$G$15&amp;"-"&amp;Flights!$H$15</f>
        <v/>
      </c>
      <c r="F379" s="63">
        <f>Flights!$K$15</f>
        <v/>
      </c>
      <c r="G379" s="63" t="inlineStr">
        <is>
          <t>UPLIFT</t>
        </is>
      </c>
      <c r="H379" s="63" t="inlineStr">
        <is>
          <t>Physical uplift</t>
        </is>
      </c>
      <c r="I379" s="63" t="inlineStr">
        <is>
          <t>Seat Linen</t>
        </is>
      </c>
      <c r="J379" s="63" t="inlineStr">
        <is>
          <t>Seat pillow (EY) - on board</t>
        </is>
      </c>
      <c r="K379" s="73" t="inlineStr">
        <is>
          <t>Available 100% (ticked in reference)</t>
        </is>
      </c>
      <c r="L379" s="73" t="inlineStr">
        <is>
          <t>STD UPLIFT INFORMATION.xlsx &gt; SEAT LINEN!I62</t>
        </is>
      </c>
      <c r="M379" s="73" t="inlineStr">
        <is>
          <t>Not stated in reference</t>
        </is>
      </c>
      <c r="N379" s="73" t="inlineStr">
        <is>
          <t>Required</t>
        </is>
      </c>
      <c r="O379" s="73" t="inlineStr"/>
      <c r="P379" s="63" t="inlineStr">
        <is>
          <t>PEN</t>
        </is>
      </c>
      <c r="Q379" s="65">
        <f>Flights!$AF$15</f>
        <v/>
      </c>
      <c r="R379" s="65">
        <f>Q379+(IF(AND(INDEX(TZ_DSTS,MATCH(P379,TZ_STN,0))&lt;&gt;"",Q379&gt;=INDEX(TZ_DSTS,MATCH(P379,TZ_STN,0)),Q379&lt;INDEX(TZ_DSTE,MATCH(P379,TZ_STN,0))),INDEX(TZ_DST,MATCH(P379,TZ_STN,0)),INDEX(TZ_STD,MATCH(P379,TZ_STN,0))))/24</f>
        <v/>
      </c>
      <c r="S379" s="65">
        <f>Q379-UpliftWindowH/24</f>
        <v/>
      </c>
      <c r="T379" s="66" t="n"/>
      <c r="U379" s="66" t="n"/>
      <c r="V379" s="66" t="n"/>
      <c r="W379" s="67" t="n"/>
      <c r="X379" s="66" t="n"/>
      <c r="Y379" s="66" t="n"/>
      <c r="Z379" s="66" t="n"/>
      <c r="AA379" s="66" t="n"/>
      <c r="AB379" s="66" t="n"/>
      <c r="AC379" s="66" t="n"/>
      <c r="AD379" s="72" t="n"/>
      <c r="AE379" s="66" t="n"/>
      <c r="AF379" s="67">
        <f>IF(AND(ISNUMBER(X379),ISNUMBER(Y379)),Y379-X379,"")</f>
        <v/>
      </c>
      <c r="AG379" s="68">
        <f>IF(ISNUMBER(AD379),AD379-(IF(AND(INDEX(TZ_DSTS,MATCH(P379,TZ_STN,0))&lt;&gt;"",(AD379-INDEX(TZ_STD,MATCH(P379,TZ_STN,0))/24)&gt;=INDEX(TZ_DSTS,MATCH(P379,TZ_STN,0)),(AD379-INDEX(TZ_STD,MATCH(P379,TZ_STN,0))/24)&lt;INDEX(TZ_DSTE,MATCH(P379,TZ_STN,0))),INDEX(TZ_DST,MATCH(P379,TZ_STN,0)),INDEX(TZ_STD,MATCH(P379,TZ_STN,0))))/24,"")</f>
        <v/>
      </c>
      <c r="AH379" s="71">
        <f>IF(N379="N/A – rule","N/A – RULE",IF(TRIM(U379)="N/A",IF(AT379=0,"INVALID – N/A not permitted for this mandatory check",IF(AND(TRIM(AC379)&lt;&gt;"",TRIM(AE379)&lt;&gt;"",TRIM(T379)&lt;&gt;""),"N/A – JUSTIFIED","INVALID – N/A needs justification, PIC and verifier")),IF(OR(TRIM(U379)="Pass",TRIM(U379)="Pass after CA"),IF(NOT(ISNUMBER(AD379)),"INVALID – completion time missing",IF(TRIM(T379)="","INVALID – PIC missing",IF(TRIM(Z379)="","INVALID – evidence missing",IF(TRIM(AE379)="","INVALID – verifier missing",IF(AND(AQ379=1,TRIM(W379)=""),"INVALID – batch ID missing",IF(AND(AR379=1,OR(NOT(ISNUMBER(X379)),NOT(ISNUMBER(Y379)))),"INVALID – expected/actual qty missing",IF(IF(AND(TRIM(U379)="Pass",ISNUMBER(AF379)),IF(AF379&lt;&gt;0,"INVALID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recorded/closed","")&lt;&gt;"",IF(AND(TRIM(U379)="Pass",ISNUMBER(AF379)),IF(AF379&lt;&gt;0,"INVALID – qty variance: use Fail or Pass after CA",""),"")&amp;IF(AND(TRIM(U379)="Pass",AB379="Open"),"INVALID – corrective action still open: use Fail, then Pass after CA","")&amp;IF(AND(TRIM(U379)="Pass after CA",OR(TRIM(AA379)="",AB379&lt;&gt;"Closed")),"INVALID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window"),IF(AG379&gt;Flights!$AA$15,"INVALID – completed after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f>
        <v/>
      </c>
      <c r="AI379" s="67">
        <f>IF(OR(AH379="N/A – RULE",AH379="N/A – JUSTIFIED"),0,1)</f>
        <v/>
      </c>
      <c r="AJ379" s="67">
        <f>IF(LEFT(AH379,8)="COMPLETE",1,0)</f>
        <v/>
      </c>
      <c r="AK379" s="67">
        <f>IF(AND(AI379=1,AJ379=0,AsOfUTC&gt;Q379),1,0)</f>
        <v/>
      </c>
      <c r="AL379" s="67">
        <f>IF(AND(AI379=1,OR(TRIM(U379)="Fail",AB379="Open",AND(ISNUMBER(AF379),AF379&lt;&gt;0,TRIM(U379)&lt;&gt;"Pass after CA"))),1,0)</f>
        <v/>
      </c>
      <c r="AM379" s="67">
        <f>IF(LEFT(AH379,7)="INVALID",1,0)</f>
        <v/>
      </c>
      <c r="AN379" s="67">
        <f>IF(AND(N379="Clarification required",AI379=1,AJ379=0),1,0)</f>
        <v/>
      </c>
      <c r="AO379" s="67">
        <f>IF(AK379=1,SUM(AK$5:AK379),"")</f>
        <v/>
      </c>
      <c r="AP379" s="67">
        <f>IF(AL379=1,SUM(AL$5:AL379),"")</f>
        <v/>
      </c>
      <c r="AQ379" s="67" t="n">
        <v>0</v>
      </c>
      <c r="AR379" s="67" t="n">
        <v>0</v>
      </c>
      <c r="AS379" s="67" t="n">
        <v>0</v>
      </c>
      <c r="AT379" s="67" t="n">
        <v>1</v>
      </c>
    </row>
    <row r="380" ht="40" customHeight="1">
      <c r="A380" s="63" t="inlineStr">
        <is>
          <t>F12-T7-01</t>
        </is>
      </c>
      <c r="B380" s="63" t="inlineStr">
        <is>
          <t>F12</t>
        </is>
      </c>
      <c r="C380" s="63">
        <f>Flights!$F$16</f>
        <v/>
      </c>
      <c r="D380" s="64">
        <f>Flights!$D$16</f>
        <v/>
      </c>
      <c r="E380" s="63">
        <f>Flights!$G$16&amp;"-"&amp;Flights!$H$16</f>
        <v/>
      </c>
      <c r="F380" s="63">
        <f>Flights!$K$16</f>
        <v/>
      </c>
      <c r="G380" s="63" t="inlineStr">
        <is>
          <t>T-7D</t>
        </is>
      </c>
      <c r="H380" s="63" t="inlineStr">
        <is>
          <t>Preparation</t>
        </is>
      </c>
      <c r="I380" s="63" t="inlineStr">
        <is>
          <t>Meal</t>
        </is>
      </c>
      <c r="J380" s="63" t="inlineStr">
        <is>
          <t>Meal sensory testing completed for this flight's menu cycle (assessed class)</t>
        </is>
      </c>
      <c r="K380" s="73" t="inlineStr">
        <is>
          <t>Record panel result / score in Result</t>
        </is>
      </c>
      <c r="L380" s="73" t="inlineStr">
        <is>
          <t>User brief (T-7 days)</t>
        </is>
      </c>
      <c r="M380" s="73" t="inlineStr"/>
      <c r="N380" s="73" t="inlineStr">
        <is>
          <t>Required</t>
        </is>
      </c>
      <c r="O380" s="73" t="inlineStr"/>
      <c r="P380" s="63" t="inlineStr">
        <is>
          <t>KUL</t>
        </is>
      </c>
      <c r="Q380" s="65">
        <f>Flights!$AC$16</f>
        <v/>
      </c>
      <c r="R380" s="65">
        <f>Q380+(IF(AND(INDEX(TZ_DSTS,MATCH(P380,TZ_STN,0))&lt;&gt;"",Q380&gt;=INDEX(TZ_DSTS,MATCH(P380,TZ_STN,0)),Q380&lt;INDEX(TZ_DSTE,MATCH(P380,TZ_STN,0))),INDEX(TZ_DST,MATCH(P380,TZ_STN,0)),INDEX(TZ_STD,MATCH(P380,TZ_STN,0))))/24</f>
        <v/>
      </c>
      <c r="S380" s="65" t="inlineStr"/>
      <c r="T380" s="66" t="n"/>
      <c r="U380" s="66" t="n"/>
      <c r="V380" s="66" t="n"/>
      <c r="W380" s="67" t="n"/>
      <c r="X380" s="66" t="n"/>
      <c r="Y380" s="66" t="n"/>
      <c r="Z380" s="66" t="n"/>
      <c r="AA380" s="66" t="n"/>
      <c r="AB380" s="66" t="n"/>
      <c r="AC380" s="66" t="n"/>
      <c r="AD380" s="72" t="n"/>
      <c r="AE380" s="66" t="n"/>
      <c r="AF380" s="67">
        <f>IF(AND(ISNUMBER(X380),ISNUMBER(Y380)),Y380-X380,"")</f>
        <v/>
      </c>
      <c r="AG380" s="68">
        <f>IF(ISNUMBER(AD380),AD380-(IF(AND(INDEX(TZ_DSTS,MATCH(P380,TZ_STN,0))&lt;&gt;"",(AD380-INDEX(TZ_STD,MATCH(P380,TZ_STN,0))/24)&gt;=INDEX(TZ_DSTS,MATCH(P380,TZ_STN,0)),(AD380-INDEX(TZ_STD,MATCH(P380,TZ_STN,0))/24)&lt;INDEX(TZ_DSTE,MATCH(P380,TZ_STN,0))),INDEX(TZ_DST,MATCH(P380,TZ_STN,0)),INDEX(TZ_STD,MATCH(P380,TZ_STN,0))))/24,"")</f>
        <v/>
      </c>
      <c r="AH380" s="71">
        <f>IF(N380="N/A – rule","N/A – RULE",IF(TRIM(U380)="N/A",IF(AT380=0,"INVALID – N/A not permitted for this mandatory check",IF(AND(TRIM(AC380)&lt;&gt;"",TRIM(AE380)&lt;&gt;"",TRIM(T380)&lt;&gt;""),"N/A – JUSTIFIED","INVALID – N/A needs justification, PIC and verifier")),IF(OR(TRIM(U380)="Pass",TRIM(U380)="Pass after CA"),IF(NOT(ISNUMBER(AD380)),"INVALID – completion time missing",IF(TRIM(T380)="","INVALID – PIC missing",IF(TRIM(Z380)="","INVALID – evidence missing",IF(TRIM(AE380)="","INVALID – verifier missing",IF(AND(AQ380=1,TRIM(W380)=""),"INVALID – batch ID missing",IF(AND(AR380=1,OR(NOT(ISNUMBER(X380)),NOT(ISNUMBER(Y380)))),"INVALID – expected/actual qty missing",IF(IF(AND(TRIM(U380)="Pass",ISNUMBER(AF380)),IF(AF380&lt;&gt;0,"INVALID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recorded/closed","")&lt;&gt;"",IF(AND(TRIM(U380)="Pass",ISNUMBER(AF380)),IF(AF380&lt;&gt;0,"INVALID – qty variance: use Fail or Pass after CA",""),"")&amp;IF(AND(TRIM(U380)="Pass",AB380="Open"),"INVALID – corrective action still open: use Fail, then Pass after CA","")&amp;IF(AND(TRIM(U380)="Pass after CA",OR(TRIM(AA380)="",AB380&lt;&gt;"Closed")),"INVALID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window"),IF(AG380&gt;Flights!$AA$16,"INVALID – completed after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f>
        <v/>
      </c>
      <c r="AI380" s="67">
        <f>IF(OR(AH380="N/A – RULE",AH380="N/A – JUSTIFIED"),0,1)</f>
        <v/>
      </c>
      <c r="AJ380" s="67">
        <f>IF(LEFT(AH380,8)="COMPLETE",1,0)</f>
        <v/>
      </c>
      <c r="AK380" s="67">
        <f>IF(AND(AI380=1,AJ380=0,AsOfUTC&gt;Q380),1,0)</f>
        <v/>
      </c>
      <c r="AL380" s="67">
        <f>IF(AND(AI380=1,OR(TRIM(U380)="Fail",AB380="Open",AND(ISNUMBER(AF380),AF380&lt;&gt;0,TRIM(U380)&lt;&gt;"Pass after CA"))),1,0)</f>
        <v/>
      </c>
      <c r="AM380" s="67">
        <f>IF(LEFT(AH380,7)="INVALID",1,0)</f>
        <v/>
      </c>
      <c r="AN380" s="67">
        <f>IF(AND(N380="Clarification required",AI380=1,AJ380=0),1,0)</f>
        <v/>
      </c>
      <c r="AO380" s="67">
        <f>IF(AK380=1,SUM(AK$5:AK380),"")</f>
        <v/>
      </c>
      <c r="AP380" s="67">
        <f>IF(AL380=1,SUM(AL$5:AL380),"")</f>
        <v/>
      </c>
      <c r="AQ380" s="67" t="n">
        <v>0</v>
      </c>
      <c r="AR380" s="67" t="n">
        <v>0</v>
      </c>
      <c r="AS380" s="67" t="n">
        <v>0</v>
      </c>
      <c r="AT380" s="67" t="n">
        <v>0</v>
      </c>
    </row>
    <row r="381" ht="40" customHeight="1">
      <c r="A381" s="63" t="inlineStr">
        <is>
          <t>F12-T7-02</t>
        </is>
      </c>
      <c r="B381" s="63" t="inlineStr">
        <is>
          <t>F12</t>
        </is>
      </c>
      <c r="C381" s="63">
        <f>Flights!$F$16</f>
        <v/>
      </c>
      <c r="D381" s="64">
        <f>Flights!$D$16</f>
        <v/>
      </c>
      <c r="E381" s="63">
        <f>Flights!$G$16&amp;"-"&amp;Flights!$H$16</f>
        <v/>
      </c>
      <c r="F381" s="63">
        <f>Flights!$K$16</f>
        <v/>
      </c>
      <c r="G381" s="63" t="inlineStr">
        <is>
          <t>T-7D</t>
        </is>
      </c>
      <c r="H381" s="63" t="inlineStr">
        <is>
          <t>Preparation</t>
        </is>
      </c>
      <c r="I381" s="63" t="inlineStr">
        <is>
          <t>Menu</t>
        </is>
      </c>
      <c r="J381" s="63" t="inlineStr">
        <is>
          <t>Printed menu cards confirmed (content, cycle, language, quantity)</t>
        </is>
      </c>
      <c r="K381" s="73" t="inlineStr">
        <is>
          <t>Menu card matches approved menu for this flight</t>
        </is>
      </c>
      <c r="L381" s="73" t="inlineStr">
        <is>
          <t>User brief (T-7 days)</t>
        </is>
      </c>
      <c r="M381" s="73" t="inlineStr"/>
      <c r="N381" s="73" t="inlineStr">
        <is>
          <t>Required</t>
        </is>
      </c>
      <c r="O381" s="73" t="inlineStr"/>
      <c r="P381" s="63" t="inlineStr">
        <is>
          <t>KUL</t>
        </is>
      </c>
      <c r="Q381" s="65">
        <f>Flights!$AC$16</f>
        <v/>
      </c>
      <c r="R381" s="65">
        <f>Q381+(IF(AND(INDEX(TZ_DSTS,MATCH(P381,TZ_STN,0))&lt;&gt;"",Q381&gt;=INDEX(TZ_DSTS,MATCH(P381,TZ_STN,0)),Q381&lt;INDEX(TZ_DSTE,MATCH(P381,TZ_STN,0))),INDEX(TZ_DST,MATCH(P381,TZ_STN,0)),INDEX(TZ_STD,MATCH(P381,TZ_STN,0))))/24</f>
        <v/>
      </c>
      <c r="S381" s="65" t="inlineStr"/>
      <c r="T381" s="66" t="n"/>
      <c r="U381" s="66" t="n"/>
      <c r="V381" s="66" t="n"/>
      <c r="W381" s="67" t="n"/>
      <c r="X381" s="66" t="n"/>
      <c r="Y381" s="66" t="n"/>
      <c r="Z381" s="66" t="n"/>
      <c r="AA381" s="66" t="n"/>
      <c r="AB381" s="66" t="n"/>
      <c r="AC381" s="66" t="n"/>
      <c r="AD381" s="72" t="n"/>
      <c r="AE381" s="66" t="n"/>
      <c r="AF381" s="67">
        <f>IF(AND(ISNUMBER(X381),ISNUMBER(Y381)),Y381-X381,"")</f>
        <v/>
      </c>
      <c r="AG381" s="68">
        <f>IF(ISNUMBER(AD381),AD381-(IF(AND(INDEX(TZ_DSTS,MATCH(P381,TZ_STN,0))&lt;&gt;"",(AD381-INDEX(TZ_STD,MATCH(P381,TZ_STN,0))/24)&gt;=INDEX(TZ_DSTS,MATCH(P381,TZ_STN,0)),(AD381-INDEX(TZ_STD,MATCH(P381,TZ_STN,0))/24)&lt;INDEX(TZ_DSTE,MATCH(P381,TZ_STN,0))),INDEX(TZ_DST,MATCH(P381,TZ_STN,0)),INDEX(TZ_STD,MATCH(P381,TZ_STN,0))))/24,"")</f>
        <v/>
      </c>
      <c r="AH381" s="71">
        <f>IF(N381="N/A – rule","N/A – RULE",IF(TRIM(U381)="N/A",IF(AT381=0,"INVALID – N/A not permitted for this mandatory check",IF(AND(TRIM(AC381)&lt;&gt;"",TRIM(AE381)&lt;&gt;"",TRIM(T381)&lt;&gt;""),"N/A – JUSTIFIED","INVALID – N/A needs justification, PIC and verifier")),IF(OR(TRIM(U381)="Pass",TRIM(U381)="Pass after CA"),IF(NOT(ISNUMBER(AD381)),"INVALID – completion time missing",IF(TRIM(T381)="","INVALID – PIC missing",IF(TRIM(Z381)="","INVALID – evidence missing",IF(TRIM(AE381)="","INVALID – verifier missing",IF(AND(AQ381=1,TRIM(W381)=""),"INVALID – batch ID missing",IF(AND(AR381=1,OR(NOT(ISNUMBER(X381)),NOT(ISNUMBER(Y381)))),"INVALID – expected/actual qty missing",IF(IF(AND(TRIM(U381)="Pass",ISNUMBER(AF381)),IF(AF381&lt;&gt;0,"INVALID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recorded/closed","")&lt;&gt;"",IF(AND(TRIM(U381)="Pass",ISNUMBER(AF381)),IF(AF381&lt;&gt;0,"INVALID – qty variance: use Fail or Pass after CA",""),"")&amp;IF(AND(TRIM(U381)="Pass",AB381="Open"),"INVALID – corrective action still open: use Fail, then Pass after CA","")&amp;IF(AND(TRIM(U381)="Pass after CA",OR(TRIM(AA381)="",AB381&lt;&gt;"Closed")),"INVALID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window"),IF(AG381&gt;Flights!$AA$16,"INVALID – completed after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f>
        <v/>
      </c>
      <c r="AI381" s="67">
        <f>IF(OR(AH381="N/A – RULE",AH381="N/A – JUSTIFIED"),0,1)</f>
        <v/>
      </c>
      <c r="AJ381" s="67">
        <f>IF(LEFT(AH381,8)="COMPLETE",1,0)</f>
        <v/>
      </c>
      <c r="AK381" s="67">
        <f>IF(AND(AI381=1,AJ381=0,AsOfUTC&gt;Q381),1,0)</f>
        <v/>
      </c>
      <c r="AL381" s="67">
        <f>IF(AND(AI381=1,OR(TRIM(U381)="Fail",AB381="Open",AND(ISNUMBER(AF381),AF381&lt;&gt;0,TRIM(U381)&lt;&gt;"Pass after CA"))),1,0)</f>
        <v/>
      </c>
      <c r="AM381" s="67">
        <f>IF(LEFT(AH381,7)="INVALID",1,0)</f>
        <v/>
      </c>
      <c r="AN381" s="67">
        <f>IF(AND(N381="Clarification required",AI381=1,AJ381=0),1,0)</f>
        <v/>
      </c>
      <c r="AO381" s="67">
        <f>IF(AK381=1,SUM(AK$5:AK381),"")</f>
        <v/>
      </c>
      <c r="AP381" s="67">
        <f>IF(AL381=1,SUM(AL$5:AL381),"")</f>
        <v/>
      </c>
      <c r="AQ381" s="67" t="n">
        <v>0</v>
      </c>
      <c r="AR381" s="67" t="n">
        <v>0</v>
      </c>
      <c r="AS381" s="67" t="n">
        <v>0</v>
      </c>
      <c r="AT381" s="67" t="n">
        <v>1</v>
      </c>
    </row>
    <row r="382" ht="41.5" customHeight="1">
      <c r="A382" s="63" t="inlineStr">
        <is>
          <t>F12-T7-03</t>
        </is>
      </c>
      <c r="B382" s="63" t="inlineStr">
        <is>
          <t>F12</t>
        </is>
      </c>
      <c r="C382" s="63">
        <f>Flights!$F$16</f>
        <v/>
      </c>
      <c r="D382" s="64">
        <f>Flights!$D$16</f>
        <v/>
      </c>
      <c r="E382" s="63">
        <f>Flights!$G$16&amp;"-"&amp;Flights!$H$16</f>
        <v/>
      </c>
      <c r="F382" s="63">
        <f>Flights!$K$16</f>
        <v/>
      </c>
      <c r="G382" s="63" t="inlineStr">
        <is>
          <t>T-7D</t>
        </is>
      </c>
      <c r="H382" s="63" t="inlineStr">
        <is>
          <t>Preparation</t>
        </is>
      </c>
      <c r="I382" s="63" t="inlineStr">
        <is>
          <t>IFE</t>
        </is>
      </c>
      <c r="J382" s="63" t="inlineStr">
        <is>
          <t>Digital menu in IFE confirmed (A339 only)</t>
        </is>
      </c>
      <c r="K382" s="73" t="inlineStr">
        <is>
          <t>Applies when fleet = A339</t>
        </is>
      </c>
      <c r="L382" s="73" t="inlineStr">
        <is>
          <t>User brief (T-7 days)</t>
        </is>
      </c>
      <c r="M382" s="73" t="inlineStr"/>
      <c r="N382" s="73">
        <f>IF(TRIM(Flights!$L$16)="A339","Required","N/A – rule")</f>
        <v/>
      </c>
      <c r="O382" s="73" t="inlineStr">
        <is>
          <t>Digital IFE menu applies to A339 only (user brief). Applicability follows the Fleet cell on Flights.</t>
        </is>
      </c>
      <c r="P382" s="63" t="inlineStr">
        <is>
          <t>KUL</t>
        </is>
      </c>
      <c r="Q382" s="65">
        <f>Flights!$AC$16</f>
        <v/>
      </c>
      <c r="R382" s="65">
        <f>Q382+(IF(AND(INDEX(TZ_DSTS,MATCH(P382,TZ_STN,0))&lt;&gt;"",Q382&gt;=INDEX(TZ_DSTS,MATCH(P382,TZ_STN,0)),Q382&lt;INDEX(TZ_DSTE,MATCH(P382,TZ_STN,0))),INDEX(TZ_DST,MATCH(P382,TZ_STN,0)),INDEX(TZ_STD,MATCH(P382,TZ_STN,0))))/24</f>
        <v/>
      </c>
      <c r="S382" s="65" t="inlineStr"/>
      <c r="T382" s="66" t="n"/>
      <c r="U382" s="66" t="n"/>
      <c r="V382" s="66" t="n"/>
      <c r="W382" s="67" t="n"/>
      <c r="X382" s="66" t="n"/>
      <c r="Y382" s="66" t="n"/>
      <c r="Z382" s="66" t="n"/>
      <c r="AA382" s="66" t="n"/>
      <c r="AB382" s="66" t="n"/>
      <c r="AC382" s="66" t="n"/>
      <c r="AD382" s="72" t="n"/>
      <c r="AE382" s="66" t="n"/>
      <c r="AF382" s="67">
        <f>IF(AND(ISNUMBER(X382),ISNUMBER(Y382)),Y382-X382,"")</f>
        <v/>
      </c>
      <c r="AG382" s="68">
        <f>IF(ISNUMBER(AD382),AD382-(IF(AND(INDEX(TZ_DSTS,MATCH(P382,TZ_STN,0))&lt;&gt;"",(AD382-INDEX(TZ_STD,MATCH(P382,TZ_STN,0))/24)&gt;=INDEX(TZ_DSTS,MATCH(P382,TZ_STN,0)),(AD382-INDEX(TZ_STD,MATCH(P382,TZ_STN,0))/24)&lt;INDEX(TZ_DSTE,MATCH(P382,TZ_STN,0))),INDEX(TZ_DST,MATCH(P382,TZ_STN,0)),INDEX(TZ_STD,MATCH(P382,TZ_STN,0))))/24,"")</f>
        <v/>
      </c>
      <c r="AH382" s="71">
        <f>IF(N382="N/A – rule","N/A – RULE",IF(TRIM(U382)="N/A",IF(AT382=0,"INVALID – N/A not permitted for this mandatory check",IF(AND(TRIM(AC382)&lt;&gt;"",TRIM(AE382)&lt;&gt;"",TRIM(T382)&lt;&gt;""),"N/A – JUSTIFIED","INVALID – N/A needs justification, PIC and verifier")),IF(OR(TRIM(U382)="Pass",TRIM(U382)="Pass after CA"),IF(NOT(ISNUMBER(AD382)),"INVALID – completion time missing",IF(TRIM(T382)="","INVALID – PIC missing",IF(TRIM(Z382)="","INVALID – evidence missing",IF(TRIM(AE382)="","INVALID – verifier missing",IF(AND(AQ382=1,TRIM(W382)=""),"INVALID – batch ID missing",IF(AND(AR382=1,OR(NOT(ISNUMBER(X382)),NOT(ISNUMBER(Y382)))),"INVALID – expected/actual qty missing",IF(IF(AND(TRIM(U382)="Pass",ISNUMBER(AF382)),IF(AF382&lt;&gt;0,"INVALID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recorded/closed","")&lt;&gt;"",IF(AND(TRIM(U382)="Pass",ISNUMBER(AF382)),IF(AF382&lt;&gt;0,"INVALID – qty variance: use Fail or Pass after CA",""),"")&amp;IF(AND(TRIM(U382)="Pass",AB382="Open"),"INVALID – corrective action still open: use Fail, then Pass after CA","")&amp;IF(AND(TRIM(U382)="Pass after CA",OR(TRIM(AA382)="",AB382&lt;&gt;"Closed")),"INVALID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window"),IF(AG382&gt;Flights!$AA$16,"INVALID – completed after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f>
        <v/>
      </c>
      <c r="AI382" s="67">
        <f>IF(OR(AH382="N/A – RULE",AH382="N/A – JUSTIFIED"),0,1)</f>
        <v/>
      </c>
      <c r="AJ382" s="67">
        <f>IF(LEFT(AH382,8)="COMPLETE",1,0)</f>
        <v/>
      </c>
      <c r="AK382" s="67">
        <f>IF(AND(AI382=1,AJ382=0,AsOfUTC&gt;Q382),1,0)</f>
        <v/>
      </c>
      <c r="AL382" s="67">
        <f>IF(AND(AI382=1,OR(TRIM(U382)="Fail",AB382="Open",AND(ISNUMBER(AF382),AF382&lt;&gt;0,TRIM(U382)&lt;&gt;"Pass after CA"))),1,0)</f>
        <v/>
      </c>
      <c r="AM382" s="67">
        <f>IF(LEFT(AH382,7)="INVALID",1,0)</f>
        <v/>
      </c>
      <c r="AN382" s="67">
        <f>IF(AND(N382="Clarification required",AI382=1,AJ382=0),1,0)</f>
        <v/>
      </c>
      <c r="AO382" s="67">
        <f>IF(AK382=1,SUM(AK$5:AK382),"")</f>
        <v/>
      </c>
      <c r="AP382" s="67">
        <f>IF(AL382=1,SUM(AL$5:AL382),"")</f>
        <v/>
      </c>
      <c r="AQ382" s="67" t="n">
        <v>0</v>
      </c>
      <c r="AR382" s="67" t="n">
        <v>0</v>
      </c>
      <c r="AS382" s="67" t="n">
        <v>0</v>
      </c>
      <c r="AT382" s="67" t="n">
        <v>0</v>
      </c>
    </row>
    <row r="383" ht="40" customHeight="1">
      <c r="A383" s="63" t="inlineStr">
        <is>
          <t>F12-T7-04</t>
        </is>
      </c>
      <c r="B383" s="63" t="inlineStr">
        <is>
          <t>F12</t>
        </is>
      </c>
      <c r="C383" s="63">
        <f>Flights!$F$16</f>
        <v/>
      </c>
      <c r="D383" s="64">
        <f>Flights!$D$16</f>
        <v/>
      </c>
      <c r="E383" s="63">
        <f>Flights!$G$16&amp;"-"&amp;Flights!$H$16</f>
        <v/>
      </c>
      <c r="F383" s="63">
        <f>Flights!$K$16</f>
        <v/>
      </c>
      <c r="G383" s="63" t="inlineStr">
        <is>
          <t>T-7D</t>
        </is>
      </c>
      <c r="H383" s="63" t="inlineStr">
        <is>
          <t>Preparation</t>
        </is>
      </c>
      <c r="I383" s="63" t="inlineStr">
        <is>
          <t>Staffing</t>
        </is>
      </c>
      <c r="J383" s="63" t="inlineStr">
        <is>
          <t>Experienced catering officer assigned to this flight</t>
        </is>
      </c>
      <c r="K383" s="73" t="inlineStr">
        <is>
          <t>Record officer name in Result</t>
        </is>
      </c>
      <c r="L383" s="73" t="inlineStr">
        <is>
          <t>User brief (T-7 days)</t>
        </is>
      </c>
      <c r="M383" s="73" t="inlineStr"/>
      <c r="N383" s="73" t="inlineStr">
        <is>
          <t>Required</t>
        </is>
      </c>
      <c r="O383" s="73" t="inlineStr"/>
      <c r="P383" s="63" t="inlineStr">
        <is>
          <t>KUL</t>
        </is>
      </c>
      <c r="Q383" s="65">
        <f>Flights!$AC$16</f>
        <v/>
      </c>
      <c r="R383" s="65">
        <f>Q383+(IF(AND(INDEX(TZ_DSTS,MATCH(P383,TZ_STN,0))&lt;&gt;"",Q383&gt;=INDEX(TZ_DSTS,MATCH(P383,TZ_STN,0)),Q383&lt;INDEX(TZ_DSTE,MATCH(P383,TZ_STN,0))),INDEX(TZ_DST,MATCH(P383,TZ_STN,0)),INDEX(TZ_STD,MATCH(P383,TZ_STN,0))))/24</f>
        <v/>
      </c>
      <c r="S383" s="65" t="inlineStr"/>
      <c r="T383" s="66" t="n"/>
      <c r="U383" s="66" t="n"/>
      <c r="V383" s="66" t="n"/>
      <c r="W383" s="67" t="n"/>
      <c r="X383" s="66" t="n"/>
      <c r="Y383" s="66" t="n"/>
      <c r="Z383" s="66" t="n"/>
      <c r="AA383" s="66" t="n"/>
      <c r="AB383" s="66" t="n"/>
      <c r="AC383" s="66" t="n"/>
      <c r="AD383" s="72" t="n"/>
      <c r="AE383" s="66" t="n"/>
      <c r="AF383" s="67">
        <f>IF(AND(ISNUMBER(X383),ISNUMBER(Y383)),Y383-X383,"")</f>
        <v/>
      </c>
      <c r="AG383" s="68">
        <f>IF(ISNUMBER(AD383),AD383-(IF(AND(INDEX(TZ_DSTS,MATCH(P383,TZ_STN,0))&lt;&gt;"",(AD383-INDEX(TZ_STD,MATCH(P383,TZ_STN,0))/24)&gt;=INDEX(TZ_DSTS,MATCH(P383,TZ_STN,0)),(AD383-INDEX(TZ_STD,MATCH(P383,TZ_STN,0))/24)&lt;INDEX(TZ_DSTE,MATCH(P383,TZ_STN,0))),INDEX(TZ_DST,MATCH(P383,TZ_STN,0)),INDEX(TZ_STD,MATCH(P383,TZ_STN,0))))/24,"")</f>
        <v/>
      </c>
      <c r="AH383" s="71">
        <f>IF(N383="N/A – rule","N/A – RULE",IF(TRIM(U383)="N/A",IF(AT383=0,"INVALID – N/A not permitted for this mandatory check",IF(AND(TRIM(AC383)&lt;&gt;"",TRIM(AE383)&lt;&gt;"",TRIM(T383)&lt;&gt;""),"N/A – JUSTIFIED","INVALID – N/A needs justification, PIC and verifier")),IF(OR(TRIM(U383)="Pass",TRIM(U383)="Pass after CA"),IF(NOT(ISNUMBER(AD383)),"INVALID – completion time missing",IF(TRIM(T383)="","INVALID – PIC missing",IF(TRIM(Z383)="","INVALID – evidence missing",IF(TRIM(AE383)="","INVALID – verifier missing",IF(AND(AQ383=1,TRIM(W383)=""),"INVALID – batch ID missing",IF(AND(AR383=1,OR(NOT(ISNUMBER(X383)),NOT(ISNUMBER(Y383)))),"INVALID – expected/actual qty missing",IF(IF(AND(TRIM(U383)="Pass",ISNUMBER(AF383)),IF(AF383&lt;&gt;0,"INVALID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recorded/closed","")&lt;&gt;"",IF(AND(TRIM(U383)="Pass",ISNUMBER(AF383)),IF(AF383&lt;&gt;0,"INVALID – qty variance: use Fail or Pass after CA",""),"")&amp;IF(AND(TRIM(U383)="Pass",AB383="Open"),"INVALID – corrective action still open: use Fail, then Pass after CA","")&amp;IF(AND(TRIM(U383)="Pass after CA",OR(TRIM(AA383)="",AB383&lt;&gt;"Closed")),"INVALID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window"),IF(AG383&gt;Flights!$AA$16,"INVALID – completed after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f>
        <v/>
      </c>
      <c r="AI383" s="67">
        <f>IF(OR(AH383="N/A – RULE",AH383="N/A – JUSTIFIED"),0,1)</f>
        <v/>
      </c>
      <c r="AJ383" s="67">
        <f>IF(LEFT(AH383,8)="COMPLETE",1,0)</f>
        <v/>
      </c>
      <c r="AK383" s="67">
        <f>IF(AND(AI383=1,AJ383=0,AsOfUTC&gt;Q383),1,0)</f>
        <v/>
      </c>
      <c r="AL383" s="67">
        <f>IF(AND(AI383=1,OR(TRIM(U383)="Fail",AB383="Open",AND(ISNUMBER(AF383),AF383&lt;&gt;0,TRIM(U383)&lt;&gt;"Pass after CA"))),1,0)</f>
        <v/>
      </c>
      <c r="AM383" s="67">
        <f>IF(LEFT(AH383,7)="INVALID",1,0)</f>
        <v/>
      </c>
      <c r="AN383" s="67">
        <f>IF(AND(N383="Clarification required",AI383=1,AJ383=0),1,0)</f>
        <v/>
      </c>
      <c r="AO383" s="67">
        <f>IF(AK383=1,SUM(AK$5:AK383),"")</f>
        <v/>
      </c>
      <c r="AP383" s="67">
        <f>IF(AL383=1,SUM(AL$5:AL383),"")</f>
        <v/>
      </c>
      <c r="AQ383" s="67" t="n">
        <v>0</v>
      </c>
      <c r="AR383" s="67" t="n">
        <v>0</v>
      </c>
      <c r="AS383" s="67" t="n">
        <v>0</v>
      </c>
      <c r="AT383" s="67" t="n">
        <v>0</v>
      </c>
    </row>
    <row r="384" ht="40" customHeight="1">
      <c r="A384" s="63" t="inlineStr">
        <is>
          <t>F12-T7-05</t>
        </is>
      </c>
      <c r="B384" s="63" t="inlineStr">
        <is>
          <t>F12</t>
        </is>
      </c>
      <c r="C384" s="63">
        <f>Flights!$F$16</f>
        <v/>
      </c>
      <c r="D384" s="64">
        <f>Flights!$D$16</f>
        <v/>
      </c>
      <c r="E384" s="63">
        <f>Flights!$G$16&amp;"-"&amp;Flights!$H$16</f>
        <v/>
      </c>
      <c r="F384" s="63">
        <f>Flights!$K$16</f>
        <v/>
      </c>
      <c r="G384" s="63" t="inlineStr">
        <is>
          <t>T-7D</t>
        </is>
      </c>
      <c r="H384" s="63" t="inlineStr">
        <is>
          <t>Preparation</t>
        </is>
      </c>
      <c r="I384" s="63" t="inlineStr">
        <is>
          <t>ISOP</t>
        </is>
      </c>
      <c r="J384" s="63" t="inlineStr">
        <is>
          <t>All latest applicable ISOP revisions communicated to caterer</t>
        </is>
      </c>
      <c r="K384" s="73" t="inlineStr">
        <is>
          <t>List revision numbers in Result (see ISOP register)</t>
        </is>
      </c>
      <c r="L384" s="73" t="inlineStr">
        <is>
          <t>User brief (T-7 days)</t>
        </is>
      </c>
      <c r="M384" s="73" t="inlineStr"/>
      <c r="N384" s="73" t="inlineStr">
        <is>
          <t>Required</t>
        </is>
      </c>
      <c r="O384" s="73" t="inlineStr"/>
      <c r="P384" s="63" t="inlineStr">
        <is>
          <t>KUL</t>
        </is>
      </c>
      <c r="Q384" s="65">
        <f>Flights!$AC$16</f>
        <v/>
      </c>
      <c r="R384" s="65">
        <f>Q384+(IF(AND(INDEX(TZ_DSTS,MATCH(P384,TZ_STN,0))&lt;&gt;"",Q384&gt;=INDEX(TZ_DSTS,MATCH(P384,TZ_STN,0)),Q384&lt;INDEX(TZ_DSTE,MATCH(P384,TZ_STN,0))),INDEX(TZ_DST,MATCH(P384,TZ_STN,0)),INDEX(TZ_STD,MATCH(P384,TZ_STN,0))))/24</f>
        <v/>
      </c>
      <c r="S384" s="65" t="inlineStr"/>
      <c r="T384" s="66" t="n"/>
      <c r="U384" s="66" t="n"/>
      <c r="V384" s="66" t="n"/>
      <c r="W384" s="67" t="n"/>
      <c r="X384" s="66" t="n"/>
      <c r="Y384" s="66" t="n"/>
      <c r="Z384" s="66" t="n"/>
      <c r="AA384" s="66" t="n"/>
      <c r="AB384" s="66" t="n"/>
      <c r="AC384" s="66" t="n"/>
      <c r="AD384" s="72" t="n"/>
      <c r="AE384" s="66" t="n"/>
      <c r="AF384" s="67">
        <f>IF(AND(ISNUMBER(X384),ISNUMBER(Y384)),Y384-X384,"")</f>
        <v/>
      </c>
      <c r="AG384" s="68">
        <f>IF(ISNUMBER(AD384),AD384-(IF(AND(INDEX(TZ_DSTS,MATCH(P384,TZ_STN,0))&lt;&gt;"",(AD384-INDEX(TZ_STD,MATCH(P384,TZ_STN,0))/24)&gt;=INDEX(TZ_DSTS,MATCH(P384,TZ_STN,0)),(AD384-INDEX(TZ_STD,MATCH(P384,TZ_STN,0))/24)&lt;INDEX(TZ_DSTE,MATCH(P384,TZ_STN,0))),INDEX(TZ_DST,MATCH(P384,TZ_STN,0)),INDEX(TZ_STD,MATCH(P384,TZ_STN,0))))/24,"")</f>
        <v/>
      </c>
      <c r="AH384" s="71">
        <f>IF(N384="N/A – rule","N/A – RULE",IF(TRIM(U384)="N/A",IF(AT384=0,"INVALID – N/A not permitted for this mandatory check",IF(AND(TRIM(AC384)&lt;&gt;"",TRIM(AE384)&lt;&gt;"",TRIM(T384)&lt;&gt;""),"N/A – JUSTIFIED","INVALID – N/A needs justification, PIC and verifier")),IF(OR(TRIM(U384)="Pass",TRIM(U384)="Pass after CA"),IF(NOT(ISNUMBER(AD384)),"INVALID – completion time missing",IF(TRIM(T384)="","INVALID – PIC missing",IF(TRIM(Z384)="","INVALID – evidence missing",IF(TRIM(AE384)="","INVALID – verifier missing",IF(AND(AQ384=1,TRIM(W384)=""),"INVALID – batch ID missing",IF(AND(AR384=1,OR(NOT(ISNUMBER(X384)),NOT(ISNUMBER(Y384)))),"INVALID – expected/actual qty missing",IF(IF(AND(TRIM(U384)="Pass",ISNUMBER(AF384)),IF(AF384&lt;&gt;0,"INVALID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recorded/closed","")&lt;&gt;"",IF(AND(TRIM(U384)="Pass",ISNUMBER(AF384)),IF(AF384&lt;&gt;0,"INVALID – qty variance: use Fail or Pass after CA",""),"")&amp;IF(AND(TRIM(U384)="Pass",AB384="Open"),"INVALID – corrective action still open: use Fail, then Pass after CA","")&amp;IF(AND(TRIM(U384)="Pass after CA",OR(TRIM(AA384)="",AB384&lt;&gt;"Closed")),"INVALID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window"),IF(AG384&gt;Flights!$AA$16,"INVALID – completed after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f>
        <v/>
      </c>
      <c r="AI384" s="67">
        <f>IF(OR(AH384="N/A – RULE",AH384="N/A – JUSTIFIED"),0,1)</f>
        <v/>
      </c>
      <c r="AJ384" s="67">
        <f>IF(LEFT(AH384,8)="COMPLETE",1,0)</f>
        <v/>
      </c>
      <c r="AK384" s="67">
        <f>IF(AND(AI384=1,AJ384=0,AsOfUTC&gt;Q384),1,0)</f>
        <v/>
      </c>
      <c r="AL384" s="67">
        <f>IF(AND(AI384=1,OR(TRIM(U384)="Fail",AB384="Open",AND(ISNUMBER(AF384),AF384&lt;&gt;0,TRIM(U384)&lt;&gt;"Pass after CA"))),1,0)</f>
        <v/>
      </c>
      <c r="AM384" s="67">
        <f>IF(LEFT(AH384,7)="INVALID",1,0)</f>
        <v/>
      </c>
      <c r="AN384" s="67">
        <f>IF(AND(N384="Clarification required",AI384=1,AJ384=0),1,0)</f>
        <v/>
      </c>
      <c r="AO384" s="67">
        <f>IF(AK384=1,SUM(AK$5:AK384),"")</f>
        <v/>
      </c>
      <c r="AP384" s="67">
        <f>IF(AL384=1,SUM(AL$5:AL384),"")</f>
        <v/>
      </c>
      <c r="AQ384" s="67" t="n">
        <v>0</v>
      </c>
      <c r="AR384" s="67" t="n">
        <v>0</v>
      </c>
      <c r="AS384" s="67" t="n">
        <v>0</v>
      </c>
      <c r="AT384" s="67" t="n">
        <v>0</v>
      </c>
    </row>
    <row r="385" ht="40" customHeight="1">
      <c r="A385" s="63" t="inlineStr">
        <is>
          <t>F12-T7-06</t>
        </is>
      </c>
      <c r="B385" s="63" t="inlineStr">
        <is>
          <t>F12</t>
        </is>
      </c>
      <c r="C385" s="63">
        <f>Flights!$F$16</f>
        <v/>
      </c>
      <c r="D385" s="64">
        <f>Flights!$D$16</f>
        <v/>
      </c>
      <c r="E385" s="63">
        <f>Flights!$G$16&amp;"-"&amp;Flights!$H$16</f>
        <v/>
      </c>
      <c r="F385" s="63">
        <f>Flights!$K$16</f>
        <v/>
      </c>
      <c r="G385" s="63" t="inlineStr">
        <is>
          <t>T-7D</t>
        </is>
      </c>
      <c r="H385" s="63" t="inlineStr">
        <is>
          <t>Preparation</t>
        </is>
      </c>
      <c r="I385" s="63" t="inlineStr">
        <is>
          <t>ISOP</t>
        </is>
      </c>
      <c r="J385" s="63" t="inlineStr">
        <is>
          <t>Caterer acknowledgement of ISOP revisions recorded</t>
        </is>
      </c>
      <c r="K385" s="73" t="inlineStr">
        <is>
          <t>Record acknowledgement ref in Evidence</t>
        </is>
      </c>
      <c r="L385" s="73" t="inlineStr">
        <is>
          <t>User brief (T-7 days)</t>
        </is>
      </c>
      <c r="M385" s="73" t="inlineStr"/>
      <c r="N385" s="73" t="inlineStr">
        <is>
          <t>Required</t>
        </is>
      </c>
      <c r="O385" s="73" t="inlineStr"/>
      <c r="P385" s="63" t="inlineStr">
        <is>
          <t>KUL</t>
        </is>
      </c>
      <c r="Q385" s="65">
        <f>Flights!$AC$16</f>
        <v/>
      </c>
      <c r="R385" s="65">
        <f>Q385+(IF(AND(INDEX(TZ_DSTS,MATCH(P385,TZ_STN,0))&lt;&gt;"",Q385&gt;=INDEX(TZ_DSTS,MATCH(P385,TZ_STN,0)),Q385&lt;INDEX(TZ_DSTE,MATCH(P385,TZ_STN,0))),INDEX(TZ_DST,MATCH(P385,TZ_STN,0)),INDEX(TZ_STD,MATCH(P385,TZ_STN,0))))/24</f>
        <v/>
      </c>
      <c r="S385" s="65" t="inlineStr"/>
      <c r="T385" s="66" t="n"/>
      <c r="U385" s="66" t="n"/>
      <c r="V385" s="66" t="n"/>
      <c r="W385" s="67" t="n"/>
      <c r="X385" s="66" t="n"/>
      <c r="Y385" s="66" t="n"/>
      <c r="Z385" s="66" t="n"/>
      <c r="AA385" s="66" t="n"/>
      <c r="AB385" s="66" t="n"/>
      <c r="AC385" s="66" t="n"/>
      <c r="AD385" s="72" t="n"/>
      <c r="AE385" s="66" t="n"/>
      <c r="AF385" s="67">
        <f>IF(AND(ISNUMBER(X385),ISNUMBER(Y385)),Y385-X385,"")</f>
        <v/>
      </c>
      <c r="AG385" s="68">
        <f>IF(ISNUMBER(AD385),AD385-(IF(AND(INDEX(TZ_DSTS,MATCH(P385,TZ_STN,0))&lt;&gt;"",(AD385-INDEX(TZ_STD,MATCH(P385,TZ_STN,0))/24)&gt;=INDEX(TZ_DSTS,MATCH(P385,TZ_STN,0)),(AD385-INDEX(TZ_STD,MATCH(P385,TZ_STN,0))/24)&lt;INDEX(TZ_DSTE,MATCH(P385,TZ_STN,0))),INDEX(TZ_DST,MATCH(P385,TZ_STN,0)),INDEX(TZ_STD,MATCH(P385,TZ_STN,0))))/24,"")</f>
        <v/>
      </c>
      <c r="AH385" s="71">
        <f>IF(N385="N/A – rule","N/A – RULE",IF(TRIM(U385)="N/A",IF(AT385=0,"INVALID – N/A not permitted for this mandatory check",IF(AND(TRIM(AC385)&lt;&gt;"",TRIM(AE385)&lt;&gt;"",TRIM(T385)&lt;&gt;""),"N/A – JUSTIFIED","INVALID – N/A needs justification, PIC and verifier")),IF(OR(TRIM(U385)="Pass",TRIM(U385)="Pass after CA"),IF(NOT(ISNUMBER(AD385)),"INVALID – completion time missing",IF(TRIM(T385)="","INVALID – PIC missing",IF(TRIM(Z385)="","INVALID – evidence missing",IF(TRIM(AE385)="","INVALID – verifier missing",IF(AND(AQ385=1,TRIM(W385)=""),"INVALID – batch ID missing",IF(AND(AR385=1,OR(NOT(ISNUMBER(X385)),NOT(ISNUMBER(Y385)))),"INVALID – expected/actual qty missing",IF(IF(AND(TRIM(U385)="Pass",ISNUMBER(AF385)),IF(AF385&lt;&gt;0,"INVALID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recorded/closed","")&lt;&gt;"",IF(AND(TRIM(U385)="Pass",ISNUMBER(AF385)),IF(AF385&lt;&gt;0,"INVALID – qty variance: use Fail or Pass after CA",""),"")&amp;IF(AND(TRIM(U385)="Pass",AB385="Open"),"INVALID – corrective action still open: use Fail, then Pass after CA","")&amp;IF(AND(TRIM(U385)="Pass after CA",OR(TRIM(AA385)="",AB385&lt;&gt;"Closed")),"INVALID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window"),IF(AG385&gt;Flights!$AA$16,"INVALID – completed after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f>
        <v/>
      </c>
      <c r="AI385" s="67">
        <f>IF(OR(AH385="N/A – RULE",AH385="N/A – JUSTIFIED"),0,1)</f>
        <v/>
      </c>
      <c r="AJ385" s="67">
        <f>IF(LEFT(AH385,8)="COMPLETE",1,0)</f>
        <v/>
      </c>
      <c r="AK385" s="67">
        <f>IF(AND(AI385=1,AJ385=0,AsOfUTC&gt;Q385),1,0)</f>
        <v/>
      </c>
      <c r="AL385" s="67">
        <f>IF(AND(AI385=1,OR(TRIM(U385)="Fail",AB385="Open",AND(ISNUMBER(AF385),AF385&lt;&gt;0,TRIM(U385)&lt;&gt;"Pass after CA"))),1,0)</f>
        <v/>
      </c>
      <c r="AM385" s="67">
        <f>IF(LEFT(AH385,7)="INVALID",1,0)</f>
        <v/>
      </c>
      <c r="AN385" s="67">
        <f>IF(AND(N385="Clarification required",AI385=1,AJ385=0),1,0)</f>
        <v/>
      </c>
      <c r="AO385" s="67">
        <f>IF(AK385=1,SUM(AK$5:AK385),"")</f>
        <v/>
      </c>
      <c r="AP385" s="67">
        <f>IF(AL385=1,SUM(AL$5:AL385),"")</f>
        <v/>
      </c>
      <c r="AQ385" s="67" t="n">
        <v>0</v>
      </c>
      <c r="AR385" s="67" t="n">
        <v>0</v>
      </c>
      <c r="AS385" s="67" t="n">
        <v>0</v>
      </c>
      <c r="AT385" s="67" t="n">
        <v>0</v>
      </c>
    </row>
    <row r="386" ht="40" customHeight="1">
      <c r="A386" s="63" t="inlineStr">
        <is>
          <t>F12-T7-07</t>
        </is>
      </c>
      <c r="B386" s="63" t="inlineStr">
        <is>
          <t>F12</t>
        </is>
      </c>
      <c r="C386" s="63">
        <f>Flights!$F$16</f>
        <v/>
      </c>
      <c r="D386" s="64">
        <f>Flights!$D$16</f>
        <v/>
      </c>
      <c r="E386" s="63">
        <f>Flights!$G$16&amp;"-"&amp;Flights!$H$16</f>
        <v/>
      </c>
      <c r="F386" s="63">
        <f>Flights!$K$16</f>
        <v/>
      </c>
      <c r="G386" s="63" t="inlineStr">
        <is>
          <t>T-7D</t>
        </is>
      </c>
      <c r="H386" s="63" t="inlineStr">
        <is>
          <t>Preparation</t>
        </is>
      </c>
      <c r="I386" s="63" t="inlineStr">
        <is>
          <t>Documents</t>
        </is>
      </c>
      <c r="J386" s="63" t="inlineStr">
        <is>
          <t>Galley loading diagram (GLD) received, revision recorded &amp; attached</t>
        </is>
      </c>
      <c r="K386" s="73" t="inlineStr">
        <is>
          <t>Documents sheet row complete</t>
        </is>
      </c>
      <c r="L386" s="73" t="inlineStr">
        <is>
          <t>User brief (T-7 days)</t>
        </is>
      </c>
      <c r="M386" s="73" t="inlineStr"/>
      <c r="N386" s="73" t="inlineStr">
        <is>
          <t>Required</t>
        </is>
      </c>
      <c r="O386" s="73" t="inlineStr"/>
      <c r="P386" s="63" t="inlineStr">
        <is>
          <t>KUL</t>
        </is>
      </c>
      <c r="Q386" s="65">
        <f>Flights!$AC$16</f>
        <v/>
      </c>
      <c r="R386" s="65">
        <f>Q386+(IF(AND(INDEX(TZ_DSTS,MATCH(P386,TZ_STN,0))&lt;&gt;"",Q386&gt;=INDEX(TZ_DSTS,MATCH(P386,TZ_STN,0)),Q386&lt;INDEX(TZ_DSTE,MATCH(P386,TZ_STN,0))),INDEX(TZ_DST,MATCH(P386,TZ_STN,0)),INDEX(TZ_STD,MATCH(P386,TZ_STN,0))))/24</f>
        <v/>
      </c>
      <c r="S386" s="65" t="inlineStr"/>
      <c r="T386" s="66" t="n"/>
      <c r="U386" s="66" t="n"/>
      <c r="V386" s="66" t="n"/>
      <c r="W386" s="67" t="n"/>
      <c r="X386" s="66" t="n"/>
      <c r="Y386" s="66" t="n"/>
      <c r="Z386" s="66" t="n"/>
      <c r="AA386" s="66" t="n"/>
      <c r="AB386" s="66" t="n"/>
      <c r="AC386" s="66" t="n"/>
      <c r="AD386" s="72" t="n"/>
      <c r="AE386" s="66" t="n"/>
      <c r="AF386" s="67">
        <f>IF(AND(ISNUMBER(X386),ISNUMBER(Y386)),Y386-X386,"")</f>
        <v/>
      </c>
      <c r="AG386" s="68">
        <f>IF(ISNUMBER(AD386),AD386-(IF(AND(INDEX(TZ_DSTS,MATCH(P386,TZ_STN,0))&lt;&gt;"",(AD386-INDEX(TZ_STD,MATCH(P386,TZ_STN,0))/24)&gt;=INDEX(TZ_DSTS,MATCH(P386,TZ_STN,0)),(AD386-INDEX(TZ_STD,MATCH(P386,TZ_STN,0))/24)&lt;INDEX(TZ_DSTE,MATCH(P386,TZ_STN,0))),INDEX(TZ_DST,MATCH(P386,TZ_STN,0)),INDEX(TZ_STD,MATCH(P386,TZ_STN,0))))/24,"")</f>
        <v/>
      </c>
      <c r="AH386" s="71">
        <f>IF(N386="N/A – rule","N/A – RULE",IF(TRIM(U386)="N/A",IF(AT386=0,"INVALID – N/A not permitted for this mandatory check",IF(AND(TRIM(AC386)&lt;&gt;"",TRIM(AE386)&lt;&gt;"",TRIM(T386)&lt;&gt;""),"N/A – JUSTIFIED","INVALID – N/A needs justification, PIC and verifier")),IF(OR(TRIM(U386)="Pass",TRIM(U386)="Pass after CA"),IF(NOT(ISNUMBER(AD386)),"INVALID – completion time missing",IF(TRIM(T386)="","INVALID – PIC missing",IF(TRIM(Z386)="","INVALID – evidence missing",IF(TRIM(AE386)="","INVALID – verifier missing",IF(AND(AQ386=1,TRIM(W386)=""),"INVALID – batch ID missing",IF(AND(AR386=1,OR(NOT(ISNUMBER(X386)),NOT(ISNUMBER(Y386)))),"INVALID – expected/actual qty missing",IF(IF(AND(TRIM(U386)="Pass",ISNUMBER(AF386)),IF(AF386&lt;&gt;0,"INVALID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recorded/closed","")&lt;&gt;"",IF(AND(TRIM(U386)="Pass",ISNUMBER(AF386)),IF(AF386&lt;&gt;0,"INVALID – qty variance: use Fail or Pass after CA",""),"")&amp;IF(AND(TRIM(U386)="Pass",AB386="Open"),"INVALID – corrective action still open: use Fail, then Pass after CA","")&amp;IF(AND(TRIM(U386)="Pass after CA",OR(TRIM(AA386)="",AB386&lt;&gt;"Closed")),"INVALID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window"),IF(AG386&gt;Flights!$AA$16,"INVALID – completed after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f>
        <v/>
      </c>
      <c r="AI386" s="67">
        <f>IF(OR(AH386="N/A – RULE",AH386="N/A – JUSTIFIED"),0,1)</f>
        <v/>
      </c>
      <c r="AJ386" s="67">
        <f>IF(LEFT(AH386,8)="COMPLETE",1,0)</f>
        <v/>
      </c>
      <c r="AK386" s="67">
        <f>IF(AND(AI386=1,AJ386=0,AsOfUTC&gt;Q386),1,0)</f>
        <v/>
      </c>
      <c r="AL386" s="67">
        <f>IF(AND(AI386=1,OR(TRIM(U386)="Fail",AB386="Open",AND(ISNUMBER(AF386),AF386&lt;&gt;0,TRIM(U386)&lt;&gt;"Pass after CA"))),1,0)</f>
        <v/>
      </c>
      <c r="AM386" s="67">
        <f>IF(LEFT(AH386,7)="INVALID",1,0)</f>
        <v/>
      </c>
      <c r="AN386" s="67">
        <f>IF(AND(N386="Clarification required",AI386=1,AJ386=0),1,0)</f>
        <v/>
      </c>
      <c r="AO386" s="67">
        <f>IF(AK386=1,SUM(AK$5:AK386),"")</f>
        <v/>
      </c>
      <c r="AP386" s="67">
        <f>IF(AL386=1,SUM(AL$5:AL386),"")</f>
        <v/>
      </c>
      <c r="AQ386" s="67" t="n">
        <v>0</v>
      </c>
      <c r="AR386" s="67" t="n">
        <v>0</v>
      </c>
      <c r="AS386" s="67" t="n">
        <v>1</v>
      </c>
      <c r="AT386" s="67" t="n">
        <v>0</v>
      </c>
    </row>
    <row r="387" ht="40" customHeight="1">
      <c r="A387" s="63" t="inlineStr">
        <is>
          <t>F12-T7-08</t>
        </is>
      </c>
      <c r="B387" s="63" t="inlineStr">
        <is>
          <t>F12</t>
        </is>
      </c>
      <c r="C387" s="63">
        <f>Flights!$F$16</f>
        <v/>
      </c>
      <c r="D387" s="64">
        <f>Flights!$D$16</f>
        <v/>
      </c>
      <c r="E387" s="63">
        <f>Flights!$G$16&amp;"-"&amp;Flights!$H$16</f>
        <v/>
      </c>
      <c r="F387" s="63">
        <f>Flights!$K$16</f>
        <v/>
      </c>
      <c r="G387" s="63" t="inlineStr">
        <is>
          <t>T-7D</t>
        </is>
      </c>
      <c r="H387" s="63" t="inlineStr">
        <is>
          <t>Preparation</t>
        </is>
      </c>
      <c r="I387" s="63" t="inlineStr">
        <is>
          <t>Documents</t>
        </is>
      </c>
      <c r="J387" s="63" t="inlineStr">
        <is>
          <t>Menu checklist received, revision recorded &amp; attached</t>
        </is>
      </c>
      <c r="K387" s="73" t="inlineStr">
        <is>
          <t>Documents sheet row complete</t>
        </is>
      </c>
      <c r="L387" s="73" t="inlineStr">
        <is>
          <t>User brief (T-7 days)</t>
        </is>
      </c>
      <c r="M387" s="73" t="inlineStr"/>
      <c r="N387" s="73" t="inlineStr">
        <is>
          <t>Required</t>
        </is>
      </c>
      <c r="O387" s="73" t="inlineStr"/>
      <c r="P387" s="63" t="inlineStr">
        <is>
          <t>KUL</t>
        </is>
      </c>
      <c r="Q387" s="65">
        <f>Flights!$AC$16</f>
        <v/>
      </c>
      <c r="R387" s="65">
        <f>Q387+(IF(AND(INDEX(TZ_DSTS,MATCH(P387,TZ_STN,0))&lt;&gt;"",Q387&gt;=INDEX(TZ_DSTS,MATCH(P387,TZ_STN,0)),Q387&lt;INDEX(TZ_DSTE,MATCH(P387,TZ_STN,0))),INDEX(TZ_DST,MATCH(P387,TZ_STN,0)),INDEX(TZ_STD,MATCH(P387,TZ_STN,0))))/24</f>
        <v/>
      </c>
      <c r="S387" s="65" t="inlineStr"/>
      <c r="T387" s="66" t="n"/>
      <c r="U387" s="66" t="n"/>
      <c r="V387" s="66" t="n"/>
      <c r="W387" s="67" t="n"/>
      <c r="X387" s="66" t="n"/>
      <c r="Y387" s="66" t="n"/>
      <c r="Z387" s="66" t="n"/>
      <c r="AA387" s="66" t="n"/>
      <c r="AB387" s="66" t="n"/>
      <c r="AC387" s="66" t="n"/>
      <c r="AD387" s="72" t="n"/>
      <c r="AE387" s="66" t="n"/>
      <c r="AF387" s="67">
        <f>IF(AND(ISNUMBER(X387),ISNUMBER(Y387)),Y387-X387,"")</f>
        <v/>
      </c>
      <c r="AG387" s="68">
        <f>IF(ISNUMBER(AD387),AD387-(IF(AND(INDEX(TZ_DSTS,MATCH(P387,TZ_STN,0))&lt;&gt;"",(AD387-INDEX(TZ_STD,MATCH(P387,TZ_STN,0))/24)&gt;=INDEX(TZ_DSTS,MATCH(P387,TZ_STN,0)),(AD387-INDEX(TZ_STD,MATCH(P387,TZ_STN,0))/24)&lt;INDEX(TZ_DSTE,MATCH(P387,TZ_STN,0))),INDEX(TZ_DST,MATCH(P387,TZ_STN,0)),INDEX(TZ_STD,MATCH(P387,TZ_STN,0))))/24,"")</f>
        <v/>
      </c>
      <c r="AH387" s="71">
        <f>IF(N387="N/A – rule","N/A – RULE",IF(TRIM(U387)="N/A",IF(AT387=0,"INVALID – N/A not permitted for this mandatory check",IF(AND(TRIM(AC387)&lt;&gt;"",TRIM(AE387)&lt;&gt;"",TRIM(T387)&lt;&gt;""),"N/A – JUSTIFIED","INVALID – N/A needs justification, PIC and verifier")),IF(OR(TRIM(U387)="Pass",TRIM(U387)="Pass after CA"),IF(NOT(ISNUMBER(AD387)),"INVALID – completion time missing",IF(TRIM(T387)="","INVALID – PIC missing",IF(TRIM(Z387)="","INVALID – evidence missing",IF(TRIM(AE387)="","INVALID – verifier missing",IF(AND(AQ387=1,TRIM(W387)=""),"INVALID – batch ID missing",IF(AND(AR387=1,OR(NOT(ISNUMBER(X387)),NOT(ISNUMBER(Y387)))),"INVALID – expected/actual qty missing",IF(IF(AND(TRIM(U387)="Pass",ISNUMBER(AF387)),IF(AF387&lt;&gt;0,"INVALID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recorded/closed","")&lt;&gt;"",IF(AND(TRIM(U387)="Pass",ISNUMBER(AF387)),IF(AF387&lt;&gt;0,"INVALID – qty variance: use Fail or Pass after CA",""),"")&amp;IF(AND(TRIM(U387)="Pass",AB387="Open"),"INVALID – corrective action still open: use Fail, then Pass after CA","")&amp;IF(AND(TRIM(U387)="Pass after CA",OR(TRIM(AA387)="",AB387&lt;&gt;"Closed")),"INVALID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window"),IF(AG387&gt;Flights!$AA$16,"INVALID – completed after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f>
        <v/>
      </c>
      <c r="AI387" s="67">
        <f>IF(OR(AH387="N/A – RULE",AH387="N/A – JUSTIFIED"),0,1)</f>
        <v/>
      </c>
      <c r="AJ387" s="67">
        <f>IF(LEFT(AH387,8)="COMPLETE",1,0)</f>
        <v/>
      </c>
      <c r="AK387" s="67">
        <f>IF(AND(AI387=1,AJ387=0,AsOfUTC&gt;Q387),1,0)</f>
        <v/>
      </c>
      <c r="AL387" s="67">
        <f>IF(AND(AI387=1,OR(TRIM(U387)="Fail",AB387="Open",AND(ISNUMBER(AF387),AF387&lt;&gt;0,TRIM(U387)&lt;&gt;"Pass after CA"))),1,0)</f>
        <v/>
      </c>
      <c r="AM387" s="67">
        <f>IF(LEFT(AH387,7)="INVALID",1,0)</f>
        <v/>
      </c>
      <c r="AN387" s="67">
        <f>IF(AND(N387="Clarification required",AI387=1,AJ387=0),1,0)</f>
        <v/>
      </c>
      <c r="AO387" s="67">
        <f>IF(AK387=1,SUM(AK$5:AK387),"")</f>
        <v/>
      </c>
      <c r="AP387" s="67">
        <f>IF(AL387=1,SUM(AL$5:AL387),"")</f>
        <v/>
      </c>
      <c r="AQ387" s="67" t="n">
        <v>0</v>
      </c>
      <c r="AR387" s="67" t="n">
        <v>0</v>
      </c>
      <c r="AS387" s="67" t="n">
        <v>2</v>
      </c>
      <c r="AT387" s="67" t="n">
        <v>0</v>
      </c>
    </row>
    <row r="388" ht="40" customHeight="1">
      <c r="A388" s="63" t="inlineStr">
        <is>
          <t>F12-T7-09</t>
        </is>
      </c>
      <c r="B388" s="63" t="inlineStr">
        <is>
          <t>F12</t>
        </is>
      </c>
      <c r="C388" s="63">
        <f>Flights!$F$16</f>
        <v/>
      </c>
      <c r="D388" s="64">
        <f>Flights!$D$16</f>
        <v/>
      </c>
      <c r="E388" s="63">
        <f>Flights!$G$16&amp;"-"&amp;Flights!$H$16</f>
        <v/>
      </c>
      <c r="F388" s="63">
        <f>Flights!$K$16</f>
        <v/>
      </c>
      <c r="G388" s="63" t="inlineStr">
        <is>
          <t>T-7D</t>
        </is>
      </c>
      <c r="H388" s="63" t="inlineStr">
        <is>
          <t>Preparation</t>
        </is>
      </c>
      <c r="I388" s="63" t="inlineStr">
        <is>
          <t>Uplift plan</t>
        </is>
      </c>
      <c r="J388" s="63" t="inlineStr">
        <is>
          <t>Uplift plan confirmed with caterer vs STD Uplift Information</t>
        </is>
      </c>
      <c r="K388" s="73" t="inlineStr">
        <is>
          <t>Service: 1.5 Meal (Meal); meal uplift stn KUL (ref lists KUL/ADL)</t>
        </is>
      </c>
      <c r="L388" s="73" t="inlineStr">
        <is>
          <t>STD UPLIFT INFORMATION.xlsx &gt; CATERING UPLIFT STN!C11:G11</t>
        </is>
      </c>
      <c r="M388" s="73" t="inlineStr"/>
      <c r="N388" s="73" t="inlineStr">
        <is>
          <t>Required</t>
        </is>
      </c>
      <c r="O388" s="73" t="inlineStr"/>
      <c r="P388" s="63" t="inlineStr">
        <is>
          <t>KUL</t>
        </is>
      </c>
      <c r="Q388" s="65">
        <f>Flights!$AC$16</f>
        <v/>
      </c>
      <c r="R388" s="65">
        <f>Q388+(IF(AND(INDEX(TZ_DSTS,MATCH(P388,TZ_STN,0))&lt;&gt;"",Q388&gt;=INDEX(TZ_DSTS,MATCH(P388,TZ_STN,0)),Q388&lt;INDEX(TZ_DSTE,MATCH(P388,TZ_STN,0))),INDEX(TZ_DST,MATCH(P388,TZ_STN,0)),INDEX(TZ_STD,MATCH(P388,TZ_STN,0))))/24</f>
        <v/>
      </c>
      <c r="S388" s="65" t="inlineStr"/>
      <c r="T388" s="66" t="n"/>
      <c r="U388" s="66" t="n"/>
      <c r="V388" s="66" t="n"/>
      <c r="W388" s="67" t="n"/>
      <c r="X388" s="66" t="n"/>
      <c r="Y388" s="66" t="n"/>
      <c r="Z388" s="66" t="n"/>
      <c r="AA388" s="66" t="n"/>
      <c r="AB388" s="66" t="n"/>
      <c r="AC388" s="66" t="n"/>
      <c r="AD388" s="72" t="n"/>
      <c r="AE388" s="66" t="n"/>
      <c r="AF388" s="67">
        <f>IF(AND(ISNUMBER(X388),ISNUMBER(Y388)),Y388-X388,"")</f>
        <v/>
      </c>
      <c r="AG388" s="68">
        <f>IF(ISNUMBER(AD388),AD388-(IF(AND(INDEX(TZ_DSTS,MATCH(P388,TZ_STN,0))&lt;&gt;"",(AD388-INDEX(TZ_STD,MATCH(P388,TZ_STN,0))/24)&gt;=INDEX(TZ_DSTS,MATCH(P388,TZ_STN,0)),(AD388-INDEX(TZ_STD,MATCH(P388,TZ_STN,0))/24)&lt;INDEX(TZ_DSTE,MATCH(P388,TZ_STN,0))),INDEX(TZ_DST,MATCH(P388,TZ_STN,0)),INDEX(TZ_STD,MATCH(P388,TZ_STN,0))))/24,"")</f>
        <v/>
      </c>
      <c r="AH388" s="71">
        <f>IF(N388="N/A – rule","N/A – RULE",IF(TRIM(U388)="N/A",IF(AT388=0,"INVALID – N/A not permitted for this mandatory check",IF(AND(TRIM(AC388)&lt;&gt;"",TRIM(AE388)&lt;&gt;"",TRIM(T388)&lt;&gt;""),"N/A – JUSTIFIED","INVALID – N/A needs justification, PIC and verifier")),IF(OR(TRIM(U388)="Pass",TRIM(U388)="Pass after CA"),IF(NOT(ISNUMBER(AD388)),"INVALID – completion time missing",IF(TRIM(T388)="","INVALID – PIC missing",IF(TRIM(Z388)="","INVALID – evidence missing",IF(TRIM(AE388)="","INVALID – verifier missing",IF(AND(AQ388=1,TRIM(W388)=""),"INVALID – batch ID missing",IF(AND(AR388=1,OR(NOT(ISNUMBER(X388)),NOT(ISNUMBER(Y388)))),"INVALID – expected/actual qty missing",IF(IF(AND(TRIM(U388)="Pass",ISNUMBER(AF388)),IF(AF388&lt;&gt;0,"INVALID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recorded/closed","")&lt;&gt;"",IF(AND(TRIM(U388)="Pass",ISNUMBER(AF388)),IF(AF388&lt;&gt;0,"INVALID – qty variance: use Fail or Pass after CA",""),"")&amp;IF(AND(TRIM(U388)="Pass",AB388="Open"),"INVALID – corrective action still open: use Fail, then Pass after CA","")&amp;IF(AND(TRIM(U388)="Pass after CA",OR(TRIM(AA388)="",AB388&lt;&gt;"Closed")),"INVALID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window"),IF(AG388&gt;Flights!$AA$16,"INVALID – completed after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f>
        <v/>
      </c>
      <c r="AI388" s="67">
        <f>IF(OR(AH388="N/A – RULE",AH388="N/A – JUSTIFIED"),0,1)</f>
        <v/>
      </c>
      <c r="AJ388" s="67">
        <f>IF(LEFT(AH388,8)="COMPLETE",1,0)</f>
        <v/>
      </c>
      <c r="AK388" s="67">
        <f>IF(AND(AI388=1,AJ388=0,AsOfUTC&gt;Q388),1,0)</f>
        <v/>
      </c>
      <c r="AL388" s="67">
        <f>IF(AND(AI388=1,OR(TRIM(U388)="Fail",AB388="Open",AND(ISNUMBER(AF388),AF388&lt;&gt;0,TRIM(U388)&lt;&gt;"Pass after CA"))),1,0)</f>
        <v/>
      </c>
      <c r="AM388" s="67">
        <f>IF(LEFT(AH388,7)="INVALID",1,0)</f>
        <v/>
      </c>
      <c r="AN388" s="67">
        <f>IF(AND(N388="Clarification required",AI388=1,AJ388=0),1,0)</f>
        <v/>
      </c>
      <c r="AO388" s="67">
        <f>IF(AK388=1,SUM(AK$5:AK388),"")</f>
        <v/>
      </c>
      <c r="AP388" s="67">
        <f>IF(AL388=1,SUM(AL$5:AL388),"")</f>
        <v/>
      </c>
      <c r="AQ388" s="67" t="n">
        <v>0</v>
      </c>
      <c r="AR388" s="67" t="n">
        <v>0</v>
      </c>
      <c r="AS388" s="67" t="n">
        <v>0</v>
      </c>
      <c r="AT388" s="67" t="n">
        <v>0</v>
      </c>
    </row>
    <row r="389" ht="40" customHeight="1">
      <c r="A389" s="63" t="inlineStr">
        <is>
          <t>F12-T24-01</t>
        </is>
      </c>
      <c r="B389" s="63" t="inlineStr">
        <is>
          <t>F12</t>
        </is>
      </c>
      <c r="C389" s="63">
        <f>Flights!$F$16</f>
        <v/>
      </c>
      <c r="D389" s="64">
        <f>Flights!$D$16</f>
        <v/>
      </c>
      <c r="E389" s="63">
        <f>Flights!$G$16&amp;"-"&amp;Flights!$H$16</f>
        <v/>
      </c>
      <c r="F389" s="63">
        <f>Flights!$K$16</f>
        <v/>
      </c>
      <c r="G389" s="63" t="inlineStr">
        <is>
          <t>T-24H</t>
        </is>
      </c>
      <c r="H389" s="63" t="inlineStr">
        <is>
          <t>Preparation</t>
        </is>
      </c>
      <c r="I389" s="63" t="inlineStr">
        <is>
          <t>Meal</t>
        </is>
      </c>
      <c r="J389" s="63" t="inlineStr">
        <is>
          <t>Sensory test repeated on ACTUAL production batch for this flight</t>
        </is>
      </c>
      <c r="K389" s="73" t="inlineStr">
        <is>
          <t>Batch ID, result, CA and acceptance mandatory</t>
        </is>
      </c>
      <c r="L389" s="73" t="inlineStr">
        <is>
          <t>User brief (T-24 hours)</t>
        </is>
      </c>
      <c r="M389" s="73" t="inlineStr"/>
      <c r="N389" s="73" t="inlineStr">
        <is>
          <t>Required</t>
        </is>
      </c>
      <c r="O389" s="73" t="inlineStr"/>
      <c r="P389" s="63" t="inlineStr">
        <is>
          <t>KUL</t>
        </is>
      </c>
      <c r="Q389" s="65">
        <f>Flights!$AD$16</f>
        <v/>
      </c>
      <c r="R389" s="65">
        <f>Q389+(IF(AND(INDEX(TZ_DSTS,MATCH(P389,TZ_STN,0))&lt;&gt;"",Q389&gt;=INDEX(TZ_DSTS,MATCH(P389,TZ_STN,0)),Q389&lt;INDEX(TZ_DSTE,MATCH(P389,TZ_STN,0))),INDEX(TZ_DST,MATCH(P389,TZ_STN,0)),INDEX(TZ_STD,MATCH(P389,TZ_STN,0))))/24</f>
        <v/>
      </c>
      <c r="S389" s="65">
        <f>Q389-T24EarlyH/24</f>
        <v/>
      </c>
      <c r="T389" s="66" t="n"/>
      <c r="U389" s="66" t="n"/>
      <c r="V389" s="66" t="n"/>
      <c r="W389" s="66" t="n"/>
      <c r="X389" s="66" t="n"/>
      <c r="Y389" s="66" t="n"/>
      <c r="Z389" s="66" t="n"/>
      <c r="AA389" s="66" t="n"/>
      <c r="AB389" s="66" t="n"/>
      <c r="AC389" s="66" t="n"/>
      <c r="AD389" s="72" t="n"/>
      <c r="AE389" s="66" t="n"/>
      <c r="AF389" s="67">
        <f>IF(AND(ISNUMBER(X389),ISNUMBER(Y389)),Y389-X389,"")</f>
        <v/>
      </c>
      <c r="AG389" s="68">
        <f>IF(ISNUMBER(AD389),AD389-(IF(AND(INDEX(TZ_DSTS,MATCH(P389,TZ_STN,0))&lt;&gt;"",(AD389-INDEX(TZ_STD,MATCH(P389,TZ_STN,0))/24)&gt;=INDEX(TZ_DSTS,MATCH(P389,TZ_STN,0)),(AD389-INDEX(TZ_STD,MATCH(P389,TZ_STN,0))/24)&lt;INDEX(TZ_DSTE,MATCH(P389,TZ_STN,0))),INDEX(TZ_DST,MATCH(P389,TZ_STN,0)),INDEX(TZ_STD,MATCH(P389,TZ_STN,0))))/24,"")</f>
        <v/>
      </c>
      <c r="AH389" s="71">
        <f>IF(N389="N/A – rule","N/A – RULE",IF(TRIM(U389)="N/A",IF(AT389=0,"INVALID – N/A not permitted for this mandatory check",IF(AND(TRIM(AC389)&lt;&gt;"",TRIM(AE389)&lt;&gt;"",TRIM(T389)&lt;&gt;""),"N/A – JUSTIFIED","INVALID – N/A needs justification, PIC and verifier")),IF(OR(TRIM(U389)="Pass",TRIM(U389)="Pass after CA"),IF(NOT(ISNUMBER(AD389)),"INVALID – completion time missing",IF(TRIM(T389)="","INVALID – PIC missing",IF(TRIM(Z389)="","INVALID – evidence missing",IF(TRIM(AE389)="","INVALID – verifier missing",IF(AND(AQ389=1,TRIM(W389)=""),"INVALID – batch ID missing",IF(AND(AR389=1,OR(NOT(ISNUMBER(X389)),NOT(ISNUMBER(Y389)))),"INVALID – expected/actual qty missing",IF(IF(AND(TRIM(U389)="Pass",ISNUMBER(AF389)),IF(AF389&lt;&gt;0,"INVALID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recorded/closed","")&lt;&gt;"",IF(AND(TRIM(U389)="Pass",ISNUMBER(AF389)),IF(AF389&lt;&gt;0,"INVALID – qty variance: use Fail or Pass after CA",""),"")&amp;IF(AND(TRIM(U389)="Pass",AB389="Open"),"INVALID – corrective action still open: use Fail, then Pass after CA","")&amp;IF(AND(TRIM(U389)="Pass after CA",OR(TRIM(AA389)="",AB389&lt;&gt;"Closed")),"INVALID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window"),IF(AG389&gt;Flights!$AA$16,"INVALID – completed after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f>
        <v/>
      </c>
      <c r="AI389" s="67">
        <f>IF(OR(AH389="N/A – RULE",AH389="N/A – JUSTIFIED"),0,1)</f>
        <v/>
      </c>
      <c r="AJ389" s="67">
        <f>IF(LEFT(AH389,8)="COMPLETE",1,0)</f>
        <v/>
      </c>
      <c r="AK389" s="67">
        <f>IF(AND(AI389=1,AJ389=0,AsOfUTC&gt;Q389),1,0)</f>
        <v/>
      </c>
      <c r="AL389" s="67">
        <f>IF(AND(AI389=1,OR(TRIM(U389)="Fail",AB389="Open",AND(ISNUMBER(AF389),AF389&lt;&gt;0,TRIM(U389)&lt;&gt;"Pass after CA"))),1,0)</f>
        <v/>
      </c>
      <c r="AM389" s="67">
        <f>IF(LEFT(AH389,7)="INVALID",1,0)</f>
        <v/>
      </c>
      <c r="AN389" s="67">
        <f>IF(AND(N389="Clarification required",AI389=1,AJ389=0),1,0)</f>
        <v/>
      </c>
      <c r="AO389" s="67">
        <f>IF(AK389=1,SUM(AK$5:AK389),"")</f>
        <v/>
      </c>
      <c r="AP389" s="67">
        <f>IF(AL389=1,SUM(AL$5:AL389),"")</f>
        <v/>
      </c>
      <c r="AQ389" s="67" t="n">
        <v>1</v>
      </c>
      <c r="AR389" s="67" t="n">
        <v>0</v>
      </c>
      <c r="AS389" s="67" t="n">
        <v>0</v>
      </c>
      <c r="AT389" s="67" t="n">
        <v>0</v>
      </c>
    </row>
    <row r="390" ht="40" customHeight="1">
      <c r="A390" s="63" t="inlineStr">
        <is>
          <t>F12-T12-01</t>
        </is>
      </c>
      <c r="B390" s="63" t="inlineStr">
        <is>
          <t>F12</t>
        </is>
      </c>
      <c r="C390" s="63">
        <f>Flights!$F$16</f>
        <v/>
      </c>
      <c r="D390" s="64">
        <f>Flights!$D$16</f>
        <v/>
      </c>
      <c r="E390" s="63">
        <f>Flights!$G$16&amp;"-"&amp;Flights!$H$16</f>
        <v/>
      </c>
      <c r="F390" s="63">
        <f>Flights!$K$16</f>
        <v/>
      </c>
      <c r="G390" s="63" t="inlineStr">
        <is>
          <t>T-12H PREP</t>
        </is>
      </c>
      <c r="H390" s="63" t="inlineStr">
        <is>
          <t>Preparation</t>
        </is>
      </c>
      <c r="I390" s="63" t="inlineStr">
        <is>
          <t>Meal</t>
        </is>
      </c>
      <c r="J390" s="63" t="inlineStr">
        <is>
          <t>Meal quality vs menu checklist</t>
        </is>
      </c>
      <c r="K390" s="73" t="inlineStr"/>
      <c r="L390" s="73" t="inlineStr">
        <is>
          <t>User brief (T-12 hours)</t>
        </is>
      </c>
      <c r="M390" s="73" t="inlineStr"/>
      <c r="N390" s="73" t="inlineStr">
        <is>
          <t>Required</t>
        </is>
      </c>
      <c r="O390" s="73" t="inlineStr">
        <is>
          <t>Preparation check at caterer - does NOT confirm loading.</t>
        </is>
      </c>
      <c r="P390" s="63" t="inlineStr">
        <is>
          <t>KUL</t>
        </is>
      </c>
      <c r="Q390" s="65">
        <f>Flights!$AE$16</f>
        <v/>
      </c>
      <c r="R390" s="65">
        <f>Q390+(IF(AND(INDEX(TZ_DSTS,MATCH(P390,TZ_STN,0))&lt;&gt;"",Q390&gt;=INDEX(TZ_DSTS,MATCH(P390,TZ_STN,0)),Q390&lt;INDEX(TZ_DSTE,MATCH(P390,TZ_STN,0))),INDEX(TZ_DST,MATCH(P390,TZ_STN,0)),INDEX(TZ_STD,MATCH(P390,TZ_STN,0))))/24</f>
        <v/>
      </c>
      <c r="S390" s="65">
        <f>Q390-T12EarlyH/24</f>
        <v/>
      </c>
      <c r="T390" s="66" t="n"/>
      <c r="U390" s="66" t="n"/>
      <c r="V390" s="66" t="n"/>
      <c r="W390" s="67" t="n"/>
      <c r="X390" s="66" t="n"/>
      <c r="Y390" s="66" t="n"/>
      <c r="Z390" s="66" t="n"/>
      <c r="AA390" s="66" t="n"/>
      <c r="AB390" s="66" t="n"/>
      <c r="AC390" s="66" t="n"/>
      <c r="AD390" s="72" t="n"/>
      <c r="AE390" s="66" t="n"/>
      <c r="AF390" s="67">
        <f>IF(AND(ISNUMBER(X390),ISNUMBER(Y390)),Y390-X390,"")</f>
        <v/>
      </c>
      <c r="AG390" s="68">
        <f>IF(ISNUMBER(AD390),AD390-(IF(AND(INDEX(TZ_DSTS,MATCH(P390,TZ_STN,0))&lt;&gt;"",(AD390-INDEX(TZ_STD,MATCH(P390,TZ_STN,0))/24)&gt;=INDEX(TZ_DSTS,MATCH(P390,TZ_STN,0)),(AD390-INDEX(TZ_STD,MATCH(P390,TZ_STN,0))/24)&lt;INDEX(TZ_DSTE,MATCH(P390,TZ_STN,0))),INDEX(TZ_DST,MATCH(P390,TZ_STN,0)),INDEX(TZ_STD,MATCH(P390,TZ_STN,0))))/24,"")</f>
        <v/>
      </c>
      <c r="AH390" s="71">
        <f>IF(N390="N/A – rule","N/A – RULE",IF(TRIM(U390)="N/A",IF(AT390=0,"INVALID – N/A not permitted for this mandatory check",IF(AND(TRIM(AC390)&lt;&gt;"",TRIM(AE390)&lt;&gt;"",TRIM(T390)&lt;&gt;""),"N/A – JUSTIFIED","INVALID – N/A needs justification, PIC and verifier")),IF(OR(TRIM(U390)="Pass",TRIM(U390)="Pass after CA"),IF(NOT(ISNUMBER(AD390)),"INVALID – completion time missing",IF(TRIM(T390)="","INVALID – PIC missing",IF(TRIM(Z390)="","INVALID – evidence missing",IF(TRIM(AE390)="","INVALID – verifier missing",IF(AND(AQ390=1,TRIM(W390)=""),"INVALID – batch ID missing",IF(AND(AR390=1,OR(NOT(ISNUMBER(X390)),NOT(ISNUMBER(Y390)))),"INVALID – expected/actual qty missing",IF(IF(AND(TRIM(U390)="Pass",ISNUMBER(AF390)),IF(AF390&lt;&gt;0,"INVALID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recorded/closed","")&lt;&gt;"",IF(AND(TRIM(U390)="Pass",ISNUMBER(AF390)),IF(AF390&lt;&gt;0,"INVALID – qty variance: use Fail or Pass after CA",""),"")&amp;IF(AND(TRIM(U390)="Pass",AB390="Open"),"INVALID – corrective action still open: use Fail, then Pass after CA","")&amp;IF(AND(TRIM(U390)="Pass after CA",OR(TRIM(AA390)="",AB390&lt;&gt;"Closed")),"INVALID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window"),IF(AG390&gt;Flights!$AA$16,"INVALID – completed after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f>
        <v/>
      </c>
      <c r="AI390" s="67">
        <f>IF(OR(AH390="N/A – RULE",AH390="N/A – JUSTIFIED"),0,1)</f>
        <v/>
      </c>
      <c r="AJ390" s="67">
        <f>IF(LEFT(AH390,8)="COMPLETE",1,0)</f>
        <v/>
      </c>
      <c r="AK390" s="67">
        <f>IF(AND(AI390=1,AJ390=0,AsOfUTC&gt;Q390),1,0)</f>
        <v/>
      </c>
      <c r="AL390" s="67">
        <f>IF(AND(AI390=1,OR(TRIM(U390)="Fail",AB390="Open",AND(ISNUMBER(AF390),AF390&lt;&gt;0,TRIM(U390)&lt;&gt;"Pass after CA"))),1,0)</f>
        <v/>
      </c>
      <c r="AM390" s="67">
        <f>IF(LEFT(AH390,7)="INVALID",1,0)</f>
        <v/>
      </c>
      <c r="AN390" s="67">
        <f>IF(AND(N390="Clarification required",AI390=1,AJ390=0),1,0)</f>
        <v/>
      </c>
      <c r="AO390" s="67">
        <f>IF(AK390=1,SUM(AK$5:AK390),"")</f>
        <v/>
      </c>
      <c r="AP390" s="67">
        <f>IF(AL390=1,SUM(AL$5:AL390),"")</f>
        <v/>
      </c>
      <c r="AQ390" s="67" t="n">
        <v>0</v>
      </c>
      <c r="AR390" s="67" t="n">
        <v>0</v>
      </c>
      <c r="AS390" s="67" t="n">
        <v>0</v>
      </c>
      <c r="AT390" s="67" t="n">
        <v>0</v>
      </c>
    </row>
    <row r="391" ht="40" customHeight="1">
      <c r="A391" s="63" t="inlineStr">
        <is>
          <t>F12-T12-02</t>
        </is>
      </c>
      <c r="B391" s="63" t="inlineStr">
        <is>
          <t>F12</t>
        </is>
      </c>
      <c r="C391" s="63">
        <f>Flights!$F$16</f>
        <v/>
      </c>
      <c r="D391" s="64">
        <f>Flights!$D$16</f>
        <v/>
      </c>
      <c r="E391" s="63">
        <f>Flights!$G$16&amp;"-"&amp;Flights!$H$16</f>
        <v/>
      </c>
      <c r="F391" s="63">
        <f>Flights!$K$16</f>
        <v/>
      </c>
      <c r="G391" s="63" t="inlineStr">
        <is>
          <t>T-12H PREP</t>
        </is>
      </c>
      <c r="H391" s="63" t="inlineStr">
        <is>
          <t>Preparation</t>
        </is>
      </c>
      <c r="I391" s="63" t="inlineStr">
        <is>
          <t>Meal</t>
        </is>
      </c>
      <c r="J391" s="63" t="inlineStr">
        <is>
          <t>Meal quantities vs menu checklist</t>
        </is>
      </c>
      <c r="K391" s="73" t="inlineStr">
        <is>
          <t>Enter expected &amp; actual</t>
        </is>
      </c>
      <c r="L391" s="73" t="inlineStr">
        <is>
          <t>User brief (T-12 hours)</t>
        </is>
      </c>
      <c r="M391" s="73" t="inlineStr"/>
      <c r="N391" s="73" t="inlineStr">
        <is>
          <t>Required</t>
        </is>
      </c>
      <c r="O391" s="73" t="inlineStr">
        <is>
          <t>Preparation check at caterer - does NOT confirm loading.</t>
        </is>
      </c>
      <c r="P391" s="63" t="inlineStr">
        <is>
          <t>KUL</t>
        </is>
      </c>
      <c r="Q391" s="65">
        <f>Flights!$AE$16</f>
        <v/>
      </c>
      <c r="R391" s="65">
        <f>Q391+(IF(AND(INDEX(TZ_DSTS,MATCH(P391,TZ_STN,0))&lt;&gt;"",Q391&gt;=INDEX(TZ_DSTS,MATCH(P391,TZ_STN,0)),Q391&lt;INDEX(TZ_DSTE,MATCH(P391,TZ_STN,0))),INDEX(TZ_DST,MATCH(P391,TZ_STN,0)),INDEX(TZ_STD,MATCH(P391,TZ_STN,0))))/24</f>
        <v/>
      </c>
      <c r="S391" s="65">
        <f>Q391-T12EarlyH/24</f>
        <v/>
      </c>
      <c r="T391" s="66" t="n"/>
      <c r="U391" s="66" t="n"/>
      <c r="V391" s="66" t="n"/>
      <c r="W391" s="67" t="n"/>
      <c r="X391" s="66" t="n"/>
      <c r="Y391" s="66" t="n"/>
      <c r="Z391" s="66" t="n"/>
      <c r="AA391" s="66" t="n"/>
      <c r="AB391" s="66" t="n"/>
      <c r="AC391" s="66" t="n"/>
      <c r="AD391" s="72" t="n"/>
      <c r="AE391" s="66" t="n"/>
      <c r="AF391" s="67">
        <f>IF(AND(ISNUMBER(X391),ISNUMBER(Y391)),Y391-X391,"")</f>
        <v/>
      </c>
      <c r="AG391" s="68">
        <f>IF(ISNUMBER(AD391),AD391-(IF(AND(INDEX(TZ_DSTS,MATCH(P391,TZ_STN,0))&lt;&gt;"",(AD391-INDEX(TZ_STD,MATCH(P391,TZ_STN,0))/24)&gt;=INDEX(TZ_DSTS,MATCH(P391,TZ_STN,0)),(AD391-INDEX(TZ_STD,MATCH(P391,TZ_STN,0))/24)&lt;INDEX(TZ_DSTE,MATCH(P391,TZ_STN,0))),INDEX(TZ_DST,MATCH(P391,TZ_STN,0)),INDEX(TZ_STD,MATCH(P391,TZ_STN,0))))/24,"")</f>
        <v/>
      </c>
      <c r="AH391" s="71">
        <f>IF(N391="N/A – rule","N/A – RULE",IF(TRIM(U391)="N/A",IF(AT391=0,"INVALID – N/A not permitted for this mandatory check",IF(AND(TRIM(AC391)&lt;&gt;"",TRIM(AE391)&lt;&gt;"",TRIM(T391)&lt;&gt;""),"N/A – JUSTIFIED","INVALID – N/A needs justification, PIC and verifier")),IF(OR(TRIM(U391)="Pass",TRIM(U391)="Pass after CA"),IF(NOT(ISNUMBER(AD391)),"INVALID – completion time missing",IF(TRIM(T391)="","INVALID – PIC missing",IF(TRIM(Z391)="","INVALID – evidence missing",IF(TRIM(AE391)="","INVALID – verifier missing",IF(AND(AQ391=1,TRIM(W391)=""),"INVALID – batch ID missing",IF(AND(AR391=1,OR(NOT(ISNUMBER(X391)),NOT(ISNUMBER(Y391)))),"INVALID – expected/actual qty missing",IF(IF(AND(TRIM(U391)="Pass",ISNUMBER(AF391)),IF(AF391&lt;&gt;0,"INVALID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recorded/closed","")&lt;&gt;"",IF(AND(TRIM(U391)="Pass",ISNUMBER(AF391)),IF(AF391&lt;&gt;0,"INVALID – qty variance: use Fail or Pass after CA",""),"")&amp;IF(AND(TRIM(U391)="Pass",AB391="Open"),"INVALID – corrective action still open: use Fail, then Pass after CA","")&amp;IF(AND(TRIM(U391)="Pass after CA",OR(TRIM(AA391)="",AB391&lt;&gt;"Closed")),"INVALID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window"),IF(AG391&gt;Flights!$AA$16,"INVALID – completed after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f>
        <v/>
      </c>
      <c r="AI391" s="67">
        <f>IF(OR(AH391="N/A – RULE",AH391="N/A – JUSTIFIED"),0,1)</f>
        <v/>
      </c>
      <c r="AJ391" s="67">
        <f>IF(LEFT(AH391,8)="COMPLETE",1,0)</f>
        <v/>
      </c>
      <c r="AK391" s="67">
        <f>IF(AND(AI391=1,AJ391=0,AsOfUTC&gt;Q391),1,0)</f>
        <v/>
      </c>
      <c r="AL391" s="67">
        <f>IF(AND(AI391=1,OR(TRIM(U391)="Fail",AB391="Open",AND(ISNUMBER(AF391),AF391&lt;&gt;0,TRIM(U391)&lt;&gt;"Pass after CA"))),1,0)</f>
        <v/>
      </c>
      <c r="AM391" s="67">
        <f>IF(LEFT(AH391,7)="INVALID",1,0)</f>
        <v/>
      </c>
      <c r="AN391" s="67">
        <f>IF(AND(N391="Clarification required",AI391=1,AJ391=0),1,0)</f>
        <v/>
      </c>
      <c r="AO391" s="67">
        <f>IF(AK391=1,SUM(AK$5:AK391),"")</f>
        <v/>
      </c>
      <c r="AP391" s="67">
        <f>IF(AL391=1,SUM(AL$5:AL391),"")</f>
        <v/>
      </c>
      <c r="AQ391" s="67" t="n">
        <v>0</v>
      </c>
      <c r="AR391" s="67" t="n">
        <v>1</v>
      </c>
      <c r="AS391" s="67" t="n">
        <v>0</v>
      </c>
      <c r="AT391" s="67" t="n">
        <v>0</v>
      </c>
    </row>
    <row r="392" ht="40" customHeight="1">
      <c r="A392" s="63" t="inlineStr">
        <is>
          <t>F12-T12-03</t>
        </is>
      </c>
      <c r="B392" s="63" t="inlineStr">
        <is>
          <t>F12</t>
        </is>
      </c>
      <c r="C392" s="63">
        <f>Flights!$F$16</f>
        <v/>
      </c>
      <c r="D392" s="64">
        <f>Flights!$D$16</f>
        <v/>
      </c>
      <c r="E392" s="63">
        <f>Flights!$G$16&amp;"-"&amp;Flights!$H$16</f>
        <v/>
      </c>
      <c r="F392" s="63">
        <f>Flights!$K$16</f>
        <v/>
      </c>
      <c r="G392" s="63" t="inlineStr">
        <is>
          <t>T-12H PREP</t>
        </is>
      </c>
      <c r="H392" s="63" t="inlineStr">
        <is>
          <t>Preparation</t>
        </is>
      </c>
      <c r="I392" s="63" t="inlineStr">
        <is>
          <t>Equipment</t>
        </is>
      </c>
      <c r="J392" s="63" t="inlineStr">
        <is>
          <t>Equipment cleanliness vs GLD</t>
        </is>
      </c>
      <c r="K392" s="73" t="inlineStr"/>
      <c r="L392" s="73" t="inlineStr">
        <is>
          <t>User brief (T-12 hours)</t>
        </is>
      </c>
      <c r="M392" s="73" t="inlineStr"/>
      <c r="N392" s="73" t="inlineStr">
        <is>
          <t>Required</t>
        </is>
      </c>
      <c r="O392" s="73" t="inlineStr">
        <is>
          <t>Preparation check at caterer - does NOT confirm loading.</t>
        </is>
      </c>
      <c r="P392" s="63" t="inlineStr">
        <is>
          <t>KUL</t>
        </is>
      </c>
      <c r="Q392" s="65">
        <f>Flights!$AE$16</f>
        <v/>
      </c>
      <c r="R392" s="65">
        <f>Q392+(IF(AND(INDEX(TZ_DSTS,MATCH(P392,TZ_STN,0))&lt;&gt;"",Q392&gt;=INDEX(TZ_DSTS,MATCH(P392,TZ_STN,0)),Q392&lt;INDEX(TZ_DSTE,MATCH(P392,TZ_STN,0))),INDEX(TZ_DST,MATCH(P392,TZ_STN,0)),INDEX(TZ_STD,MATCH(P392,TZ_STN,0))))/24</f>
        <v/>
      </c>
      <c r="S392" s="65">
        <f>Q392-T12EarlyH/24</f>
        <v/>
      </c>
      <c r="T392" s="66" t="n"/>
      <c r="U392" s="66" t="n"/>
      <c r="V392" s="66" t="n"/>
      <c r="W392" s="67" t="n"/>
      <c r="X392" s="66" t="n"/>
      <c r="Y392" s="66" t="n"/>
      <c r="Z392" s="66" t="n"/>
      <c r="AA392" s="66" t="n"/>
      <c r="AB392" s="66" t="n"/>
      <c r="AC392" s="66" t="n"/>
      <c r="AD392" s="72" t="n"/>
      <c r="AE392" s="66" t="n"/>
      <c r="AF392" s="67">
        <f>IF(AND(ISNUMBER(X392),ISNUMBER(Y392)),Y392-X392,"")</f>
        <v/>
      </c>
      <c r="AG392" s="68">
        <f>IF(ISNUMBER(AD392),AD392-(IF(AND(INDEX(TZ_DSTS,MATCH(P392,TZ_STN,0))&lt;&gt;"",(AD392-INDEX(TZ_STD,MATCH(P392,TZ_STN,0))/24)&gt;=INDEX(TZ_DSTS,MATCH(P392,TZ_STN,0)),(AD392-INDEX(TZ_STD,MATCH(P392,TZ_STN,0))/24)&lt;INDEX(TZ_DSTE,MATCH(P392,TZ_STN,0))),INDEX(TZ_DST,MATCH(P392,TZ_STN,0)),INDEX(TZ_STD,MATCH(P392,TZ_STN,0))))/24,"")</f>
        <v/>
      </c>
      <c r="AH392" s="71">
        <f>IF(N392="N/A – rule","N/A – RULE",IF(TRIM(U392)="N/A",IF(AT392=0,"INVALID – N/A not permitted for this mandatory check",IF(AND(TRIM(AC392)&lt;&gt;"",TRIM(AE392)&lt;&gt;"",TRIM(T392)&lt;&gt;""),"N/A – JUSTIFIED","INVALID – N/A needs justification, PIC and verifier")),IF(OR(TRIM(U392)="Pass",TRIM(U392)="Pass after CA"),IF(NOT(ISNUMBER(AD392)),"INVALID – completion time missing",IF(TRIM(T392)="","INVALID – PIC missing",IF(TRIM(Z392)="","INVALID – evidence missing",IF(TRIM(AE392)="","INVALID – verifier missing",IF(AND(AQ392=1,TRIM(W392)=""),"INVALID – batch ID missing",IF(AND(AR392=1,OR(NOT(ISNUMBER(X392)),NOT(ISNUMBER(Y392)))),"INVALID – expected/actual qty missing",IF(IF(AND(TRIM(U392)="Pass",ISNUMBER(AF392)),IF(AF392&lt;&gt;0,"INVALID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recorded/closed","")&lt;&gt;"",IF(AND(TRIM(U392)="Pass",ISNUMBER(AF392)),IF(AF392&lt;&gt;0,"INVALID – qty variance: use Fail or Pass after CA",""),"")&amp;IF(AND(TRIM(U392)="Pass",AB392="Open"),"INVALID – corrective action still open: use Fail, then Pass after CA","")&amp;IF(AND(TRIM(U392)="Pass after CA",OR(TRIM(AA392)="",AB392&lt;&gt;"Closed")),"INVALID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window"),IF(AG392&gt;Flights!$AA$16,"INVALID – completed after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f>
        <v/>
      </c>
      <c r="AI392" s="67">
        <f>IF(OR(AH392="N/A – RULE",AH392="N/A – JUSTIFIED"),0,1)</f>
        <v/>
      </c>
      <c r="AJ392" s="67">
        <f>IF(LEFT(AH392,8)="COMPLETE",1,0)</f>
        <v/>
      </c>
      <c r="AK392" s="67">
        <f>IF(AND(AI392=1,AJ392=0,AsOfUTC&gt;Q392),1,0)</f>
        <v/>
      </c>
      <c r="AL392" s="67">
        <f>IF(AND(AI392=1,OR(TRIM(U392)="Fail",AB392="Open",AND(ISNUMBER(AF392),AF392&lt;&gt;0,TRIM(U392)&lt;&gt;"Pass after CA"))),1,0)</f>
        <v/>
      </c>
      <c r="AM392" s="67">
        <f>IF(LEFT(AH392,7)="INVALID",1,0)</f>
        <v/>
      </c>
      <c r="AN392" s="67">
        <f>IF(AND(N392="Clarification required",AI392=1,AJ392=0),1,0)</f>
        <v/>
      </c>
      <c r="AO392" s="67">
        <f>IF(AK392=1,SUM(AK$5:AK392),"")</f>
        <v/>
      </c>
      <c r="AP392" s="67">
        <f>IF(AL392=1,SUM(AL$5:AL392),"")</f>
        <v/>
      </c>
      <c r="AQ392" s="67" t="n">
        <v>0</v>
      </c>
      <c r="AR392" s="67" t="n">
        <v>0</v>
      </c>
      <c r="AS392" s="67" t="n">
        <v>0</v>
      </c>
      <c r="AT392" s="67" t="n">
        <v>0</v>
      </c>
    </row>
    <row r="393" ht="40" customHeight="1">
      <c r="A393" s="63" t="inlineStr">
        <is>
          <t>F12-T12-04</t>
        </is>
      </c>
      <c r="B393" s="63" t="inlineStr">
        <is>
          <t>F12</t>
        </is>
      </c>
      <c r="C393" s="63">
        <f>Flights!$F$16</f>
        <v/>
      </c>
      <c r="D393" s="64">
        <f>Flights!$D$16</f>
        <v/>
      </c>
      <c r="E393" s="63">
        <f>Flights!$G$16&amp;"-"&amp;Flights!$H$16</f>
        <v/>
      </c>
      <c r="F393" s="63">
        <f>Flights!$K$16</f>
        <v/>
      </c>
      <c r="G393" s="63" t="inlineStr">
        <is>
          <t>T-12H PREP</t>
        </is>
      </c>
      <c r="H393" s="63" t="inlineStr">
        <is>
          <t>Preparation</t>
        </is>
      </c>
      <c r="I393" s="63" t="inlineStr">
        <is>
          <t>Equipment</t>
        </is>
      </c>
      <c r="J393" s="63" t="inlineStr">
        <is>
          <t>Equipment presentation vs GLD</t>
        </is>
      </c>
      <c r="K393" s="73" t="inlineStr"/>
      <c r="L393" s="73" t="inlineStr">
        <is>
          <t>User brief (T-12 hours)</t>
        </is>
      </c>
      <c r="M393" s="73" t="inlineStr"/>
      <c r="N393" s="73" t="inlineStr">
        <is>
          <t>Required</t>
        </is>
      </c>
      <c r="O393" s="73" t="inlineStr">
        <is>
          <t>Preparation check at caterer - does NOT confirm loading.</t>
        </is>
      </c>
      <c r="P393" s="63" t="inlineStr">
        <is>
          <t>KUL</t>
        </is>
      </c>
      <c r="Q393" s="65">
        <f>Flights!$AE$16</f>
        <v/>
      </c>
      <c r="R393" s="65">
        <f>Q393+(IF(AND(INDEX(TZ_DSTS,MATCH(P393,TZ_STN,0))&lt;&gt;"",Q393&gt;=INDEX(TZ_DSTS,MATCH(P393,TZ_STN,0)),Q393&lt;INDEX(TZ_DSTE,MATCH(P393,TZ_STN,0))),INDEX(TZ_DST,MATCH(P393,TZ_STN,0)),INDEX(TZ_STD,MATCH(P393,TZ_STN,0))))/24</f>
        <v/>
      </c>
      <c r="S393" s="65">
        <f>Q393-T12EarlyH/24</f>
        <v/>
      </c>
      <c r="T393" s="66" t="n"/>
      <c r="U393" s="66" t="n"/>
      <c r="V393" s="66" t="n"/>
      <c r="W393" s="67" t="n"/>
      <c r="X393" s="66" t="n"/>
      <c r="Y393" s="66" t="n"/>
      <c r="Z393" s="66" t="n"/>
      <c r="AA393" s="66" t="n"/>
      <c r="AB393" s="66" t="n"/>
      <c r="AC393" s="66" t="n"/>
      <c r="AD393" s="72" t="n"/>
      <c r="AE393" s="66" t="n"/>
      <c r="AF393" s="67">
        <f>IF(AND(ISNUMBER(X393),ISNUMBER(Y393)),Y393-X393,"")</f>
        <v/>
      </c>
      <c r="AG393" s="68">
        <f>IF(ISNUMBER(AD393),AD393-(IF(AND(INDEX(TZ_DSTS,MATCH(P393,TZ_STN,0))&lt;&gt;"",(AD393-INDEX(TZ_STD,MATCH(P393,TZ_STN,0))/24)&gt;=INDEX(TZ_DSTS,MATCH(P393,TZ_STN,0)),(AD393-INDEX(TZ_STD,MATCH(P393,TZ_STN,0))/24)&lt;INDEX(TZ_DSTE,MATCH(P393,TZ_STN,0))),INDEX(TZ_DST,MATCH(P393,TZ_STN,0)),INDEX(TZ_STD,MATCH(P393,TZ_STN,0))))/24,"")</f>
        <v/>
      </c>
      <c r="AH393" s="71">
        <f>IF(N393="N/A – rule","N/A – RULE",IF(TRIM(U393)="N/A",IF(AT393=0,"INVALID – N/A not permitted for this mandatory check",IF(AND(TRIM(AC393)&lt;&gt;"",TRIM(AE393)&lt;&gt;"",TRIM(T393)&lt;&gt;""),"N/A – JUSTIFIED","INVALID – N/A needs justification, PIC and verifier")),IF(OR(TRIM(U393)="Pass",TRIM(U393)="Pass after CA"),IF(NOT(ISNUMBER(AD393)),"INVALID – completion time missing",IF(TRIM(T393)="","INVALID – PIC missing",IF(TRIM(Z393)="","INVALID – evidence missing",IF(TRIM(AE393)="","INVALID – verifier missing",IF(AND(AQ393=1,TRIM(W393)=""),"INVALID – batch ID missing",IF(AND(AR393=1,OR(NOT(ISNUMBER(X393)),NOT(ISNUMBER(Y393)))),"INVALID – expected/actual qty missing",IF(IF(AND(TRIM(U393)="Pass",ISNUMBER(AF393)),IF(AF393&lt;&gt;0,"INVALID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recorded/closed","")&lt;&gt;"",IF(AND(TRIM(U393)="Pass",ISNUMBER(AF393)),IF(AF393&lt;&gt;0,"INVALID – qty variance: use Fail or Pass after CA",""),"")&amp;IF(AND(TRIM(U393)="Pass",AB393="Open"),"INVALID – corrective action still open: use Fail, then Pass after CA","")&amp;IF(AND(TRIM(U393)="Pass after CA",OR(TRIM(AA393)="",AB393&lt;&gt;"Closed")),"INVALID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window"),IF(AG393&gt;Flights!$AA$16,"INVALID – completed after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f>
        <v/>
      </c>
      <c r="AI393" s="67">
        <f>IF(OR(AH393="N/A – RULE",AH393="N/A – JUSTIFIED"),0,1)</f>
        <v/>
      </c>
      <c r="AJ393" s="67">
        <f>IF(LEFT(AH393,8)="COMPLETE",1,0)</f>
        <v/>
      </c>
      <c r="AK393" s="67">
        <f>IF(AND(AI393=1,AJ393=0,AsOfUTC&gt;Q393),1,0)</f>
        <v/>
      </c>
      <c r="AL393" s="67">
        <f>IF(AND(AI393=1,OR(TRIM(U393)="Fail",AB393="Open",AND(ISNUMBER(AF393),AF393&lt;&gt;0,TRIM(U393)&lt;&gt;"Pass after CA"))),1,0)</f>
        <v/>
      </c>
      <c r="AM393" s="67">
        <f>IF(LEFT(AH393,7)="INVALID",1,0)</f>
        <v/>
      </c>
      <c r="AN393" s="67">
        <f>IF(AND(N393="Clarification required",AI393=1,AJ393=0),1,0)</f>
        <v/>
      </c>
      <c r="AO393" s="67">
        <f>IF(AK393=1,SUM(AK$5:AK393),"")</f>
        <v/>
      </c>
      <c r="AP393" s="67">
        <f>IF(AL393=1,SUM(AL$5:AL393),"")</f>
        <v/>
      </c>
      <c r="AQ393" s="67" t="n">
        <v>0</v>
      </c>
      <c r="AR393" s="67" t="n">
        <v>0</v>
      </c>
      <c r="AS393" s="67" t="n">
        <v>0</v>
      </c>
      <c r="AT393" s="67" t="n">
        <v>0</v>
      </c>
    </row>
    <row r="394" ht="40" customHeight="1">
      <c r="A394" s="63" t="inlineStr">
        <is>
          <t>F12-T12-05</t>
        </is>
      </c>
      <c r="B394" s="63" t="inlineStr">
        <is>
          <t>F12</t>
        </is>
      </c>
      <c r="C394" s="63">
        <f>Flights!$F$16</f>
        <v/>
      </c>
      <c r="D394" s="64">
        <f>Flights!$D$16</f>
        <v/>
      </c>
      <c r="E394" s="63">
        <f>Flights!$G$16&amp;"-"&amp;Flights!$H$16</f>
        <v/>
      </c>
      <c r="F394" s="63">
        <f>Flights!$K$16</f>
        <v/>
      </c>
      <c r="G394" s="63" t="inlineStr">
        <is>
          <t>T-12H PREP</t>
        </is>
      </c>
      <c r="H394" s="63" t="inlineStr">
        <is>
          <t>Preparation</t>
        </is>
      </c>
      <c r="I394" s="63" t="inlineStr">
        <is>
          <t>Equipment</t>
        </is>
      </c>
      <c r="J394" s="63" t="inlineStr">
        <is>
          <t>Equipment serviceability vs GLD</t>
        </is>
      </c>
      <c r="K394" s="73" t="inlineStr"/>
      <c r="L394" s="73" t="inlineStr">
        <is>
          <t>User brief (T-12 hours)</t>
        </is>
      </c>
      <c r="M394" s="73" t="inlineStr"/>
      <c r="N394" s="73" t="inlineStr">
        <is>
          <t>Required</t>
        </is>
      </c>
      <c r="O394" s="73" t="inlineStr">
        <is>
          <t>Preparation check at caterer - does NOT confirm loading.</t>
        </is>
      </c>
      <c r="P394" s="63" t="inlineStr">
        <is>
          <t>KUL</t>
        </is>
      </c>
      <c r="Q394" s="65">
        <f>Flights!$AE$16</f>
        <v/>
      </c>
      <c r="R394" s="65">
        <f>Q394+(IF(AND(INDEX(TZ_DSTS,MATCH(P394,TZ_STN,0))&lt;&gt;"",Q394&gt;=INDEX(TZ_DSTS,MATCH(P394,TZ_STN,0)),Q394&lt;INDEX(TZ_DSTE,MATCH(P394,TZ_STN,0))),INDEX(TZ_DST,MATCH(P394,TZ_STN,0)),INDEX(TZ_STD,MATCH(P394,TZ_STN,0))))/24</f>
        <v/>
      </c>
      <c r="S394" s="65">
        <f>Q394-T12EarlyH/24</f>
        <v/>
      </c>
      <c r="T394" s="66" t="n"/>
      <c r="U394" s="66" t="n"/>
      <c r="V394" s="66" t="n"/>
      <c r="W394" s="67" t="n"/>
      <c r="X394" s="66" t="n"/>
      <c r="Y394" s="66" t="n"/>
      <c r="Z394" s="66" t="n"/>
      <c r="AA394" s="66" t="n"/>
      <c r="AB394" s="66" t="n"/>
      <c r="AC394" s="66" t="n"/>
      <c r="AD394" s="72" t="n"/>
      <c r="AE394" s="66" t="n"/>
      <c r="AF394" s="67">
        <f>IF(AND(ISNUMBER(X394),ISNUMBER(Y394)),Y394-X394,"")</f>
        <v/>
      </c>
      <c r="AG394" s="68">
        <f>IF(ISNUMBER(AD394),AD394-(IF(AND(INDEX(TZ_DSTS,MATCH(P394,TZ_STN,0))&lt;&gt;"",(AD394-INDEX(TZ_STD,MATCH(P394,TZ_STN,0))/24)&gt;=INDEX(TZ_DSTS,MATCH(P394,TZ_STN,0)),(AD394-INDEX(TZ_STD,MATCH(P394,TZ_STN,0))/24)&lt;INDEX(TZ_DSTE,MATCH(P394,TZ_STN,0))),INDEX(TZ_DST,MATCH(P394,TZ_STN,0)),INDEX(TZ_STD,MATCH(P394,TZ_STN,0))))/24,"")</f>
        <v/>
      </c>
      <c r="AH394" s="71">
        <f>IF(N394="N/A – rule","N/A – RULE",IF(TRIM(U394)="N/A",IF(AT394=0,"INVALID – N/A not permitted for this mandatory check",IF(AND(TRIM(AC394)&lt;&gt;"",TRIM(AE394)&lt;&gt;"",TRIM(T394)&lt;&gt;""),"N/A – JUSTIFIED","INVALID – N/A needs justification, PIC and verifier")),IF(OR(TRIM(U394)="Pass",TRIM(U394)="Pass after CA"),IF(NOT(ISNUMBER(AD394)),"INVALID – completion time missing",IF(TRIM(T394)="","INVALID – PIC missing",IF(TRIM(Z394)="","INVALID – evidence missing",IF(TRIM(AE394)="","INVALID – verifier missing",IF(AND(AQ394=1,TRIM(W394)=""),"INVALID – batch ID missing",IF(AND(AR394=1,OR(NOT(ISNUMBER(X394)),NOT(ISNUMBER(Y394)))),"INVALID – expected/actual qty missing",IF(IF(AND(TRIM(U394)="Pass",ISNUMBER(AF394)),IF(AF394&lt;&gt;0,"INVALID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recorded/closed","")&lt;&gt;"",IF(AND(TRIM(U394)="Pass",ISNUMBER(AF394)),IF(AF394&lt;&gt;0,"INVALID – qty variance: use Fail or Pass after CA",""),"")&amp;IF(AND(TRIM(U394)="Pass",AB394="Open"),"INVALID – corrective action still open: use Fail, then Pass after CA","")&amp;IF(AND(TRIM(U394)="Pass after CA",OR(TRIM(AA394)="",AB394&lt;&gt;"Closed")),"INVALID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window"),IF(AG394&gt;Flights!$AA$16,"INVALID – completed after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f>
        <v/>
      </c>
      <c r="AI394" s="67">
        <f>IF(OR(AH394="N/A – RULE",AH394="N/A – JUSTIFIED"),0,1)</f>
        <v/>
      </c>
      <c r="AJ394" s="67">
        <f>IF(LEFT(AH394,8)="COMPLETE",1,0)</f>
        <v/>
      </c>
      <c r="AK394" s="67">
        <f>IF(AND(AI394=1,AJ394=0,AsOfUTC&gt;Q394),1,0)</f>
        <v/>
      </c>
      <c r="AL394" s="67">
        <f>IF(AND(AI394=1,OR(TRIM(U394)="Fail",AB394="Open",AND(ISNUMBER(AF394),AF394&lt;&gt;0,TRIM(U394)&lt;&gt;"Pass after CA"))),1,0)</f>
        <v/>
      </c>
      <c r="AM394" s="67">
        <f>IF(LEFT(AH394,7)="INVALID",1,0)</f>
        <v/>
      </c>
      <c r="AN394" s="67">
        <f>IF(AND(N394="Clarification required",AI394=1,AJ394=0),1,0)</f>
        <v/>
      </c>
      <c r="AO394" s="67">
        <f>IF(AK394=1,SUM(AK$5:AK394),"")</f>
        <v/>
      </c>
      <c r="AP394" s="67">
        <f>IF(AL394=1,SUM(AL$5:AL394),"")</f>
        <v/>
      </c>
      <c r="AQ394" s="67" t="n">
        <v>0</v>
      </c>
      <c r="AR394" s="67" t="n">
        <v>0</v>
      </c>
      <c r="AS394" s="67" t="n">
        <v>0</v>
      </c>
      <c r="AT394" s="67" t="n">
        <v>0</v>
      </c>
    </row>
    <row r="395" ht="79" customHeight="1">
      <c r="A395" s="63" t="inlineStr">
        <is>
          <t>F12-T12-06</t>
        </is>
      </c>
      <c r="B395" s="63" t="inlineStr">
        <is>
          <t>F12</t>
        </is>
      </c>
      <c r="C395" s="63">
        <f>Flights!$F$16</f>
        <v/>
      </c>
      <c r="D395" s="64">
        <f>Flights!$D$16</f>
        <v/>
      </c>
      <c r="E395" s="63">
        <f>Flights!$G$16&amp;"-"&amp;Flights!$H$16</f>
        <v/>
      </c>
      <c r="F395" s="63">
        <f>Flights!$K$16</f>
        <v/>
      </c>
      <c r="G395" s="63" t="inlineStr">
        <is>
          <t>T-12H PREP</t>
        </is>
      </c>
      <c r="H395" s="63" t="inlineStr">
        <is>
          <t>Preparation</t>
        </is>
      </c>
      <c r="I395" s="63" t="inlineStr">
        <is>
          <t>Equipment</t>
        </is>
      </c>
      <c r="J395" s="63" t="inlineStr">
        <is>
          <t>Equipment quantities vs GLD</t>
        </is>
      </c>
      <c r="K395" s="73" t="inlineStr">
        <is>
          <t>Enter expected &amp; actual. Aircraft galley data: A330-900 (A339): carts 43.5, SU 111, ovens 13, warming ovens 4, fridges 2, water heaters 6, beverage makers -, espresso 1, folding trolleys 4, headsets BC: Dual Pin/ EY: Single Pin (AIRCRAFT TYPE!C8:R8)</t>
        </is>
      </c>
      <c r="L395" s="73" t="inlineStr">
        <is>
          <t>User brief (T-12 hours)</t>
        </is>
      </c>
      <c r="M395" s="73" t="inlineStr"/>
      <c r="N395" s="73" t="inlineStr">
        <is>
          <t>Required</t>
        </is>
      </c>
      <c r="O395" s="73" t="inlineStr">
        <is>
          <t>Preparation check at caterer - does NOT confirm loading.</t>
        </is>
      </c>
      <c r="P395" s="63" t="inlineStr">
        <is>
          <t>KUL</t>
        </is>
      </c>
      <c r="Q395" s="65">
        <f>Flights!$AE$16</f>
        <v/>
      </c>
      <c r="R395" s="65">
        <f>Q395+(IF(AND(INDEX(TZ_DSTS,MATCH(P395,TZ_STN,0))&lt;&gt;"",Q395&gt;=INDEX(TZ_DSTS,MATCH(P395,TZ_STN,0)),Q395&lt;INDEX(TZ_DSTE,MATCH(P395,TZ_STN,0))),INDEX(TZ_DST,MATCH(P395,TZ_STN,0)),INDEX(TZ_STD,MATCH(P395,TZ_STN,0))))/24</f>
        <v/>
      </c>
      <c r="S395" s="65">
        <f>Q395-T12EarlyH/24</f>
        <v/>
      </c>
      <c r="T395" s="66" t="n"/>
      <c r="U395" s="66" t="n"/>
      <c r="V395" s="66" t="n"/>
      <c r="W395" s="67" t="n"/>
      <c r="X395" s="66" t="n"/>
      <c r="Y395" s="66" t="n"/>
      <c r="Z395" s="66" t="n"/>
      <c r="AA395" s="66" t="n"/>
      <c r="AB395" s="66" t="n"/>
      <c r="AC395" s="66" t="n"/>
      <c r="AD395" s="72" t="n"/>
      <c r="AE395" s="66" t="n"/>
      <c r="AF395" s="67">
        <f>IF(AND(ISNUMBER(X395),ISNUMBER(Y395)),Y395-X395,"")</f>
        <v/>
      </c>
      <c r="AG395" s="68">
        <f>IF(ISNUMBER(AD395),AD395-(IF(AND(INDEX(TZ_DSTS,MATCH(P395,TZ_STN,0))&lt;&gt;"",(AD395-INDEX(TZ_STD,MATCH(P395,TZ_STN,0))/24)&gt;=INDEX(TZ_DSTS,MATCH(P395,TZ_STN,0)),(AD395-INDEX(TZ_STD,MATCH(P395,TZ_STN,0))/24)&lt;INDEX(TZ_DSTE,MATCH(P395,TZ_STN,0))),INDEX(TZ_DST,MATCH(P395,TZ_STN,0)),INDEX(TZ_STD,MATCH(P395,TZ_STN,0))))/24,"")</f>
        <v/>
      </c>
      <c r="AH395" s="71">
        <f>IF(N395="N/A – rule","N/A – RULE",IF(TRIM(U395)="N/A",IF(AT395=0,"INVALID – N/A not permitted for this mandatory check",IF(AND(TRIM(AC395)&lt;&gt;"",TRIM(AE395)&lt;&gt;"",TRIM(T395)&lt;&gt;""),"N/A – JUSTIFIED","INVALID – N/A needs justification, PIC and verifier")),IF(OR(TRIM(U395)="Pass",TRIM(U395)="Pass after CA"),IF(NOT(ISNUMBER(AD395)),"INVALID – completion time missing",IF(TRIM(T395)="","INVALID – PIC missing",IF(TRIM(Z395)="","INVALID – evidence missing",IF(TRIM(AE395)="","INVALID – verifier missing",IF(AND(AQ395=1,TRIM(W395)=""),"INVALID – batch ID missing",IF(AND(AR395=1,OR(NOT(ISNUMBER(X395)),NOT(ISNUMBER(Y395)))),"INVALID – expected/actual qty missing",IF(IF(AND(TRIM(U395)="Pass",ISNUMBER(AF395)),IF(AF395&lt;&gt;0,"INVALID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recorded/closed","")&lt;&gt;"",IF(AND(TRIM(U395)="Pass",ISNUMBER(AF395)),IF(AF395&lt;&gt;0,"INVALID – qty variance: use Fail or Pass after CA",""),"")&amp;IF(AND(TRIM(U395)="Pass",AB395="Open"),"INVALID – corrective action still open: use Fail, then Pass after CA","")&amp;IF(AND(TRIM(U395)="Pass after CA",OR(TRIM(AA395)="",AB395&lt;&gt;"Closed")),"INVALID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window"),IF(AG395&gt;Flights!$AA$16,"INVALID – completed after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f>
        <v/>
      </c>
      <c r="AI395" s="67">
        <f>IF(OR(AH395="N/A – RULE",AH395="N/A – JUSTIFIED"),0,1)</f>
        <v/>
      </c>
      <c r="AJ395" s="67">
        <f>IF(LEFT(AH395,8)="COMPLETE",1,0)</f>
        <v/>
      </c>
      <c r="AK395" s="67">
        <f>IF(AND(AI395=1,AJ395=0,AsOfUTC&gt;Q395),1,0)</f>
        <v/>
      </c>
      <c r="AL395" s="67">
        <f>IF(AND(AI395=1,OR(TRIM(U395)="Fail",AB395="Open",AND(ISNUMBER(AF395),AF395&lt;&gt;0,TRIM(U395)&lt;&gt;"Pass after CA"))),1,0)</f>
        <v/>
      </c>
      <c r="AM395" s="67">
        <f>IF(LEFT(AH395,7)="INVALID",1,0)</f>
        <v/>
      </c>
      <c r="AN395" s="67">
        <f>IF(AND(N395="Clarification required",AI395=1,AJ395=0),1,0)</f>
        <v/>
      </c>
      <c r="AO395" s="67">
        <f>IF(AK395=1,SUM(AK$5:AK395),"")</f>
        <v/>
      </c>
      <c r="AP395" s="67">
        <f>IF(AL395=1,SUM(AL$5:AL395),"")</f>
        <v/>
      </c>
      <c r="AQ395" s="67" t="n">
        <v>0</v>
      </c>
      <c r="AR395" s="67" t="n">
        <v>1</v>
      </c>
      <c r="AS395" s="67" t="n">
        <v>0</v>
      </c>
      <c r="AT395" s="67" t="n">
        <v>0</v>
      </c>
    </row>
    <row r="396" ht="40" customHeight="1">
      <c r="A396" s="63" t="inlineStr">
        <is>
          <t>F12-T12-07</t>
        </is>
      </c>
      <c r="B396" s="63" t="inlineStr">
        <is>
          <t>F12</t>
        </is>
      </c>
      <c r="C396" s="63">
        <f>Flights!$F$16</f>
        <v/>
      </c>
      <c r="D396" s="64">
        <f>Flights!$D$16</f>
        <v/>
      </c>
      <c r="E396" s="63">
        <f>Flights!$G$16&amp;"-"&amp;Flights!$H$16</f>
        <v/>
      </c>
      <c r="F396" s="63">
        <f>Flights!$K$16</f>
        <v/>
      </c>
      <c r="G396" s="63" t="inlineStr">
        <is>
          <t>T-12H PREP</t>
        </is>
      </c>
      <c r="H396" s="63" t="inlineStr">
        <is>
          <t>Preparation</t>
        </is>
      </c>
      <c r="I396" s="63" t="inlineStr">
        <is>
          <t>Equipment</t>
        </is>
      </c>
      <c r="J396" s="63" t="inlineStr">
        <is>
          <t>Loading positions planned vs GLD</t>
        </is>
      </c>
      <c r="K396" s="73" t="inlineStr"/>
      <c r="L396" s="73" t="inlineStr">
        <is>
          <t>User brief (T-12 hours)</t>
        </is>
      </c>
      <c r="M396" s="73" t="inlineStr"/>
      <c r="N396" s="73" t="inlineStr">
        <is>
          <t>Required</t>
        </is>
      </c>
      <c r="O396" s="73" t="inlineStr">
        <is>
          <t>Preparation check at caterer - does NOT confirm loading.</t>
        </is>
      </c>
      <c r="P396" s="63" t="inlineStr">
        <is>
          <t>KUL</t>
        </is>
      </c>
      <c r="Q396" s="65">
        <f>Flights!$AE$16</f>
        <v/>
      </c>
      <c r="R396" s="65">
        <f>Q396+(IF(AND(INDEX(TZ_DSTS,MATCH(P396,TZ_STN,0))&lt;&gt;"",Q396&gt;=INDEX(TZ_DSTS,MATCH(P396,TZ_STN,0)),Q396&lt;INDEX(TZ_DSTE,MATCH(P396,TZ_STN,0))),INDEX(TZ_DST,MATCH(P396,TZ_STN,0)),INDEX(TZ_STD,MATCH(P396,TZ_STN,0))))/24</f>
        <v/>
      </c>
      <c r="S396" s="65">
        <f>Q396-T12EarlyH/24</f>
        <v/>
      </c>
      <c r="T396" s="66" t="n"/>
      <c r="U396" s="66" t="n"/>
      <c r="V396" s="66" t="n"/>
      <c r="W396" s="67" t="n"/>
      <c r="X396" s="66" t="n"/>
      <c r="Y396" s="66" t="n"/>
      <c r="Z396" s="66" t="n"/>
      <c r="AA396" s="66" t="n"/>
      <c r="AB396" s="66" t="n"/>
      <c r="AC396" s="66" t="n"/>
      <c r="AD396" s="72" t="n"/>
      <c r="AE396" s="66" t="n"/>
      <c r="AF396" s="67">
        <f>IF(AND(ISNUMBER(X396),ISNUMBER(Y396)),Y396-X396,"")</f>
        <v/>
      </c>
      <c r="AG396" s="68">
        <f>IF(ISNUMBER(AD396),AD396-(IF(AND(INDEX(TZ_DSTS,MATCH(P396,TZ_STN,0))&lt;&gt;"",(AD396-INDEX(TZ_STD,MATCH(P396,TZ_STN,0))/24)&gt;=INDEX(TZ_DSTS,MATCH(P396,TZ_STN,0)),(AD396-INDEX(TZ_STD,MATCH(P396,TZ_STN,0))/24)&lt;INDEX(TZ_DSTE,MATCH(P396,TZ_STN,0))),INDEX(TZ_DST,MATCH(P396,TZ_STN,0)),INDEX(TZ_STD,MATCH(P396,TZ_STN,0))))/24,"")</f>
        <v/>
      </c>
      <c r="AH396" s="71">
        <f>IF(N396="N/A – rule","N/A – RULE",IF(TRIM(U396)="N/A",IF(AT396=0,"INVALID – N/A not permitted for this mandatory check",IF(AND(TRIM(AC396)&lt;&gt;"",TRIM(AE396)&lt;&gt;"",TRIM(T396)&lt;&gt;""),"N/A – JUSTIFIED","INVALID – N/A needs justification, PIC and verifier")),IF(OR(TRIM(U396)="Pass",TRIM(U396)="Pass after CA"),IF(NOT(ISNUMBER(AD396)),"INVALID – completion time missing",IF(TRIM(T396)="","INVALID – PIC missing",IF(TRIM(Z396)="","INVALID – evidence missing",IF(TRIM(AE396)="","INVALID – verifier missing",IF(AND(AQ396=1,TRIM(W396)=""),"INVALID – batch ID missing",IF(AND(AR396=1,OR(NOT(ISNUMBER(X396)),NOT(ISNUMBER(Y396)))),"INVALID – expected/actual qty missing",IF(IF(AND(TRIM(U396)="Pass",ISNUMBER(AF396)),IF(AF396&lt;&gt;0,"INVALID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recorded/closed","")&lt;&gt;"",IF(AND(TRIM(U396)="Pass",ISNUMBER(AF396)),IF(AF396&lt;&gt;0,"INVALID – qty variance: use Fail or Pass after CA",""),"")&amp;IF(AND(TRIM(U396)="Pass",AB396="Open"),"INVALID – corrective action still open: use Fail, then Pass after CA","")&amp;IF(AND(TRIM(U396)="Pass after CA",OR(TRIM(AA396)="",AB396&lt;&gt;"Closed")),"INVALID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window"),IF(AG396&gt;Flights!$AA$16,"INVALID – completed after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f>
        <v/>
      </c>
      <c r="AI396" s="67">
        <f>IF(OR(AH396="N/A – RULE",AH396="N/A – JUSTIFIED"),0,1)</f>
        <v/>
      </c>
      <c r="AJ396" s="67">
        <f>IF(LEFT(AH396,8)="COMPLETE",1,0)</f>
        <v/>
      </c>
      <c r="AK396" s="67">
        <f>IF(AND(AI396=1,AJ396=0,AsOfUTC&gt;Q396),1,0)</f>
        <v/>
      </c>
      <c r="AL396" s="67">
        <f>IF(AND(AI396=1,OR(TRIM(U396)="Fail",AB396="Open",AND(ISNUMBER(AF396),AF396&lt;&gt;0,TRIM(U396)&lt;&gt;"Pass after CA"))),1,0)</f>
        <v/>
      </c>
      <c r="AM396" s="67">
        <f>IF(LEFT(AH396,7)="INVALID",1,0)</f>
        <v/>
      </c>
      <c r="AN396" s="67">
        <f>IF(AND(N396="Clarification required",AI396=1,AJ396=0),1,0)</f>
        <v/>
      </c>
      <c r="AO396" s="67">
        <f>IF(AK396=1,SUM(AK$5:AK396),"")</f>
        <v/>
      </c>
      <c r="AP396" s="67">
        <f>IF(AL396=1,SUM(AL$5:AL396),"")</f>
        <v/>
      </c>
      <c r="AQ396" s="67" t="n">
        <v>0</v>
      </c>
      <c r="AR396" s="67" t="n">
        <v>0</v>
      </c>
      <c r="AS396" s="67" t="n">
        <v>0</v>
      </c>
      <c r="AT396" s="67" t="n">
        <v>0</v>
      </c>
    </row>
    <row r="397" ht="40" customHeight="1">
      <c r="A397" s="63" t="inlineStr">
        <is>
          <t>F12-T12-08</t>
        </is>
      </c>
      <c r="B397" s="63" t="inlineStr">
        <is>
          <t>F12</t>
        </is>
      </c>
      <c r="C397" s="63">
        <f>Flights!$F$16</f>
        <v/>
      </c>
      <c r="D397" s="64">
        <f>Flights!$D$16</f>
        <v/>
      </c>
      <c r="E397" s="63">
        <f>Flights!$G$16&amp;"-"&amp;Flights!$H$16</f>
        <v/>
      </c>
      <c r="F397" s="63">
        <f>Flights!$K$16</f>
        <v/>
      </c>
      <c r="G397" s="63" t="inlineStr">
        <is>
          <t>T-12H PREP</t>
        </is>
      </c>
      <c r="H397" s="63" t="inlineStr">
        <is>
          <t>Preparation</t>
        </is>
      </c>
      <c r="I397" s="63" t="inlineStr">
        <is>
          <t>Amenities</t>
        </is>
      </c>
      <c r="J397" s="63" t="inlineStr">
        <is>
          <t>Toiletry kits - prepared</t>
        </is>
      </c>
      <c r="K397" s="73" t="inlineStr">
        <is>
          <t>Available (ticked in reference)</t>
        </is>
      </c>
      <c r="L397" s="73" t="inlineStr">
        <is>
          <t>STD UPLIFT INFORMATION.xlsx &gt; AMENITIES!D18 / H18</t>
        </is>
      </c>
      <c r="M397" s="73" t="inlineStr">
        <is>
          <t>KUL</t>
        </is>
      </c>
      <c r="N397" s="73" t="inlineStr">
        <is>
          <t>Required</t>
        </is>
      </c>
      <c r="O397" s="73" t="inlineStr"/>
      <c r="P397" s="63" t="inlineStr">
        <is>
          <t>KUL</t>
        </is>
      </c>
      <c r="Q397" s="65">
        <f>Flights!$AE$16</f>
        <v/>
      </c>
      <c r="R397" s="65">
        <f>Q397+(IF(AND(INDEX(TZ_DSTS,MATCH(P397,TZ_STN,0))&lt;&gt;"",Q397&gt;=INDEX(TZ_DSTS,MATCH(P397,TZ_STN,0)),Q397&lt;INDEX(TZ_DSTE,MATCH(P397,TZ_STN,0))),INDEX(TZ_DST,MATCH(P397,TZ_STN,0)),INDEX(TZ_STD,MATCH(P397,TZ_STN,0))))/24</f>
        <v/>
      </c>
      <c r="S397" s="65">
        <f>Q397-T12EarlyH/24</f>
        <v/>
      </c>
      <c r="T397" s="66" t="n"/>
      <c r="U397" s="66" t="n"/>
      <c r="V397" s="66" t="n"/>
      <c r="W397" s="67" t="n"/>
      <c r="X397" s="66" t="n"/>
      <c r="Y397" s="66" t="n"/>
      <c r="Z397" s="66" t="n"/>
      <c r="AA397" s="66" t="n"/>
      <c r="AB397" s="66" t="n"/>
      <c r="AC397" s="66" t="n"/>
      <c r="AD397" s="72" t="n"/>
      <c r="AE397" s="66" t="n"/>
      <c r="AF397" s="67">
        <f>IF(AND(ISNUMBER(X397),ISNUMBER(Y397)),Y397-X397,"")</f>
        <v/>
      </c>
      <c r="AG397" s="68">
        <f>IF(ISNUMBER(AD397),AD397-(IF(AND(INDEX(TZ_DSTS,MATCH(P397,TZ_STN,0))&lt;&gt;"",(AD397-INDEX(TZ_STD,MATCH(P397,TZ_STN,0))/24)&gt;=INDEX(TZ_DSTS,MATCH(P397,TZ_STN,0)),(AD397-INDEX(TZ_STD,MATCH(P397,TZ_STN,0))/24)&lt;INDEX(TZ_DSTE,MATCH(P397,TZ_STN,0))),INDEX(TZ_DST,MATCH(P397,TZ_STN,0)),INDEX(TZ_STD,MATCH(P397,TZ_STN,0))))/24,"")</f>
        <v/>
      </c>
      <c r="AH397" s="71">
        <f>IF(N397="N/A – rule","N/A – RULE",IF(TRIM(U397)="N/A",IF(AT397=0,"INVALID – N/A not permitted for this mandatory check",IF(AND(TRIM(AC397)&lt;&gt;"",TRIM(AE397)&lt;&gt;"",TRIM(T397)&lt;&gt;""),"N/A – JUSTIFIED","INVALID – N/A needs justification, PIC and verifier")),IF(OR(TRIM(U397)="Pass",TRIM(U397)="Pass after CA"),IF(NOT(ISNUMBER(AD397)),"INVALID – completion time missing",IF(TRIM(T397)="","INVALID – PIC missing",IF(TRIM(Z397)="","INVALID – evidence missing",IF(TRIM(AE397)="","INVALID – verifier missing",IF(AND(AQ397=1,TRIM(W397)=""),"INVALID – batch ID missing",IF(AND(AR397=1,OR(NOT(ISNUMBER(X397)),NOT(ISNUMBER(Y397)))),"INVALID – expected/actual qty missing",IF(IF(AND(TRIM(U397)="Pass",ISNUMBER(AF397)),IF(AF397&lt;&gt;0,"INVALID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recorded/closed","")&lt;&gt;"",IF(AND(TRIM(U397)="Pass",ISNUMBER(AF397)),IF(AF397&lt;&gt;0,"INVALID – qty variance: use Fail or Pass after CA",""),"")&amp;IF(AND(TRIM(U397)="Pass",AB397="Open"),"INVALID – corrective action still open: use Fail, then Pass after CA","")&amp;IF(AND(TRIM(U397)="Pass after CA",OR(TRIM(AA397)="",AB397&lt;&gt;"Closed")),"INVALID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window"),IF(AG397&gt;Flights!$AA$16,"INVALID – completed after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f>
        <v/>
      </c>
      <c r="AI397" s="67">
        <f>IF(OR(AH397="N/A – RULE",AH397="N/A – JUSTIFIED"),0,1)</f>
        <v/>
      </c>
      <c r="AJ397" s="67">
        <f>IF(LEFT(AH397,8)="COMPLETE",1,0)</f>
        <v/>
      </c>
      <c r="AK397" s="67">
        <f>IF(AND(AI397=1,AJ397=0,AsOfUTC&gt;Q397),1,0)</f>
        <v/>
      </c>
      <c r="AL397" s="67">
        <f>IF(AND(AI397=1,OR(TRIM(U397)="Fail",AB397="Open",AND(ISNUMBER(AF397),AF397&lt;&gt;0,TRIM(U397)&lt;&gt;"Pass after CA"))),1,0)</f>
        <v/>
      </c>
      <c r="AM397" s="67">
        <f>IF(LEFT(AH397,7)="INVALID",1,0)</f>
        <v/>
      </c>
      <c r="AN397" s="67">
        <f>IF(AND(N397="Clarification required",AI397=1,AJ397=0),1,0)</f>
        <v/>
      </c>
      <c r="AO397" s="67">
        <f>IF(AK397=1,SUM(AK$5:AK397),"")</f>
        <v/>
      </c>
      <c r="AP397" s="67">
        <f>IF(AL397=1,SUM(AL$5:AL397),"")</f>
        <v/>
      </c>
      <c r="AQ397" s="67" t="n">
        <v>0</v>
      </c>
      <c r="AR397" s="67" t="n">
        <v>0</v>
      </c>
      <c r="AS397" s="67" t="n">
        <v>0</v>
      </c>
      <c r="AT397" s="67" t="n">
        <v>1</v>
      </c>
    </row>
    <row r="398" ht="40" customHeight="1">
      <c r="A398" s="63" t="inlineStr">
        <is>
          <t>F12-T12-09</t>
        </is>
      </c>
      <c r="B398" s="63" t="inlineStr">
        <is>
          <t>F12</t>
        </is>
      </c>
      <c r="C398" s="63">
        <f>Flights!$F$16</f>
        <v/>
      </c>
      <c r="D398" s="64">
        <f>Flights!$D$16</f>
        <v/>
      </c>
      <c r="E398" s="63">
        <f>Flights!$G$16&amp;"-"&amp;Flights!$H$16</f>
        <v/>
      </c>
      <c r="F398" s="63">
        <f>Flights!$K$16</f>
        <v/>
      </c>
      <c r="G398" s="63" t="inlineStr">
        <is>
          <t>T-12H PREP</t>
        </is>
      </c>
      <c r="H398" s="63" t="inlineStr">
        <is>
          <t>Preparation</t>
        </is>
      </c>
      <c r="I398" s="63" t="inlineStr">
        <is>
          <t>Amenities</t>
        </is>
      </c>
      <c r="J398" s="63" t="inlineStr">
        <is>
          <t>Slippers (BS/BC) - prepared</t>
        </is>
      </c>
      <c r="K398" s="73" t="inlineStr">
        <is>
          <t>Available (ticked in reference)</t>
        </is>
      </c>
      <c r="L398" s="73" t="inlineStr">
        <is>
          <t>STD UPLIFT INFORMATION.xlsx &gt; AMENITIES!G18 / H18</t>
        </is>
      </c>
      <c r="M398" s="73" t="inlineStr">
        <is>
          <t>KUL</t>
        </is>
      </c>
      <c r="N398" s="73" t="inlineStr">
        <is>
          <t>Required</t>
        </is>
      </c>
      <c r="O398" s="73" t="inlineStr"/>
      <c r="P398" s="63" t="inlineStr">
        <is>
          <t>KUL</t>
        </is>
      </c>
      <c r="Q398" s="65">
        <f>Flights!$AE$16</f>
        <v/>
      </c>
      <c r="R398" s="65">
        <f>Q398+(IF(AND(INDEX(TZ_DSTS,MATCH(P398,TZ_STN,0))&lt;&gt;"",Q398&gt;=INDEX(TZ_DSTS,MATCH(P398,TZ_STN,0)),Q398&lt;INDEX(TZ_DSTE,MATCH(P398,TZ_STN,0))),INDEX(TZ_DST,MATCH(P398,TZ_STN,0)),INDEX(TZ_STD,MATCH(P398,TZ_STN,0))))/24</f>
        <v/>
      </c>
      <c r="S398" s="65">
        <f>Q398-T12EarlyH/24</f>
        <v/>
      </c>
      <c r="T398" s="66" t="n"/>
      <c r="U398" s="66" t="n"/>
      <c r="V398" s="66" t="n"/>
      <c r="W398" s="67" t="n"/>
      <c r="X398" s="66" t="n"/>
      <c r="Y398" s="66" t="n"/>
      <c r="Z398" s="66" t="n"/>
      <c r="AA398" s="66" t="n"/>
      <c r="AB398" s="66" t="n"/>
      <c r="AC398" s="66" t="n"/>
      <c r="AD398" s="72" t="n"/>
      <c r="AE398" s="66" t="n"/>
      <c r="AF398" s="67">
        <f>IF(AND(ISNUMBER(X398),ISNUMBER(Y398)),Y398-X398,"")</f>
        <v/>
      </c>
      <c r="AG398" s="68">
        <f>IF(ISNUMBER(AD398),AD398-(IF(AND(INDEX(TZ_DSTS,MATCH(P398,TZ_STN,0))&lt;&gt;"",(AD398-INDEX(TZ_STD,MATCH(P398,TZ_STN,0))/24)&gt;=INDEX(TZ_DSTS,MATCH(P398,TZ_STN,0)),(AD398-INDEX(TZ_STD,MATCH(P398,TZ_STN,0))/24)&lt;INDEX(TZ_DSTE,MATCH(P398,TZ_STN,0))),INDEX(TZ_DST,MATCH(P398,TZ_STN,0)),INDEX(TZ_STD,MATCH(P398,TZ_STN,0))))/24,"")</f>
        <v/>
      </c>
      <c r="AH398" s="71">
        <f>IF(N398="N/A – rule","N/A – RULE",IF(TRIM(U398)="N/A",IF(AT398=0,"INVALID – N/A not permitted for this mandatory check",IF(AND(TRIM(AC398)&lt;&gt;"",TRIM(AE398)&lt;&gt;"",TRIM(T398)&lt;&gt;""),"N/A – JUSTIFIED","INVALID – N/A needs justification, PIC and verifier")),IF(OR(TRIM(U398)="Pass",TRIM(U398)="Pass after CA"),IF(NOT(ISNUMBER(AD398)),"INVALID – completion time missing",IF(TRIM(T398)="","INVALID – PIC missing",IF(TRIM(Z398)="","INVALID – evidence missing",IF(TRIM(AE398)="","INVALID – verifier missing",IF(AND(AQ398=1,TRIM(W398)=""),"INVALID – batch ID missing",IF(AND(AR398=1,OR(NOT(ISNUMBER(X398)),NOT(ISNUMBER(Y398)))),"INVALID – expected/actual qty missing",IF(IF(AND(TRIM(U398)="Pass",ISNUMBER(AF398)),IF(AF398&lt;&gt;0,"INVALID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recorded/closed","")&lt;&gt;"",IF(AND(TRIM(U398)="Pass",ISNUMBER(AF398)),IF(AF398&lt;&gt;0,"INVALID – qty variance: use Fail or Pass after CA",""),"")&amp;IF(AND(TRIM(U398)="Pass",AB398="Open"),"INVALID – corrective action still open: use Fail, then Pass after CA","")&amp;IF(AND(TRIM(U398)="Pass after CA",OR(TRIM(AA398)="",AB398&lt;&gt;"Closed")),"INVALID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window"),IF(AG398&gt;Flights!$AA$16,"INVALID – completed after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f>
        <v/>
      </c>
      <c r="AI398" s="67">
        <f>IF(OR(AH398="N/A – RULE",AH398="N/A – JUSTIFIED"),0,1)</f>
        <v/>
      </c>
      <c r="AJ398" s="67">
        <f>IF(LEFT(AH398,8)="COMPLETE",1,0)</f>
        <v/>
      </c>
      <c r="AK398" s="67">
        <f>IF(AND(AI398=1,AJ398=0,AsOfUTC&gt;Q398),1,0)</f>
        <v/>
      </c>
      <c r="AL398" s="67">
        <f>IF(AND(AI398=1,OR(TRIM(U398)="Fail",AB398="Open",AND(ISNUMBER(AF398),AF398&lt;&gt;0,TRIM(U398)&lt;&gt;"Pass after CA"))),1,0)</f>
        <v/>
      </c>
      <c r="AM398" s="67">
        <f>IF(LEFT(AH398,7)="INVALID",1,0)</f>
        <v/>
      </c>
      <c r="AN398" s="67">
        <f>IF(AND(N398="Clarification required",AI398=1,AJ398=0),1,0)</f>
        <v/>
      </c>
      <c r="AO398" s="67">
        <f>IF(AK398=1,SUM(AK$5:AK398),"")</f>
        <v/>
      </c>
      <c r="AP398" s="67">
        <f>IF(AL398=1,SUM(AL$5:AL398),"")</f>
        <v/>
      </c>
      <c r="AQ398" s="67" t="n">
        <v>0</v>
      </c>
      <c r="AR398" s="67" t="n">
        <v>0</v>
      </c>
      <c r="AS398" s="67" t="n">
        <v>0</v>
      </c>
      <c r="AT398" s="67" t="n">
        <v>1</v>
      </c>
    </row>
    <row r="399" ht="41.5" customHeight="1">
      <c r="A399" s="63" t="inlineStr">
        <is>
          <t>F12-T12-10</t>
        </is>
      </c>
      <c r="B399" s="63" t="inlineStr">
        <is>
          <t>F12</t>
        </is>
      </c>
      <c r="C399" s="63">
        <f>Flights!$F$16</f>
        <v/>
      </c>
      <c r="D399" s="64">
        <f>Flights!$D$16</f>
        <v/>
      </c>
      <c r="E399" s="63">
        <f>Flights!$G$16&amp;"-"&amp;Flights!$H$16</f>
        <v/>
      </c>
      <c r="F399" s="63">
        <f>Flights!$K$16</f>
        <v/>
      </c>
      <c r="G399" s="63" t="inlineStr">
        <is>
          <t>T-12H PREP</t>
        </is>
      </c>
      <c r="H399" s="63" t="inlineStr">
        <is>
          <t>Preparation</t>
        </is>
      </c>
      <c r="I399" s="63" t="inlineStr">
        <is>
          <t>F&amp;B Linen</t>
        </is>
      </c>
      <c r="J399" s="63" t="inlineStr">
        <is>
          <t>Towel - prepared</t>
        </is>
      </c>
      <c r="K399" s="73" t="inlineStr">
        <is>
          <t>Available (ticked in reference)</t>
        </is>
      </c>
      <c r="L399" s="73" t="inlineStr">
        <is>
          <t>STD UPLIFT INFORMATION.xlsx &gt; F&amp;B LINEN!D9</t>
        </is>
      </c>
      <c r="M399" s="73" t="inlineStr">
        <is>
          <t>Not stated in reference</t>
        </is>
      </c>
      <c r="N399" s="73" t="inlineStr">
        <is>
          <t>Required</t>
        </is>
      </c>
      <c r="O399" s="73" t="inlineStr">
        <is>
          <t>Reference gives no uplift stn for this item: preparation checked at the meal uplift stn (KUL) - confirm with caterer.</t>
        </is>
      </c>
      <c r="P399" s="63" t="inlineStr">
        <is>
          <t>KUL</t>
        </is>
      </c>
      <c r="Q399" s="65">
        <f>Flights!$AE$16</f>
        <v/>
      </c>
      <c r="R399" s="65">
        <f>Q399+(IF(AND(INDEX(TZ_DSTS,MATCH(P399,TZ_STN,0))&lt;&gt;"",Q399&gt;=INDEX(TZ_DSTS,MATCH(P399,TZ_STN,0)),Q399&lt;INDEX(TZ_DSTE,MATCH(P399,TZ_STN,0))),INDEX(TZ_DST,MATCH(P399,TZ_STN,0)),INDEX(TZ_STD,MATCH(P399,TZ_STN,0))))/24</f>
        <v/>
      </c>
      <c r="S399" s="65">
        <f>Q399-T12EarlyH/24</f>
        <v/>
      </c>
      <c r="T399" s="66" t="n"/>
      <c r="U399" s="66" t="n"/>
      <c r="V399" s="66" t="n"/>
      <c r="W399" s="67" t="n"/>
      <c r="X399" s="66" t="n"/>
      <c r="Y399" s="66" t="n"/>
      <c r="Z399" s="66" t="n"/>
      <c r="AA399" s="66" t="n"/>
      <c r="AB399" s="66" t="n"/>
      <c r="AC399" s="66" t="n"/>
      <c r="AD399" s="72" t="n"/>
      <c r="AE399" s="66" t="n"/>
      <c r="AF399" s="67">
        <f>IF(AND(ISNUMBER(X399),ISNUMBER(Y399)),Y399-X399,"")</f>
        <v/>
      </c>
      <c r="AG399" s="68">
        <f>IF(ISNUMBER(AD399),AD399-(IF(AND(INDEX(TZ_DSTS,MATCH(P399,TZ_STN,0))&lt;&gt;"",(AD399-INDEX(TZ_STD,MATCH(P399,TZ_STN,0))/24)&gt;=INDEX(TZ_DSTS,MATCH(P399,TZ_STN,0)),(AD399-INDEX(TZ_STD,MATCH(P399,TZ_STN,0))/24)&lt;INDEX(TZ_DSTE,MATCH(P399,TZ_STN,0))),INDEX(TZ_DST,MATCH(P399,TZ_STN,0)),INDEX(TZ_STD,MATCH(P399,TZ_STN,0))))/24,"")</f>
        <v/>
      </c>
      <c r="AH399" s="71">
        <f>IF(N399="N/A – rule","N/A – RULE",IF(TRIM(U399)="N/A",IF(AT399=0,"INVALID – N/A not permitted for this mandatory check",IF(AND(TRIM(AC399)&lt;&gt;"",TRIM(AE399)&lt;&gt;"",TRIM(T399)&lt;&gt;""),"N/A – JUSTIFIED","INVALID – N/A needs justification, PIC and verifier")),IF(OR(TRIM(U399)="Pass",TRIM(U399)="Pass after CA"),IF(NOT(ISNUMBER(AD399)),"INVALID – completion time missing",IF(TRIM(T399)="","INVALID – PIC missing",IF(TRIM(Z399)="","INVALID – evidence missing",IF(TRIM(AE399)="","INVALID – verifier missing",IF(AND(AQ399=1,TRIM(W399)=""),"INVALID – batch ID missing",IF(AND(AR399=1,OR(NOT(ISNUMBER(X399)),NOT(ISNUMBER(Y399)))),"INVALID – expected/actual qty missing",IF(IF(AND(TRIM(U399)="Pass",ISNUMBER(AF399)),IF(AF399&lt;&gt;0,"INVALID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recorded/closed","")&lt;&gt;"",IF(AND(TRIM(U399)="Pass",ISNUMBER(AF399)),IF(AF399&lt;&gt;0,"INVALID – qty variance: use Fail or Pass after CA",""),"")&amp;IF(AND(TRIM(U399)="Pass",AB399="Open"),"INVALID – corrective action still open: use Fail, then Pass after CA","")&amp;IF(AND(TRIM(U399)="Pass after CA",OR(TRIM(AA399)="",AB399&lt;&gt;"Closed")),"INVALID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window"),IF(AG399&gt;Flights!$AA$16,"INVALID – completed after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f>
        <v/>
      </c>
      <c r="AI399" s="67">
        <f>IF(OR(AH399="N/A – RULE",AH399="N/A – JUSTIFIED"),0,1)</f>
        <v/>
      </c>
      <c r="AJ399" s="67">
        <f>IF(LEFT(AH399,8)="COMPLETE",1,0)</f>
        <v/>
      </c>
      <c r="AK399" s="67">
        <f>IF(AND(AI399=1,AJ399=0,AsOfUTC&gt;Q399),1,0)</f>
        <v/>
      </c>
      <c r="AL399" s="67">
        <f>IF(AND(AI399=1,OR(TRIM(U399)="Fail",AB399="Open",AND(ISNUMBER(AF399),AF399&lt;&gt;0,TRIM(U399)&lt;&gt;"Pass after CA"))),1,0)</f>
        <v/>
      </c>
      <c r="AM399" s="67">
        <f>IF(LEFT(AH399,7)="INVALID",1,0)</f>
        <v/>
      </c>
      <c r="AN399" s="67">
        <f>IF(AND(N399="Clarification required",AI399=1,AJ399=0),1,0)</f>
        <v/>
      </c>
      <c r="AO399" s="67">
        <f>IF(AK399=1,SUM(AK$5:AK399),"")</f>
        <v/>
      </c>
      <c r="AP399" s="67">
        <f>IF(AL399=1,SUM(AL$5:AL399),"")</f>
        <v/>
      </c>
      <c r="AQ399" s="67" t="n">
        <v>0</v>
      </c>
      <c r="AR399" s="67" t="n">
        <v>0</v>
      </c>
      <c r="AS399" s="67" t="n">
        <v>0</v>
      </c>
      <c r="AT399" s="67" t="n">
        <v>1</v>
      </c>
    </row>
    <row r="400" ht="41.5" customHeight="1">
      <c r="A400" s="63" t="inlineStr">
        <is>
          <t>F12-T12-11</t>
        </is>
      </c>
      <c r="B400" s="63" t="inlineStr">
        <is>
          <t>F12</t>
        </is>
      </c>
      <c r="C400" s="63">
        <f>Flights!$F$16</f>
        <v/>
      </c>
      <c r="D400" s="64">
        <f>Flights!$D$16</f>
        <v/>
      </c>
      <c r="E400" s="63">
        <f>Flights!$G$16&amp;"-"&amp;Flights!$H$16</f>
        <v/>
      </c>
      <c r="F400" s="63">
        <f>Flights!$K$16</f>
        <v/>
      </c>
      <c r="G400" s="63" t="inlineStr">
        <is>
          <t>T-12H PREP</t>
        </is>
      </c>
      <c r="H400" s="63" t="inlineStr">
        <is>
          <t>Preparation</t>
        </is>
      </c>
      <c r="I400" s="63" t="inlineStr">
        <is>
          <t>F&amp;B Linen</t>
        </is>
      </c>
      <c r="J400" s="63" t="inlineStr">
        <is>
          <t>Tray cloth - prepared</t>
        </is>
      </c>
      <c r="K400" s="73" t="inlineStr">
        <is>
          <t>Available (ticked in reference)</t>
        </is>
      </c>
      <c r="L400" s="73" t="inlineStr">
        <is>
          <t>STD UPLIFT INFORMATION.xlsx &gt; F&amp;B LINEN!E9</t>
        </is>
      </c>
      <c r="M400" s="73" t="inlineStr">
        <is>
          <t>Not stated in reference</t>
        </is>
      </c>
      <c r="N400" s="73" t="inlineStr">
        <is>
          <t>Required</t>
        </is>
      </c>
      <c r="O400" s="73" t="inlineStr">
        <is>
          <t>Reference gives no uplift stn for this item: preparation checked at the meal uplift stn (KUL) - confirm with caterer.</t>
        </is>
      </c>
      <c r="P400" s="63" t="inlineStr">
        <is>
          <t>KUL</t>
        </is>
      </c>
      <c r="Q400" s="65">
        <f>Flights!$AE$16</f>
        <v/>
      </c>
      <c r="R400" s="65">
        <f>Q400+(IF(AND(INDEX(TZ_DSTS,MATCH(P400,TZ_STN,0))&lt;&gt;"",Q400&gt;=INDEX(TZ_DSTS,MATCH(P400,TZ_STN,0)),Q400&lt;INDEX(TZ_DSTE,MATCH(P400,TZ_STN,0))),INDEX(TZ_DST,MATCH(P400,TZ_STN,0)),INDEX(TZ_STD,MATCH(P400,TZ_STN,0))))/24</f>
        <v/>
      </c>
      <c r="S400" s="65">
        <f>Q400-T12EarlyH/24</f>
        <v/>
      </c>
      <c r="T400" s="66" t="n"/>
      <c r="U400" s="66" t="n"/>
      <c r="V400" s="66" t="n"/>
      <c r="W400" s="67" t="n"/>
      <c r="X400" s="66" t="n"/>
      <c r="Y400" s="66" t="n"/>
      <c r="Z400" s="66" t="n"/>
      <c r="AA400" s="66" t="n"/>
      <c r="AB400" s="66" t="n"/>
      <c r="AC400" s="66" t="n"/>
      <c r="AD400" s="72" t="n"/>
      <c r="AE400" s="66" t="n"/>
      <c r="AF400" s="67">
        <f>IF(AND(ISNUMBER(X400),ISNUMBER(Y400)),Y400-X400,"")</f>
        <v/>
      </c>
      <c r="AG400" s="68">
        <f>IF(ISNUMBER(AD400),AD400-(IF(AND(INDEX(TZ_DSTS,MATCH(P400,TZ_STN,0))&lt;&gt;"",(AD400-INDEX(TZ_STD,MATCH(P400,TZ_STN,0))/24)&gt;=INDEX(TZ_DSTS,MATCH(P400,TZ_STN,0)),(AD400-INDEX(TZ_STD,MATCH(P400,TZ_STN,0))/24)&lt;INDEX(TZ_DSTE,MATCH(P400,TZ_STN,0))),INDEX(TZ_DST,MATCH(P400,TZ_STN,0)),INDEX(TZ_STD,MATCH(P400,TZ_STN,0))))/24,"")</f>
        <v/>
      </c>
      <c r="AH400" s="71">
        <f>IF(N400="N/A – rule","N/A – RULE",IF(TRIM(U400)="N/A",IF(AT400=0,"INVALID – N/A not permitted for this mandatory check",IF(AND(TRIM(AC400)&lt;&gt;"",TRIM(AE400)&lt;&gt;"",TRIM(T400)&lt;&gt;""),"N/A – JUSTIFIED","INVALID – N/A needs justification, PIC and verifier")),IF(OR(TRIM(U400)="Pass",TRIM(U400)="Pass after CA"),IF(NOT(ISNUMBER(AD400)),"INVALID – completion time missing",IF(TRIM(T400)="","INVALID – PIC missing",IF(TRIM(Z400)="","INVALID – evidence missing",IF(TRIM(AE400)="","INVALID – verifier missing",IF(AND(AQ400=1,TRIM(W400)=""),"INVALID – batch ID missing",IF(AND(AR400=1,OR(NOT(ISNUMBER(X400)),NOT(ISNUMBER(Y400)))),"INVALID – expected/actual qty missing",IF(IF(AND(TRIM(U400)="Pass",ISNUMBER(AF400)),IF(AF400&lt;&gt;0,"INVALID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recorded/closed","")&lt;&gt;"",IF(AND(TRIM(U400)="Pass",ISNUMBER(AF400)),IF(AF400&lt;&gt;0,"INVALID – qty variance: use Fail or Pass after CA",""),"")&amp;IF(AND(TRIM(U400)="Pass",AB400="Open"),"INVALID – corrective action still open: use Fail, then Pass after CA","")&amp;IF(AND(TRIM(U400)="Pass after CA",OR(TRIM(AA400)="",AB400&lt;&gt;"Closed")),"INVALID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window"),IF(AG400&gt;Flights!$AA$16,"INVALID – completed after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f>
        <v/>
      </c>
      <c r="AI400" s="67">
        <f>IF(OR(AH400="N/A – RULE",AH400="N/A – JUSTIFIED"),0,1)</f>
        <v/>
      </c>
      <c r="AJ400" s="67">
        <f>IF(LEFT(AH400,8)="COMPLETE",1,0)</f>
        <v/>
      </c>
      <c r="AK400" s="67">
        <f>IF(AND(AI400=1,AJ400=0,AsOfUTC&gt;Q400),1,0)</f>
        <v/>
      </c>
      <c r="AL400" s="67">
        <f>IF(AND(AI400=1,OR(TRIM(U400)="Fail",AB400="Open",AND(ISNUMBER(AF400),AF400&lt;&gt;0,TRIM(U400)&lt;&gt;"Pass after CA"))),1,0)</f>
        <v/>
      </c>
      <c r="AM400" s="67">
        <f>IF(LEFT(AH400,7)="INVALID",1,0)</f>
        <v/>
      </c>
      <c r="AN400" s="67">
        <f>IF(AND(N400="Clarification required",AI400=1,AJ400=0),1,0)</f>
        <v/>
      </c>
      <c r="AO400" s="67">
        <f>IF(AK400=1,SUM(AK$5:AK400),"")</f>
        <v/>
      </c>
      <c r="AP400" s="67">
        <f>IF(AL400=1,SUM(AL$5:AL400),"")</f>
        <v/>
      </c>
      <c r="AQ400" s="67" t="n">
        <v>0</v>
      </c>
      <c r="AR400" s="67" t="n">
        <v>0</v>
      </c>
      <c r="AS400" s="67" t="n">
        <v>0</v>
      </c>
      <c r="AT400" s="67" t="n">
        <v>1</v>
      </c>
    </row>
    <row r="401" ht="41.5" customHeight="1">
      <c r="A401" s="63" t="inlineStr">
        <is>
          <t>F12-T12-12</t>
        </is>
      </c>
      <c r="B401" s="63" t="inlineStr">
        <is>
          <t>F12</t>
        </is>
      </c>
      <c r="C401" s="63">
        <f>Flights!$F$16</f>
        <v/>
      </c>
      <c r="D401" s="64">
        <f>Flights!$D$16</f>
        <v/>
      </c>
      <c r="E401" s="63">
        <f>Flights!$G$16&amp;"-"&amp;Flights!$H$16</f>
        <v/>
      </c>
      <c r="F401" s="63">
        <f>Flights!$K$16</f>
        <v/>
      </c>
      <c r="G401" s="63" t="inlineStr">
        <is>
          <t>T-12H PREP</t>
        </is>
      </c>
      <c r="H401" s="63" t="inlineStr">
        <is>
          <t>Preparation</t>
        </is>
      </c>
      <c r="I401" s="63" t="inlineStr">
        <is>
          <t>F&amp;B Linen</t>
        </is>
      </c>
      <c r="J401" s="63" t="inlineStr">
        <is>
          <t>Napkin - prepared</t>
        </is>
      </c>
      <c r="K401" s="73" t="inlineStr">
        <is>
          <t>Available (ticked in reference)</t>
        </is>
      </c>
      <c r="L401" s="73" t="inlineStr">
        <is>
          <t>STD UPLIFT INFORMATION.xlsx &gt; F&amp;B LINEN!F9</t>
        </is>
      </c>
      <c r="M401" s="73" t="inlineStr">
        <is>
          <t>Not stated in reference</t>
        </is>
      </c>
      <c r="N401" s="73" t="inlineStr">
        <is>
          <t>Required</t>
        </is>
      </c>
      <c r="O401" s="73" t="inlineStr">
        <is>
          <t>Reference gives no uplift stn for this item: preparation checked at the meal uplift stn (KUL) - confirm with caterer.</t>
        </is>
      </c>
      <c r="P401" s="63" t="inlineStr">
        <is>
          <t>KUL</t>
        </is>
      </c>
      <c r="Q401" s="65">
        <f>Flights!$AE$16</f>
        <v/>
      </c>
      <c r="R401" s="65">
        <f>Q401+(IF(AND(INDEX(TZ_DSTS,MATCH(P401,TZ_STN,0))&lt;&gt;"",Q401&gt;=INDEX(TZ_DSTS,MATCH(P401,TZ_STN,0)),Q401&lt;INDEX(TZ_DSTE,MATCH(P401,TZ_STN,0))),INDEX(TZ_DST,MATCH(P401,TZ_STN,0)),INDEX(TZ_STD,MATCH(P401,TZ_STN,0))))/24</f>
        <v/>
      </c>
      <c r="S401" s="65">
        <f>Q401-T12EarlyH/24</f>
        <v/>
      </c>
      <c r="T401" s="66" t="n"/>
      <c r="U401" s="66" t="n"/>
      <c r="V401" s="66" t="n"/>
      <c r="W401" s="67" t="n"/>
      <c r="X401" s="66" t="n"/>
      <c r="Y401" s="66" t="n"/>
      <c r="Z401" s="66" t="n"/>
      <c r="AA401" s="66" t="n"/>
      <c r="AB401" s="66" t="n"/>
      <c r="AC401" s="66" t="n"/>
      <c r="AD401" s="72" t="n"/>
      <c r="AE401" s="66" t="n"/>
      <c r="AF401" s="67">
        <f>IF(AND(ISNUMBER(X401),ISNUMBER(Y401)),Y401-X401,"")</f>
        <v/>
      </c>
      <c r="AG401" s="68">
        <f>IF(ISNUMBER(AD401),AD401-(IF(AND(INDEX(TZ_DSTS,MATCH(P401,TZ_STN,0))&lt;&gt;"",(AD401-INDEX(TZ_STD,MATCH(P401,TZ_STN,0))/24)&gt;=INDEX(TZ_DSTS,MATCH(P401,TZ_STN,0)),(AD401-INDEX(TZ_STD,MATCH(P401,TZ_STN,0))/24)&lt;INDEX(TZ_DSTE,MATCH(P401,TZ_STN,0))),INDEX(TZ_DST,MATCH(P401,TZ_STN,0)),INDEX(TZ_STD,MATCH(P401,TZ_STN,0))))/24,"")</f>
        <v/>
      </c>
      <c r="AH401" s="71">
        <f>IF(N401="N/A – rule","N/A – RULE",IF(TRIM(U401)="N/A",IF(AT401=0,"INVALID – N/A not permitted for this mandatory check",IF(AND(TRIM(AC401)&lt;&gt;"",TRIM(AE401)&lt;&gt;"",TRIM(T401)&lt;&gt;""),"N/A – JUSTIFIED","INVALID – N/A needs justification, PIC and verifier")),IF(OR(TRIM(U401)="Pass",TRIM(U401)="Pass after CA"),IF(NOT(ISNUMBER(AD401)),"INVALID – completion time missing",IF(TRIM(T401)="","INVALID – PIC missing",IF(TRIM(Z401)="","INVALID – evidence missing",IF(TRIM(AE401)="","INVALID – verifier missing",IF(AND(AQ401=1,TRIM(W401)=""),"INVALID – batch ID missing",IF(AND(AR401=1,OR(NOT(ISNUMBER(X401)),NOT(ISNUMBER(Y401)))),"INVALID – expected/actual qty missing",IF(IF(AND(TRIM(U401)="Pass",ISNUMBER(AF401)),IF(AF401&lt;&gt;0,"INVALID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recorded/closed","")&lt;&gt;"",IF(AND(TRIM(U401)="Pass",ISNUMBER(AF401)),IF(AF401&lt;&gt;0,"INVALID – qty variance: use Fail or Pass after CA",""),"")&amp;IF(AND(TRIM(U401)="Pass",AB401="Open"),"INVALID – corrective action still open: use Fail, then Pass after CA","")&amp;IF(AND(TRIM(U401)="Pass after CA",OR(TRIM(AA401)="",AB401&lt;&gt;"Closed")),"INVALID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window"),IF(AG401&gt;Flights!$AA$16,"INVALID – completed after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f>
        <v/>
      </c>
      <c r="AI401" s="67">
        <f>IF(OR(AH401="N/A – RULE",AH401="N/A – JUSTIFIED"),0,1)</f>
        <v/>
      </c>
      <c r="AJ401" s="67">
        <f>IF(LEFT(AH401,8)="COMPLETE",1,0)</f>
        <v/>
      </c>
      <c r="AK401" s="67">
        <f>IF(AND(AI401=1,AJ401=0,AsOfUTC&gt;Q401),1,0)</f>
        <v/>
      </c>
      <c r="AL401" s="67">
        <f>IF(AND(AI401=1,OR(TRIM(U401)="Fail",AB401="Open",AND(ISNUMBER(AF401),AF401&lt;&gt;0,TRIM(U401)&lt;&gt;"Pass after CA"))),1,0)</f>
        <v/>
      </c>
      <c r="AM401" s="67">
        <f>IF(LEFT(AH401,7)="INVALID",1,0)</f>
        <v/>
      </c>
      <c r="AN401" s="67">
        <f>IF(AND(N401="Clarification required",AI401=1,AJ401=0),1,0)</f>
        <v/>
      </c>
      <c r="AO401" s="67">
        <f>IF(AK401=1,SUM(AK$5:AK401),"")</f>
        <v/>
      </c>
      <c r="AP401" s="67">
        <f>IF(AL401=1,SUM(AL$5:AL401),"")</f>
        <v/>
      </c>
      <c r="AQ401" s="67" t="n">
        <v>0</v>
      </c>
      <c r="AR401" s="67" t="n">
        <v>0</v>
      </c>
      <c r="AS401" s="67" t="n">
        <v>0</v>
      </c>
      <c r="AT401" s="67" t="n">
        <v>1</v>
      </c>
    </row>
    <row r="402" ht="41.5" customHeight="1">
      <c r="A402" s="63" t="inlineStr">
        <is>
          <t>F12-T12-13</t>
        </is>
      </c>
      <c r="B402" s="63" t="inlineStr">
        <is>
          <t>F12</t>
        </is>
      </c>
      <c r="C402" s="63">
        <f>Flights!$F$16</f>
        <v/>
      </c>
      <c r="D402" s="64">
        <f>Flights!$D$16</f>
        <v/>
      </c>
      <c r="E402" s="63">
        <f>Flights!$G$16&amp;"-"&amp;Flights!$H$16</f>
        <v/>
      </c>
      <c r="F402" s="63">
        <f>Flights!$K$16</f>
        <v/>
      </c>
      <c r="G402" s="63" t="inlineStr">
        <is>
          <t>T-12H PREP</t>
        </is>
      </c>
      <c r="H402" s="63" t="inlineStr">
        <is>
          <t>Preparation</t>
        </is>
      </c>
      <c r="I402" s="63" t="inlineStr">
        <is>
          <t>F&amp;B Linen</t>
        </is>
      </c>
      <c r="J402" s="63" t="inlineStr">
        <is>
          <t>Table cloth - prepared</t>
        </is>
      </c>
      <c r="K402" s="73" t="inlineStr">
        <is>
          <t>Available (ticked in reference)</t>
        </is>
      </c>
      <c r="L402" s="73" t="inlineStr">
        <is>
          <t>STD UPLIFT INFORMATION.xlsx &gt; F&amp;B LINEN!G9</t>
        </is>
      </c>
      <c r="M402" s="73" t="inlineStr">
        <is>
          <t>Not stated in reference</t>
        </is>
      </c>
      <c r="N402" s="73" t="inlineStr">
        <is>
          <t>Required</t>
        </is>
      </c>
      <c r="O402" s="73" t="inlineStr">
        <is>
          <t>Reference gives no uplift stn for this item: preparation checked at the meal uplift stn (KUL) - confirm with caterer.</t>
        </is>
      </c>
      <c r="P402" s="63" t="inlineStr">
        <is>
          <t>KUL</t>
        </is>
      </c>
      <c r="Q402" s="65">
        <f>Flights!$AE$16</f>
        <v/>
      </c>
      <c r="R402" s="65">
        <f>Q402+(IF(AND(INDEX(TZ_DSTS,MATCH(P402,TZ_STN,0))&lt;&gt;"",Q402&gt;=INDEX(TZ_DSTS,MATCH(P402,TZ_STN,0)),Q402&lt;INDEX(TZ_DSTE,MATCH(P402,TZ_STN,0))),INDEX(TZ_DST,MATCH(P402,TZ_STN,0)),INDEX(TZ_STD,MATCH(P402,TZ_STN,0))))/24</f>
        <v/>
      </c>
      <c r="S402" s="65">
        <f>Q402-T12EarlyH/24</f>
        <v/>
      </c>
      <c r="T402" s="66" t="n"/>
      <c r="U402" s="66" t="n"/>
      <c r="V402" s="66" t="n"/>
      <c r="W402" s="67" t="n"/>
      <c r="X402" s="66" t="n"/>
      <c r="Y402" s="66" t="n"/>
      <c r="Z402" s="66" t="n"/>
      <c r="AA402" s="66" t="n"/>
      <c r="AB402" s="66" t="n"/>
      <c r="AC402" s="66" t="n"/>
      <c r="AD402" s="72" t="n"/>
      <c r="AE402" s="66" t="n"/>
      <c r="AF402" s="67">
        <f>IF(AND(ISNUMBER(X402),ISNUMBER(Y402)),Y402-X402,"")</f>
        <v/>
      </c>
      <c r="AG402" s="68">
        <f>IF(ISNUMBER(AD402),AD402-(IF(AND(INDEX(TZ_DSTS,MATCH(P402,TZ_STN,0))&lt;&gt;"",(AD402-INDEX(TZ_STD,MATCH(P402,TZ_STN,0))/24)&gt;=INDEX(TZ_DSTS,MATCH(P402,TZ_STN,0)),(AD402-INDEX(TZ_STD,MATCH(P402,TZ_STN,0))/24)&lt;INDEX(TZ_DSTE,MATCH(P402,TZ_STN,0))),INDEX(TZ_DST,MATCH(P402,TZ_STN,0)),INDEX(TZ_STD,MATCH(P402,TZ_STN,0))))/24,"")</f>
        <v/>
      </c>
      <c r="AH402" s="71">
        <f>IF(N402="N/A – rule","N/A – RULE",IF(TRIM(U402)="N/A",IF(AT402=0,"INVALID – N/A not permitted for this mandatory check",IF(AND(TRIM(AC402)&lt;&gt;"",TRIM(AE402)&lt;&gt;"",TRIM(T402)&lt;&gt;""),"N/A – JUSTIFIED","INVALID – N/A needs justification, PIC and verifier")),IF(OR(TRIM(U402)="Pass",TRIM(U402)="Pass after CA"),IF(NOT(ISNUMBER(AD402)),"INVALID – completion time missing",IF(TRIM(T402)="","INVALID – PIC missing",IF(TRIM(Z402)="","INVALID – evidence missing",IF(TRIM(AE402)="","INVALID – verifier missing",IF(AND(AQ402=1,TRIM(W402)=""),"INVALID – batch ID missing",IF(AND(AR402=1,OR(NOT(ISNUMBER(X402)),NOT(ISNUMBER(Y402)))),"INVALID – expected/actual qty missing",IF(IF(AND(TRIM(U402)="Pass",ISNUMBER(AF402)),IF(AF402&lt;&gt;0,"INVALID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recorded/closed","")&lt;&gt;"",IF(AND(TRIM(U402)="Pass",ISNUMBER(AF402)),IF(AF402&lt;&gt;0,"INVALID – qty variance: use Fail or Pass after CA",""),"")&amp;IF(AND(TRIM(U402)="Pass",AB402="Open"),"INVALID – corrective action still open: use Fail, then Pass after CA","")&amp;IF(AND(TRIM(U402)="Pass after CA",OR(TRIM(AA402)="",AB402&lt;&gt;"Closed")),"INVALID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window"),IF(AG402&gt;Flights!$AA$16,"INVALID – completed after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f>
        <v/>
      </c>
      <c r="AI402" s="67">
        <f>IF(OR(AH402="N/A – RULE",AH402="N/A – JUSTIFIED"),0,1)</f>
        <v/>
      </c>
      <c r="AJ402" s="67">
        <f>IF(LEFT(AH402,8)="COMPLETE",1,0)</f>
        <v/>
      </c>
      <c r="AK402" s="67">
        <f>IF(AND(AI402=1,AJ402=0,AsOfUTC&gt;Q402),1,0)</f>
        <v/>
      </c>
      <c r="AL402" s="67">
        <f>IF(AND(AI402=1,OR(TRIM(U402)="Fail",AB402="Open",AND(ISNUMBER(AF402),AF402&lt;&gt;0,TRIM(U402)&lt;&gt;"Pass after CA"))),1,0)</f>
        <v/>
      </c>
      <c r="AM402" s="67">
        <f>IF(LEFT(AH402,7)="INVALID",1,0)</f>
        <v/>
      </c>
      <c r="AN402" s="67">
        <f>IF(AND(N402="Clarification required",AI402=1,AJ402=0),1,0)</f>
        <v/>
      </c>
      <c r="AO402" s="67">
        <f>IF(AK402=1,SUM(AK$5:AK402),"")</f>
        <v/>
      </c>
      <c r="AP402" s="67">
        <f>IF(AL402=1,SUM(AL$5:AL402),"")</f>
        <v/>
      </c>
      <c r="AQ402" s="67" t="n">
        <v>0</v>
      </c>
      <c r="AR402" s="67" t="n">
        <v>0</v>
      </c>
      <c r="AS402" s="67" t="n">
        <v>0</v>
      </c>
      <c r="AT402" s="67" t="n">
        <v>1</v>
      </c>
    </row>
    <row r="403" ht="41.5" customHeight="1">
      <c r="A403" s="63" t="inlineStr">
        <is>
          <t>F12-T12-14</t>
        </is>
      </c>
      <c r="B403" s="63" t="inlineStr">
        <is>
          <t>F12</t>
        </is>
      </c>
      <c r="C403" s="63">
        <f>Flights!$F$16</f>
        <v/>
      </c>
      <c r="D403" s="64">
        <f>Flights!$D$16</f>
        <v/>
      </c>
      <c r="E403" s="63">
        <f>Flights!$G$16&amp;"-"&amp;Flights!$H$16</f>
        <v/>
      </c>
      <c r="F403" s="63">
        <f>Flights!$K$16</f>
        <v/>
      </c>
      <c r="G403" s="63" t="inlineStr">
        <is>
          <t>T-12H PREP</t>
        </is>
      </c>
      <c r="H403" s="63" t="inlineStr">
        <is>
          <t>Preparation</t>
        </is>
      </c>
      <c r="I403" s="63" t="inlineStr">
        <is>
          <t>F&amp;B Linen</t>
        </is>
      </c>
      <c r="J403" s="63" t="inlineStr">
        <is>
          <t>Bread linen (using table cloth) - prepared</t>
        </is>
      </c>
      <c r="K403" s="73" t="inlineStr">
        <is>
          <t>Available (ticked in reference)</t>
        </is>
      </c>
      <c r="L403" s="73" t="inlineStr">
        <is>
          <t>STD UPLIFT INFORMATION.xlsx &gt; F&amp;B LINEN!H9</t>
        </is>
      </c>
      <c r="M403" s="73" t="inlineStr">
        <is>
          <t>Not stated in reference</t>
        </is>
      </c>
      <c r="N403" s="73" t="inlineStr">
        <is>
          <t>Required</t>
        </is>
      </c>
      <c r="O403" s="73" t="inlineStr">
        <is>
          <t>Reference gives no uplift stn for this item: preparation checked at the meal uplift stn (KUL) - confirm with caterer.</t>
        </is>
      </c>
      <c r="P403" s="63" t="inlineStr">
        <is>
          <t>KUL</t>
        </is>
      </c>
      <c r="Q403" s="65">
        <f>Flights!$AE$16</f>
        <v/>
      </c>
      <c r="R403" s="65">
        <f>Q403+(IF(AND(INDEX(TZ_DSTS,MATCH(P403,TZ_STN,0))&lt;&gt;"",Q403&gt;=INDEX(TZ_DSTS,MATCH(P403,TZ_STN,0)),Q403&lt;INDEX(TZ_DSTE,MATCH(P403,TZ_STN,0))),INDEX(TZ_DST,MATCH(P403,TZ_STN,0)),INDEX(TZ_STD,MATCH(P403,TZ_STN,0))))/24</f>
        <v/>
      </c>
      <c r="S403" s="65">
        <f>Q403-T12EarlyH/24</f>
        <v/>
      </c>
      <c r="T403" s="66" t="n"/>
      <c r="U403" s="66" t="n"/>
      <c r="V403" s="66" t="n"/>
      <c r="W403" s="67" t="n"/>
      <c r="X403" s="66" t="n"/>
      <c r="Y403" s="66" t="n"/>
      <c r="Z403" s="66" t="n"/>
      <c r="AA403" s="66" t="n"/>
      <c r="AB403" s="66" t="n"/>
      <c r="AC403" s="66" t="n"/>
      <c r="AD403" s="72" t="n"/>
      <c r="AE403" s="66" t="n"/>
      <c r="AF403" s="67">
        <f>IF(AND(ISNUMBER(X403),ISNUMBER(Y403)),Y403-X403,"")</f>
        <v/>
      </c>
      <c r="AG403" s="68">
        <f>IF(ISNUMBER(AD403),AD403-(IF(AND(INDEX(TZ_DSTS,MATCH(P403,TZ_STN,0))&lt;&gt;"",(AD403-INDEX(TZ_STD,MATCH(P403,TZ_STN,0))/24)&gt;=INDEX(TZ_DSTS,MATCH(P403,TZ_STN,0)),(AD403-INDEX(TZ_STD,MATCH(P403,TZ_STN,0))/24)&lt;INDEX(TZ_DSTE,MATCH(P403,TZ_STN,0))),INDEX(TZ_DST,MATCH(P403,TZ_STN,0)),INDEX(TZ_STD,MATCH(P403,TZ_STN,0))))/24,"")</f>
        <v/>
      </c>
      <c r="AH403" s="71">
        <f>IF(N403="N/A – rule","N/A – RULE",IF(TRIM(U403)="N/A",IF(AT403=0,"INVALID – N/A not permitted for this mandatory check",IF(AND(TRIM(AC403)&lt;&gt;"",TRIM(AE403)&lt;&gt;"",TRIM(T403)&lt;&gt;""),"N/A – JUSTIFIED","INVALID – N/A needs justification, PIC and verifier")),IF(OR(TRIM(U403)="Pass",TRIM(U403)="Pass after CA"),IF(NOT(ISNUMBER(AD403)),"INVALID – completion time missing",IF(TRIM(T403)="","INVALID – PIC missing",IF(TRIM(Z403)="","INVALID – evidence missing",IF(TRIM(AE403)="","INVALID – verifier missing",IF(AND(AQ403=1,TRIM(W403)=""),"INVALID – batch ID missing",IF(AND(AR403=1,OR(NOT(ISNUMBER(X403)),NOT(ISNUMBER(Y403)))),"INVALID – expected/actual qty missing",IF(IF(AND(TRIM(U403)="Pass",ISNUMBER(AF403)),IF(AF403&lt;&gt;0,"INVALID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recorded/closed","")&lt;&gt;"",IF(AND(TRIM(U403)="Pass",ISNUMBER(AF403)),IF(AF403&lt;&gt;0,"INVALID – qty variance: use Fail or Pass after CA",""),"")&amp;IF(AND(TRIM(U403)="Pass",AB403="Open"),"INVALID – corrective action still open: use Fail, then Pass after CA","")&amp;IF(AND(TRIM(U403)="Pass after CA",OR(TRIM(AA403)="",AB403&lt;&gt;"Closed")),"INVALID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window"),IF(AG403&gt;Flights!$AA$16,"INVALID – completed after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f>
        <v/>
      </c>
      <c r="AI403" s="67">
        <f>IF(OR(AH403="N/A – RULE",AH403="N/A – JUSTIFIED"),0,1)</f>
        <v/>
      </c>
      <c r="AJ403" s="67">
        <f>IF(LEFT(AH403,8)="COMPLETE",1,0)</f>
        <v/>
      </c>
      <c r="AK403" s="67">
        <f>IF(AND(AI403=1,AJ403=0,AsOfUTC&gt;Q403),1,0)</f>
        <v/>
      </c>
      <c r="AL403" s="67">
        <f>IF(AND(AI403=1,OR(TRIM(U403)="Fail",AB403="Open",AND(ISNUMBER(AF403),AF403&lt;&gt;0,TRIM(U403)&lt;&gt;"Pass after CA"))),1,0)</f>
        <v/>
      </c>
      <c r="AM403" s="67">
        <f>IF(LEFT(AH403,7)="INVALID",1,0)</f>
        <v/>
      </c>
      <c r="AN403" s="67">
        <f>IF(AND(N403="Clarification required",AI403=1,AJ403=0),1,0)</f>
        <v/>
      </c>
      <c r="AO403" s="67">
        <f>IF(AK403=1,SUM(AK$5:AK403),"")</f>
        <v/>
      </c>
      <c r="AP403" s="67">
        <f>IF(AL403=1,SUM(AL$5:AL403),"")</f>
        <v/>
      </c>
      <c r="AQ403" s="67" t="n">
        <v>0</v>
      </c>
      <c r="AR403" s="67" t="n">
        <v>0</v>
      </c>
      <c r="AS403" s="67" t="n">
        <v>0</v>
      </c>
      <c r="AT403" s="67" t="n">
        <v>1</v>
      </c>
    </row>
    <row r="404" ht="54" customHeight="1">
      <c r="A404" s="63" t="inlineStr">
        <is>
          <t>F12-T12-15</t>
        </is>
      </c>
      <c r="B404" s="63" t="inlineStr">
        <is>
          <t>F12</t>
        </is>
      </c>
      <c r="C404" s="63">
        <f>Flights!$F$16</f>
        <v/>
      </c>
      <c r="D404" s="64">
        <f>Flights!$D$16</f>
        <v/>
      </c>
      <c r="E404" s="63">
        <f>Flights!$G$16&amp;"-"&amp;Flights!$H$16</f>
        <v/>
      </c>
      <c r="F404" s="63">
        <f>Flights!$K$16</f>
        <v/>
      </c>
      <c r="G404" s="63" t="inlineStr">
        <is>
          <t>T-12H PREP</t>
        </is>
      </c>
      <c r="H404" s="63" t="inlineStr">
        <is>
          <t>Preparation</t>
        </is>
      </c>
      <c r="I404" s="63" t="inlineStr">
        <is>
          <t>F&amp;B Linen</t>
        </is>
      </c>
      <c r="J404" s="63" t="inlineStr">
        <is>
          <t>Trolley cloth - prepared</t>
        </is>
      </c>
      <c r="K404" s="73" t="inlineStr">
        <is>
          <t>Wide body: Top/Middle &amp; Bottom</t>
        </is>
      </c>
      <c r="L404" s="73" t="inlineStr">
        <is>
          <t>STD UPLIFT INFORMATION.xlsx &gt; F&amp;B LINEN!I9</t>
        </is>
      </c>
      <c r="M404" s="73" t="inlineStr">
        <is>
          <t>Not stated in reference</t>
        </is>
      </c>
      <c r="N404" s="73" t="inlineStr">
        <is>
          <t>Required</t>
        </is>
      </c>
      <c r="O404" s="73" t="inlineStr">
        <is>
          <t>Per note F&amp;B LINEN!B79:C80. Reference gives no uplift stn for this item: preparation checked at the meal uplift stn (KUL) - confirm with caterer.</t>
        </is>
      </c>
      <c r="P404" s="63" t="inlineStr">
        <is>
          <t>KUL</t>
        </is>
      </c>
      <c r="Q404" s="65">
        <f>Flights!$AE$16</f>
        <v/>
      </c>
      <c r="R404" s="65">
        <f>Q404+(IF(AND(INDEX(TZ_DSTS,MATCH(P404,TZ_STN,0))&lt;&gt;"",Q404&gt;=INDEX(TZ_DSTS,MATCH(P404,TZ_STN,0)),Q404&lt;INDEX(TZ_DSTE,MATCH(P404,TZ_STN,0))),INDEX(TZ_DST,MATCH(P404,TZ_STN,0)),INDEX(TZ_STD,MATCH(P404,TZ_STN,0))))/24</f>
        <v/>
      </c>
      <c r="S404" s="65">
        <f>Q404-T12EarlyH/24</f>
        <v/>
      </c>
      <c r="T404" s="66" t="n"/>
      <c r="U404" s="66" t="n"/>
      <c r="V404" s="66" t="n"/>
      <c r="W404" s="67" t="n"/>
      <c r="X404" s="66" t="n"/>
      <c r="Y404" s="66" t="n"/>
      <c r="Z404" s="66" t="n"/>
      <c r="AA404" s="66" t="n"/>
      <c r="AB404" s="66" t="n"/>
      <c r="AC404" s="66" t="n"/>
      <c r="AD404" s="72" t="n"/>
      <c r="AE404" s="66" t="n"/>
      <c r="AF404" s="67">
        <f>IF(AND(ISNUMBER(X404),ISNUMBER(Y404)),Y404-X404,"")</f>
        <v/>
      </c>
      <c r="AG404" s="68">
        <f>IF(ISNUMBER(AD404),AD404-(IF(AND(INDEX(TZ_DSTS,MATCH(P404,TZ_STN,0))&lt;&gt;"",(AD404-INDEX(TZ_STD,MATCH(P404,TZ_STN,0))/24)&gt;=INDEX(TZ_DSTS,MATCH(P404,TZ_STN,0)),(AD404-INDEX(TZ_STD,MATCH(P404,TZ_STN,0))/24)&lt;INDEX(TZ_DSTE,MATCH(P404,TZ_STN,0))),INDEX(TZ_DST,MATCH(P404,TZ_STN,0)),INDEX(TZ_STD,MATCH(P404,TZ_STN,0))))/24,"")</f>
        <v/>
      </c>
      <c r="AH404" s="71">
        <f>IF(N404="N/A – rule","N/A – RULE",IF(TRIM(U404)="N/A",IF(AT404=0,"INVALID – N/A not permitted for this mandatory check",IF(AND(TRIM(AC404)&lt;&gt;"",TRIM(AE404)&lt;&gt;"",TRIM(T404)&lt;&gt;""),"N/A – JUSTIFIED","INVALID – N/A needs justification, PIC and verifier")),IF(OR(TRIM(U404)="Pass",TRIM(U404)="Pass after CA"),IF(NOT(ISNUMBER(AD404)),"INVALID – completion time missing",IF(TRIM(T404)="","INVALID – PIC missing",IF(TRIM(Z404)="","INVALID – evidence missing",IF(TRIM(AE404)="","INVALID – verifier missing",IF(AND(AQ404=1,TRIM(W404)=""),"INVALID – batch ID missing",IF(AND(AR404=1,OR(NOT(ISNUMBER(X404)),NOT(ISNUMBER(Y404)))),"INVALID – expected/actual qty missing",IF(IF(AND(TRIM(U404)="Pass",ISNUMBER(AF404)),IF(AF404&lt;&gt;0,"INVALID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recorded/closed","")&lt;&gt;"",IF(AND(TRIM(U404)="Pass",ISNUMBER(AF404)),IF(AF404&lt;&gt;0,"INVALID – qty variance: use Fail or Pass after CA",""),"")&amp;IF(AND(TRIM(U404)="Pass",AB404="Open"),"INVALID – corrective action still open: use Fail, then Pass after CA","")&amp;IF(AND(TRIM(U404)="Pass after CA",OR(TRIM(AA404)="",AB404&lt;&gt;"Closed")),"INVALID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window"),IF(AG404&gt;Flights!$AA$16,"INVALID – completed after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f>
        <v/>
      </c>
      <c r="AI404" s="67">
        <f>IF(OR(AH404="N/A – RULE",AH404="N/A – JUSTIFIED"),0,1)</f>
        <v/>
      </c>
      <c r="AJ404" s="67">
        <f>IF(LEFT(AH404,8)="COMPLETE",1,0)</f>
        <v/>
      </c>
      <c r="AK404" s="67">
        <f>IF(AND(AI404=1,AJ404=0,AsOfUTC&gt;Q404),1,0)</f>
        <v/>
      </c>
      <c r="AL404" s="67">
        <f>IF(AND(AI404=1,OR(TRIM(U404)="Fail",AB404="Open",AND(ISNUMBER(AF404),AF404&lt;&gt;0,TRIM(U404)&lt;&gt;"Pass after CA"))),1,0)</f>
        <v/>
      </c>
      <c r="AM404" s="67">
        <f>IF(LEFT(AH404,7)="INVALID",1,0)</f>
        <v/>
      </c>
      <c r="AN404" s="67">
        <f>IF(AND(N404="Clarification required",AI404=1,AJ404=0),1,0)</f>
        <v/>
      </c>
      <c r="AO404" s="67">
        <f>IF(AK404=1,SUM(AK$5:AK404),"")</f>
        <v/>
      </c>
      <c r="AP404" s="67">
        <f>IF(AL404=1,SUM(AL$5:AL404),"")</f>
        <v/>
      </c>
      <c r="AQ404" s="67" t="n">
        <v>0</v>
      </c>
      <c r="AR404" s="67" t="n">
        <v>0</v>
      </c>
      <c r="AS404" s="67" t="n">
        <v>0</v>
      </c>
      <c r="AT404" s="67" t="n">
        <v>1</v>
      </c>
    </row>
    <row r="405" ht="41.5" customHeight="1">
      <c r="A405" s="63" t="inlineStr">
        <is>
          <t>F12-T12-16</t>
        </is>
      </c>
      <c r="B405" s="63" t="inlineStr">
        <is>
          <t>F12</t>
        </is>
      </c>
      <c r="C405" s="63">
        <f>Flights!$F$16</f>
        <v/>
      </c>
      <c r="D405" s="64">
        <f>Flights!$D$16</f>
        <v/>
      </c>
      <c r="E405" s="63">
        <f>Flights!$G$16&amp;"-"&amp;Flights!$H$16</f>
        <v/>
      </c>
      <c r="F405" s="63">
        <f>Flights!$K$16</f>
        <v/>
      </c>
      <c r="G405" s="63" t="inlineStr">
        <is>
          <t>T-12H PREP</t>
        </is>
      </c>
      <c r="H405" s="63" t="inlineStr">
        <is>
          <t>Preparation</t>
        </is>
      </c>
      <c r="I405" s="63" t="inlineStr">
        <is>
          <t>F&amp;B Linen</t>
        </is>
      </c>
      <c r="J405" s="63" t="inlineStr">
        <is>
          <t>Linen bag - prepared</t>
        </is>
      </c>
      <c r="K405" s="73" t="inlineStr">
        <is>
          <t>Available (ticked in reference)</t>
        </is>
      </c>
      <c r="L405" s="73" t="inlineStr">
        <is>
          <t>STD UPLIFT INFORMATION.xlsx &gt; F&amp;B LINEN!J9</t>
        </is>
      </c>
      <c r="M405" s="73" t="inlineStr">
        <is>
          <t>Not stated in reference</t>
        </is>
      </c>
      <c r="N405" s="73" t="inlineStr">
        <is>
          <t>Required</t>
        </is>
      </c>
      <c r="O405" s="73" t="inlineStr">
        <is>
          <t>Reference gives no uplift stn for this item: preparation checked at the meal uplift stn (KUL) - confirm with caterer.</t>
        </is>
      </c>
      <c r="P405" s="63" t="inlineStr">
        <is>
          <t>KUL</t>
        </is>
      </c>
      <c r="Q405" s="65">
        <f>Flights!$AE$16</f>
        <v/>
      </c>
      <c r="R405" s="65">
        <f>Q405+(IF(AND(INDEX(TZ_DSTS,MATCH(P405,TZ_STN,0))&lt;&gt;"",Q405&gt;=INDEX(TZ_DSTS,MATCH(P405,TZ_STN,0)),Q405&lt;INDEX(TZ_DSTE,MATCH(P405,TZ_STN,0))),INDEX(TZ_DST,MATCH(P405,TZ_STN,0)),INDEX(TZ_STD,MATCH(P405,TZ_STN,0))))/24</f>
        <v/>
      </c>
      <c r="S405" s="65">
        <f>Q405-T12EarlyH/24</f>
        <v/>
      </c>
      <c r="T405" s="66" t="n"/>
      <c r="U405" s="66" t="n"/>
      <c r="V405" s="66" t="n"/>
      <c r="W405" s="67" t="n"/>
      <c r="X405" s="66" t="n"/>
      <c r="Y405" s="66" t="n"/>
      <c r="Z405" s="66" t="n"/>
      <c r="AA405" s="66" t="n"/>
      <c r="AB405" s="66" t="n"/>
      <c r="AC405" s="66" t="n"/>
      <c r="AD405" s="72" t="n"/>
      <c r="AE405" s="66" t="n"/>
      <c r="AF405" s="67">
        <f>IF(AND(ISNUMBER(X405),ISNUMBER(Y405)),Y405-X405,"")</f>
        <v/>
      </c>
      <c r="AG405" s="68">
        <f>IF(ISNUMBER(AD405),AD405-(IF(AND(INDEX(TZ_DSTS,MATCH(P405,TZ_STN,0))&lt;&gt;"",(AD405-INDEX(TZ_STD,MATCH(P405,TZ_STN,0))/24)&gt;=INDEX(TZ_DSTS,MATCH(P405,TZ_STN,0)),(AD405-INDEX(TZ_STD,MATCH(P405,TZ_STN,0))/24)&lt;INDEX(TZ_DSTE,MATCH(P405,TZ_STN,0))),INDEX(TZ_DST,MATCH(P405,TZ_STN,0)),INDEX(TZ_STD,MATCH(P405,TZ_STN,0))))/24,"")</f>
        <v/>
      </c>
      <c r="AH405" s="71">
        <f>IF(N405="N/A – rule","N/A – RULE",IF(TRIM(U405)="N/A",IF(AT405=0,"INVALID – N/A not permitted for this mandatory check",IF(AND(TRIM(AC405)&lt;&gt;"",TRIM(AE405)&lt;&gt;"",TRIM(T405)&lt;&gt;""),"N/A – JUSTIFIED","INVALID – N/A needs justification, PIC and verifier")),IF(OR(TRIM(U405)="Pass",TRIM(U405)="Pass after CA"),IF(NOT(ISNUMBER(AD405)),"INVALID – completion time missing",IF(TRIM(T405)="","INVALID – PIC missing",IF(TRIM(Z405)="","INVALID – evidence missing",IF(TRIM(AE405)="","INVALID – verifier missing",IF(AND(AQ405=1,TRIM(W405)=""),"INVALID – batch ID missing",IF(AND(AR405=1,OR(NOT(ISNUMBER(X405)),NOT(ISNUMBER(Y405)))),"INVALID – expected/actual qty missing",IF(IF(AND(TRIM(U405)="Pass",ISNUMBER(AF405)),IF(AF405&lt;&gt;0,"INVALID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recorded/closed","")&lt;&gt;"",IF(AND(TRIM(U405)="Pass",ISNUMBER(AF405)),IF(AF405&lt;&gt;0,"INVALID – qty variance: use Fail or Pass after CA",""),"")&amp;IF(AND(TRIM(U405)="Pass",AB405="Open"),"INVALID – corrective action still open: use Fail, then Pass after CA","")&amp;IF(AND(TRIM(U405)="Pass after CA",OR(TRIM(AA405)="",AB405&lt;&gt;"Closed")),"INVALID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window"),IF(AG405&gt;Flights!$AA$16,"INVALID – completed after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f>
        <v/>
      </c>
      <c r="AI405" s="67">
        <f>IF(OR(AH405="N/A – RULE",AH405="N/A – JUSTIFIED"),0,1)</f>
        <v/>
      </c>
      <c r="AJ405" s="67">
        <f>IF(LEFT(AH405,8)="COMPLETE",1,0)</f>
        <v/>
      </c>
      <c r="AK405" s="67">
        <f>IF(AND(AI405=1,AJ405=0,AsOfUTC&gt;Q405),1,0)</f>
        <v/>
      </c>
      <c r="AL405" s="67">
        <f>IF(AND(AI405=1,OR(TRIM(U405)="Fail",AB405="Open",AND(ISNUMBER(AF405),AF405&lt;&gt;0,TRIM(U405)&lt;&gt;"Pass after CA"))),1,0)</f>
        <v/>
      </c>
      <c r="AM405" s="67">
        <f>IF(LEFT(AH405,7)="INVALID",1,0)</f>
        <v/>
      </c>
      <c r="AN405" s="67">
        <f>IF(AND(N405="Clarification required",AI405=1,AJ405=0),1,0)</f>
        <v/>
      </c>
      <c r="AO405" s="67">
        <f>IF(AK405=1,SUM(AK$5:AK405),"")</f>
        <v/>
      </c>
      <c r="AP405" s="67">
        <f>IF(AL405=1,SUM(AL$5:AL405),"")</f>
        <v/>
      </c>
      <c r="AQ405" s="67" t="n">
        <v>0</v>
      </c>
      <c r="AR405" s="67" t="n">
        <v>0</v>
      </c>
      <c r="AS405" s="67" t="n">
        <v>0</v>
      </c>
      <c r="AT405" s="67" t="n">
        <v>1</v>
      </c>
    </row>
    <row r="406" ht="41.5" customHeight="1">
      <c r="A406" s="63" t="inlineStr">
        <is>
          <t>F12-T12-17</t>
        </is>
      </c>
      <c r="B406" s="63" t="inlineStr">
        <is>
          <t>F12</t>
        </is>
      </c>
      <c r="C406" s="63">
        <f>Flights!$F$16</f>
        <v/>
      </c>
      <c r="D406" s="64">
        <f>Flights!$D$16</f>
        <v/>
      </c>
      <c r="E406" s="63">
        <f>Flights!$G$16&amp;"-"&amp;Flights!$H$16</f>
        <v/>
      </c>
      <c r="F406" s="63">
        <f>Flights!$K$16</f>
        <v/>
      </c>
      <c r="G406" s="63" t="inlineStr">
        <is>
          <t>T-12H PREP</t>
        </is>
      </c>
      <c r="H406" s="63" t="inlineStr">
        <is>
          <t>Preparation</t>
        </is>
      </c>
      <c r="I406" s="63" t="inlineStr">
        <is>
          <t>Seat Linen</t>
        </is>
      </c>
      <c r="J406" s="63" t="inlineStr">
        <is>
          <t>Seat pillow (BS &amp; BC) - prepared</t>
        </is>
      </c>
      <c r="K406" s="73" t="inlineStr">
        <is>
          <t>Available 100% (ticked in reference)</t>
        </is>
      </c>
      <c r="L406" s="73" t="inlineStr">
        <is>
          <t>STD UPLIFT INFORMATION.xlsx &gt; SEAT LINEN!E9</t>
        </is>
      </c>
      <c r="M406" s="73" t="inlineStr">
        <is>
          <t>Not stated in reference</t>
        </is>
      </c>
      <c r="N406" s="73" t="inlineStr">
        <is>
          <t>Required</t>
        </is>
      </c>
      <c r="O406" s="73" t="inlineStr">
        <is>
          <t>Reference gives no uplift stn for this item: preparation checked at the meal uplift stn (KUL) - confirm with caterer.</t>
        </is>
      </c>
      <c r="P406" s="63" t="inlineStr">
        <is>
          <t>KUL</t>
        </is>
      </c>
      <c r="Q406" s="65">
        <f>Flights!$AE$16</f>
        <v/>
      </c>
      <c r="R406" s="65">
        <f>Q406+(IF(AND(INDEX(TZ_DSTS,MATCH(P406,TZ_STN,0))&lt;&gt;"",Q406&gt;=INDEX(TZ_DSTS,MATCH(P406,TZ_STN,0)),Q406&lt;INDEX(TZ_DSTE,MATCH(P406,TZ_STN,0))),INDEX(TZ_DST,MATCH(P406,TZ_STN,0)),INDEX(TZ_STD,MATCH(P406,TZ_STN,0))))/24</f>
        <v/>
      </c>
      <c r="S406" s="65">
        <f>Q406-T12EarlyH/24</f>
        <v/>
      </c>
      <c r="T406" s="66" t="n"/>
      <c r="U406" s="66" t="n"/>
      <c r="V406" s="66" t="n"/>
      <c r="W406" s="67" t="n"/>
      <c r="X406" s="66" t="n"/>
      <c r="Y406" s="66" t="n"/>
      <c r="Z406" s="66" t="n"/>
      <c r="AA406" s="66" t="n"/>
      <c r="AB406" s="66" t="n"/>
      <c r="AC406" s="66" t="n"/>
      <c r="AD406" s="72" t="n"/>
      <c r="AE406" s="66" t="n"/>
      <c r="AF406" s="67">
        <f>IF(AND(ISNUMBER(X406),ISNUMBER(Y406)),Y406-X406,"")</f>
        <v/>
      </c>
      <c r="AG406" s="68">
        <f>IF(ISNUMBER(AD406),AD406-(IF(AND(INDEX(TZ_DSTS,MATCH(P406,TZ_STN,0))&lt;&gt;"",(AD406-INDEX(TZ_STD,MATCH(P406,TZ_STN,0))/24)&gt;=INDEX(TZ_DSTS,MATCH(P406,TZ_STN,0)),(AD406-INDEX(TZ_STD,MATCH(P406,TZ_STN,0))/24)&lt;INDEX(TZ_DSTE,MATCH(P406,TZ_STN,0))),INDEX(TZ_DST,MATCH(P406,TZ_STN,0)),INDEX(TZ_STD,MATCH(P406,TZ_STN,0))))/24,"")</f>
        <v/>
      </c>
      <c r="AH406" s="71">
        <f>IF(N406="N/A – rule","N/A – RULE",IF(TRIM(U406)="N/A",IF(AT406=0,"INVALID – N/A not permitted for this mandatory check",IF(AND(TRIM(AC406)&lt;&gt;"",TRIM(AE406)&lt;&gt;"",TRIM(T406)&lt;&gt;""),"N/A – JUSTIFIED","INVALID – N/A needs justification, PIC and verifier")),IF(OR(TRIM(U406)="Pass",TRIM(U406)="Pass after CA"),IF(NOT(ISNUMBER(AD406)),"INVALID – completion time missing",IF(TRIM(T406)="","INVALID – PIC missing",IF(TRIM(Z406)="","INVALID – evidence missing",IF(TRIM(AE406)="","INVALID – verifier missing",IF(AND(AQ406=1,TRIM(W406)=""),"INVALID – batch ID missing",IF(AND(AR406=1,OR(NOT(ISNUMBER(X406)),NOT(ISNUMBER(Y406)))),"INVALID – expected/actual qty missing",IF(IF(AND(TRIM(U406)="Pass",ISNUMBER(AF406)),IF(AF406&lt;&gt;0,"INVALID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recorded/closed","")&lt;&gt;"",IF(AND(TRIM(U406)="Pass",ISNUMBER(AF406)),IF(AF406&lt;&gt;0,"INVALID – qty variance: use Fail or Pass after CA",""),"")&amp;IF(AND(TRIM(U406)="Pass",AB406="Open"),"INVALID – corrective action still open: use Fail, then Pass after CA","")&amp;IF(AND(TRIM(U406)="Pass after CA",OR(TRIM(AA406)="",AB406&lt;&gt;"Closed")),"INVALID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window"),IF(AG406&gt;Flights!$AA$16,"INVALID – completed after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f>
        <v/>
      </c>
      <c r="AI406" s="67">
        <f>IF(OR(AH406="N/A – RULE",AH406="N/A – JUSTIFIED"),0,1)</f>
        <v/>
      </c>
      <c r="AJ406" s="67">
        <f>IF(LEFT(AH406,8)="COMPLETE",1,0)</f>
        <v/>
      </c>
      <c r="AK406" s="67">
        <f>IF(AND(AI406=1,AJ406=0,AsOfUTC&gt;Q406),1,0)</f>
        <v/>
      </c>
      <c r="AL406" s="67">
        <f>IF(AND(AI406=1,OR(TRIM(U406)="Fail",AB406="Open",AND(ISNUMBER(AF406),AF406&lt;&gt;0,TRIM(U406)&lt;&gt;"Pass after CA"))),1,0)</f>
        <v/>
      </c>
      <c r="AM406" s="67">
        <f>IF(LEFT(AH406,7)="INVALID",1,0)</f>
        <v/>
      </c>
      <c r="AN406" s="67">
        <f>IF(AND(N406="Clarification required",AI406=1,AJ406=0),1,0)</f>
        <v/>
      </c>
      <c r="AO406" s="67">
        <f>IF(AK406=1,SUM(AK$5:AK406),"")</f>
        <v/>
      </c>
      <c r="AP406" s="67">
        <f>IF(AL406=1,SUM(AL$5:AL406),"")</f>
        <v/>
      </c>
      <c r="AQ406" s="67" t="n">
        <v>0</v>
      </c>
      <c r="AR406" s="67" t="n">
        <v>0</v>
      </c>
      <c r="AS406" s="67" t="n">
        <v>0</v>
      </c>
      <c r="AT406" s="67" t="n">
        <v>1</v>
      </c>
    </row>
    <row r="407" ht="41.5" customHeight="1">
      <c r="A407" s="63" t="inlineStr">
        <is>
          <t>F12-T12-18</t>
        </is>
      </c>
      <c r="B407" s="63" t="inlineStr">
        <is>
          <t>F12</t>
        </is>
      </c>
      <c r="C407" s="63">
        <f>Flights!$F$16</f>
        <v/>
      </c>
      <c r="D407" s="64">
        <f>Flights!$D$16</f>
        <v/>
      </c>
      <c r="E407" s="63">
        <f>Flights!$G$16&amp;"-"&amp;Flights!$H$16</f>
        <v/>
      </c>
      <c r="F407" s="63">
        <f>Flights!$K$16</f>
        <v/>
      </c>
      <c r="G407" s="63" t="inlineStr">
        <is>
          <t>T-12H PREP</t>
        </is>
      </c>
      <c r="H407" s="63" t="inlineStr">
        <is>
          <t>Preparation</t>
        </is>
      </c>
      <c r="I407" s="63" t="inlineStr">
        <is>
          <t>Seat Linen</t>
        </is>
      </c>
      <c r="J407" s="63" t="inlineStr">
        <is>
          <t>Duvet (BS &amp; BC) - prepared</t>
        </is>
      </c>
      <c r="K407" s="73" t="inlineStr">
        <is>
          <t>Available 100% (ticked in reference)</t>
        </is>
      </c>
      <c r="L407" s="73" t="inlineStr">
        <is>
          <t>STD UPLIFT INFORMATION.xlsx &gt; SEAT LINEN!F9</t>
        </is>
      </c>
      <c r="M407" s="73" t="inlineStr">
        <is>
          <t>Not stated in reference</t>
        </is>
      </c>
      <c r="N407" s="73" t="inlineStr">
        <is>
          <t>Required</t>
        </is>
      </c>
      <c r="O407" s="73" t="inlineStr">
        <is>
          <t>Reference gives no uplift stn for this item: preparation checked at the meal uplift stn (KUL) - confirm with caterer.</t>
        </is>
      </c>
      <c r="P407" s="63" t="inlineStr">
        <is>
          <t>KUL</t>
        </is>
      </c>
      <c r="Q407" s="65">
        <f>Flights!$AE$16</f>
        <v/>
      </c>
      <c r="R407" s="65">
        <f>Q407+(IF(AND(INDEX(TZ_DSTS,MATCH(P407,TZ_STN,0))&lt;&gt;"",Q407&gt;=INDEX(TZ_DSTS,MATCH(P407,TZ_STN,0)),Q407&lt;INDEX(TZ_DSTE,MATCH(P407,TZ_STN,0))),INDEX(TZ_DST,MATCH(P407,TZ_STN,0)),INDEX(TZ_STD,MATCH(P407,TZ_STN,0))))/24</f>
        <v/>
      </c>
      <c r="S407" s="65">
        <f>Q407-T12EarlyH/24</f>
        <v/>
      </c>
      <c r="T407" s="66" t="n"/>
      <c r="U407" s="66" t="n"/>
      <c r="V407" s="66" t="n"/>
      <c r="W407" s="67" t="n"/>
      <c r="X407" s="66" t="n"/>
      <c r="Y407" s="66" t="n"/>
      <c r="Z407" s="66" t="n"/>
      <c r="AA407" s="66" t="n"/>
      <c r="AB407" s="66" t="n"/>
      <c r="AC407" s="66" t="n"/>
      <c r="AD407" s="72" t="n"/>
      <c r="AE407" s="66" t="n"/>
      <c r="AF407" s="67">
        <f>IF(AND(ISNUMBER(X407),ISNUMBER(Y407)),Y407-X407,"")</f>
        <v/>
      </c>
      <c r="AG407" s="68">
        <f>IF(ISNUMBER(AD407),AD407-(IF(AND(INDEX(TZ_DSTS,MATCH(P407,TZ_STN,0))&lt;&gt;"",(AD407-INDEX(TZ_STD,MATCH(P407,TZ_STN,0))/24)&gt;=INDEX(TZ_DSTS,MATCH(P407,TZ_STN,0)),(AD407-INDEX(TZ_STD,MATCH(P407,TZ_STN,0))/24)&lt;INDEX(TZ_DSTE,MATCH(P407,TZ_STN,0))),INDEX(TZ_DST,MATCH(P407,TZ_STN,0)),INDEX(TZ_STD,MATCH(P407,TZ_STN,0))))/24,"")</f>
        <v/>
      </c>
      <c r="AH407" s="71">
        <f>IF(N407="N/A – rule","N/A – RULE",IF(TRIM(U407)="N/A",IF(AT407=0,"INVALID – N/A not permitted for this mandatory check",IF(AND(TRIM(AC407)&lt;&gt;"",TRIM(AE407)&lt;&gt;"",TRIM(T407)&lt;&gt;""),"N/A – JUSTIFIED","INVALID – N/A needs justification, PIC and verifier")),IF(OR(TRIM(U407)="Pass",TRIM(U407)="Pass after CA"),IF(NOT(ISNUMBER(AD407)),"INVALID – completion time missing",IF(TRIM(T407)="","INVALID – PIC missing",IF(TRIM(Z407)="","INVALID – evidence missing",IF(TRIM(AE407)="","INVALID – verifier missing",IF(AND(AQ407=1,TRIM(W407)=""),"INVALID – batch ID missing",IF(AND(AR407=1,OR(NOT(ISNUMBER(X407)),NOT(ISNUMBER(Y407)))),"INVALID – expected/actual qty missing",IF(IF(AND(TRIM(U407)="Pass",ISNUMBER(AF407)),IF(AF407&lt;&gt;0,"INVALID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recorded/closed","")&lt;&gt;"",IF(AND(TRIM(U407)="Pass",ISNUMBER(AF407)),IF(AF407&lt;&gt;0,"INVALID – qty variance: use Fail or Pass after CA",""),"")&amp;IF(AND(TRIM(U407)="Pass",AB407="Open"),"INVALID – corrective action still open: use Fail, then Pass after CA","")&amp;IF(AND(TRIM(U407)="Pass after CA",OR(TRIM(AA407)="",AB407&lt;&gt;"Closed")),"INVALID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window"),IF(AG407&gt;Flights!$AA$16,"INVALID – completed after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f>
        <v/>
      </c>
      <c r="AI407" s="67">
        <f>IF(OR(AH407="N/A – RULE",AH407="N/A – JUSTIFIED"),0,1)</f>
        <v/>
      </c>
      <c r="AJ407" s="67">
        <f>IF(LEFT(AH407,8)="COMPLETE",1,0)</f>
        <v/>
      </c>
      <c r="AK407" s="67">
        <f>IF(AND(AI407=1,AJ407=0,AsOfUTC&gt;Q407),1,0)</f>
        <v/>
      </c>
      <c r="AL407" s="67">
        <f>IF(AND(AI407=1,OR(TRIM(U407)="Fail",AB407="Open",AND(ISNUMBER(AF407),AF407&lt;&gt;0,TRIM(U407)&lt;&gt;"Pass after CA"))),1,0)</f>
        <v/>
      </c>
      <c r="AM407" s="67">
        <f>IF(LEFT(AH407,7)="INVALID",1,0)</f>
        <v/>
      </c>
      <c r="AN407" s="67">
        <f>IF(AND(N407="Clarification required",AI407=1,AJ407=0),1,0)</f>
        <v/>
      </c>
      <c r="AO407" s="67">
        <f>IF(AK407=1,SUM(AK$5:AK407),"")</f>
        <v/>
      </c>
      <c r="AP407" s="67">
        <f>IF(AL407=1,SUM(AL$5:AL407),"")</f>
        <v/>
      </c>
      <c r="AQ407" s="67" t="n">
        <v>0</v>
      </c>
      <c r="AR407" s="67" t="n">
        <v>0</v>
      </c>
      <c r="AS407" s="67" t="n">
        <v>0</v>
      </c>
      <c r="AT407" s="67" t="n">
        <v>1</v>
      </c>
    </row>
    <row r="408" ht="41.5" customHeight="1">
      <c r="A408" s="63" t="inlineStr">
        <is>
          <t>F12-T12-19</t>
        </is>
      </c>
      <c r="B408" s="63" t="inlineStr">
        <is>
          <t>F12</t>
        </is>
      </c>
      <c r="C408" s="63">
        <f>Flights!$F$16</f>
        <v/>
      </c>
      <c r="D408" s="64">
        <f>Flights!$D$16</f>
        <v/>
      </c>
      <c r="E408" s="63">
        <f>Flights!$G$16&amp;"-"&amp;Flights!$H$16</f>
        <v/>
      </c>
      <c r="F408" s="63">
        <f>Flights!$K$16</f>
        <v/>
      </c>
      <c r="G408" s="63" t="inlineStr">
        <is>
          <t>T-12H PREP</t>
        </is>
      </c>
      <c r="H408" s="63" t="inlineStr">
        <is>
          <t>Preparation</t>
        </is>
      </c>
      <c r="I408" s="63" t="inlineStr">
        <is>
          <t>Seat Linen</t>
        </is>
      </c>
      <c r="J408" s="63" t="inlineStr">
        <is>
          <t>Mattress (BS &amp; BC) - prepared</t>
        </is>
      </c>
      <c r="K408" s="73" t="inlineStr">
        <is>
          <t>Available 100% (ticked in reference)</t>
        </is>
      </c>
      <c r="L408" s="73" t="inlineStr">
        <is>
          <t>STD UPLIFT INFORMATION.xlsx &gt; SEAT LINEN!G9</t>
        </is>
      </c>
      <c r="M408" s="73" t="inlineStr">
        <is>
          <t>Not stated in reference</t>
        </is>
      </c>
      <c r="N408" s="73" t="inlineStr">
        <is>
          <t>Required</t>
        </is>
      </c>
      <c r="O408" s="73" t="inlineStr">
        <is>
          <t>Reference gives no uplift stn for this item: preparation checked at the meal uplift stn (KUL) - confirm with caterer.</t>
        </is>
      </c>
      <c r="P408" s="63" t="inlineStr">
        <is>
          <t>KUL</t>
        </is>
      </c>
      <c r="Q408" s="65">
        <f>Flights!$AE$16</f>
        <v/>
      </c>
      <c r="R408" s="65">
        <f>Q408+(IF(AND(INDEX(TZ_DSTS,MATCH(P408,TZ_STN,0))&lt;&gt;"",Q408&gt;=INDEX(TZ_DSTS,MATCH(P408,TZ_STN,0)),Q408&lt;INDEX(TZ_DSTE,MATCH(P408,TZ_STN,0))),INDEX(TZ_DST,MATCH(P408,TZ_STN,0)),INDEX(TZ_STD,MATCH(P408,TZ_STN,0))))/24</f>
        <v/>
      </c>
      <c r="S408" s="65">
        <f>Q408-T12EarlyH/24</f>
        <v/>
      </c>
      <c r="T408" s="66" t="n"/>
      <c r="U408" s="66" t="n"/>
      <c r="V408" s="66" t="n"/>
      <c r="W408" s="67" t="n"/>
      <c r="X408" s="66" t="n"/>
      <c r="Y408" s="66" t="n"/>
      <c r="Z408" s="66" t="n"/>
      <c r="AA408" s="66" t="n"/>
      <c r="AB408" s="66" t="n"/>
      <c r="AC408" s="66" t="n"/>
      <c r="AD408" s="72" t="n"/>
      <c r="AE408" s="66" t="n"/>
      <c r="AF408" s="67">
        <f>IF(AND(ISNUMBER(X408),ISNUMBER(Y408)),Y408-X408,"")</f>
        <v/>
      </c>
      <c r="AG408" s="68">
        <f>IF(ISNUMBER(AD408),AD408-(IF(AND(INDEX(TZ_DSTS,MATCH(P408,TZ_STN,0))&lt;&gt;"",(AD408-INDEX(TZ_STD,MATCH(P408,TZ_STN,0))/24)&gt;=INDEX(TZ_DSTS,MATCH(P408,TZ_STN,0)),(AD408-INDEX(TZ_STD,MATCH(P408,TZ_STN,0))/24)&lt;INDEX(TZ_DSTE,MATCH(P408,TZ_STN,0))),INDEX(TZ_DST,MATCH(P408,TZ_STN,0)),INDEX(TZ_STD,MATCH(P408,TZ_STN,0))))/24,"")</f>
        <v/>
      </c>
      <c r="AH408" s="71">
        <f>IF(N408="N/A – rule","N/A – RULE",IF(TRIM(U408)="N/A",IF(AT408=0,"INVALID – N/A not permitted for this mandatory check",IF(AND(TRIM(AC408)&lt;&gt;"",TRIM(AE408)&lt;&gt;"",TRIM(T408)&lt;&gt;""),"N/A – JUSTIFIED","INVALID – N/A needs justification, PIC and verifier")),IF(OR(TRIM(U408)="Pass",TRIM(U408)="Pass after CA"),IF(NOT(ISNUMBER(AD408)),"INVALID – completion time missing",IF(TRIM(T408)="","INVALID – PIC missing",IF(TRIM(Z408)="","INVALID – evidence missing",IF(TRIM(AE408)="","INVALID – verifier missing",IF(AND(AQ408=1,TRIM(W408)=""),"INVALID – batch ID missing",IF(AND(AR408=1,OR(NOT(ISNUMBER(X408)),NOT(ISNUMBER(Y408)))),"INVALID – expected/actual qty missing",IF(IF(AND(TRIM(U408)="Pass",ISNUMBER(AF408)),IF(AF408&lt;&gt;0,"INVALID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recorded/closed","")&lt;&gt;"",IF(AND(TRIM(U408)="Pass",ISNUMBER(AF408)),IF(AF408&lt;&gt;0,"INVALID – qty variance: use Fail or Pass after CA",""),"")&amp;IF(AND(TRIM(U408)="Pass",AB408="Open"),"INVALID – corrective action still open: use Fail, then Pass after CA","")&amp;IF(AND(TRIM(U408)="Pass after CA",OR(TRIM(AA408)="",AB408&lt;&gt;"Closed")),"INVALID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window"),IF(AG408&gt;Flights!$AA$16,"INVALID – completed after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f>
        <v/>
      </c>
      <c r="AI408" s="67">
        <f>IF(OR(AH408="N/A – RULE",AH408="N/A – JUSTIFIED"),0,1)</f>
        <v/>
      </c>
      <c r="AJ408" s="67">
        <f>IF(LEFT(AH408,8)="COMPLETE",1,0)</f>
        <v/>
      </c>
      <c r="AK408" s="67">
        <f>IF(AND(AI408=1,AJ408=0,AsOfUTC&gt;Q408),1,0)</f>
        <v/>
      </c>
      <c r="AL408" s="67">
        <f>IF(AND(AI408=1,OR(TRIM(U408)="Fail",AB408="Open",AND(ISNUMBER(AF408),AF408&lt;&gt;0,TRIM(U408)&lt;&gt;"Pass after CA"))),1,0)</f>
        <v/>
      </c>
      <c r="AM408" s="67">
        <f>IF(LEFT(AH408,7)="INVALID",1,0)</f>
        <v/>
      </c>
      <c r="AN408" s="67">
        <f>IF(AND(N408="Clarification required",AI408=1,AJ408=0),1,0)</f>
        <v/>
      </c>
      <c r="AO408" s="67">
        <f>IF(AK408=1,SUM(AK$5:AK408),"")</f>
        <v/>
      </c>
      <c r="AP408" s="67">
        <f>IF(AL408=1,SUM(AL$5:AL408),"")</f>
        <v/>
      </c>
      <c r="AQ408" s="67" t="n">
        <v>0</v>
      </c>
      <c r="AR408" s="67" t="n">
        <v>0</v>
      </c>
      <c r="AS408" s="67" t="n">
        <v>0</v>
      </c>
      <c r="AT408" s="67" t="n">
        <v>1</v>
      </c>
    </row>
    <row r="409" ht="40" customHeight="1">
      <c r="A409" s="63" t="inlineStr">
        <is>
          <t>F12-T12-20</t>
        </is>
      </c>
      <c r="B409" s="63" t="inlineStr">
        <is>
          <t>F12</t>
        </is>
      </c>
      <c r="C409" s="63">
        <f>Flights!$F$16</f>
        <v/>
      </c>
      <c r="D409" s="64">
        <f>Flights!$D$16</f>
        <v/>
      </c>
      <c r="E409" s="63">
        <f>Flights!$G$16&amp;"-"&amp;Flights!$H$16</f>
        <v/>
      </c>
      <c r="F409" s="63">
        <f>Flights!$K$16</f>
        <v/>
      </c>
      <c r="G409" s="63" t="inlineStr">
        <is>
          <t>T-12H PREP</t>
        </is>
      </c>
      <c r="H409" s="63" t="inlineStr">
        <is>
          <t>Preparation</t>
        </is>
      </c>
      <c r="I409" s="63" t="inlineStr">
        <is>
          <t>Signature Drinks</t>
        </is>
      </c>
      <c r="J409" s="63" t="inlineStr">
        <is>
          <t>Signature drink &amp; garnish (BC) - prepared</t>
        </is>
      </c>
      <c r="K409" s="73" t="inlineStr">
        <is>
          <t>Available (ticked in reference)</t>
        </is>
      </c>
      <c r="L409" s="73" t="inlineStr">
        <is>
          <t>STD UPLIFT INFORMATION.xlsx &gt; Signature Drinks!F9 / G9 / D79</t>
        </is>
      </c>
      <c r="M409" s="73" t="inlineStr">
        <is>
          <t>KUL</t>
        </is>
      </c>
      <c r="N409" s="73" t="inlineStr">
        <is>
          <t>Required</t>
        </is>
      </c>
      <c r="O409" s="73" t="inlineStr">
        <is>
          <t>Signature drinks &amp; garnish uplifted from KUL (note D79).</t>
        </is>
      </c>
      <c r="P409" s="63" t="inlineStr">
        <is>
          <t>KUL</t>
        </is>
      </c>
      <c r="Q409" s="65">
        <f>Flights!$AE$16</f>
        <v/>
      </c>
      <c r="R409" s="65">
        <f>Q409+(IF(AND(INDEX(TZ_DSTS,MATCH(P409,TZ_STN,0))&lt;&gt;"",Q409&gt;=INDEX(TZ_DSTS,MATCH(P409,TZ_STN,0)),Q409&lt;INDEX(TZ_DSTE,MATCH(P409,TZ_STN,0))),INDEX(TZ_DST,MATCH(P409,TZ_STN,0)),INDEX(TZ_STD,MATCH(P409,TZ_STN,0))))/24</f>
        <v/>
      </c>
      <c r="S409" s="65">
        <f>Q409-T12EarlyH/24</f>
        <v/>
      </c>
      <c r="T409" s="66" t="n"/>
      <c r="U409" s="66" t="n"/>
      <c r="V409" s="66" t="n"/>
      <c r="W409" s="67" t="n"/>
      <c r="X409" s="66" t="n"/>
      <c r="Y409" s="66" t="n"/>
      <c r="Z409" s="66" t="n"/>
      <c r="AA409" s="66" t="n"/>
      <c r="AB409" s="66" t="n"/>
      <c r="AC409" s="66" t="n"/>
      <c r="AD409" s="72" t="n"/>
      <c r="AE409" s="66" t="n"/>
      <c r="AF409" s="67">
        <f>IF(AND(ISNUMBER(X409),ISNUMBER(Y409)),Y409-X409,"")</f>
        <v/>
      </c>
      <c r="AG409" s="68">
        <f>IF(ISNUMBER(AD409),AD409-(IF(AND(INDEX(TZ_DSTS,MATCH(P409,TZ_STN,0))&lt;&gt;"",(AD409-INDEX(TZ_STD,MATCH(P409,TZ_STN,0))/24)&gt;=INDEX(TZ_DSTS,MATCH(P409,TZ_STN,0)),(AD409-INDEX(TZ_STD,MATCH(P409,TZ_STN,0))/24)&lt;INDEX(TZ_DSTE,MATCH(P409,TZ_STN,0))),INDEX(TZ_DST,MATCH(P409,TZ_STN,0)),INDEX(TZ_STD,MATCH(P409,TZ_STN,0))))/24,"")</f>
        <v/>
      </c>
      <c r="AH409" s="71">
        <f>IF(N409="N/A – rule","N/A – RULE",IF(TRIM(U409)="N/A",IF(AT409=0,"INVALID – N/A not permitted for this mandatory check",IF(AND(TRIM(AC409)&lt;&gt;"",TRIM(AE409)&lt;&gt;"",TRIM(T409)&lt;&gt;""),"N/A – JUSTIFIED","INVALID – N/A needs justification, PIC and verifier")),IF(OR(TRIM(U409)="Pass",TRIM(U409)="Pass after CA"),IF(NOT(ISNUMBER(AD409)),"INVALID – completion time missing",IF(TRIM(T409)="","INVALID – PIC missing",IF(TRIM(Z409)="","INVALID – evidence missing",IF(TRIM(AE409)="","INVALID – verifier missing",IF(AND(AQ409=1,TRIM(W409)=""),"INVALID – batch ID missing",IF(AND(AR409=1,OR(NOT(ISNUMBER(X409)),NOT(ISNUMBER(Y409)))),"INVALID – expected/actual qty missing",IF(IF(AND(TRIM(U409)="Pass",ISNUMBER(AF409)),IF(AF409&lt;&gt;0,"INVALID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recorded/closed","")&lt;&gt;"",IF(AND(TRIM(U409)="Pass",ISNUMBER(AF409)),IF(AF409&lt;&gt;0,"INVALID – qty variance: use Fail or Pass after CA",""),"")&amp;IF(AND(TRIM(U409)="Pass",AB409="Open"),"INVALID – corrective action still open: use Fail, then Pass after CA","")&amp;IF(AND(TRIM(U409)="Pass after CA",OR(TRIM(AA409)="",AB409&lt;&gt;"Closed")),"INVALID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window"),IF(AG409&gt;Flights!$AA$16,"INVALID – completed after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f>
        <v/>
      </c>
      <c r="AI409" s="67">
        <f>IF(OR(AH409="N/A – RULE",AH409="N/A – JUSTIFIED"),0,1)</f>
        <v/>
      </c>
      <c r="AJ409" s="67">
        <f>IF(LEFT(AH409,8)="COMPLETE",1,0)</f>
        <v/>
      </c>
      <c r="AK409" s="67">
        <f>IF(AND(AI409=1,AJ409=0,AsOfUTC&gt;Q409),1,0)</f>
        <v/>
      </c>
      <c r="AL409" s="67">
        <f>IF(AND(AI409=1,OR(TRIM(U409)="Fail",AB409="Open",AND(ISNUMBER(AF409),AF409&lt;&gt;0,TRIM(U409)&lt;&gt;"Pass after CA"))),1,0)</f>
        <v/>
      </c>
      <c r="AM409" s="67">
        <f>IF(LEFT(AH409,7)="INVALID",1,0)</f>
        <v/>
      </c>
      <c r="AN409" s="67">
        <f>IF(AND(N409="Clarification required",AI409=1,AJ409=0),1,0)</f>
        <v/>
      </c>
      <c r="AO409" s="67">
        <f>IF(AK409=1,SUM(AK$5:AK409),"")</f>
        <v/>
      </c>
      <c r="AP409" s="67">
        <f>IF(AL409=1,SUM(AL$5:AL409),"")</f>
        <v/>
      </c>
      <c r="AQ409" s="67" t="n">
        <v>0</v>
      </c>
      <c r="AR409" s="67" t="n">
        <v>0</v>
      </c>
      <c r="AS409" s="67" t="n">
        <v>0</v>
      </c>
      <c r="AT409" s="67" t="n">
        <v>1</v>
      </c>
    </row>
    <row r="410" ht="41.5" customHeight="1">
      <c r="A410" s="63" t="inlineStr">
        <is>
          <t>F12-T12-21</t>
        </is>
      </c>
      <c r="B410" s="63" t="inlineStr">
        <is>
          <t>F12</t>
        </is>
      </c>
      <c r="C410" s="63">
        <f>Flights!$F$16</f>
        <v/>
      </c>
      <c r="D410" s="64">
        <f>Flights!$D$16</f>
        <v/>
      </c>
      <c r="E410" s="63">
        <f>Flights!$G$16&amp;"-"&amp;Flights!$H$16</f>
        <v/>
      </c>
      <c r="F410" s="63">
        <f>Flights!$K$16</f>
        <v/>
      </c>
      <c r="G410" s="63" t="inlineStr">
        <is>
          <t>T-12H PREP</t>
        </is>
      </c>
      <c r="H410" s="63" t="inlineStr">
        <is>
          <t>Preparation</t>
        </is>
      </c>
      <c r="I410" s="63" t="inlineStr">
        <is>
          <t>Sales Cart</t>
        </is>
      </c>
      <c r="J410" s="63" t="inlineStr">
        <is>
          <t>Sales cart (caterer PASB) - prepared</t>
        </is>
      </c>
      <c r="K410" s="73" t="inlineStr">
        <is>
          <t>Location 241 &amp; 947 (A339)</t>
        </is>
      </c>
      <c r="L410" s="73" t="inlineStr">
        <is>
          <t>STD UPLIFT INFORMATION.xlsx &gt; SALES CART!J8:J17 / C13 / C40</t>
        </is>
      </c>
      <c r="M410" s="73" t="inlineStr">
        <is>
          <t>Not stated in reference</t>
        </is>
      </c>
      <c r="N410" s="73" t="inlineStr">
        <is>
          <t>Required</t>
        </is>
      </c>
      <c r="O410" s="73" t="inlineStr">
        <is>
          <t>Block 7.08 h &gt;= 4 h. Reference gives no uplift stn for this item: preparation checked at the meal uplift stn (KUL) - confirm with caterer.</t>
        </is>
      </c>
      <c r="P410" s="63" t="inlineStr">
        <is>
          <t>KUL</t>
        </is>
      </c>
      <c r="Q410" s="65">
        <f>Flights!$AE$16</f>
        <v/>
      </c>
      <c r="R410" s="65">
        <f>Q410+(IF(AND(INDEX(TZ_DSTS,MATCH(P410,TZ_STN,0))&lt;&gt;"",Q410&gt;=INDEX(TZ_DSTS,MATCH(P410,TZ_STN,0)),Q410&lt;INDEX(TZ_DSTE,MATCH(P410,TZ_STN,0))),INDEX(TZ_DST,MATCH(P410,TZ_STN,0)),INDEX(TZ_STD,MATCH(P410,TZ_STN,0))))/24</f>
        <v/>
      </c>
      <c r="S410" s="65">
        <f>Q410-T12EarlyH/24</f>
        <v/>
      </c>
      <c r="T410" s="66" t="n"/>
      <c r="U410" s="66" t="n"/>
      <c r="V410" s="66" t="n"/>
      <c r="W410" s="67" t="n"/>
      <c r="X410" s="66" t="n"/>
      <c r="Y410" s="66" t="n"/>
      <c r="Z410" s="66" t="n"/>
      <c r="AA410" s="66" t="n"/>
      <c r="AB410" s="66" t="n"/>
      <c r="AC410" s="66" t="n"/>
      <c r="AD410" s="72" t="n"/>
      <c r="AE410" s="66" t="n"/>
      <c r="AF410" s="67">
        <f>IF(AND(ISNUMBER(X410),ISNUMBER(Y410)),Y410-X410,"")</f>
        <v/>
      </c>
      <c r="AG410" s="68">
        <f>IF(ISNUMBER(AD410),AD410-(IF(AND(INDEX(TZ_DSTS,MATCH(P410,TZ_STN,0))&lt;&gt;"",(AD410-INDEX(TZ_STD,MATCH(P410,TZ_STN,0))/24)&gt;=INDEX(TZ_DSTS,MATCH(P410,TZ_STN,0)),(AD410-INDEX(TZ_STD,MATCH(P410,TZ_STN,0))/24)&lt;INDEX(TZ_DSTE,MATCH(P410,TZ_STN,0))),INDEX(TZ_DST,MATCH(P410,TZ_STN,0)),INDEX(TZ_STD,MATCH(P410,TZ_STN,0))))/24,"")</f>
        <v/>
      </c>
      <c r="AH410" s="71">
        <f>IF(N410="N/A – rule","N/A – RULE",IF(TRIM(U410)="N/A",IF(AT410=0,"INVALID – N/A not permitted for this mandatory check",IF(AND(TRIM(AC410)&lt;&gt;"",TRIM(AE410)&lt;&gt;"",TRIM(T410)&lt;&gt;""),"N/A – JUSTIFIED","INVALID – N/A needs justification, PIC and verifier")),IF(OR(TRIM(U410)="Pass",TRIM(U410)="Pass after CA"),IF(NOT(ISNUMBER(AD410)),"INVALID – completion time missing",IF(TRIM(T410)="","INVALID – PIC missing",IF(TRIM(Z410)="","INVALID – evidence missing",IF(TRIM(AE410)="","INVALID – verifier missing",IF(AND(AQ410=1,TRIM(W410)=""),"INVALID – batch ID missing",IF(AND(AR410=1,OR(NOT(ISNUMBER(X410)),NOT(ISNUMBER(Y410)))),"INVALID – expected/actual qty missing",IF(IF(AND(TRIM(U410)="Pass",ISNUMBER(AF410)),IF(AF410&lt;&gt;0,"INVALID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recorded/closed","")&lt;&gt;"",IF(AND(TRIM(U410)="Pass",ISNUMBER(AF410)),IF(AF410&lt;&gt;0,"INVALID – qty variance: use Fail or Pass after CA",""),"")&amp;IF(AND(TRIM(U410)="Pass",AB410="Open"),"INVALID – corrective action still open: use Fail, then Pass after CA","")&amp;IF(AND(TRIM(U410)="Pass after CA",OR(TRIM(AA410)="",AB410&lt;&gt;"Closed")),"INVALID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window"),IF(AG410&gt;Flights!$AA$16,"INVALID – completed after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f>
        <v/>
      </c>
      <c r="AI410" s="67">
        <f>IF(OR(AH410="N/A – RULE",AH410="N/A – JUSTIFIED"),0,1)</f>
        <v/>
      </c>
      <c r="AJ410" s="67">
        <f>IF(LEFT(AH410,8)="COMPLETE",1,0)</f>
        <v/>
      </c>
      <c r="AK410" s="67">
        <f>IF(AND(AI410=1,AJ410=0,AsOfUTC&gt;Q410),1,0)</f>
        <v/>
      </c>
      <c r="AL410" s="67">
        <f>IF(AND(AI410=1,OR(TRIM(U410)="Fail",AB410="Open",AND(ISNUMBER(AF410),AF410&lt;&gt;0,TRIM(U410)&lt;&gt;"Pass after CA"))),1,0)</f>
        <v/>
      </c>
      <c r="AM410" s="67">
        <f>IF(LEFT(AH410,7)="INVALID",1,0)</f>
        <v/>
      </c>
      <c r="AN410" s="67">
        <f>IF(AND(N410="Clarification required",AI410=1,AJ410=0),1,0)</f>
        <v/>
      </c>
      <c r="AO410" s="67">
        <f>IF(AK410=1,SUM(AK$5:AK410),"")</f>
        <v/>
      </c>
      <c r="AP410" s="67">
        <f>IF(AL410=1,SUM(AL$5:AL410),"")</f>
        <v/>
      </c>
      <c r="AQ410" s="67" t="n">
        <v>0</v>
      </c>
      <c r="AR410" s="67" t="n">
        <v>0</v>
      </c>
      <c r="AS410" s="67" t="n">
        <v>0</v>
      </c>
      <c r="AT410" s="67" t="n">
        <v>1</v>
      </c>
    </row>
    <row r="411" ht="40" customHeight="1">
      <c r="A411" s="63" t="inlineStr">
        <is>
          <t>F12-UPL-01</t>
        </is>
      </c>
      <c r="B411" s="63" t="inlineStr">
        <is>
          <t>F12</t>
        </is>
      </c>
      <c r="C411" s="63">
        <f>Flights!$F$16</f>
        <v/>
      </c>
      <c r="D411" s="64">
        <f>Flights!$D$16</f>
        <v/>
      </c>
      <c r="E411" s="63">
        <f>Flights!$G$16&amp;"-"&amp;Flights!$H$16</f>
        <v/>
      </c>
      <c r="F411" s="63">
        <f>Flights!$K$16</f>
        <v/>
      </c>
      <c r="G411" s="63" t="inlineStr">
        <is>
          <t>UPLIFT</t>
        </is>
      </c>
      <c r="H411" s="63" t="inlineStr">
        <is>
          <t>Physical uplift</t>
        </is>
      </c>
      <c r="I411" s="63" t="inlineStr">
        <is>
          <t>Meal</t>
        </is>
      </c>
      <c r="J411" s="63" t="inlineStr">
        <is>
          <t>Meals physically uplifted on board - quantity vs menu checklist</t>
        </is>
      </c>
      <c r="K411" s="73" t="inlineStr">
        <is>
          <t>Enter expected &amp; actual</t>
        </is>
      </c>
      <c r="L411" s="73" t="inlineStr">
        <is>
          <t>User brief (T-12 hours - physical uplift)</t>
        </is>
      </c>
      <c r="M411" s="73" t="inlineStr"/>
      <c r="N411" s="73" t="inlineStr">
        <is>
          <t>Required</t>
        </is>
      </c>
      <c r="O411" s="73" t="inlineStr">
        <is>
          <t>Confirm on board before departure; completion time must fall inside the uplift window.</t>
        </is>
      </c>
      <c r="P411" s="63" t="inlineStr">
        <is>
          <t>KUL</t>
        </is>
      </c>
      <c r="Q411" s="65">
        <f>Flights!$AF$16</f>
        <v/>
      </c>
      <c r="R411" s="65">
        <f>Q411+(IF(AND(INDEX(TZ_DSTS,MATCH(P411,TZ_STN,0))&lt;&gt;"",Q411&gt;=INDEX(TZ_DSTS,MATCH(P411,TZ_STN,0)),Q411&lt;INDEX(TZ_DSTE,MATCH(P411,TZ_STN,0))),INDEX(TZ_DST,MATCH(P411,TZ_STN,0)),INDEX(TZ_STD,MATCH(P411,TZ_STN,0))))/24</f>
        <v/>
      </c>
      <c r="S411" s="65">
        <f>Q411-UpliftWindowH/24</f>
        <v/>
      </c>
      <c r="T411" s="66" t="n"/>
      <c r="U411" s="66" t="n"/>
      <c r="V411" s="66" t="n"/>
      <c r="W411" s="67" t="n"/>
      <c r="X411" s="66" t="n"/>
      <c r="Y411" s="66" t="n"/>
      <c r="Z411" s="66" t="n"/>
      <c r="AA411" s="66" t="n"/>
      <c r="AB411" s="66" t="n"/>
      <c r="AC411" s="66" t="n"/>
      <c r="AD411" s="72" t="n"/>
      <c r="AE411" s="66" t="n"/>
      <c r="AF411" s="67">
        <f>IF(AND(ISNUMBER(X411),ISNUMBER(Y411)),Y411-X411,"")</f>
        <v/>
      </c>
      <c r="AG411" s="68">
        <f>IF(ISNUMBER(AD411),AD411-(IF(AND(INDEX(TZ_DSTS,MATCH(P411,TZ_STN,0))&lt;&gt;"",(AD411-INDEX(TZ_STD,MATCH(P411,TZ_STN,0))/24)&gt;=INDEX(TZ_DSTS,MATCH(P411,TZ_STN,0)),(AD411-INDEX(TZ_STD,MATCH(P411,TZ_STN,0))/24)&lt;INDEX(TZ_DSTE,MATCH(P411,TZ_STN,0))),INDEX(TZ_DST,MATCH(P411,TZ_STN,0)),INDEX(TZ_STD,MATCH(P411,TZ_STN,0))))/24,"")</f>
        <v/>
      </c>
      <c r="AH411" s="71">
        <f>IF(N411="N/A – rule","N/A – RULE",IF(TRIM(U411)="N/A",IF(AT411=0,"INVALID – N/A not permitted for this mandatory check",IF(AND(TRIM(AC411)&lt;&gt;"",TRIM(AE411)&lt;&gt;"",TRIM(T411)&lt;&gt;""),"N/A – JUSTIFIED","INVALID – N/A needs justification, PIC and verifier")),IF(OR(TRIM(U411)="Pass",TRIM(U411)="Pass after CA"),IF(NOT(ISNUMBER(AD411)),"INVALID – completion time missing",IF(TRIM(T411)="","INVALID – PIC missing",IF(TRIM(Z411)="","INVALID – evidence missing",IF(TRIM(AE411)="","INVALID – verifier missing",IF(AND(AQ411=1,TRIM(W411)=""),"INVALID – batch ID missing",IF(AND(AR411=1,OR(NOT(ISNUMBER(X411)),NOT(ISNUMBER(Y411)))),"INVALID – expected/actual qty missing",IF(IF(AND(TRIM(U411)="Pass",ISNUMBER(AF411)),IF(AF411&lt;&gt;0,"INVALID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recorded/closed","")&lt;&gt;"",IF(AND(TRIM(U411)="Pass",ISNUMBER(AF411)),IF(AF411&lt;&gt;0,"INVALID – qty variance: use Fail or Pass after CA",""),"")&amp;IF(AND(TRIM(U411)="Pass",AB411="Open"),"INVALID – corrective action still open: use Fail, then Pass after CA","")&amp;IF(AND(TRIM(U411)="Pass after CA",OR(TRIM(AA411)="",AB411&lt;&gt;"Closed")),"INVALID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window"),IF(AG411&gt;Flights!$AA$16,"INVALID – completed after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f>
        <v/>
      </c>
      <c r="AI411" s="67">
        <f>IF(OR(AH411="N/A – RULE",AH411="N/A – JUSTIFIED"),0,1)</f>
        <v/>
      </c>
      <c r="AJ411" s="67">
        <f>IF(LEFT(AH411,8)="COMPLETE",1,0)</f>
        <v/>
      </c>
      <c r="AK411" s="67">
        <f>IF(AND(AI411=1,AJ411=0,AsOfUTC&gt;Q411),1,0)</f>
        <v/>
      </c>
      <c r="AL411" s="67">
        <f>IF(AND(AI411=1,OR(TRIM(U411)="Fail",AB411="Open",AND(ISNUMBER(AF411),AF411&lt;&gt;0,TRIM(U411)&lt;&gt;"Pass after CA"))),1,0)</f>
        <v/>
      </c>
      <c r="AM411" s="67">
        <f>IF(LEFT(AH411,7)="INVALID",1,0)</f>
        <v/>
      </c>
      <c r="AN411" s="67">
        <f>IF(AND(N411="Clarification required",AI411=1,AJ411=0),1,0)</f>
        <v/>
      </c>
      <c r="AO411" s="67">
        <f>IF(AK411=1,SUM(AK$5:AK411),"")</f>
        <v/>
      </c>
      <c r="AP411" s="67">
        <f>IF(AL411=1,SUM(AL$5:AL411),"")</f>
        <v/>
      </c>
      <c r="AQ411" s="67" t="n">
        <v>0</v>
      </c>
      <c r="AR411" s="67" t="n">
        <v>1</v>
      </c>
      <c r="AS411" s="67" t="n">
        <v>0</v>
      </c>
      <c r="AT411" s="67" t="n">
        <v>0</v>
      </c>
    </row>
    <row r="412" ht="40" customHeight="1">
      <c r="A412" s="63" t="inlineStr">
        <is>
          <t>F12-UPL-02</t>
        </is>
      </c>
      <c r="B412" s="63" t="inlineStr">
        <is>
          <t>F12</t>
        </is>
      </c>
      <c r="C412" s="63">
        <f>Flights!$F$16</f>
        <v/>
      </c>
      <c r="D412" s="64">
        <f>Flights!$D$16</f>
        <v/>
      </c>
      <c r="E412" s="63">
        <f>Flights!$G$16&amp;"-"&amp;Flights!$H$16</f>
        <v/>
      </c>
      <c r="F412" s="63">
        <f>Flights!$K$16</f>
        <v/>
      </c>
      <c r="G412" s="63" t="inlineStr">
        <is>
          <t>UPLIFT</t>
        </is>
      </c>
      <c r="H412" s="63" t="inlineStr">
        <is>
          <t>Physical uplift</t>
        </is>
      </c>
      <c r="I412" s="63" t="inlineStr">
        <is>
          <t>Equipment</t>
        </is>
      </c>
      <c r="J412" s="63" t="inlineStr">
        <is>
          <t>Equipment physically loaded at GLD positions - quantity &amp; positions</t>
        </is>
      </c>
      <c r="K412" s="73" t="inlineStr">
        <is>
          <t>Enter expected &amp; actual</t>
        </is>
      </c>
      <c r="L412" s="73" t="inlineStr">
        <is>
          <t>User brief (T-12 hours - physical uplift)</t>
        </is>
      </c>
      <c r="M412" s="73" t="inlineStr"/>
      <c r="N412" s="73" t="inlineStr">
        <is>
          <t>Required</t>
        </is>
      </c>
      <c r="O412" s="73" t="inlineStr">
        <is>
          <t>Confirm on board before departure; completion time must fall inside the uplift window.</t>
        </is>
      </c>
      <c r="P412" s="63" t="inlineStr">
        <is>
          <t>KUL</t>
        </is>
      </c>
      <c r="Q412" s="65">
        <f>Flights!$AF$16</f>
        <v/>
      </c>
      <c r="R412" s="65">
        <f>Q412+(IF(AND(INDEX(TZ_DSTS,MATCH(P412,TZ_STN,0))&lt;&gt;"",Q412&gt;=INDEX(TZ_DSTS,MATCH(P412,TZ_STN,0)),Q412&lt;INDEX(TZ_DSTE,MATCH(P412,TZ_STN,0))),INDEX(TZ_DST,MATCH(P412,TZ_STN,0)),INDEX(TZ_STD,MATCH(P412,TZ_STN,0))))/24</f>
        <v/>
      </c>
      <c r="S412" s="65">
        <f>Q412-UpliftWindowH/24</f>
        <v/>
      </c>
      <c r="T412" s="66" t="n"/>
      <c r="U412" s="66" t="n"/>
      <c r="V412" s="66" t="n"/>
      <c r="W412" s="67" t="n"/>
      <c r="X412" s="66" t="n"/>
      <c r="Y412" s="66" t="n"/>
      <c r="Z412" s="66" t="n"/>
      <c r="AA412" s="66" t="n"/>
      <c r="AB412" s="66" t="n"/>
      <c r="AC412" s="66" t="n"/>
      <c r="AD412" s="72" t="n"/>
      <c r="AE412" s="66" t="n"/>
      <c r="AF412" s="67">
        <f>IF(AND(ISNUMBER(X412),ISNUMBER(Y412)),Y412-X412,"")</f>
        <v/>
      </c>
      <c r="AG412" s="68">
        <f>IF(ISNUMBER(AD412),AD412-(IF(AND(INDEX(TZ_DSTS,MATCH(P412,TZ_STN,0))&lt;&gt;"",(AD412-INDEX(TZ_STD,MATCH(P412,TZ_STN,0))/24)&gt;=INDEX(TZ_DSTS,MATCH(P412,TZ_STN,0)),(AD412-INDEX(TZ_STD,MATCH(P412,TZ_STN,0))/24)&lt;INDEX(TZ_DSTE,MATCH(P412,TZ_STN,0))),INDEX(TZ_DST,MATCH(P412,TZ_STN,0)),INDEX(TZ_STD,MATCH(P412,TZ_STN,0))))/24,"")</f>
        <v/>
      </c>
      <c r="AH412" s="71">
        <f>IF(N412="N/A – rule","N/A – RULE",IF(TRIM(U412)="N/A",IF(AT412=0,"INVALID – N/A not permitted for this mandatory check",IF(AND(TRIM(AC412)&lt;&gt;"",TRIM(AE412)&lt;&gt;"",TRIM(T412)&lt;&gt;""),"N/A – JUSTIFIED","INVALID – N/A needs justification, PIC and verifier")),IF(OR(TRIM(U412)="Pass",TRIM(U412)="Pass after CA"),IF(NOT(ISNUMBER(AD412)),"INVALID – completion time missing",IF(TRIM(T412)="","INVALID – PIC missing",IF(TRIM(Z412)="","INVALID – evidence missing",IF(TRIM(AE412)="","INVALID – verifier missing",IF(AND(AQ412=1,TRIM(W412)=""),"INVALID – batch ID missing",IF(AND(AR412=1,OR(NOT(ISNUMBER(X412)),NOT(ISNUMBER(Y412)))),"INVALID – expected/actual qty missing",IF(IF(AND(TRIM(U412)="Pass",ISNUMBER(AF412)),IF(AF412&lt;&gt;0,"INVALID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recorded/closed","")&lt;&gt;"",IF(AND(TRIM(U412)="Pass",ISNUMBER(AF412)),IF(AF412&lt;&gt;0,"INVALID – qty variance: use Fail or Pass after CA",""),"")&amp;IF(AND(TRIM(U412)="Pass",AB412="Open"),"INVALID – corrective action still open: use Fail, then Pass after CA","")&amp;IF(AND(TRIM(U412)="Pass after CA",OR(TRIM(AA412)="",AB412&lt;&gt;"Closed")),"INVALID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window"),IF(AG412&gt;Flights!$AA$16,"INVALID – completed after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f>
        <v/>
      </c>
      <c r="AI412" s="67">
        <f>IF(OR(AH412="N/A – RULE",AH412="N/A – JUSTIFIED"),0,1)</f>
        <v/>
      </c>
      <c r="AJ412" s="67">
        <f>IF(LEFT(AH412,8)="COMPLETE",1,0)</f>
        <v/>
      </c>
      <c r="AK412" s="67">
        <f>IF(AND(AI412=1,AJ412=0,AsOfUTC&gt;Q412),1,0)</f>
        <v/>
      </c>
      <c r="AL412" s="67">
        <f>IF(AND(AI412=1,OR(TRIM(U412)="Fail",AB412="Open",AND(ISNUMBER(AF412),AF412&lt;&gt;0,TRIM(U412)&lt;&gt;"Pass after CA"))),1,0)</f>
        <v/>
      </c>
      <c r="AM412" s="67">
        <f>IF(LEFT(AH412,7)="INVALID",1,0)</f>
        <v/>
      </c>
      <c r="AN412" s="67">
        <f>IF(AND(N412="Clarification required",AI412=1,AJ412=0),1,0)</f>
        <v/>
      </c>
      <c r="AO412" s="67">
        <f>IF(AK412=1,SUM(AK$5:AK412),"")</f>
        <v/>
      </c>
      <c r="AP412" s="67">
        <f>IF(AL412=1,SUM(AL$5:AL412),"")</f>
        <v/>
      </c>
      <c r="AQ412" s="67" t="n">
        <v>0</v>
      </c>
      <c r="AR412" s="67" t="n">
        <v>1</v>
      </c>
      <c r="AS412" s="67" t="n">
        <v>0</v>
      </c>
      <c r="AT412" s="67" t="n">
        <v>0</v>
      </c>
    </row>
    <row r="413" ht="40" customHeight="1">
      <c r="A413" s="63" t="inlineStr">
        <is>
          <t>F12-UPL-03</t>
        </is>
      </c>
      <c r="B413" s="63" t="inlineStr">
        <is>
          <t>F12</t>
        </is>
      </c>
      <c r="C413" s="63">
        <f>Flights!$F$16</f>
        <v/>
      </c>
      <c r="D413" s="64">
        <f>Flights!$D$16</f>
        <v/>
      </c>
      <c r="E413" s="63">
        <f>Flights!$G$16&amp;"-"&amp;Flights!$H$16</f>
        <v/>
      </c>
      <c r="F413" s="63">
        <f>Flights!$K$16</f>
        <v/>
      </c>
      <c r="G413" s="63" t="inlineStr">
        <is>
          <t>UPLIFT</t>
        </is>
      </c>
      <c r="H413" s="63" t="inlineStr">
        <is>
          <t>Physical uplift</t>
        </is>
      </c>
      <c r="I413" s="63" t="inlineStr">
        <is>
          <t>Amenities</t>
        </is>
      </c>
      <c r="J413" s="63" t="inlineStr">
        <is>
          <t>Toiletry kits - on board</t>
        </is>
      </c>
      <c r="K413" s="73" t="inlineStr">
        <is>
          <t>Available (ticked in reference)</t>
        </is>
      </c>
      <c r="L413" s="73" t="inlineStr">
        <is>
          <t>STD UPLIFT INFORMATION.xlsx &gt; AMENITIES!D18 / H18</t>
        </is>
      </c>
      <c r="M413" s="73" t="inlineStr">
        <is>
          <t>KUL</t>
        </is>
      </c>
      <c r="N413" s="73" t="inlineStr">
        <is>
          <t>Required</t>
        </is>
      </c>
      <c r="O413" s="73" t="inlineStr"/>
      <c r="P413" s="63" t="inlineStr">
        <is>
          <t>KUL</t>
        </is>
      </c>
      <c r="Q413" s="65">
        <f>Flights!$AF$16</f>
        <v/>
      </c>
      <c r="R413" s="65">
        <f>Q413+(IF(AND(INDEX(TZ_DSTS,MATCH(P413,TZ_STN,0))&lt;&gt;"",Q413&gt;=INDEX(TZ_DSTS,MATCH(P413,TZ_STN,0)),Q413&lt;INDEX(TZ_DSTE,MATCH(P413,TZ_STN,0))),INDEX(TZ_DST,MATCH(P413,TZ_STN,0)),INDEX(TZ_STD,MATCH(P413,TZ_STN,0))))/24</f>
        <v/>
      </c>
      <c r="S413" s="65">
        <f>Q413-UpliftWindowH/24</f>
        <v/>
      </c>
      <c r="T413" s="66" t="n"/>
      <c r="U413" s="66" t="n"/>
      <c r="V413" s="66" t="n"/>
      <c r="W413" s="67" t="n"/>
      <c r="X413" s="66" t="n"/>
      <c r="Y413" s="66" t="n"/>
      <c r="Z413" s="66" t="n"/>
      <c r="AA413" s="66" t="n"/>
      <c r="AB413" s="66" t="n"/>
      <c r="AC413" s="66" t="n"/>
      <c r="AD413" s="72" t="n"/>
      <c r="AE413" s="66" t="n"/>
      <c r="AF413" s="67">
        <f>IF(AND(ISNUMBER(X413),ISNUMBER(Y413)),Y413-X413,"")</f>
        <v/>
      </c>
      <c r="AG413" s="68">
        <f>IF(ISNUMBER(AD413),AD413-(IF(AND(INDEX(TZ_DSTS,MATCH(P413,TZ_STN,0))&lt;&gt;"",(AD413-INDEX(TZ_STD,MATCH(P413,TZ_STN,0))/24)&gt;=INDEX(TZ_DSTS,MATCH(P413,TZ_STN,0)),(AD413-INDEX(TZ_STD,MATCH(P413,TZ_STN,0))/24)&lt;INDEX(TZ_DSTE,MATCH(P413,TZ_STN,0))),INDEX(TZ_DST,MATCH(P413,TZ_STN,0)),INDEX(TZ_STD,MATCH(P413,TZ_STN,0))))/24,"")</f>
        <v/>
      </c>
      <c r="AH413" s="71">
        <f>IF(N413="N/A – rule","N/A – RULE",IF(TRIM(U413)="N/A",IF(AT413=0,"INVALID – N/A not permitted for this mandatory check",IF(AND(TRIM(AC413)&lt;&gt;"",TRIM(AE413)&lt;&gt;"",TRIM(T413)&lt;&gt;""),"N/A – JUSTIFIED","INVALID – N/A needs justification, PIC and verifier")),IF(OR(TRIM(U413)="Pass",TRIM(U413)="Pass after CA"),IF(NOT(ISNUMBER(AD413)),"INVALID – completion time missing",IF(TRIM(T413)="","INVALID – PIC missing",IF(TRIM(Z413)="","INVALID – evidence missing",IF(TRIM(AE413)="","INVALID – verifier missing",IF(AND(AQ413=1,TRIM(W413)=""),"INVALID – batch ID missing",IF(AND(AR413=1,OR(NOT(ISNUMBER(X413)),NOT(ISNUMBER(Y413)))),"INVALID – expected/actual qty missing",IF(IF(AND(TRIM(U413)="Pass",ISNUMBER(AF413)),IF(AF413&lt;&gt;0,"INVALID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recorded/closed","")&lt;&gt;"",IF(AND(TRIM(U413)="Pass",ISNUMBER(AF413)),IF(AF413&lt;&gt;0,"INVALID – qty variance: use Fail or Pass after CA",""),"")&amp;IF(AND(TRIM(U413)="Pass",AB413="Open"),"INVALID – corrective action still open: use Fail, then Pass after CA","")&amp;IF(AND(TRIM(U413)="Pass after CA",OR(TRIM(AA413)="",AB413&lt;&gt;"Closed")),"INVALID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window"),IF(AG413&gt;Flights!$AA$16,"INVALID – completed after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f>
        <v/>
      </c>
      <c r="AI413" s="67">
        <f>IF(OR(AH413="N/A – RULE",AH413="N/A – JUSTIFIED"),0,1)</f>
        <v/>
      </c>
      <c r="AJ413" s="67">
        <f>IF(LEFT(AH413,8)="COMPLETE",1,0)</f>
        <v/>
      </c>
      <c r="AK413" s="67">
        <f>IF(AND(AI413=1,AJ413=0,AsOfUTC&gt;Q413),1,0)</f>
        <v/>
      </c>
      <c r="AL413" s="67">
        <f>IF(AND(AI413=1,OR(TRIM(U413)="Fail",AB413="Open",AND(ISNUMBER(AF413),AF413&lt;&gt;0,TRIM(U413)&lt;&gt;"Pass after CA"))),1,0)</f>
        <v/>
      </c>
      <c r="AM413" s="67">
        <f>IF(LEFT(AH413,7)="INVALID",1,0)</f>
        <v/>
      </c>
      <c r="AN413" s="67">
        <f>IF(AND(N413="Clarification required",AI413=1,AJ413=0),1,0)</f>
        <v/>
      </c>
      <c r="AO413" s="67">
        <f>IF(AK413=1,SUM(AK$5:AK413),"")</f>
        <v/>
      </c>
      <c r="AP413" s="67">
        <f>IF(AL413=1,SUM(AL$5:AL413),"")</f>
        <v/>
      </c>
      <c r="AQ413" s="67" t="n">
        <v>0</v>
      </c>
      <c r="AR413" s="67" t="n">
        <v>0</v>
      </c>
      <c r="AS413" s="67" t="n">
        <v>0</v>
      </c>
      <c r="AT413" s="67" t="n">
        <v>1</v>
      </c>
    </row>
    <row r="414" ht="40" customHeight="1">
      <c r="A414" s="63" t="inlineStr">
        <is>
          <t>F12-UPL-04</t>
        </is>
      </c>
      <c r="B414" s="63" t="inlineStr">
        <is>
          <t>F12</t>
        </is>
      </c>
      <c r="C414" s="63">
        <f>Flights!$F$16</f>
        <v/>
      </c>
      <c r="D414" s="64">
        <f>Flights!$D$16</f>
        <v/>
      </c>
      <c r="E414" s="63">
        <f>Flights!$G$16&amp;"-"&amp;Flights!$H$16</f>
        <v/>
      </c>
      <c r="F414" s="63">
        <f>Flights!$K$16</f>
        <v/>
      </c>
      <c r="G414" s="63" t="inlineStr">
        <is>
          <t>UPLIFT</t>
        </is>
      </c>
      <c r="H414" s="63" t="inlineStr">
        <is>
          <t>Physical uplift</t>
        </is>
      </c>
      <c r="I414" s="63" t="inlineStr">
        <is>
          <t>Amenities</t>
        </is>
      </c>
      <c r="J414" s="63" t="inlineStr">
        <is>
          <t>Slippers (BS/BC) - on board</t>
        </is>
      </c>
      <c r="K414" s="73" t="inlineStr">
        <is>
          <t>Available (ticked in reference)</t>
        </is>
      </c>
      <c r="L414" s="73" t="inlineStr">
        <is>
          <t>STD UPLIFT INFORMATION.xlsx &gt; AMENITIES!G18 / H18</t>
        </is>
      </c>
      <c r="M414" s="73" t="inlineStr">
        <is>
          <t>KUL</t>
        </is>
      </c>
      <c r="N414" s="73" t="inlineStr">
        <is>
          <t>Required</t>
        </is>
      </c>
      <c r="O414" s="73" t="inlineStr"/>
      <c r="P414" s="63" t="inlineStr">
        <is>
          <t>KUL</t>
        </is>
      </c>
      <c r="Q414" s="65">
        <f>Flights!$AF$16</f>
        <v/>
      </c>
      <c r="R414" s="65">
        <f>Q414+(IF(AND(INDEX(TZ_DSTS,MATCH(P414,TZ_STN,0))&lt;&gt;"",Q414&gt;=INDEX(TZ_DSTS,MATCH(P414,TZ_STN,0)),Q414&lt;INDEX(TZ_DSTE,MATCH(P414,TZ_STN,0))),INDEX(TZ_DST,MATCH(P414,TZ_STN,0)),INDEX(TZ_STD,MATCH(P414,TZ_STN,0))))/24</f>
        <v/>
      </c>
      <c r="S414" s="65">
        <f>Q414-UpliftWindowH/24</f>
        <v/>
      </c>
      <c r="T414" s="66" t="n"/>
      <c r="U414" s="66" t="n"/>
      <c r="V414" s="66" t="n"/>
      <c r="W414" s="67" t="n"/>
      <c r="X414" s="66" t="n"/>
      <c r="Y414" s="66" t="n"/>
      <c r="Z414" s="66" t="n"/>
      <c r="AA414" s="66" t="n"/>
      <c r="AB414" s="66" t="n"/>
      <c r="AC414" s="66" t="n"/>
      <c r="AD414" s="72" t="n"/>
      <c r="AE414" s="66" t="n"/>
      <c r="AF414" s="67">
        <f>IF(AND(ISNUMBER(X414),ISNUMBER(Y414)),Y414-X414,"")</f>
        <v/>
      </c>
      <c r="AG414" s="68">
        <f>IF(ISNUMBER(AD414),AD414-(IF(AND(INDEX(TZ_DSTS,MATCH(P414,TZ_STN,0))&lt;&gt;"",(AD414-INDEX(TZ_STD,MATCH(P414,TZ_STN,0))/24)&gt;=INDEX(TZ_DSTS,MATCH(P414,TZ_STN,0)),(AD414-INDEX(TZ_STD,MATCH(P414,TZ_STN,0))/24)&lt;INDEX(TZ_DSTE,MATCH(P414,TZ_STN,0))),INDEX(TZ_DST,MATCH(P414,TZ_STN,0)),INDEX(TZ_STD,MATCH(P414,TZ_STN,0))))/24,"")</f>
        <v/>
      </c>
      <c r="AH414" s="71">
        <f>IF(N414="N/A – rule","N/A – RULE",IF(TRIM(U414)="N/A",IF(AT414=0,"INVALID – N/A not permitted for this mandatory check",IF(AND(TRIM(AC414)&lt;&gt;"",TRIM(AE414)&lt;&gt;"",TRIM(T414)&lt;&gt;""),"N/A – JUSTIFIED","INVALID – N/A needs justification, PIC and verifier")),IF(OR(TRIM(U414)="Pass",TRIM(U414)="Pass after CA"),IF(NOT(ISNUMBER(AD414)),"INVALID – completion time missing",IF(TRIM(T414)="","INVALID – PIC missing",IF(TRIM(Z414)="","INVALID – evidence missing",IF(TRIM(AE414)="","INVALID – verifier missing",IF(AND(AQ414=1,TRIM(W414)=""),"INVALID – batch ID missing",IF(AND(AR414=1,OR(NOT(ISNUMBER(X414)),NOT(ISNUMBER(Y414)))),"INVALID – expected/actual qty missing",IF(IF(AND(TRIM(U414)="Pass",ISNUMBER(AF414)),IF(AF414&lt;&gt;0,"INVALID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recorded/closed","")&lt;&gt;"",IF(AND(TRIM(U414)="Pass",ISNUMBER(AF414)),IF(AF414&lt;&gt;0,"INVALID – qty variance: use Fail or Pass after CA",""),"")&amp;IF(AND(TRIM(U414)="Pass",AB414="Open"),"INVALID – corrective action still open: use Fail, then Pass after CA","")&amp;IF(AND(TRIM(U414)="Pass after CA",OR(TRIM(AA414)="",AB414&lt;&gt;"Closed")),"INVALID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window"),IF(AG414&gt;Flights!$AA$16,"INVALID – completed after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f>
        <v/>
      </c>
      <c r="AI414" s="67">
        <f>IF(OR(AH414="N/A – RULE",AH414="N/A – JUSTIFIED"),0,1)</f>
        <v/>
      </c>
      <c r="AJ414" s="67">
        <f>IF(LEFT(AH414,8)="COMPLETE",1,0)</f>
        <v/>
      </c>
      <c r="AK414" s="67">
        <f>IF(AND(AI414=1,AJ414=0,AsOfUTC&gt;Q414),1,0)</f>
        <v/>
      </c>
      <c r="AL414" s="67">
        <f>IF(AND(AI414=1,OR(TRIM(U414)="Fail",AB414="Open",AND(ISNUMBER(AF414),AF414&lt;&gt;0,TRIM(U414)&lt;&gt;"Pass after CA"))),1,0)</f>
        <v/>
      </c>
      <c r="AM414" s="67">
        <f>IF(LEFT(AH414,7)="INVALID",1,0)</f>
        <v/>
      </c>
      <c r="AN414" s="67">
        <f>IF(AND(N414="Clarification required",AI414=1,AJ414=0),1,0)</f>
        <v/>
      </c>
      <c r="AO414" s="67">
        <f>IF(AK414=1,SUM(AK$5:AK414),"")</f>
        <v/>
      </c>
      <c r="AP414" s="67">
        <f>IF(AL414=1,SUM(AL$5:AL414),"")</f>
        <v/>
      </c>
      <c r="AQ414" s="67" t="n">
        <v>0</v>
      </c>
      <c r="AR414" s="67" t="n">
        <v>0</v>
      </c>
      <c r="AS414" s="67" t="n">
        <v>0</v>
      </c>
      <c r="AT414" s="67" t="n">
        <v>1</v>
      </c>
    </row>
    <row r="415" ht="40" customHeight="1">
      <c r="A415" s="63" t="inlineStr">
        <is>
          <t>F12-UPL-05</t>
        </is>
      </c>
      <c r="B415" s="63" t="inlineStr">
        <is>
          <t>F12</t>
        </is>
      </c>
      <c r="C415" s="63">
        <f>Flights!$F$16</f>
        <v/>
      </c>
      <c r="D415" s="64">
        <f>Flights!$D$16</f>
        <v/>
      </c>
      <c r="E415" s="63">
        <f>Flights!$G$16&amp;"-"&amp;Flights!$H$16</f>
        <v/>
      </c>
      <c r="F415" s="63">
        <f>Flights!$K$16</f>
        <v/>
      </c>
      <c r="G415" s="63" t="inlineStr">
        <is>
          <t>UPLIFT</t>
        </is>
      </c>
      <c r="H415" s="63" t="inlineStr">
        <is>
          <t>Physical uplift</t>
        </is>
      </c>
      <c r="I415" s="63" t="inlineStr">
        <is>
          <t>F&amp;B Linen</t>
        </is>
      </c>
      <c r="J415" s="63" t="inlineStr">
        <is>
          <t>Towel - on board</t>
        </is>
      </c>
      <c r="K415" s="73" t="inlineStr">
        <is>
          <t>Available (ticked in reference)</t>
        </is>
      </c>
      <c r="L415" s="73" t="inlineStr">
        <is>
          <t>STD UPLIFT INFORMATION.xlsx &gt; F&amp;B LINEN!D9</t>
        </is>
      </c>
      <c r="M415" s="73" t="inlineStr">
        <is>
          <t>Not stated in reference</t>
        </is>
      </c>
      <c r="N415" s="73" t="inlineStr">
        <is>
          <t>Required</t>
        </is>
      </c>
      <c r="O415" s="73" t="inlineStr"/>
      <c r="P415" s="63" t="inlineStr">
        <is>
          <t>KUL</t>
        </is>
      </c>
      <c r="Q415" s="65">
        <f>Flights!$AF$16</f>
        <v/>
      </c>
      <c r="R415" s="65">
        <f>Q415+(IF(AND(INDEX(TZ_DSTS,MATCH(P415,TZ_STN,0))&lt;&gt;"",Q415&gt;=INDEX(TZ_DSTS,MATCH(P415,TZ_STN,0)),Q415&lt;INDEX(TZ_DSTE,MATCH(P415,TZ_STN,0))),INDEX(TZ_DST,MATCH(P415,TZ_STN,0)),INDEX(TZ_STD,MATCH(P415,TZ_STN,0))))/24</f>
        <v/>
      </c>
      <c r="S415" s="65">
        <f>Q415-UpliftWindowH/24</f>
        <v/>
      </c>
      <c r="T415" s="66" t="n"/>
      <c r="U415" s="66" t="n"/>
      <c r="V415" s="66" t="n"/>
      <c r="W415" s="67" t="n"/>
      <c r="X415" s="66" t="n"/>
      <c r="Y415" s="66" t="n"/>
      <c r="Z415" s="66" t="n"/>
      <c r="AA415" s="66" t="n"/>
      <c r="AB415" s="66" t="n"/>
      <c r="AC415" s="66" t="n"/>
      <c r="AD415" s="72" t="n"/>
      <c r="AE415" s="66" t="n"/>
      <c r="AF415" s="67">
        <f>IF(AND(ISNUMBER(X415),ISNUMBER(Y415)),Y415-X415,"")</f>
        <v/>
      </c>
      <c r="AG415" s="68">
        <f>IF(ISNUMBER(AD415),AD415-(IF(AND(INDEX(TZ_DSTS,MATCH(P415,TZ_STN,0))&lt;&gt;"",(AD415-INDEX(TZ_STD,MATCH(P415,TZ_STN,0))/24)&gt;=INDEX(TZ_DSTS,MATCH(P415,TZ_STN,0)),(AD415-INDEX(TZ_STD,MATCH(P415,TZ_STN,0))/24)&lt;INDEX(TZ_DSTE,MATCH(P415,TZ_STN,0))),INDEX(TZ_DST,MATCH(P415,TZ_STN,0)),INDEX(TZ_STD,MATCH(P415,TZ_STN,0))))/24,"")</f>
        <v/>
      </c>
      <c r="AH415" s="71">
        <f>IF(N415="N/A – rule","N/A – RULE",IF(TRIM(U415)="N/A",IF(AT415=0,"INVALID – N/A not permitted for this mandatory check",IF(AND(TRIM(AC415)&lt;&gt;"",TRIM(AE415)&lt;&gt;"",TRIM(T415)&lt;&gt;""),"N/A – JUSTIFIED","INVALID – N/A needs justification, PIC and verifier")),IF(OR(TRIM(U415)="Pass",TRIM(U415)="Pass after CA"),IF(NOT(ISNUMBER(AD415)),"INVALID – completion time missing",IF(TRIM(T415)="","INVALID – PIC missing",IF(TRIM(Z415)="","INVALID – evidence missing",IF(TRIM(AE415)="","INVALID – verifier missing",IF(AND(AQ415=1,TRIM(W415)=""),"INVALID – batch ID missing",IF(AND(AR415=1,OR(NOT(ISNUMBER(X415)),NOT(ISNUMBER(Y415)))),"INVALID – expected/actual qty missing",IF(IF(AND(TRIM(U415)="Pass",ISNUMBER(AF415)),IF(AF415&lt;&gt;0,"INVALID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recorded/closed","")&lt;&gt;"",IF(AND(TRIM(U415)="Pass",ISNUMBER(AF415)),IF(AF415&lt;&gt;0,"INVALID – qty variance: use Fail or Pass after CA",""),"")&amp;IF(AND(TRIM(U415)="Pass",AB415="Open"),"INVALID – corrective action still open: use Fail, then Pass after CA","")&amp;IF(AND(TRIM(U415)="Pass after CA",OR(TRIM(AA415)="",AB415&lt;&gt;"Closed")),"INVALID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window"),IF(AG415&gt;Flights!$AA$16,"INVALID – completed after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f>
        <v/>
      </c>
      <c r="AI415" s="67">
        <f>IF(OR(AH415="N/A – RULE",AH415="N/A – JUSTIFIED"),0,1)</f>
        <v/>
      </c>
      <c r="AJ415" s="67">
        <f>IF(LEFT(AH415,8)="COMPLETE",1,0)</f>
        <v/>
      </c>
      <c r="AK415" s="67">
        <f>IF(AND(AI415=1,AJ415=0,AsOfUTC&gt;Q415),1,0)</f>
        <v/>
      </c>
      <c r="AL415" s="67">
        <f>IF(AND(AI415=1,OR(TRIM(U415)="Fail",AB415="Open",AND(ISNUMBER(AF415),AF415&lt;&gt;0,TRIM(U415)&lt;&gt;"Pass after CA"))),1,0)</f>
        <v/>
      </c>
      <c r="AM415" s="67">
        <f>IF(LEFT(AH415,7)="INVALID",1,0)</f>
        <v/>
      </c>
      <c r="AN415" s="67">
        <f>IF(AND(N415="Clarification required",AI415=1,AJ415=0),1,0)</f>
        <v/>
      </c>
      <c r="AO415" s="67">
        <f>IF(AK415=1,SUM(AK$5:AK415),"")</f>
        <v/>
      </c>
      <c r="AP415" s="67">
        <f>IF(AL415=1,SUM(AL$5:AL415),"")</f>
        <v/>
      </c>
      <c r="AQ415" s="67" t="n">
        <v>0</v>
      </c>
      <c r="AR415" s="67" t="n">
        <v>0</v>
      </c>
      <c r="AS415" s="67" t="n">
        <v>0</v>
      </c>
      <c r="AT415" s="67" t="n">
        <v>1</v>
      </c>
    </row>
    <row r="416" ht="40" customHeight="1">
      <c r="A416" s="63" t="inlineStr">
        <is>
          <t>F12-UPL-06</t>
        </is>
      </c>
      <c r="B416" s="63" t="inlineStr">
        <is>
          <t>F12</t>
        </is>
      </c>
      <c r="C416" s="63">
        <f>Flights!$F$16</f>
        <v/>
      </c>
      <c r="D416" s="64">
        <f>Flights!$D$16</f>
        <v/>
      </c>
      <c r="E416" s="63">
        <f>Flights!$G$16&amp;"-"&amp;Flights!$H$16</f>
        <v/>
      </c>
      <c r="F416" s="63">
        <f>Flights!$K$16</f>
        <v/>
      </c>
      <c r="G416" s="63" t="inlineStr">
        <is>
          <t>UPLIFT</t>
        </is>
      </c>
      <c r="H416" s="63" t="inlineStr">
        <is>
          <t>Physical uplift</t>
        </is>
      </c>
      <c r="I416" s="63" t="inlineStr">
        <is>
          <t>F&amp;B Linen</t>
        </is>
      </c>
      <c r="J416" s="63" t="inlineStr">
        <is>
          <t>Tray cloth - on board</t>
        </is>
      </c>
      <c r="K416" s="73" t="inlineStr">
        <is>
          <t>Available (ticked in reference)</t>
        </is>
      </c>
      <c r="L416" s="73" t="inlineStr">
        <is>
          <t>STD UPLIFT INFORMATION.xlsx &gt; F&amp;B LINEN!E9</t>
        </is>
      </c>
      <c r="M416" s="73" t="inlineStr">
        <is>
          <t>Not stated in reference</t>
        </is>
      </c>
      <c r="N416" s="73" t="inlineStr">
        <is>
          <t>Required</t>
        </is>
      </c>
      <c r="O416" s="73" t="inlineStr"/>
      <c r="P416" s="63" t="inlineStr">
        <is>
          <t>KUL</t>
        </is>
      </c>
      <c r="Q416" s="65">
        <f>Flights!$AF$16</f>
        <v/>
      </c>
      <c r="R416" s="65">
        <f>Q416+(IF(AND(INDEX(TZ_DSTS,MATCH(P416,TZ_STN,0))&lt;&gt;"",Q416&gt;=INDEX(TZ_DSTS,MATCH(P416,TZ_STN,0)),Q416&lt;INDEX(TZ_DSTE,MATCH(P416,TZ_STN,0))),INDEX(TZ_DST,MATCH(P416,TZ_STN,0)),INDEX(TZ_STD,MATCH(P416,TZ_STN,0))))/24</f>
        <v/>
      </c>
      <c r="S416" s="65">
        <f>Q416-UpliftWindowH/24</f>
        <v/>
      </c>
      <c r="T416" s="66" t="n"/>
      <c r="U416" s="66" t="n"/>
      <c r="V416" s="66" t="n"/>
      <c r="W416" s="67" t="n"/>
      <c r="X416" s="66" t="n"/>
      <c r="Y416" s="66" t="n"/>
      <c r="Z416" s="66" t="n"/>
      <c r="AA416" s="66" t="n"/>
      <c r="AB416" s="66" t="n"/>
      <c r="AC416" s="66" t="n"/>
      <c r="AD416" s="72" t="n"/>
      <c r="AE416" s="66" t="n"/>
      <c r="AF416" s="67">
        <f>IF(AND(ISNUMBER(X416),ISNUMBER(Y416)),Y416-X416,"")</f>
        <v/>
      </c>
      <c r="AG416" s="68">
        <f>IF(ISNUMBER(AD416),AD416-(IF(AND(INDEX(TZ_DSTS,MATCH(P416,TZ_STN,0))&lt;&gt;"",(AD416-INDEX(TZ_STD,MATCH(P416,TZ_STN,0))/24)&gt;=INDEX(TZ_DSTS,MATCH(P416,TZ_STN,0)),(AD416-INDEX(TZ_STD,MATCH(P416,TZ_STN,0))/24)&lt;INDEX(TZ_DSTE,MATCH(P416,TZ_STN,0))),INDEX(TZ_DST,MATCH(P416,TZ_STN,0)),INDEX(TZ_STD,MATCH(P416,TZ_STN,0))))/24,"")</f>
        <v/>
      </c>
      <c r="AH416" s="71">
        <f>IF(N416="N/A – rule","N/A – RULE",IF(TRIM(U416)="N/A",IF(AT416=0,"INVALID – N/A not permitted for this mandatory check",IF(AND(TRIM(AC416)&lt;&gt;"",TRIM(AE416)&lt;&gt;"",TRIM(T416)&lt;&gt;""),"N/A – JUSTIFIED","INVALID – N/A needs justification, PIC and verifier")),IF(OR(TRIM(U416)="Pass",TRIM(U416)="Pass after CA"),IF(NOT(ISNUMBER(AD416)),"INVALID – completion time missing",IF(TRIM(T416)="","INVALID – PIC missing",IF(TRIM(Z416)="","INVALID – evidence missing",IF(TRIM(AE416)="","INVALID – verifier missing",IF(AND(AQ416=1,TRIM(W416)=""),"INVALID – batch ID missing",IF(AND(AR416=1,OR(NOT(ISNUMBER(X416)),NOT(ISNUMBER(Y416)))),"INVALID – expected/actual qty missing",IF(IF(AND(TRIM(U416)="Pass",ISNUMBER(AF416)),IF(AF416&lt;&gt;0,"INVALID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recorded/closed","")&lt;&gt;"",IF(AND(TRIM(U416)="Pass",ISNUMBER(AF416)),IF(AF416&lt;&gt;0,"INVALID – qty variance: use Fail or Pass after CA",""),"")&amp;IF(AND(TRIM(U416)="Pass",AB416="Open"),"INVALID – corrective action still open: use Fail, then Pass after CA","")&amp;IF(AND(TRIM(U416)="Pass after CA",OR(TRIM(AA416)="",AB416&lt;&gt;"Closed")),"INVALID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window"),IF(AG416&gt;Flights!$AA$16,"INVALID – completed after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f>
        <v/>
      </c>
      <c r="AI416" s="67">
        <f>IF(OR(AH416="N/A – RULE",AH416="N/A – JUSTIFIED"),0,1)</f>
        <v/>
      </c>
      <c r="AJ416" s="67">
        <f>IF(LEFT(AH416,8)="COMPLETE",1,0)</f>
        <v/>
      </c>
      <c r="AK416" s="67">
        <f>IF(AND(AI416=1,AJ416=0,AsOfUTC&gt;Q416),1,0)</f>
        <v/>
      </c>
      <c r="AL416" s="67">
        <f>IF(AND(AI416=1,OR(TRIM(U416)="Fail",AB416="Open",AND(ISNUMBER(AF416),AF416&lt;&gt;0,TRIM(U416)&lt;&gt;"Pass after CA"))),1,0)</f>
        <v/>
      </c>
      <c r="AM416" s="67">
        <f>IF(LEFT(AH416,7)="INVALID",1,0)</f>
        <v/>
      </c>
      <c r="AN416" s="67">
        <f>IF(AND(N416="Clarification required",AI416=1,AJ416=0),1,0)</f>
        <v/>
      </c>
      <c r="AO416" s="67">
        <f>IF(AK416=1,SUM(AK$5:AK416),"")</f>
        <v/>
      </c>
      <c r="AP416" s="67">
        <f>IF(AL416=1,SUM(AL$5:AL416),"")</f>
        <v/>
      </c>
      <c r="AQ416" s="67" t="n">
        <v>0</v>
      </c>
      <c r="AR416" s="67" t="n">
        <v>0</v>
      </c>
      <c r="AS416" s="67" t="n">
        <v>0</v>
      </c>
      <c r="AT416" s="67" t="n">
        <v>1</v>
      </c>
    </row>
    <row r="417" ht="40" customHeight="1">
      <c r="A417" s="63" t="inlineStr">
        <is>
          <t>F12-UPL-07</t>
        </is>
      </c>
      <c r="B417" s="63" t="inlineStr">
        <is>
          <t>F12</t>
        </is>
      </c>
      <c r="C417" s="63">
        <f>Flights!$F$16</f>
        <v/>
      </c>
      <c r="D417" s="64">
        <f>Flights!$D$16</f>
        <v/>
      </c>
      <c r="E417" s="63">
        <f>Flights!$G$16&amp;"-"&amp;Flights!$H$16</f>
        <v/>
      </c>
      <c r="F417" s="63">
        <f>Flights!$K$16</f>
        <v/>
      </c>
      <c r="G417" s="63" t="inlineStr">
        <is>
          <t>UPLIFT</t>
        </is>
      </c>
      <c r="H417" s="63" t="inlineStr">
        <is>
          <t>Physical uplift</t>
        </is>
      </c>
      <c r="I417" s="63" t="inlineStr">
        <is>
          <t>F&amp;B Linen</t>
        </is>
      </c>
      <c r="J417" s="63" t="inlineStr">
        <is>
          <t>Napkin - on board</t>
        </is>
      </c>
      <c r="K417" s="73" t="inlineStr">
        <is>
          <t>Available (ticked in reference)</t>
        </is>
      </c>
      <c r="L417" s="73" t="inlineStr">
        <is>
          <t>STD UPLIFT INFORMATION.xlsx &gt; F&amp;B LINEN!F9</t>
        </is>
      </c>
      <c r="M417" s="73" t="inlineStr">
        <is>
          <t>Not stated in reference</t>
        </is>
      </c>
      <c r="N417" s="73" t="inlineStr">
        <is>
          <t>Required</t>
        </is>
      </c>
      <c r="O417" s="73" t="inlineStr"/>
      <c r="P417" s="63" t="inlineStr">
        <is>
          <t>KUL</t>
        </is>
      </c>
      <c r="Q417" s="65">
        <f>Flights!$AF$16</f>
        <v/>
      </c>
      <c r="R417" s="65">
        <f>Q417+(IF(AND(INDEX(TZ_DSTS,MATCH(P417,TZ_STN,0))&lt;&gt;"",Q417&gt;=INDEX(TZ_DSTS,MATCH(P417,TZ_STN,0)),Q417&lt;INDEX(TZ_DSTE,MATCH(P417,TZ_STN,0))),INDEX(TZ_DST,MATCH(P417,TZ_STN,0)),INDEX(TZ_STD,MATCH(P417,TZ_STN,0))))/24</f>
        <v/>
      </c>
      <c r="S417" s="65">
        <f>Q417-UpliftWindowH/24</f>
        <v/>
      </c>
      <c r="T417" s="66" t="n"/>
      <c r="U417" s="66" t="n"/>
      <c r="V417" s="66" t="n"/>
      <c r="W417" s="67" t="n"/>
      <c r="X417" s="66" t="n"/>
      <c r="Y417" s="66" t="n"/>
      <c r="Z417" s="66" t="n"/>
      <c r="AA417" s="66" t="n"/>
      <c r="AB417" s="66" t="n"/>
      <c r="AC417" s="66" t="n"/>
      <c r="AD417" s="72" t="n"/>
      <c r="AE417" s="66" t="n"/>
      <c r="AF417" s="67">
        <f>IF(AND(ISNUMBER(X417),ISNUMBER(Y417)),Y417-X417,"")</f>
        <v/>
      </c>
      <c r="AG417" s="68">
        <f>IF(ISNUMBER(AD417),AD417-(IF(AND(INDEX(TZ_DSTS,MATCH(P417,TZ_STN,0))&lt;&gt;"",(AD417-INDEX(TZ_STD,MATCH(P417,TZ_STN,0))/24)&gt;=INDEX(TZ_DSTS,MATCH(P417,TZ_STN,0)),(AD417-INDEX(TZ_STD,MATCH(P417,TZ_STN,0))/24)&lt;INDEX(TZ_DSTE,MATCH(P417,TZ_STN,0))),INDEX(TZ_DST,MATCH(P417,TZ_STN,0)),INDEX(TZ_STD,MATCH(P417,TZ_STN,0))))/24,"")</f>
        <v/>
      </c>
      <c r="AH417" s="71">
        <f>IF(N417="N/A – rule","N/A – RULE",IF(TRIM(U417)="N/A",IF(AT417=0,"INVALID – N/A not permitted for this mandatory check",IF(AND(TRIM(AC417)&lt;&gt;"",TRIM(AE417)&lt;&gt;"",TRIM(T417)&lt;&gt;""),"N/A – JUSTIFIED","INVALID – N/A needs justification, PIC and verifier")),IF(OR(TRIM(U417)="Pass",TRIM(U417)="Pass after CA"),IF(NOT(ISNUMBER(AD417)),"INVALID – completion time missing",IF(TRIM(T417)="","INVALID – PIC missing",IF(TRIM(Z417)="","INVALID – evidence missing",IF(TRIM(AE417)="","INVALID – verifier missing",IF(AND(AQ417=1,TRIM(W417)=""),"INVALID – batch ID missing",IF(AND(AR417=1,OR(NOT(ISNUMBER(X417)),NOT(ISNUMBER(Y417)))),"INVALID – expected/actual qty missing",IF(IF(AND(TRIM(U417)="Pass",ISNUMBER(AF417)),IF(AF417&lt;&gt;0,"INVALID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recorded/closed","")&lt;&gt;"",IF(AND(TRIM(U417)="Pass",ISNUMBER(AF417)),IF(AF417&lt;&gt;0,"INVALID – qty variance: use Fail or Pass after CA",""),"")&amp;IF(AND(TRIM(U417)="Pass",AB417="Open"),"INVALID – corrective action still open: use Fail, then Pass after CA","")&amp;IF(AND(TRIM(U417)="Pass after CA",OR(TRIM(AA417)="",AB417&lt;&gt;"Closed")),"INVALID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window"),IF(AG417&gt;Flights!$AA$16,"INVALID – completed after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f>
        <v/>
      </c>
      <c r="AI417" s="67">
        <f>IF(OR(AH417="N/A – RULE",AH417="N/A – JUSTIFIED"),0,1)</f>
        <v/>
      </c>
      <c r="AJ417" s="67">
        <f>IF(LEFT(AH417,8)="COMPLETE",1,0)</f>
        <v/>
      </c>
      <c r="AK417" s="67">
        <f>IF(AND(AI417=1,AJ417=0,AsOfUTC&gt;Q417),1,0)</f>
        <v/>
      </c>
      <c r="AL417" s="67">
        <f>IF(AND(AI417=1,OR(TRIM(U417)="Fail",AB417="Open",AND(ISNUMBER(AF417),AF417&lt;&gt;0,TRIM(U417)&lt;&gt;"Pass after CA"))),1,0)</f>
        <v/>
      </c>
      <c r="AM417" s="67">
        <f>IF(LEFT(AH417,7)="INVALID",1,0)</f>
        <v/>
      </c>
      <c r="AN417" s="67">
        <f>IF(AND(N417="Clarification required",AI417=1,AJ417=0),1,0)</f>
        <v/>
      </c>
      <c r="AO417" s="67">
        <f>IF(AK417=1,SUM(AK$5:AK417),"")</f>
        <v/>
      </c>
      <c r="AP417" s="67">
        <f>IF(AL417=1,SUM(AL$5:AL417),"")</f>
        <v/>
      </c>
      <c r="AQ417" s="67" t="n">
        <v>0</v>
      </c>
      <c r="AR417" s="67" t="n">
        <v>0</v>
      </c>
      <c r="AS417" s="67" t="n">
        <v>0</v>
      </c>
      <c r="AT417" s="67" t="n">
        <v>1</v>
      </c>
    </row>
    <row r="418" ht="40" customHeight="1">
      <c r="A418" s="63" t="inlineStr">
        <is>
          <t>F12-UPL-08</t>
        </is>
      </c>
      <c r="B418" s="63" t="inlineStr">
        <is>
          <t>F12</t>
        </is>
      </c>
      <c r="C418" s="63">
        <f>Flights!$F$16</f>
        <v/>
      </c>
      <c r="D418" s="64">
        <f>Flights!$D$16</f>
        <v/>
      </c>
      <c r="E418" s="63">
        <f>Flights!$G$16&amp;"-"&amp;Flights!$H$16</f>
        <v/>
      </c>
      <c r="F418" s="63">
        <f>Flights!$K$16</f>
        <v/>
      </c>
      <c r="G418" s="63" t="inlineStr">
        <is>
          <t>UPLIFT</t>
        </is>
      </c>
      <c r="H418" s="63" t="inlineStr">
        <is>
          <t>Physical uplift</t>
        </is>
      </c>
      <c r="I418" s="63" t="inlineStr">
        <is>
          <t>F&amp;B Linen</t>
        </is>
      </c>
      <c r="J418" s="63" t="inlineStr">
        <is>
          <t>Table cloth - on board</t>
        </is>
      </c>
      <c r="K418" s="73" t="inlineStr">
        <is>
          <t>Available (ticked in reference)</t>
        </is>
      </c>
      <c r="L418" s="73" t="inlineStr">
        <is>
          <t>STD UPLIFT INFORMATION.xlsx &gt; F&amp;B LINEN!G9</t>
        </is>
      </c>
      <c r="M418" s="73" t="inlineStr">
        <is>
          <t>Not stated in reference</t>
        </is>
      </c>
      <c r="N418" s="73" t="inlineStr">
        <is>
          <t>Required</t>
        </is>
      </c>
      <c r="O418" s="73" t="inlineStr"/>
      <c r="P418" s="63" t="inlineStr">
        <is>
          <t>KUL</t>
        </is>
      </c>
      <c r="Q418" s="65">
        <f>Flights!$AF$16</f>
        <v/>
      </c>
      <c r="R418" s="65">
        <f>Q418+(IF(AND(INDEX(TZ_DSTS,MATCH(P418,TZ_STN,0))&lt;&gt;"",Q418&gt;=INDEX(TZ_DSTS,MATCH(P418,TZ_STN,0)),Q418&lt;INDEX(TZ_DSTE,MATCH(P418,TZ_STN,0))),INDEX(TZ_DST,MATCH(P418,TZ_STN,0)),INDEX(TZ_STD,MATCH(P418,TZ_STN,0))))/24</f>
        <v/>
      </c>
      <c r="S418" s="65">
        <f>Q418-UpliftWindowH/24</f>
        <v/>
      </c>
      <c r="T418" s="66" t="n"/>
      <c r="U418" s="66" t="n"/>
      <c r="V418" s="66" t="n"/>
      <c r="W418" s="67" t="n"/>
      <c r="X418" s="66" t="n"/>
      <c r="Y418" s="66" t="n"/>
      <c r="Z418" s="66" t="n"/>
      <c r="AA418" s="66" t="n"/>
      <c r="AB418" s="66" t="n"/>
      <c r="AC418" s="66" t="n"/>
      <c r="AD418" s="72" t="n"/>
      <c r="AE418" s="66" t="n"/>
      <c r="AF418" s="67">
        <f>IF(AND(ISNUMBER(X418),ISNUMBER(Y418)),Y418-X418,"")</f>
        <v/>
      </c>
      <c r="AG418" s="68">
        <f>IF(ISNUMBER(AD418),AD418-(IF(AND(INDEX(TZ_DSTS,MATCH(P418,TZ_STN,0))&lt;&gt;"",(AD418-INDEX(TZ_STD,MATCH(P418,TZ_STN,0))/24)&gt;=INDEX(TZ_DSTS,MATCH(P418,TZ_STN,0)),(AD418-INDEX(TZ_STD,MATCH(P418,TZ_STN,0))/24)&lt;INDEX(TZ_DSTE,MATCH(P418,TZ_STN,0))),INDEX(TZ_DST,MATCH(P418,TZ_STN,0)),INDEX(TZ_STD,MATCH(P418,TZ_STN,0))))/24,"")</f>
        <v/>
      </c>
      <c r="AH418" s="71">
        <f>IF(N418="N/A – rule","N/A – RULE",IF(TRIM(U418)="N/A",IF(AT418=0,"INVALID – N/A not permitted for this mandatory check",IF(AND(TRIM(AC418)&lt;&gt;"",TRIM(AE418)&lt;&gt;"",TRIM(T418)&lt;&gt;""),"N/A – JUSTIFIED","INVALID – N/A needs justification, PIC and verifier")),IF(OR(TRIM(U418)="Pass",TRIM(U418)="Pass after CA"),IF(NOT(ISNUMBER(AD418)),"INVALID – completion time missing",IF(TRIM(T418)="","INVALID – PIC missing",IF(TRIM(Z418)="","INVALID – evidence missing",IF(TRIM(AE418)="","INVALID – verifier missing",IF(AND(AQ418=1,TRIM(W418)=""),"INVALID – batch ID missing",IF(AND(AR418=1,OR(NOT(ISNUMBER(X418)),NOT(ISNUMBER(Y418)))),"INVALID – expected/actual qty missing",IF(IF(AND(TRIM(U418)="Pass",ISNUMBER(AF418)),IF(AF418&lt;&gt;0,"INVALID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recorded/closed","")&lt;&gt;"",IF(AND(TRIM(U418)="Pass",ISNUMBER(AF418)),IF(AF418&lt;&gt;0,"INVALID – qty variance: use Fail or Pass after CA",""),"")&amp;IF(AND(TRIM(U418)="Pass",AB418="Open"),"INVALID – corrective action still open: use Fail, then Pass after CA","")&amp;IF(AND(TRIM(U418)="Pass after CA",OR(TRIM(AA418)="",AB418&lt;&gt;"Closed")),"INVALID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window"),IF(AG418&gt;Flights!$AA$16,"INVALID – completed after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f>
        <v/>
      </c>
      <c r="AI418" s="67">
        <f>IF(OR(AH418="N/A – RULE",AH418="N/A – JUSTIFIED"),0,1)</f>
        <v/>
      </c>
      <c r="AJ418" s="67">
        <f>IF(LEFT(AH418,8)="COMPLETE",1,0)</f>
        <v/>
      </c>
      <c r="AK418" s="67">
        <f>IF(AND(AI418=1,AJ418=0,AsOfUTC&gt;Q418),1,0)</f>
        <v/>
      </c>
      <c r="AL418" s="67">
        <f>IF(AND(AI418=1,OR(TRIM(U418)="Fail",AB418="Open",AND(ISNUMBER(AF418),AF418&lt;&gt;0,TRIM(U418)&lt;&gt;"Pass after CA"))),1,0)</f>
        <v/>
      </c>
      <c r="AM418" s="67">
        <f>IF(LEFT(AH418,7)="INVALID",1,0)</f>
        <v/>
      </c>
      <c r="AN418" s="67">
        <f>IF(AND(N418="Clarification required",AI418=1,AJ418=0),1,0)</f>
        <v/>
      </c>
      <c r="AO418" s="67">
        <f>IF(AK418=1,SUM(AK$5:AK418),"")</f>
        <v/>
      </c>
      <c r="AP418" s="67">
        <f>IF(AL418=1,SUM(AL$5:AL418),"")</f>
        <v/>
      </c>
      <c r="AQ418" s="67" t="n">
        <v>0</v>
      </c>
      <c r="AR418" s="67" t="n">
        <v>0</v>
      </c>
      <c r="AS418" s="67" t="n">
        <v>0</v>
      </c>
      <c r="AT418" s="67" t="n">
        <v>1</v>
      </c>
    </row>
    <row r="419" ht="40" customHeight="1">
      <c r="A419" s="63" t="inlineStr">
        <is>
          <t>F12-UPL-09</t>
        </is>
      </c>
      <c r="B419" s="63" t="inlineStr">
        <is>
          <t>F12</t>
        </is>
      </c>
      <c r="C419" s="63">
        <f>Flights!$F$16</f>
        <v/>
      </c>
      <c r="D419" s="64">
        <f>Flights!$D$16</f>
        <v/>
      </c>
      <c r="E419" s="63">
        <f>Flights!$G$16&amp;"-"&amp;Flights!$H$16</f>
        <v/>
      </c>
      <c r="F419" s="63">
        <f>Flights!$K$16</f>
        <v/>
      </c>
      <c r="G419" s="63" t="inlineStr">
        <is>
          <t>UPLIFT</t>
        </is>
      </c>
      <c r="H419" s="63" t="inlineStr">
        <is>
          <t>Physical uplift</t>
        </is>
      </c>
      <c r="I419" s="63" t="inlineStr">
        <is>
          <t>F&amp;B Linen</t>
        </is>
      </c>
      <c r="J419" s="63" t="inlineStr">
        <is>
          <t>Bread linen (using table cloth) - on board</t>
        </is>
      </c>
      <c r="K419" s="73" t="inlineStr">
        <is>
          <t>Available (ticked in reference)</t>
        </is>
      </c>
      <c r="L419" s="73" t="inlineStr">
        <is>
          <t>STD UPLIFT INFORMATION.xlsx &gt; F&amp;B LINEN!H9</t>
        </is>
      </c>
      <c r="M419" s="73" t="inlineStr">
        <is>
          <t>Not stated in reference</t>
        </is>
      </c>
      <c r="N419" s="73" t="inlineStr">
        <is>
          <t>Required</t>
        </is>
      </c>
      <c r="O419" s="73" t="inlineStr"/>
      <c r="P419" s="63" t="inlineStr">
        <is>
          <t>KUL</t>
        </is>
      </c>
      <c r="Q419" s="65">
        <f>Flights!$AF$16</f>
        <v/>
      </c>
      <c r="R419" s="65">
        <f>Q419+(IF(AND(INDEX(TZ_DSTS,MATCH(P419,TZ_STN,0))&lt;&gt;"",Q419&gt;=INDEX(TZ_DSTS,MATCH(P419,TZ_STN,0)),Q419&lt;INDEX(TZ_DSTE,MATCH(P419,TZ_STN,0))),INDEX(TZ_DST,MATCH(P419,TZ_STN,0)),INDEX(TZ_STD,MATCH(P419,TZ_STN,0))))/24</f>
        <v/>
      </c>
      <c r="S419" s="65">
        <f>Q419-UpliftWindowH/24</f>
        <v/>
      </c>
      <c r="T419" s="66" t="n"/>
      <c r="U419" s="66" t="n"/>
      <c r="V419" s="66" t="n"/>
      <c r="W419" s="67" t="n"/>
      <c r="X419" s="66" t="n"/>
      <c r="Y419" s="66" t="n"/>
      <c r="Z419" s="66" t="n"/>
      <c r="AA419" s="66" t="n"/>
      <c r="AB419" s="66" t="n"/>
      <c r="AC419" s="66" t="n"/>
      <c r="AD419" s="72" t="n"/>
      <c r="AE419" s="66" t="n"/>
      <c r="AF419" s="67">
        <f>IF(AND(ISNUMBER(X419),ISNUMBER(Y419)),Y419-X419,"")</f>
        <v/>
      </c>
      <c r="AG419" s="68">
        <f>IF(ISNUMBER(AD419),AD419-(IF(AND(INDEX(TZ_DSTS,MATCH(P419,TZ_STN,0))&lt;&gt;"",(AD419-INDEX(TZ_STD,MATCH(P419,TZ_STN,0))/24)&gt;=INDEX(TZ_DSTS,MATCH(P419,TZ_STN,0)),(AD419-INDEX(TZ_STD,MATCH(P419,TZ_STN,0))/24)&lt;INDEX(TZ_DSTE,MATCH(P419,TZ_STN,0))),INDEX(TZ_DST,MATCH(P419,TZ_STN,0)),INDEX(TZ_STD,MATCH(P419,TZ_STN,0))))/24,"")</f>
        <v/>
      </c>
      <c r="AH419" s="71">
        <f>IF(N419="N/A – rule","N/A – RULE",IF(TRIM(U419)="N/A",IF(AT419=0,"INVALID – N/A not permitted for this mandatory check",IF(AND(TRIM(AC419)&lt;&gt;"",TRIM(AE419)&lt;&gt;"",TRIM(T419)&lt;&gt;""),"N/A – JUSTIFIED","INVALID – N/A needs justification, PIC and verifier")),IF(OR(TRIM(U419)="Pass",TRIM(U419)="Pass after CA"),IF(NOT(ISNUMBER(AD419)),"INVALID – completion time missing",IF(TRIM(T419)="","INVALID – PIC missing",IF(TRIM(Z419)="","INVALID – evidence missing",IF(TRIM(AE419)="","INVALID – verifier missing",IF(AND(AQ419=1,TRIM(W419)=""),"INVALID – batch ID missing",IF(AND(AR419=1,OR(NOT(ISNUMBER(X419)),NOT(ISNUMBER(Y419)))),"INVALID – expected/actual qty missing",IF(IF(AND(TRIM(U419)="Pass",ISNUMBER(AF419)),IF(AF419&lt;&gt;0,"INVALID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recorded/closed","")&lt;&gt;"",IF(AND(TRIM(U419)="Pass",ISNUMBER(AF419)),IF(AF419&lt;&gt;0,"INVALID – qty variance: use Fail or Pass after CA",""),"")&amp;IF(AND(TRIM(U419)="Pass",AB419="Open"),"INVALID – corrective action still open: use Fail, then Pass after CA","")&amp;IF(AND(TRIM(U419)="Pass after CA",OR(TRIM(AA419)="",AB419&lt;&gt;"Closed")),"INVALID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window"),IF(AG419&gt;Flights!$AA$16,"INVALID – completed after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f>
        <v/>
      </c>
      <c r="AI419" s="67">
        <f>IF(OR(AH419="N/A – RULE",AH419="N/A – JUSTIFIED"),0,1)</f>
        <v/>
      </c>
      <c r="AJ419" s="67">
        <f>IF(LEFT(AH419,8)="COMPLETE",1,0)</f>
        <v/>
      </c>
      <c r="AK419" s="67">
        <f>IF(AND(AI419=1,AJ419=0,AsOfUTC&gt;Q419),1,0)</f>
        <v/>
      </c>
      <c r="AL419" s="67">
        <f>IF(AND(AI419=1,OR(TRIM(U419)="Fail",AB419="Open",AND(ISNUMBER(AF419),AF419&lt;&gt;0,TRIM(U419)&lt;&gt;"Pass after CA"))),1,0)</f>
        <v/>
      </c>
      <c r="AM419" s="67">
        <f>IF(LEFT(AH419,7)="INVALID",1,0)</f>
        <v/>
      </c>
      <c r="AN419" s="67">
        <f>IF(AND(N419="Clarification required",AI419=1,AJ419=0),1,0)</f>
        <v/>
      </c>
      <c r="AO419" s="67">
        <f>IF(AK419=1,SUM(AK$5:AK419),"")</f>
        <v/>
      </c>
      <c r="AP419" s="67">
        <f>IF(AL419=1,SUM(AL$5:AL419),"")</f>
        <v/>
      </c>
      <c r="AQ419" s="67" t="n">
        <v>0</v>
      </c>
      <c r="AR419" s="67" t="n">
        <v>0</v>
      </c>
      <c r="AS419" s="67" t="n">
        <v>0</v>
      </c>
      <c r="AT419" s="67" t="n">
        <v>1</v>
      </c>
    </row>
    <row r="420" ht="40" customHeight="1">
      <c r="A420" s="63" t="inlineStr">
        <is>
          <t>F12-UPL-10</t>
        </is>
      </c>
      <c r="B420" s="63" t="inlineStr">
        <is>
          <t>F12</t>
        </is>
      </c>
      <c r="C420" s="63">
        <f>Flights!$F$16</f>
        <v/>
      </c>
      <c r="D420" s="64">
        <f>Flights!$D$16</f>
        <v/>
      </c>
      <c r="E420" s="63">
        <f>Flights!$G$16&amp;"-"&amp;Flights!$H$16</f>
        <v/>
      </c>
      <c r="F420" s="63">
        <f>Flights!$K$16</f>
        <v/>
      </c>
      <c r="G420" s="63" t="inlineStr">
        <is>
          <t>UPLIFT</t>
        </is>
      </c>
      <c r="H420" s="63" t="inlineStr">
        <is>
          <t>Physical uplift</t>
        </is>
      </c>
      <c r="I420" s="63" t="inlineStr">
        <is>
          <t>F&amp;B Linen</t>
        </is>
      </c>
      <c r="J420" s="63" t="inlineStr">
        <is>
          <t>Trolley cloth - on board</t>
        </is>
      </c>
      <c r="K420" s="73" t="inlineStr">
        <is>
          <t>Wide body: Top/Middle &amp; Bottom</t>
        </is>
      </c>
      <c r="L420" s="73" t="inlineStr">
        <is>
          <t>STD UPLIFT INFORMATION.xlsx &gt; F&amp;B LINEN!I9</t>
        </is>
      </c>
      <c r="M420" s="73" t="inlineStr">
        <is>
          <t>Not stated in reference</t>
        </is>
      </c>
      <c r="N420" s="73" t="inlineStr">
        <is>
          <t>Required</t>
        </is>
      </c>
      <c r="O420" s="73" t="inlineStr">
        <is>
          <t>Per note F&amp;B LINEN!B79:C80.</t>
        </is>
      </c>
      <c r="P420" s="63" t="inlineStr">
        <is>
          <t>KUL</t>
        </is>
      </c>
      <c r="Q420" s="65">
        <f>Flights!$AF$16</f>
        <v/>
      </c>
      <c r="R420" s="65">
        <f>Q420+(IF(AND(INDEX(TZ_DSTS,MATCH(P420,TZ_STN,0))&lt;&gt;"",Q420&gt;=INDEX(TZ_DSTS,MATCH(P420,TZ_STN,0)),Q420&lt;INDEX(TZ_DSTE,MATCH(P420,TZ_STN,0))),INDEX(TZ_DST,MATCH(P420,TZ_STN,0)),INDEX(TZ_STD,MATCH(P420,TZ_STN,0))))/24</f>
        <v/>
      </c>
      <c r="S420" s="65">
        <f>Q420-UpliftWindowH/24</f>
        <v/>
      </c>
      <c r="T420" s="66" t="n"/>
      <c r="U420" s="66" t="n"/>
      <c r="V420" s="66" t="n"/>
      <c r="W420" s="67" t="n"/>
      <c r="X420" s="66" t="n"/>
      <c r="Y420" s="66" t="n"/>
      <c r="Z420" s="66" t="n"/>
      <c r="AA420" s="66" t="n"/>
      <c r="AB420" s="66" t="n"/>
      <c r="AC420" s="66" t="n"/>
      <c r="AD420" s="72" t="n"/>
      <c r="AE420" s="66" t="n"/>
      <c r="AF420" s="67">
        <f>IF(AND(ISNUMBER(X420),ISNUMBER(Y420)),Y420-X420,"")</f>
        <v/>
      </c>
      <c r="AG420" s="68">
        <f>IF(ISNUMBER(AD420),AD420-(IF(AND(INDEX(TZ_DSTS,MATCH(P420,TZ_STN,0))&lt;&gt;"",(AD420-INDEX(TZ_STD,MATCH(P420,TZ_STN,0))/24)&gt;=INDEX(TZ_DSTS,MATCH(P420,TZ_STN,0)),(AD420-INDEX(TZ_STD,MATCH(P420,TZ_STN,0))/24)&lt;INDEX(TZ_DSTE,MATCH(P420,TZ_STN,0))),INDEX(TZ_DST,MATCH(P420,TZ_STN,0)),INDEX(TZ_STD,MATCH(P420,TZ_STN,0))))/24,"")</f>
        <v/>
      </c>
      <c r="AH420" s="71">
        <f>IF(N420="N/A – rule","N/A – RULE",IF(TRIM(U420)="N/A",IF(AT420=0,"INVALID – N/A not permitted for this mandatory check",IF(AND(TRIM(AC420)&lt;&gt;"",TRIM(AE420)&lt;&gt;"",TRIM(T420)&lt;&gt;""),"N/A – JUSTIFIED","INVALID – N/A needs justification, PIC and verifier")),IF(OR(TRIM(U420)="Pass",TRIM(U420)="Pass after CA"),IF(NOT(ISNUMBER(AD420)),"INVALID – completion time missing",IF(TRIM(T420)="","INVALID – PIC missing",IF(TRIM(Z420)="","INVALID – evidence missing",IF(TRIM(AE420)="","INVALID – verifier missing",IF(AND(AQ420=1,TRIM(W420)=""),"INVALID – batch ID missing",IF(AND(AR420=1,OR(NOT(ISNUMBER(X420)),NOT(ISNUMBER(Y420)))),"INVALID – expected/actual qty missing",IF(IF(AND(TRIM(U420)="Pass",ISNUMBER(AF420)),IF(AF420&lt;&gt;0,"INVALID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recorded/closed","")&lt;&gt;"",IF(AND(TRIM(U420)="Pass",ISNUMBER(AF420)),IF(AF420&lt;&gt;0,"INVALID – qty variance: use Fail or Pass after CA",""),"")&amp;IF(AND(TRIM(U420)="Pass",AB420="Open"),"INVALID – corrective action still open: use Fail, then Pass after CA","")&amp;IF(AND(TRIM(U420)="Pass after CA",OR(TRIM(AA420)="",AB420&lt;&gt;"Closed")),"INVALID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window"),IF(AG420&gt;Flights!$AA$16,"INVALID – completed after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f>
        <v/>
      </c>
      <c r="AI420" s="67">
        <f>IF(OR(AH420="N/A – RULE",AH420="N/A – JUSTIFIED"),0,1)</f>
        <v/>
      </c>
      <c r="AJ420" s="67">
        <f>IF(LEFT(AH420,8)="COMPLETE",1,0)</f>
        <v/>
      </c>
      <c r="AK420" s="67">
        <f>IF(AND(AI420=1,AJ420=0,AsOfUTC&gt;Q420),1,0)</f>
        <v/>
      </c>
      <c r="AL420" s="67">
        <f>IF(AND(AI420=1,OR(TRIM(U420)="Fail",AB420="Open",AND(ISNUMBER(AF420),AF420&lt;&gt;0,TRIM(U420)&lt;&gt;"Pass after CA"))),1,0)</f>
        <v/>
      </c>
      <c r="AM420" s="67">
        <f>IF(LEFT(AH420,7)="INVALID",1,0)</f>
        <v/>
      </c>
      <c r="AN420" s="67">
        <f>IF(AND(N420="Clarification required",AI420=1,AJ420=0),1,0)</f>
        <v/>
      </c>
      <c r="AO420" s="67">
        <f>IF(AK420=1,SUM(AK$5:AK420),"")</f>
        <v/>
      </c>
      <c r="AP420" s="67">
        <f>IF(AL420=1,SUM(AL$5:AL420),"")</f>
        <v/>
      </c>
      <c r="AQ420" s="67" t="n">
        <v>0</v>
      </c>
      <c r="AR420" s="67" t="n">
        <v>0</v>
      </c>
      <c r="AS420" s="67" t="n">
        <v>0</v>
      </c>
      <c r="AT420" s="67" t="n">
        <v>1</v>
      </c>
    </row>
    <row r="421" ht="40" customHeight="1">
      <c r="A421" s="63" t="inlineStr">
        <is>
          <t>F12-UPL-11</t>
        </is>
      </c>
      <c r="B421" s="63" t="inlineStr">
        <is>
          <t>F12</t>
        </is>
      </c>
      <c r="C421" s="63">
        <f>Flights!$F$16</f>
        <v/>
      </c>
      <c r="D421" s="64">
        <f>Flights!$D$16</f>
        <v/>
      </c>
      <c r="E421" s="63">
        <f>Flights!$G$16&amp;"-"&amp;Flights!$H$16</f>
        <v/>
      </c>
      <c r="F421" s="63">
        <f>Flights!$K$16</f>
        <v/>
      </c>
      <c r="G421" s="63" t="inlineStr">
        <is>
          <t>UPLIFT</t>
        </is>
      </c>
      <c r="H421" s="63" t="inlineStr">
        <is>
          <t>Physical uplift</t>
        </is>
      </c>
      <c r="I421" s="63" t="inlineStr">
        <is>
          <t>F&amp;B Linen</t>
        </is>
      </c>
      <c r="J421" s="63" t="inlineStr">
        <is>
          <t>Linen bag - on board</t>
        </is>
      </c>
      <c r="K421" s="73" t="inlineStr">
        <is>
          <t>Available (ticked in reference)</t>
        </is>
      </c>
      <c r="L421" s="73" t="inlineStr">
        <is>
          <t>STD UPLIFT INFORMATION.xlsx &gt; F&amp;B LINEN!J9</t>
        </is>
      </c>
      <c r="M421" s="73" t="inlineStr">
        <is>
          <t>Not stated in reference</t>
        </is>
      </c>
      <c r="N421" s="73" t="inlineStr">
        <is>
          <t>Required</t>
        </is>
      </c>
      <c r="O421" s="73" t="inlineStr"/>
      <c r="P421" s="63" t="inlineStr">
        <is>
          <t>KUL</t>
        </is>
      </c>
      <c r="Q421" s="65">
        <f>Flights!$AF$16</f>
        <v/>
      </c>
      <c r="R421" s="65">
        <f>Q421+(IF(AND(INDEX(TZ_DSTS,MATCH(P421,TZ_STN,0))&lt;&gt;"",Q421&gt;=INDEX(TZ_DSTS,MATCH(P421,TZ_STN,0)),Q421&lt;INDEX(TZ_DSTE,MATCH(P421,TZ_STN,0))),INDEX(TZ_DST,MATCH(P421,TZ_STN,0)),INDEX(TZ_STD,MATCH(P421,TZ_STN,0))))/24</f>
        <v/>
      </c>
      <c r="S421" s="65">
        <f>Q421-UpliftWindowH/24</f>
        <v/>
      </c>
      <c r="T421" s="66" t="n"/>
      <c r="U421" s="66" t="n"/>
      <c r="V421" s="66" t="n"/>
      <c r="W421" s="67" t="n"/>
      <c r="X421" s="66" t="n"/>
      <c r="Y421" s="66" t="n"/>
      <c r="Z421" s="66" t="n"/>
      <c r="AA421" s="66" t="n"/>
      <c r="AB421" s="66" t="n"/>
      <c r="AC421" s="66" t="n"/>
      <c r="AD421" s="72" t="n"/>
      <c r="AE421" s="66" t="n"/>
      <c r="AF421" s="67">
        <f>IF(AND(ISNUMBER(X421),ISNUMBER(Y421)),Y421-X421,"")</f>
        <v/>
      </c>
      <c r="AG421" s="68">
        <f>IF(ISNUMBER(AD421),AD421-(IF(AND(INDEX(TZ_DSTS,MATCH(P421,TZ_STN,0))&lt;&gt;"",(AD421-INDEX(TZ_STD,MATCH(P421,TZ_STN,0))/24)&gt;=INDEX(TZ_DSTS,MATCH(P421,TZ_STN,0)),(AD421-INDEX(TZ_STD,MATCH(P421,TZ_STN,0))/24)&lt;INDEX(TZ_DSTE,MATCH(P421,TZ_STN,0))),INDEX(TZ_DST,MATCH(P421,TZ_STN,0)),INDEX(TZ_STD,MATCH(P421,TZ_STN,0))))/24,"")</f>
        <v/>
      </c>
      <c r="AH421" s="71">
        <f>IF(N421="N/A – rule","N/A – RULE",IF(TRIM(U421)="N/A",IF(AT421=0,"INVALID – N/A not permitted for this mandatory check",IF(AND(TRIM(AC421)&lt;&gt;"",TRIM(AE421)&lt;&gt;"",TRIM(T421)&lt;&gt;""),"N/A – JUSTIFIED","INVALID – N/A needs justification, PIC and verifier")),IF(OR(TRIM(U421)="Pass",TRIM(U421)="Pass after CA"),IF(NOT(ISNUMBER(AD421)),"INVALID – completion time missing",IF(TRIM(T421)="","INVALID – PIC missing",IF(TRIM(Z421)="","INVALID – evidence missing",IF(TRIM(AE421)="","INVALID – verifier missing",IF(AND(AQ421=1,TRIM(W421)=""),"INVALID – batch ID missing",IF(AND(AR421=1,OR(NOT(ISNUMBER(X421)),NOT(ISNUMBER(Y421)))),"INVALID – expected/actual qty missing",IF(IF(AND(TRIM(U421)="Pass",ISNUMBER(AF421)),IF(AF421&lt;&gt;0,"INVALID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recorded/closed","")&lt;&gt;"",IF(AND(TRIM(U421)="Pass",ISNUMBER(AF421)),IF(AF421&lt;&gt;0,"INVALID – qty variance: use Fail or Pass after CA",""),"")&amp;IF(AND(TRIM(U421)="Pass",AB421="Open"),"INVALID – corrective action still open: use Fail, then Pass after CA","")&amp;IF(AND(TRIM(U421)="Pass after CA",OR(TRIM(AA421)="",AB421&lt;&gt;"Closed")),"INVALID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window"),IF(AG421&gt;Flights!$AA$16,"INVALID – completed after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f>
        <v/>
      </c>
      <c r="AI421" s="67">
        <f>IF(OR(AH421="N/A – RULE",AH421="N/A – JUSTIFIED"),0,1)</f>
        <v/>
      </c>
      <c r="AJ421" s="67">
        <f>IF(LEFT(AH421,8)="COMPLETE",1,0)</f>
        <v/>
      </c>
      <c r="AK421" s="67">
        <f>IF(AND(AI421=1,AJ421=0,AsOfUTC&gt;Q421),1,0)</f>
        <v/>
      </c>
      <c r="AL421" s="67">
        <f>IF(AND(AI421=1,OR(TRIM(U421)="Fail",AB421="Open",AND(ISNUMBER(AF421),AF421&lt;&gt;0,TRIM(U421)&lt;&gt;"Pass after CA"))),1,0)</f>
        <v/>
      </c>
      <c r="AM421" s="67">
        <f>IF(LEFT(AH421,7)="INVALID",1,0)</f>
        <v/>
      </c>
      <c r="AN421" s="67">
        <f>IF(AND(N421="Clarification required",AI421=1,AJ421=0),1,0)</f>
        <v/>
      </c>
      <c r="AO421" s="67">
        <f>IF(AK421=1,SUM(AK$5:AK421),"")</f>
        <v/>
      </c>
      <c r="AP421" s="67">
        <f>IF(AL421=1,SUM(AL$5:AL421),"")</f>
        <v/>
      </c>
      <c r="AQ421" s="67" t="n">
        <v>0</v>
      </c>
      <c r="AR421" s="67" t="n">
        <v>0</v>
      </c>
      <c r="AS421" s="67" t="n">
        <v>0</v>
      </c>
      <c r="AT421" s="67" t="n">
        <v>1</v>
      </c>
    </row>
    <row r="422" ht="40" customHeight="1">
      <c r="A422" s="63" t="inlineStr">
        <is>
          <t>F12-UPL-12</t>
        </is>
      </c>
      <c r="B422" s="63" t="inlineStr">
        <is>
          <t>F12</t>
        </is>
      </c>
      <c r="C422" s="63">
        <f>Flights!$F$16</f>
        <v/>
      </c>
      <c r="D422" s="64">
        <f>Flights!$D$16</f>
        <v/>
      </c>
      <c r="E422" s="63">
        <f>Flights!$G$16&amp;"-"&amp;Flights!$H$16</f>
        <v/>
      </c>
      <c r="F422" s="63">
        <f>Flights!$K$16</f>
        <v/>
      </c>
      <c r="G422" s="63" t="inlineStr">
        <is>
          <t>UPLIFT</t>
        </is>
      </c>
      <c r="H422" s="63" t="inlineStr">
        <is>
          <t>Physical uplift</t>
        </is>
      </c>
      <c r="I422" s="63" t="inlineStr">
        <is>
          <t>Seat Linen</t>
        </is>
      </c>
      <c r="J422" s="63" t="inlineStr">
        <is>
          <t>Seat pillow (BS &amp; BC) - on board</t>
        </is>
      </c>
      <c r="K422" s="73" t="inlineStr">
        <is>
          <t>Available 100% (ticked in reference)</t>
        </is>
      </c>
      <c r="L422" s="73" t="inlineStr">
        <is>
          <t>STD UPLIFT INFORMATION.xlsx &gt; SEAT LINEN!E9</t>
        </is>
      </c>
      <c r="M422" s="73" t="inlineStr">
        <is>
          <t>Not stated in reference</t>
        </is>
      </c>
      <c r="N422" s="73" t="inlineStr">
        <is>
          <t>Required</t>
        </is>
      </c>
      <c r="O422" s="73" t="inlineStr"/>
      <c r="P422" s="63" t="inlineStr">
        <is>
          <t>KUL</t>
        </is>
      </c>
      <c r="Q422" s="65">
        <f>Flights!$AF$16</f>
        <v/>
      </c>
      <c r="R422" s="65">
        <f>Q422+(IF(AND(INDEX(TZ_DSTS,MATCH(P422,TZ_STN,0))&lt;&gt;"",Q422&gt;=INDEX(TZ_DSTS,MATCH(P422,TZ_STN,0)),Q422&lt;INDEX(TZ_DSTE,MATCH(P422,TZ_STN,0))),INDEX(TZ_DST,MATCH(P422,TZ_STN,0)),INDEX(TZ_STD,MATCH(P422,TZ_STN,0))))/24</f>
        <v/>
      </c>
      <c r="S422" s="65">
        <f>Q422-UpliftWindowH/24</f>
        <v/>
      </c>
      <c r="T422" s="66" t="n"/>
      <c r="U422" s="66" t="n"/>
      <c r="V422" s="66" t="n"/>
      <c r="W422" s="67" t="n"/>
      <c r="X422" s="66" t="n"/>
      <c r="Y422" s="66" t="n"/>
      <c r="Z422" s="66" t="n"/>
      <c r="AA422" s="66" t="n"/>
      <c r="AB422" s="66" t="n"/>
      <c r="AC422" s="66" t="n"/>
      <c r="AD422" s="72" t="n"/>
      <c r="AE422" s="66" t="n"/>
      <c r="AF422" s="67">
        <f>IF(AND(ISNUMBER(X422),ISNUMBER(Y422)),Y422-X422,"")</f>
        <v/>
      </c>
      <c r="AG422" s="68">
        <f>IF(ISNUMBER(AD422),AD422-(IF(AND(INDEX(TZ_DSTS,MATCH(P422,TZ_STN,0))&lt;&gt;"",(AD422-INDEX(TZ_STD,MATCH(P422,TZ_STN,0))/24)&gt;=INDEX(TZ_DSTS,MATCH(P422,TZ_STN,0)),(AD422-INDEX(TZ_STD,MATCH(P422,TZ_STN,0))/24)&lt;INDEX(TZ_DSTE,MATCH(P422,TZ_STN,0))),INDEX(TZ_DST,MATCH(P422,TZ_STN,0)),INDEX(TZ_STD,MATCH(P422,TZ_STN,0))))/24,"")</f>
        <v/>
      </c>
      <c r="AH422" s="71">
        <f>IF(N422="N/A – rule","N/A – RULE",IF(TRIM(U422)="N/A",IF(AT422=0,"INVALID – N/A not permitted for this mandatory check",IF(AND(TRIM(AC422)&lt;&gt;"",TRIM(AE422)&lt;&gt;"",TRIM(T422)&lt;&gt;""),"N/A – JUSTIFIED","INVALID – N/A needs justification, PIC and verifier")),IF(OR(TRIM(U422)="Pass",TRIM(U422)="Pass after CA"),IF(NOT(ISNUMBER(AD422)),"INVALID – completion time missing",IF(TRIM(T422)="","INVALID – PIC missing",IF(TRIM(Z422)="","INVALID – evidence missing",IF(TRIM(AE422)="","INVALID – verifier missing",IF(AND(AQ422=1,TRIM(W422)=""),"INVALID – batch ID missing",IF(AND(AR422=1,OR(NOT(ISNUMBER(X422)),NOT(ISNUMBER(Y422)))),"INVALID – expected/actual qty missing",IF(IF(AND(TRIM(U422)="Pass",ISNUMBER(AF422)),IF(AF422&lt;&gt;0,"INVALID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recorded/closed","")&lt;&gt;"",IF(AND(TRIM(U422)="Pass",ISNUMBER(AF422)),IF(AF422&lt;&gt;0,"INVALID – qty variance: use Fail or Pass after CA",""),"")&amp;IF(AND(TRIM(U422)="Pass",AB422="Open"),"INVALID – corrective action still open: use Fail, then Pass after CA","")&amp;IF(AND(TRIM(U422)="Pass after CA",OR(TRIM(AA422)="",AB422&lt;&gt;"Closed")),"INVALID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window"),IF(AG422&gt;Flights!$AA$16,"INVALID – completed after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f>
        <v/>
      </c>
      <c r="AI422" s="67">
        <f>IF(OR(AH422="N/A – RULE",AH422="N/A – JUSTIFIED"),0,1)</f>
        <v/>
      </c>
      <c r="AJ422" s="67">
        <f>IF(LEFT(AH422,8)="COMPLETE",1,0)</f>
        <v/>
      </c>
      <c r="AK422" s="67">
        <f>IF(AND(AI422=1,AJ422=0,AsOfUTC&gt;Q422),1,0)</f>
        <v/>
      </c>
      <c r="AL422" s="67">
        <f>IF(AND(AI422=1,OR(TRIM(U422)="Fail",AB422="Open",AND(ISNUMBER(AF422),AF422&lt;&gt;0,TRIM(U422)&lt;&gt;"Pass after CA"))),1,0)</f>
        <v/>
      </c>
      <c r="AM422" s="67">
        <f>IF(LEFT(AH422,7)="INVALID",1,0)</f>
        <v/>
      </c>
      <c r="AN422" s="67">
        <f>IF(AND(N422="Clarification required",AI422=1,AJ422=0),1,0)</f>
        <v/>
      </c>
      <c r="AO422" s="67">
        <f>IF(AK422=1,SUM(AK$5:AK422),"")</f>
        <v/>
      </c>
      <c r="AP422" s="67">
        <f>IF(AL422=1,SUM(AL$5:AL422),"")</f>
        <v/>
      </c>
      <c r="AQ422" s="67" t="n">
        <v>0</v>
      </c>
      <c r="AR422" s="67" t="n">
        <v>0</v>
      </c>
      <c r="AS422" s="67" t="n">
        <v>0</v>
      </c>
      <c r="AT422" s="67" t="n">
        <v>1</v>
      </c>
    </row>
    <row r="423" ht="40" customHeight="1">
      <c r="A423" s="63" t="inlineStr">
        <is>
          <t>F12-UPL-13</t>
        </is>
      </c>
      <c r="B423" s="63" t="inlineStr">
        <is>
          <t>F12</t>
        </is>
      </c>
      <c r="C423" s="63">
        <f>Flights!$F$16</f>
        <v/>
      </c>
      <c r="D423" s="64">
        <f>Flights!$D$16</f>
        <v/>
      </c>
      <c r="E423" s="63">
        <f>Flights!$G$16&amp;"-"&amp;Flights!$H$16</f>
        <v/>
      </c>
      <c r="F423" s="63">
        <f>Flights!$K$16</f>
        <v/>
      </c>
      <c r="G423" s="63" t="inlineStr">
        <is>
          <t>UPLIFT</t>
        </is>
      </c>
      <c r="H423" s="63" t="inlineStr">
        <is>
          <t>Physical uplift</t>
        </is>
      </c>
      <c r="I423" s="63" t="inlineStr">
        <is>
          <t>Seat Linen</t>
        </is>
      </c>
      <c r="J423" s="63" t="inlineStr">
        <is>
          <t>Duvet (BS &amp; BC) - on board</t>
        </is>
      </c>
      <c r="K423" s="73" t="inlineStr">
        <is>
          <t>Available 100% (ticked in reference)</t>
        </is>
      </c>
      <c r="L423" s="73" t="inlineStr">
        <is>
          <t>STD UPLIFT INFORMATION.xlsx &gt; SEAT LINEN!F9</t>
        </is>
      </c>
      <c r="M423" s="73" t="inlineStr">
        <is>
          <t>Not stated in reference</t>
        </is>
      </c>
      <c r="N423" s="73" t="inlineStr">
        <is>
          <t>Required</t>
        </is>
      </c>
      <c r="O423" s="73" t="inlineStr"/>
      <c r="P423" s="63" t="inlineStr">
        <is>
          <t>KUL</t>
        </is>
      </c>
      <c r="Q423" s="65">
        <f>Flights!$AF$16</f>
        <v/>
      </c>
      <c r="R423" s="65">
        <f>Q423+(IF(AND(INDEX(TZ_DSTS,MATCH(P423,TZ_STN,0))&lt;&gt;"",Q423&gt;=INDEX(TZ_DSTS,MATCH(P423,TZ_STN,0)),Q423&lt;INDEX(TZ_DSTE,MATCH(P423,TZ_STN,0))),INDEX(TZ_DST,MATCH(P423,TZ_STN,0)),INDEX(TZ_STD,MATCH(P423,TZ_STN,0))))/24</f>
        <v/>
      </c>
      <c r="S423" s="65">
        <f>Q423-UpliftWindowH/24</f>
        <v/>
      </c>
      <c r="T423" s="66" t="n"/>
      <c r="U423" s="66" t="n"/>
      <c r="V423" s="66" t="n"/>
      <c r="W423" s="67" t="n"/>
      <c r="X423" s="66" t="n"/>
      <c r="Y423" s="66" t="n"/>
      <c r="Z423" s="66" t="n"/>
      <c r="AA423" s="66" t="n"/>
      <c r="AB423" s="66" t="n"/>
      <c r="AC423" s="66" t="n"/>
      <c r="AD423" s="72" t="n"/>
      <c r="AE423" s="66" t="n"/>
      <c r="AF423" s="67">
        <f>IF(AND(ISNUMBER(X423),ISNUMBER(Y423)),Y423-X423,"")</f>
        <v/>
      </c>
      <c r="AG423" s="68">
        <f>IF(ISNUMBER(AD423),AD423-(IF(AND(INDEX(TZ_DSTS,MATCH(P423,TZ_STN,0))&lt;&gt;"",(AD423-INDEX(TZ_STD,MATCH(P423,TZ_STN,0))/24)&gt;=INDEX(TZ_DSTS,MATCH(P423,TZ_STN,0)),(AD423-INDEX(TZ_STD,MATCH(P423,TZ_STN,0))/24)&lt;INDEX(TZ_DSTE,MATCH(P423,TZ_STN,0))),INDEX(TZ_DST,MATCH(P423,TZ_STN,0)),INDEX(TZ_STD,MATCH(P423,TZ_STN,0))))/24,"")</f>
        <v/>
      </c>
      <c r="AH423" s="71">
        <f>IF(N423="N/A – rule","N/A – RULE",IF(TRIM(U423)="N/A",IF(AT423=0,"INVALID – N/A not permitted for this mandatory check",IF(AND(TRIM(AC423)&lt;&gt;"",TRIM(AE423)&lt;&gt;"",TRIM(T423)&lt;&gt;""),"N/A – JUSTIFIED","INVALID – N/A needs justification, PIC and verifier")),IF(OR(TRIM(U423)="Pass",TRIM(U423)="Pass after CA"),IF(NOT(ISNUMBER(AD423)),"INVALID – completion time missing",IF(TRIM(T423)="","INVALID – PIC missing",IF(TRIM(Z423)="","INVALID – evidence missing",IF(TRIM(AE423)="","INVALID – verifier missing",IF(AND(AQ423=1,TRIM(W423)=""),"INVALID – batch ID missing",IF(AND(AR423=1,OR(NOT(ISNUMBER(X423)),NOT(ISNUMBER(Y423)))),"INVALID – expected/actual qty missing",IF(IF(AND(TRIM(U423)="Pass",ISNUMBER(AF423)),IF(AF423&lt;&gt;0,"INVALID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recorded/closed","")&lt;&gt;"",IF(AND(TRIM(U423)="Pass",ISNUMBER(AF423)),IF(AF423&lt;&gt;0,"INVALID – qty variance: use Fail or Pass after CA",""),"")&amp;IF(AND(TRIM(U423)="Pass",AB423="Open"),"INVALID – corrective action still open: use Fail, then Pass after CA","")&amp;IF(AND(TRIM(U423)="Pass after CA",OR(TRIM(AA423)="",AB423&lt;&gt;"Closed")),"INVALID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window"),IF(AG423&gt;Flights!$AA$16,"INVALID – completed after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f>
        <v/>
      </c>
      <c r="AI423" s="67">
        <f>IF(OR(AH423="N/A – RULE",AH423="N/A – JUSTIFIED"),0,1)</f>
        <v/>
      </c>
      <c r="AJ423" s="67">
        <f>IF(LEFT(AH423,8)="COMPLETE",1,0)</f>
        <v/>
      </c>
      <c r="AK423" s="67">
        <f>IF(AND(AI423=1,AJ423=0,AsOfUTC&gt;Q423),1,0)</f>
        <v/>
      </c>
      <c r="AL423" s="67">
        <f>IF(AND(AI423=1,OR(TRIM(U423)="Fail",AB423="Open",AND(ISNUMBER(AF423),AF423&lt;&gt;0,TRIM(U423)&lt;&gt;"Pass after CA"))),1,0)</f>
        <v/>
      </c>
      <c r="AM423" s="67">
        <f>IF(LEFT(AH423,7)="INVALID",1,0)</f>
        <v/>
      </c>
      <c r="AN423" s="67">
        <f>IF(AND(N423="Clarification required",AI423=1,AJ423=0),1,0)</f>
        <v/>
      </c>
      <c r="AO423" s="67">
        <f>IF(AK423=1,SUM(AK$5:AK423),"")</f>
        <v/>
      </c>
      <c r="AP423" s="67">
        <f>IF(AL423=1,SUM(AL$5:AL423),"")</f>
        <v/>
      </c>
      <c r="AQ423" s="67" t="n">
        <v>0</v>
      </c>
      <c r="AR423" s="67" t="n">
        <v>0</v>
      </c>
      <c r="AS423" s="67" t="n">
        <v>0</v>
      </c>
      <c r="AT423" s="67" t="n">
        <v>1</v>
      </c>
    </row>
    <row r="424" ht="40" customHeight="1">
      <c r="A424" s="63" t="inlineStr">
        <is>
          <t>F12-UPL-14</t>
        </is>
      </c>
      <c r="B424" s="63" t="inlineStr">
        <is>
          <t>F12</t>
        </is>
      </c>
      <c r="C424" s="63">
        <f>Flights!$F$16</f>
        <v/>
      </c>
      <c r="D424" s="64">
        <f>Flights!$D$16</f>
        <v/>
      </c>
      <c r="E424" s="63">
        <f>Flights!$G$16&amp;"-"&amp;Flights!$H$16</f>
        <v/>
      </c>
      <c r="F424" s="63">
        <f>Flights!$K$16</f>
        <v/>
      </c>
      <c r="G424" s="63" t="inlineStr">
        <is>
          <t>UPLIFT</t>
        </is>
      </c>
      <c r="H424" s="63" t="inlineStr">
        <is>
          <t>Physical uplift</t>
        </is>
      </c>
      <c r="I424" s="63" t="inlineStr">
        <is>
          <t>Seat Linen</t>
        </is>
      </c>
      <c r="J424" s="63" t="inlineStr">
        <is>
          <t>Mattress (BS &amp; BC) - on board</t>
        </is>
      </c>
      <c r="K424" s="73" t="inlineStr">
        <is>
          <t>Available 100% (ticked in reference)</t>
        </is>
      </c>
      <c r="L424" s="73" t="inlineStr">
        <is>
          <t>STD UPLIFT INFORMATION.xlsx &gt; SEAT LINEN!G9</t>
        </is>
      </c>
      <c r="M424" s="73" t="inlineStr">
        <is>
          <t>Not stated in reference</t>
        </is>
      </c>
      <c r="N424" s="73" t="inlineStr">
        <is>
          <t>Required</t>
        </is>
      </c>
      <c r="O424" s="73" t="inlineStr"/>
      <c r="P424" s="63" t="inlineStr">
        <is>
          <t>KUL</t>
        </is>
      </c>
      <c r="Q424" s="65">
        <f>Flights!$AF$16</f>
        <v/>
      </c>
      <c r="R424" s="65">
        <f>Q424+(IF(AND(INDEX(TZ_DSTS,MATCH(P424,TZ_STN,0))&lt;&gt;"",Q424&gt;=INDEX(TZ_DSTS,MATCH(P424,TZ_STN,0)),Q424&lt;INDEX(TZ_DSTE,MATCH(P424,TZ_STN,0))),INDEX(TZ_DST,MATCH(P424,TZ_STN,0)),INDEX(TZ_STD,MATCH(P424,TZ_STN,0))))/24</f>
        <v/>
      </c>
      <c r="S424" s="65">
        <f>Q424-UpliftWindowH/24</f>
        <v/>
      </c>
      <c r="T424" s="66" t="n"/>
      <c r="U424" s="66" t="n"/>
      <c r="V424" s="66" t="n"/>
      <c r="W424" s="67" t="n"/>
      <c r="X424" s="66" t="n"/>
      <c r="Y424" s="66" t="n"/>
      <c r="Z424" s="66" t="n"/>
      <c r="AA424" s="66" t="n"/>
      <c r="AB424" s="66" t="n"/>
      <c r="AC424" s="66" t="n"/>
      <c r="AD424" s="72" t="n"/>
      <c r="AE424" s="66" t="n"/>
      <c r="AF424" s="67">
        <f>IF(AND(ISNUMBER(X424),ISNUMBER(Y424)),Y424-X424,"")</f>
        <v/>
      </c>
      <c r="AG424" s="68">
        <f>IF(ISNUMBER(AD424),AD424-(IF(AND(INDEX(TZ_DSTS,MATCH(P424,TZ_STN,0))&lt;&gt;"",(AD424-INDEX(TZ_STD,MATCH(P424,TZ_STN,0))/24)&gt;=INDEX(TZ_DSTS,MATCH(P424,TZ_STN,0)),(AD424-INDEX(TZ_STD,MATCH(P424,TZ_STN,0))/24)&lt;INDEX(TZ_DSTE,MATCH(P424,TZ_STN,0))),INDEX(TZ_DST,MATCH(P424,TZ_STN,0)),INDEX(TZ_STD,MATCH(P424,TZ_STN,0))))/24,"")</f>
        <v/>
      </c>
      <c r="AH424" s="71">
        <f>IF(N424="N/A – rule","N/A – RULE",IF(TRIM(U424)="N/A",IF(AT424=0,"INVALID – N/A not permitted for this mandatory check",IF(AND(TRIM(AC424)&lt;&gt;"",TRIM(AE424)&lt;&gt;"",TRIM(T424)&lt;&gt;""),"N/A – JUSTIFIED","INVALID – N/A needs justification, PIC and verifier")),IF(OR(TRIM(U424)="Pass",TRIM(U424)="Pass after CA"),IF(NOT(ISNUMBER(AD424)),"INVALID – completion time missing",IF(TRIM(T424)="","INVALID – PIC missing",IF(TRIM(Z424)="","INVALID – evidence missing",IF(TRIM(AE424)="","INVALID – verifier missing",IF(AND(AQ424=1,TRIM(W424)=""),"INVALID – batch ID missing",IF(AND(AR424=1,OR(NOT(ISNUMBER(X424)),NOT(ISNUMBER(Y424)))),"INVALID – expected/actual qty missing",IF(IF(AND(TRIM(U424)="Pass",ISNUMBER(AF424)),IF(AF424&lt;&gt;0,"INVALID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recorded/closed","")&lt;&gt;"",IF(AND(TRIM(U424)="Pass",ISNUMBER(AF424)),IF(AF424&lt;&gt;0,"INVALID – qty variance: use Fail or Pass after CA",""),"")&amp;IF(AND(TRIM(U424)="Pass",AB424="Open"),"INVALID – corrective action still open: use Fail, then Pass after CA","")&amp;IF(AND(TRIM(U424)="Pass after CA",OR(TRIM(AA424)="",AB424&lt;&gt;"Closed")),"INVALID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window"),IF(AG424&gt;Flights!$AA$16,"INVALID – completed after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f>
        <v/>
      </c>
      <c r="AI424" s="67">
        <f>IF(OR(AH424="N/A – RULE",AH424="N/A – JUSTIFIED"),0,1)</f>
        <v/>
      </c>
      <c r="AJ424" s="67">
        <f>IF(LEFT(AH424,8)="COMPLETE",1,0)</f>
        <v/>
      </c>
      <c r="AK424" s="67">
        <f>IF(AND(AI424=1,AJ424=0,AsOfUTC&gt;Q424),1,0)</f>
        <v/>
      </c>
      <c r="AL424" s="67">
        <f>IF(AND(AI424=1,OR(TRIM(U424)="Fail",AB424="Open",AND(ISNUMBER(AF424),AF424&lt;&gt;0,TRIM(U424)&lt;&gt;"Pass after CA"))),1,0)</f>
        <v/>
      </c>
      <c r="AM424" s="67">
        <f>IF(LEFT(AH424,7)="INVALID",1,0)</f>
        <v/>
      </c>
      <c r="AN424" s="67">
        <f>IF(AND(N424="Clarification required",AI424=1,AJ424=0),1,0)</f>
        <v/>
      </c>
      <c r="AO424" s="67">
        <f>IF(AK424=1,SUM(AK$5:AK424),"")</f>
        <v/>
      </c>
      <c r="AP424" s="67">
        <f>IF(AL424=1,SUM(AL$5:AL424),"")</f>
        <v/>
      </c>
      <c r="AQ424" s="67" t="n">
        <v>0</v>
      </c>
      <c r="AR424" s="67" t="n">
        <v>0</v>
      </c>
      <c r="AS424" s="67" t="n">
        <v>0</v>
      </c>
      <c r="AT424" s="67" t="n">
        <v>1</v>
      </c>
    </row>
    <row r="425" ht="40" customHeight="1">
      <c r="A425" s="63" t="inlineStr">
        <is>
          <t>F12-UPL-15</t>
        </is>
      </c>
      <c r="B425" s="63" t="inlineStr">
        <is>
          <t>F12</t>
        </is>
      </c>
      <c r="C425" s="63">
        <f>Flights!$F$16</f>
        <v/>
      </c>
      <c r="D425" s="64">
        <f>Flights!$D$16</f>
        <v/>
      </c>
      <c r="E425" s="63">
        <f>Flights!$G$16&amp;"-"&amp;Flights!$H$16</f>
        <v/>
      </c>
      <c r="F425" s="63">
        <f>Flights!$K$16</f>
        <v/>
      </c>
      <c r="G425" s="63" t="inlineStr">
        <is>
          <t>UPLIFT</t>
        </is>
      </c>
      <c r="H425" s="63" t="inlineStr">
        <is>
          <t>Physical uplift</t>
        </is>
      </c>
      <c r="I425" s="63" t="inlineStr">
        <is>
          <t>Signature Drinks</t>
        </is>
      </c>
      <c r="J425" s="63" t="inlineStr">
        <is>
          <t>Signature drink &amp; garnish (BC) - on board</t>
        </is>
      </c>
      <c r="K425" s="73" t="inlineStr">
        <is>
          <t>Available (ticked in reference)</t>
        </is>
      </c>
      <c r="L425" s="73" t="inlineStr">
        <is>
          <t>STD UPLIFT INFORMATION.xlsx &gt; Signature Drinks!F9 / G9 / D79</t>
        </is>
      </c>
      <c r="M425" s="73" t="inlineStr">
        <is>
          <t>KUL</t>
        </is>
      </c>
      <c r="N425" s="73" t="inlineStr">
        <is>
          <t>Required</t>
        </is>
      </c>
      <c r="O425" s="73" t="inlineStr">
        <is>
          <t>Signature drinks &amp; garnish uplifted from KUL (note D79).</t>
        </is>
      </c>
      <c r="P425" s="63" t="inlineStr">
        <is>
          <t>KUL</t>
        </is>
      </c>
      <c r="Q425" s="65">
        <f>Flights!$AF$16</f>
        <v/>
      </c>
      <c r="R425" s="65">
        <f>Q425+(IF(AND(INDEX(TZ_DSTS,MATCH(P425,TZ_STN,0))&lt;&gt;"",Q425&gt;=INDEX(TZ_DSTS,MATCH(P425,TZ_STN,0)),Q425&lt;INDEX(TZ_DSTE,MATCH(P425,TZ_STN,0))),INDEX(TZ_DST,MATCH(P425,TZ_STN,0)),INDEX(TZ_STD,MATCH(P425,TZ_STN,0))))/24</f>
        <v/>
      </c>
      <c r="S425" s="65">
        <f>Q425-UpliftWindowH/24</f>
        <v/>
      </c>
      <c r="T425" s="66" t="n"/>
      <c r="U425" s="66" t="n"/>
      <c r="V425" s="66" t="n"/>
      <c r="W425" s="67" t="n"/>
      <c r="X425" s="66" t="n"/>
      <c r="Y425" s="66" t="n"/>
      <c r="Z425" s="66" t="n"/>
      <c r="AA425" s="66" t="n"/>
      <c r="AB425" s="66" t="n"/>
      <c r="AC425" s="66" t="n"/>
      <c r="AD425" s="72" t="n"/>
      <c r="AE425" s="66" t="n"/>
      <c r="AF425" s="67">
        <f>IF(AND(ISNUMBER(X425),ISNUMBER(Y425)),Y425-X425,"")</f>
        <v/>
      </c>
      <c r="AG425" s="68">
        <f>IF(ISNUMBER(AD425),AD425-(IF(AND(INDEX(TZ_DSTS,MATCH(P425,TZ_STN,0))&lt;&gt;"",(AD425-INDEX(TZ_STD,MATCH(P425,TZ_STN,0))/24)&gt;=INDEX(TZ_DSTS,MATCH(P425,TZ_STN,0)),(AD425-INDEX(TZ_STD,MATCH(P425,TZ_STN,0))/24)&lt;INDEX(TZ_DSTE,MATCH(P425,TZ_STN,0))),INDEX(TZ_DST,MATCH(P425,TZ_STN,0)),INDEX(TZ_STD,MATCH(P425,TZ_STN,0))))/24,"")</f>
        <v/>
      </c>
      <c r="AH425" s="71">
        <f>IF(N425="N/A – rule","N/A – RULE",IF(TRIM(U425)="N/A",IF(AT425=0,"INVALID – N/A not permitted for this mandatory check",IF(AND(TRIM(AC425)&lt;&gt;"",TRIM(AE425)&lt;&gt;"",TRIM(T425)&lt;&gt;""),"N/A – JUSTIFIED","INVALID – N/A needs justification, PIC and verifier")),IF(OR(TRIM(U425)="Pass",TRIM(U425)="Pass after CA"),IF(NOT(ISNUMBER(AD425)),"INVALID – completion time missing",IF(TRIM(T425)="","INVALID – PIC missing",IF(TRIM(Z425)="","INVALID – evidence missing",IF(TRIM(AE425)="","INVALID – verifier missing",IF(AND(AQ425=1,TRIM(W425)=""),"INVALID – batch ID missing",IF(AND(AR425=1,OR(NOT(ISNUMBER(X425)),NOT(ISNUMBER(Y425)))),"INVALID – expected/actual qty missing",IF(IF(AND(TRIM(U425)="Pass",ISNUMBER(AF425)),IF(AF425&lt;&gt;0,"INVALID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recorded/closed","")&lt;&gt;"",IF(AND(TRIM(U425)="Pass",ISNUMBER(AF425)),IF(AF425&lt;&gt;0,"INVALID – qty variance: use Fail or Pass after CA",""),"")&amp;IF(AND(TRIM(U425)="Pass",AB425="Open"),"INVALID – corrective action still open: use Fail, then Pass after CA","")&amp;IF(AND(TRIM(U425)="Pass after CA",OR(TRIM(AA425)="",AB425&lt;&gt;"Closed")),"INVALID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window"),IF(AG425&gt;Flights!$AA$16,"INVALID – completed after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f>
        <v/>
      </c>
      <c r="AI425" s="67">
        <f>IF(OR(AH425="N/A – RULE",AH425="N/A – JUSTIFIED"),0,1)</f>
        <v/>
      </c>
      <c r="AJ425" s="67">
        <f>IF(LEFT(AH425,8)="COMPLETE",1,0)</f>
        <v/>
      </c>
      <c r="AK425" s="67">
        <f>IF(AND(AI425=1,AJ425=0,AsOfUTC&gt;Q425),1,0)</f>
        <v/>
      </c>
      <c r="AL425" s="67">
        <f>IF(AND(AI425=1,OR(TRIM(U425)="Fail",AB425="Open",AND(ISNUMBER(AF425),AF425&lt;&gt;0,TRIM(U425)&lt;&gt;"Pass after CA"))),1,0)</f>
        <v/>
      </c>
      <c r="AM425" s="67">
        <f>IF(LEFT(AH425,7)="INVALID",1,0)</f>
        <v/>
      </c>
      <c r="AN425" s="67">
        <f>IF(AND(N425="Clarification required",AI425=1,AJ425=0),1,0)</f>
        <v/>
      </c>
      <c r="AO425" s="67">
        <f>IF(AK425=1,SUM(AK$5:AK425),"")</f>
        <v/>
      </c>
      <c r="AP425" s="67">
        <f>IF(AL425=1,SUM(AL$5:AL425),"")</f>
        <v/>
      </c>
      <c r="AQ425" s="67" t="n">
        <v>0</v>
      </c>
      <c r="AR425" s="67" t="n">
        <v>0</v>
      </c>
      <c r="AS425" s="67" t="n">
        <v>0</v>
      </c>
      <c r="AT425" s="67" t="n">
        <v>1</v>
      </c>
    </row>
    <row r="426" ht="40" customHeight="1">
      <c r="A426" s="63" t="inlineStr">
        <is>
          <t>F12-UPL-16</t>
        </is>
      </c>
      <c r="B426" s="63" t="inlineStr">
        <is>
          <t>F12</t>
        </is>
      </c>
      <c r="C426" s="63">
        <f>Flights!$F$16</f>
        <v/>
      </c>
      <c r="D426" s="64">
        <f>Flights!$D$16</f>
        <v/>
      </c>
      <c r="E426" s="63">
        <f>Flights!$G$16&amp;"-"&amp;Flights!$H$16</f>
        <v/>
      </c>
      <c r="F426" s="63">
        <f>Flights!$K$16</f>
        <v/>
      </c>
      <c r="G426" s="63" t="inlineStr">
        <is>
          <t>UPLIFT</t>
        </is>
      </c>
      <c r="H426" s="63" t="inlineStr">
        <is>
          <t>Physical uplift</t>
        </is>
      </c>
      <c r="I426" s="63" t="inlineStr">
        <is>
          <t>Sales Cart</t>
        </is>
      </c>
      <c r="J426" s="63" t="inlineStr">
        <is>
          <t>Sales cart (caterer PASB) - on board</t>
        </is>
      </c>
      <c r="K426" s="73" t="inlineStr">
        <is>
          <t>Location 241 &amp; 947 (A339)</t>
        </is>
      </c>
      <c r="L426" s="73" t="inlineStr">
        <is>
          <t>STD UPLIFT INFORMATION.xlsx &gt; SALES CART!J8:J17 / C13 / C40</t>
        </is>
      </c>
      <c r="M426" s="73" t="inlineStr">
        <is>
          <t>Not stated in reference</t>
        </is>
      </c>
      <c r="N426" s="73" t="inlineStr">
        <is>
          <t>Required</t>
        </is>
      </c>
      <c r="O426" s="73" t="inlineStr">
        <is>
          <t>Block 7.08 h &gt;= 4 h.</t>
        </is>
      </c>
      <c r="P426" s="63" t="inlineStr">
        <is>
          <t>KUL</t>
        </is>
      </c>
      <c r="Q426" s="65">
        <f>Flights!$AF$16</f>
        <v/>
      </c>
      <c r="R426" s="65">
        <f>Q426+(IF(AND(INDEX(TZ_DSTS,MATCH(P426,TZ_STN,0))&lt;&gt;"",Q426&gt;=INDEX(TZ_DSTS,MATCH(P426,TZ_STN,0)),Q426&lt;INDEX(TZ_DSTE,MATCH(P426,TZ_STN,0))),INDEX(TZ_DST,MATCH(P426,TZ_STN,0)),INDEX(TZ_STD,MATCH(P426,TZ_STN,0))))/24</f>
        <v/>
      </c>
      <c r="S426" s="65">
        <f>Q426-UpliftWindowH/24</f>
        <v/>
      </c>
      <c r="T426" s="66" t="n"/>
      <c r="U426" s="66" t="n"/>
      <c r="V426" s="66" t="n"/>
      <c r="W426" s="67" t="n"/>
      <c r="X426" s="66" t="n"/>
      <c r="Y426" s="66" t="n"/>
      <c r="Z426" s="66" t="n"/>
      <c r="AA426" s="66" t="n"/>
      <c r="AB426" s="66" t="n"/>
      <c r="AC426" s="66" t="n"/>
      <c r="AD426" s="72" t="n"/>
      <c r="AE426" s="66" t="n"/>
      <c r="AF426" s="67">
        <f>IF(AND(ISNUMBER(X426),ISNUMBER(Y426)),Y426-X426,"")</f>
        <v/>
      </c>
      <c r="AG426" s="68">
        <f>IF(ISNUMBER(AD426),AD426-(IF(AND(INDEX(TZ_DSTS,MATCH(P426,TZ_STN,0))&lt;&gt;"",(AD426-INDEX(TZ_STD,MATCH(P426,TZ_STN,0))/24)&gt;=INDEX(TZ_DSTS,MATCH(P426,TZ_STN,0)),(AD426-INDEX(TZ_STD,MATCH(P426,TZ_STN,0))/24)&lt;INDEX(TZ_DSTE,MATCH(P426,TZ_STN,0))),INDEX(TZ_DST,MATCH(P426,TZ_STN,0)),INDEX(TZ_STD,MATCH(P426,TZ_STN,0))))/24,"")</f>
        <v/>
      </c>
      <c r="AH426" s="71">
        <f>IF(N426="N/A – rule","N/A – RULE",IF(TRIM(U426)="N/A",IF(AT426=0,"INVALID – N/A not permitted for this mandatory check",IF(AND(TRIM(AC426)&lt;&gt;"",TRIM(AE426)&lt;&gt;"",TRIM(T426)&lt;&gt;""),"N/A – JUSTIFIED","INVALID – N/A needs justification, PIC and verifier")),IF(OR(TRIM(U426)="Pass",TRIM(U426)="Pass after CA"),IF(NOT(ISNUMBER(AD426)),"INVALID – completion time missing",IF(TRIM(T426)="","INVALID – PIC missing",IF(TRIM(Z426)="","INVALID – evidence missing",IF(TRIM(AE426)="","INVALID – verifier missing",IF(AND(AQ426=1,TRIM(W426)=""),"INVALID – batch ID missing",IF(AND(AR426=1,OR(NOT(ISNUMBER(X426)),NOT(ISNUMBER(Y426)))),"INVALID – expected/actual qty missing",IF(IF(AND(TRIM(U426)="Pass",ISNUMBER(AF426)),IF(AF426&lt;&gt;0,"INVALID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recorded/closed","")&lt;&gt;"",IF(AND(TRIM(U426)="Pass",ISNUMBER(AF426)),IF(AF426&lt;&gt;0,"INVALID – qty variance: use Fail or Pass after CA",""),"")&amp;IF(AND(TRIM(U426)="Pass",AB426="Open"),"INVALID – corrective action still open: use Fail, then Pass after CA","")&amp;IF(AND(TRIM(U426)="Pass after CA",OR(TRIM(AA426)="",AB426&lt;&gt;"Closed")),"INVALID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window"),IF(AG426&gt;Flights!$AA$16,"INVALID – completed after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f>
        <v/>
      </c>
      <c r="AI426" s="67">
        <f>IF(OR(AH426="N/A – RULE",AH426="N/A – JUSTIFIED"),0,1)</f>
        <v/>
      </c>
      <c r="AJ426" s="67">
        <f>IF(LEFT(AH426,8)="COMPLETE",1,0)</f>
        <v/>
      </c>
      <c r="AK426" s="67">
        <f>IF(AND(AI426=1,AJ426=0,AsOfUTC&gt;Q426),1,0)</f>
        <v/>
      </c>
      <c r="AL426" s="67">
        <f>IF(AND(AI426=1,OR(TRIM(U426)="Fail",AB426="Open",AND(ISNUMBER(AF426),AF426&lt;&gt;0,TRIM(U426)&lt;&gt;"Pass after CA"))),1,0)</f>
        <v/>
      </c>
      <c r="AM426" s="67">
        <f>IF(LEFT(AH426,7)="INVALID",1,0)</f>
        <v/>
      </c>
      <c r="AN426" s="67">
        <f>IF(AND(N426="Clarification required",AI426=1,AJ426=0),1,0)</f>
        <v/>
      </c>
      <c r="AO426" s="67">
        <f>IF(AK426=1,SUM(AK$5:AK426),"")</f>
        <v/>
      </c>
      <c r="AP426" s="67">
        <f>IF(AL426=1,SUM(AL$5:AL426),"")</f>
        <v/>
      </c>
      <c r="AQ426" s="67" t="n">
        <v>0</v>
      </c>
      <c r="AR426" s="67" t="n">
        <v>0</v>
      </c>
      <c r="AS426" s="67" t="n">
        <v>0</v>
      </c>
      <c r="AT426" s="67" t="n">
        <v>1</v>
      </c>
    </row>
    <row r="427" ht="40" customHeight="1">
      <c r="A427" s="63" t="inlineStr">
        <is>
          <t>F13-T7-01</t>
        </is>
      </c>
      <c r="B427" s="63" t="inlineStr">
        <is>
          <t>F13</t>
        </is>
      </c>
      <c r="C427" s="63">
        <f>Flights!$F$17</f>
        <v/>
      </c>
      <c r="D427" s="64">
        <f>Flights!$D$17</f>
        <v/>
      </c>
      <c r="E427" s="63">
        <f>Flights!$G$17&amp;"-"&amp;Flights!$H$17</f>
        <v/>
      </c>
      <c r="F427" s="63">
        <f>Flights!$K$17</f>
        <v/>
      </c>
      <c r="G427" s="63" t="inlineStr">
        <is>
          <t>T-7D</t>
        </is>
      </c>
      <c r="H427" s="63" t="inlineStr">
        <is>
          <t>Preparation</t>
        </is>
      </c>
      <c r="I427" s="63" t="inlineStr">
        <is>
          <t>Meal</t>
        </is>
      </c>
      <c r="J427" s="63" t="inlineStr">
        <is>
          <t>Meal sensory testing completed for this flight's menu cycle (assessed class)</t>
        </is>
      </c>
      <c r="K427" s="73" t="inlineStr">
        <is>
          <t>Record panel result / score in Result</t>
        </is>
      </c>
      <c r="L427" s="73" t="inlineStr">
        <is>
          <t>User brief (T-7 days)</t>
        </is>
      </c>
      <c r="M427" s="73" t="inlineStr"/>
      <c r="N427" s="73" t="inlineStr">
        <is>
          <t>Required</t>
        </is>
      </c>
      <c r="O427" s="73" t="inlineStr"/>
      <c r="P427" s="63" t="inlineStr">
        <is>
          <t>ADL</t>
        </is>
      </c>
      <c r="Q427" s="65">
        <f>Flights!$AC$17</f>
        <v/>
      </c>
      <c r="R427" s="65">
        <f>Q427+(IF(AND(INDEX(TZ_DSTS,MATCH(P427,TZ_STN,0))&lt;&gt;"",Q427&gt;=INDEX(TZ_DSTS,MATCH(P427,TZ_STN,0)),Q427&lt;INDEX(TZ_DSTE,MATCH(P427,TZ_STN,0))),INDEX(TZ_DST,MATCH(P427,TZ_STN,0)),INDEX(TZ_STD,MATCH(P427,TZ_STN,0))))/24</f>
        <v/>
      </c>
      <c r="S427" s="65" t="inlineStr"/>
      <c r="T427" s="66" t="n"/>
      <c r="U427" s="66" t="n"/>
      <c r="V427" s="66" t="n"/>
      <c r="W427" s="67" t="n"/>
      <c r="X427" s="66" t="n"/>
      <c r="Y427" s="66" t="n"/>
      <c r="Z427" s="66" t="n"/>
      <c r="AA427" s="66" t="n"/>
      <c r="AB427" s="66" t="n"/>
      <c r="AC427" s="66" t="n"/>
      <c r="AD427" s="72" t="n"/>
      <c r="AE427" s="66" t="n"/>
      <c r="AF427" s="67">
        <f>IF(AND(ISNUMBER(X427),ISNUMBER(Y427)),Y427-X427,"")</f>
        <v/>
      </c>
      <c r="AG427" s="68">
        <f>IF(ISNUMBER(AD427),AD427-(IF(AND(INDEX(TZ_DSTS,MATCH(P427,TZ_STN,0))&lt;&gt;"",(AD427-INDEX(TZ_STD,MATCH(P427,TZ_STN,0))/24)&gt;=INDEX(TZ_DSTS,MATCH(P427,TZ_STN,0)),(AD427-INDEX(TZ_STD,MATCH(P427,TZ_STN,0))/24)&lt;INDEX(TZ_DSTE,MATCH(P427,TZ_STN,0))),INDEX(TZ_DST,MATCH(P427,TZ_STN,0)),INDEX(TZ_STD,MATCH(P427,TZ_STN,0))))/24,"")</f>
        <v/>
      </c>
      <c r="AH427" s="71">
        <f>IF(N427="N/A – rule","N/A – RULE",IF(TRIM(U427)="N/A",IF(AT427=0,"INVALID – N/A not permitted for this mandatory check",IF(AND(TRIM(AC427)&lt;&gt;"",TRIM(AE427)&lt;&gt;"",TRIM(T427)&lt;&gt;""),"N/A – JUSTIFIED","INVALID – N/A needs justification, PIC and verifier")),IF(OR(TRIM(U427)="Pass",TRIM(U427)="Pass after CA"),IF(NOT(ISNUMBER(AD427)),"INVALID – completion time missing",IF(TRIM(T427)="","INVALID – PIC missing",IF(TRIM(Z427)="","INVALID – evidence missing",IF(TRIM(AE427)="","INVALID – verifier missing",IF(AND(AQ427=1,TRIM(W427)=""),"INVALID – batch ID missing",IF(AND(AR427=1,OR(NOT(ISNUMBER(X427)),NOT(ISNUMBER(Y427)))),"INVALID – expected/actual qty missing",IF(IF(AND(TRIM(U427)="Pass",ISNUMBER(AF427)),IF(AF427&lt;&gt;0,"INVALID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recorded/closed","")&lt;&gt;"",IF(AND(TRIM(U427)="Pass",ISNUMBER(AF427)),IF(AF427&lt;&gt;0,"INVALID – qty variance: use Fail or Pass after CA",""),"")&amp;IF(AND(TRIM(U427)="Pass",AB427="Open"),"INVALID – corrective action still open: use Fail, then Pass after CA","")&amp;IF(AND(TRIM(U427)="Pass after CA",OR(TRIM(AA427)="",AB427&lt;&gt;"Closed")),"INVALID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window"),IF(AG427&gt;Flights!$AA$17,"INVALID – completed after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f>
        <v/>
      </c>
      <c r="AI427" s="67">
        <f>IF(OR(AH427="N/A – RULE",AH427="N/A – JUSTIFIED"),0,1)</f>
        <v/>
      </c>
      <c r="AJ427" s="67">
        <f>IF(LEFT(AH427,8)="COMPLETE",1,0)</f>
        <v/>
      </c>
      <c r="AK427" s="67">
        <f>IF(AND(AI427=1,AJ427=0,AsOfUTC&gt;Q427),1,0)</f>
        <v/>
      </c>
      <c r="AL427" s="67">
        <f>IF(AND(AI427=1,OR(TRIM(U427)="Fail",AB427="Open",AND(ISNUMBER(AF427),AF427&lt;&gt;0,TRIM(U427)&lt;&gt;"Pass after CA"))),1,0)</f>
        <v/>
      </c>
      <c r="AM427" s="67">
        <f>IF(LEFT(AH427,7)="INVALID",1,0)</f>
        <v/>
      </c>
      <c r="AN427" s="67">
        <f>IF(AND(N427="Clarification required",AI427=1,AJ427=0),1,0)</f>
        <v/>
      </c>
      <c r="AO427" s="67">
        <f>IF(AK427=1,SUM(AK$5:AK427),"")</f>
        <v/>
      </c>
      <c r="AP427" s="67">
        <f>IF(AL427=1,SUM(AL$5:AL427),"")</f>
        <v/>
      </c>
      <c r="AQ427" s="67" t="n">
        <v>0</v>
      </c>
      <c r="AR427" s="67" t="n">
        <v>0</v>
      </c>
      <c r="AS427" s="67" t="n">
        <v>0</v>
      </c>
      <c r="AT427" s="67" t="n">
        <v>0</v>
      </c>
    </row>
    <row r="428" ht="40" customHeight="1">
      <c r="A428" s="63" t="inlineStr">
        <is>
          <t>F13-T7-02</t>
        </is>
      </c>
      <c r="B428" s="63" t="inlineStr">
        <is>
          <t>F13</t>
        </is>
      </c>
      <c r="C428" s="63">
        <f>Flights!$F$17</f>
        <v/>
      </c>
      <c r="D428" s="64">
        <f>Flights!$D$17</f>
        <v/>
      </c>
      <c r="E428" s="63">
        <f>Flights!$G$17&amp;"-"&amp;Flights!$H$17</f>
        <v/>
      </c>
      <c r="F428" s="63">
        <f>Flights!$K$17</f>
        <v/>
      </c>
      <c r="G428" s="63" t="inlineStr">
        <is>
          <t>T-7D</t>
        </is>
      </c>
      <c r="H428" s="63" t="inlineStr">
        <is>
          <t>Preparation</t>
        </is>
      </c>
      <c r="I428" s="63" t="inlineStr">
        <is>
          <t>Menu</t>
        </is>
      </c>
      <c r="J428" s="63" t="inlineStr">
        <is>
          <t>Printed menu cards confirmed (content, cycle, language, quantity)</t>
        </is>
      </c>
      <c r="K428" s="73" t="inlineStr">
        <is>
          <t>Menu card matches approved menu for this flight</t>
        </is>
      </c>
      <c r="L428" s="73" t="inlineStr">
        <is>
          <t>User brief (T-7 days)</t>
        </is>
      </c>
      <c r="M428" s="73" t="inlineStr"/>
      <c r="N428" s="73" t="inlineStr">
        <is>
          <t>Required</t>
        </is>
      </c>
      <c r="O428" s="73" t="inlineStr"/>
      <c r="P428" s="63" t="inlineStr">
        <is>
          <t>ADL</t>
        </is>
      </c>
      <c r="Q428" s="65">
        <f>Flights!$AC$17</f>
        <v/>
      </c>
      <c r="R428" s="65">
        <f>Q428+(IF(AND(INDEX(TZ_DSTS,MATCH(P428,TZ_STN,0))&lt;&gt;"",Q428&gt;=INDEX(TZ_DSTS,MATCH(P428,TZ_STN,0)),Q428&lt;INDEX(TZ_DSTE,MATCH(P428,TZ_STN,0))),INDEX(TZ_DST,MATCH(P428,TZ_STN,0)),INDEX(TZ_STD,MATCH(P428,TZ_STN,0))))/24</f>
        <v/>
      </c>
      <c r="S428" s="65" t="inlineStr"/>
      <c r="T428" s="66" t="n"/>
      <c r="U428" s="66" t="n"/>
      <c r="V428" s="66" t="n"/>
      <c r="W428" s="67" t="n"/>
      <c r="X428" s="66" t="n"/>
      <c r="Y428" s="66" t="n"/>
      <c r="Z428" s="66" t="n"/>
      <c r="AA428" s="66" t="n"/>
      <c r="AB428" s="66" t="n"/>
      <c r="AC428" s="66" t="n"/>
      <c r="AD428" s="72" t="n"/>
      <c r="AE428" s="66" t="n"/>
      <c r="AF428" s="67">
        <f>IF(AND(ISNUMBER(X428),ISNUMBER(Y428)),Y428-X428,"")</f>
        <v/>
      </c>
      <c r="AG428" s="68">
        <f>IF(ISNUMBER(AD428),AD428-(IF(AND(INDEX(TZ_DSTS,MATCH(P428,TZ_STN,0))&lt;&gt;"",(AD428-INDEX(TZ_STD,MATCH(P428,TZ_STN,0))/24)&gt;=INDEX(TZ_DSTS,MATCH(P428,TZ_STN,0)),(AD428-INDEX(TZ_STD,MATCH(P428,TZ_STN,0))/24)&lt;INDEX(TZ_DSTE,MATCH(P428,TZ_STN,0))),INDEX(TZ_DST,MATCH(P428,TZ_STN,0)),INDEX(TZ_STD,MATCH(P428,TZ_STN,0))))/24,"")</f>
        <v/>
      </c>
      <c r="AH428" s="71">
        <f>IF(N428="N/A – rule","N/A – RULE",IF(TRIM(U428)="N/A",IF(AT428=0,"INVALID – N/A not permitted for this mandatory check",IF(AND(TRIM(AC428)&lt;&gt;"",TRIM(AE428)&lt;&gt;"",TRIM(T428)&lt;&gt;""),"N/A – JUSTIFIED","INVALID – N/A needs justification, PIC and verifier")),IF(OR(TRIM(U428)="Pass",TRIM(U428)="Pass after CA"),IF(NOT(ISNUMBER(AD428)),"INVALID – completion time missing",IF(TRIM(T428)="","INVALID – PIC missing",IF(TRIM(Z428)="","INVALID – evidence missing",IF(TRIM(AE428)="","INVALID – verifier missing",IF(AND(AQ428=1,TRIM(W428)=""),"INVALID – batch ID missing",IF(AND(AR428=1,OR(NOT(ISNUMBER(X428)),NOT(ISNUMBER(Y428)))),"INVALID – expected/actual qty missing",IF(IF(AND(TRIM(U428)="Pass",ISNUMBER(AF428)),IF(AF428&lt;&gt;0,"INVALID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recorded/closed","")&lt;&gt;"",IF(AND(TRIM(U428)="Pass",ISNUMBER(AF428)),IF(AF428&lt;&gt;0,"INVALID – qty variance: use Fail or Pass after CA",""),"")&amp;IF(AND(TRIM(U428)="Pass",AB428="Open"),"INVALID – corrective action still open: use Fail, then Pass after CA","")&amp;IF(AND(TRIM(U428)="Pass after CA",OR(TRIM(AA428)="",AB428&lt;&gt;"Closed")),"INVALID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window"),IF(AG428&gt;Flights!$AA$17,"INVALID – completed after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f>
        <v/>
      </c>
      <c r="AI428" s="67">
        <f>IF(OR(AH428="N/A – RULE",AH428="N/A – JUSTIFIED"),0,1)</f>
        <v/>
      </c>
      <c r="AJ428" s="67">
        <f>IF(LEFT(AH428,8)="COMPLETE",1,0)</f>
        <v/>
      </c>
      <c r="AK428" s="67">
        <f>IF(AND(AI428=1,AJ428=0,AsOfUTC&gt;Q428),1,0)</f>
        <v/>
      </c>
      <c r="AL428" s="67">
        <f>IF(AND(AI428=1,OR(TRIM(U428)="Fail",AB428="Open",AND(ISNUMBER(AF428),AF428&lt;&gt;0,TRIM(U428)&lt;&gt;"Pass after CA"))),1,0)</f>
        <v/>
      </c>
      <c r="AM428" s="67">
        <f>IF(LEFT(AH428,7)="INVALID",1,0)</f>
        <v/>
      </c>
      <c r="AN428" s="67">
        <f>IF(AND(N428="Clarification required",AI428=1,AJ428=0),1,0)</f>
        <v/>
      </c>
      <c r="AO428" s="67">
        <f>IF(AK428=1,SUM(AK$5:AK428),"")</f>
        <v/>
      </c>
      <c r="AP428" s="67">
        <f>IF(AL428=1,SUM(AL$5:AL428),"")</f>
        <v/>
      </c>
      <c r="AQ428" s="67" t="n">
        <v>0</v>
      </c>
      <c r="AR428" s="67" t="n">
        <v>0</v>
      </c>
      <c r="AS428" s="67" t="n">
        <v>0</v>
      </c>
      <c r="AT428" s="67" t="n">
        <v>1</v>
      </c>
    </row>
    <row r="429" ht="41.5" customHeight="1">
      <c r="A429" s="63" t="inlineStr">
        <is>
          <t>F13-T7-03</t>
        </is>
      </c>
      <c r="B429" s="63" t="inlineStr">
        <is>
          <t>F13</t>
        </is>
      </c>
      <c r="C429" s="63">
        <f>Flights!$F$17</f>
        <v/>
      </c>
      <c r="D429" s="64">
        <f>Flights!$D$17</f>
        <v/>
      </c>
      <c r="E429" s="63">
        <f>Flights!$G$17&amp;"-"&amp;Flights!$H$17</f>
        <v/>
      </c>
      <c r="F429" s="63">
        <f>Flights!$K$17</f>
        <v/>
      </c>
      <c r="G429" s="63" t="inlineStr">
        <is>
          <t>T-7D</t>
        </is>
      </c>
      <c r="H429" s="63" t="inlineStr">
        <is>
          <t>Preparation</t>
        </is>
      </c>
      <c r="I429" s="63" t="inlineStr">
        <is>
          <t>IFE</t>
        </is>
      </c>
      <c r="J429" s="63" t="inlineStr">
        <is>
          <t>Digital menu in IFE confirmed (A339 only)</t>
        </is>
      </c>
      <c r="K429" s="73" t="inlineStr">
        <is>
          <t>Applies when fleet = A339</t>
        </is>
      </c>
      <c r="L429" s="73" t="inlineStr">
        <is>
          <t>User brief (T-7 days)</t>
        </is>
      </c>
      <c r="M429" s="73" t="inlineStr"/>
      <c r="N429" s="73">
        <f>IF(TRIM(Flights!$L$17)="A339","Required","N/A – rule")</f>
        <v/>
      </c>
      <c r="O429" s="73" t="inlineStr">
        <is>
          <t>Digital IFE menu applies to A339 only (user brief). Applicability follows the Fleet cell on Flights.</t>
        </is>
      </c>
      <c r="P429" s="63" t="inlineStr">
        <is>
          <t>ADL</t>
        </is>
      </c>
      <c r="Q429" s="65">
        <f>Flights!$AC$17</f>
        <v/>
      </c>
      <c r="R429" s="65">
        <f>Q429+(IF(AND(INDEX(TZ_DSTS,MATCH(P429,TZ_STN,0))&lt;&gt;"",Q429&gt;=INDEX(TZ_DSTS,MATCH(P429,TZ_STN,0)),Q429&lt;INDEX(TZ_DSTE,MATCH(P429,TZ_STN,0))),INDEX(TZ_DST,MATCH(P429,TZ_STN,0)),INDEX(TZ_STD,MATCH(P429,TZ_STN,0))))/24</f>
        <v/>
      </c>
      <c r="S429" s="65" t="inlineStr"/>
      <c r="T429" s="66" t="n"/>
      <c r="U429" s="66" t="n"/>
      <c r="V429" s="66" t="n"/>
      <c r="W429" s="67" t="n"/>
      <c r="X429" s="66" t="n"/>
      <c r="Y429" s="66" t="n"/>
      <c r="Z429" s="66" t="n"/>
      <c r="AA429" s="66" t="n"/>
      <c r="AB429" s="66" t="n"/>
      <c r="AC429" s="66" t="n"/>
      <c r="AD429" s="72" t="n"/>
      <c r="AE429" s="66" t="n"/>
      <c r="AF429" s="67">
        <f>IF(AND(ISNUMBER(X429),ISNUMBER(Y429)),Y429-X429,"")</f>
        <v/>
      </c>
      <c r="AG429" s="68">
        <f>IF(ISNUMBER(AD429),AD429-(IF(AND(INDEX(TZ_DSTS,MATCH(P429,TZ_STN,0))&lt;&gt;"",(AD429-INDEX(TZ_STD,MATCH(P429,TZ_STN,0))/24)&gt;=INDEX(TZ_DSTS,MATCH(P429,TZ_STN,0)),(AD429-INDEX(TZ_STD,MATCH(P429,TZ_STN,0))/24)&lt;INDEX(TZ_DSTE,MATCH(P429,TZ_STN,0))),INDEX(TZ_DST,MATCH(P429,TZ_STN,0)),INDEX(TZ_STD,MATCH(P429,TZ_STN,0))))/24,"")</f>
        <v/>
      </c>
      <c r="AH429" s="71">
        <f>IF(N429="N/A – rule","N/A – RULE",IF(TRIM(U429)="N/A",IF(AT429=0,"INVALID – N/A not permitted for this mandatory check",IF(AND(TRIM(AC429)&lt;&gt;"",TRIM(AE429)&lt;&gt;"",TRIM(T429)&lt;&gt;""),"N/A – JUSTIFIED","INVALID – N/A needs justification, PIC and verifier")),IF(OR(TRIM(U429)="Pass",TRIM(U429)="Pass after CA"),IF(NOT(ISNUMBER(AD429)),"INVALID – completion time missing",IF(TRIM(T429)="","INVALID – PIC missing",IF(TRIM(Z429)="","INVALID – evidence missing",IF(TRIM(AE429)="","INVALID – verifier missing",IF(AND(AQ429=1,TRIM(W429)=""),"INVALID – batch ID missing",IF(AND(AR429=1,OR(NOT(ISNUMBER(X429)),NOT(ISNUMBER(Y429)))),"INVALID – expected/actual qty missing",IF(IF(AND(TRIM(U429)="Pass",ISNUMBER(AF429)),IF(AF429&lt;&gt;0,"INVALID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recorded/closed","")&lt;&gt;"",IF(AND(TRIM(U429)="Pass",ISNUMBER(AF429)),IF(AF429&lt;&gt;0,"INVALID – qty variance: use Fail or Pass after CA",""),"")&amp;IF(AND(TRIM(U429)="Pass",AB429="Open"),"INVALID – corrective action still open: use Fail, then Pass after CA","")&amp;IF(AND(TRIM(U429)="Pass after CA",OR(TRIM(AA429)="",AB429&lt;&gt;"Closed")),"INVALID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window"),IF(AG429&gt;Flights!$AA$17,"INVALID – completed after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f>
        <v/>
      </c>
      <c r="AI429" s="67">
        <f>IF(OR(AH429="N/A – RULE",AH429="N/A – JUSTIFIED"),0,1)</f>
        <v/>
      </c>
      <c r="AJ429" s="67">
        <f>IF(LEFT(AH429,8)="COMPLETE",1,0)</f>
        <v/>
      </c>
      <c r="AK429" s="67">
        <f>IF(AND(AI429=1,AJ429=0,AsOfUTC&gt;Q429),1,0)</f>
        <v/>
      </c>
      <c r="AL429" s="67">
        <f>IF(AND(AI429=1,OR(TRIM(U429)="Fail",AB429="Open",AND(ISNUMBER(AF429),AF429&lt;&gt;0,TRIM(U429)&lt;&gt;"Pass after CA"))),1,0)</f>
        <v/>
      </c>
      <c r="AM429" s="67">
        <f>IF(LEFT(AH429,7)="INVALID",1,0)</f>
        <v/>
      </c>
      <c r="AN429" s="67">
        <f>IF(AND(N429="Clarification required",AI429=1,AJ429=0),1,0)</f>
        <v/>
      </c>
      <c r="AO429" s="67">
        <f>IF(AK429=1,SUM(AK$5:AK429),"")</f>
        <v/>
      </c>
      <c r="AP429" s="67">
        <f>IF(AL429=1,SUM(AL$5:AL429),"")</f>
        <v/>
      </c>
      <c r="AQ429" s="67" t="n">
        <v>0</v>
      </c>
      <c r="AR429" s="67" t="n">
        <v>0</v>
      </c>
      <c r="AS429" s="67" t="n">
        <v>0</v>
      </c>
      <c r="AT429" s="67" t="n">
        <v>0</v>
      </c>
    </row>
    <row r="430" ht="40" customHeight="1">
      <c r="A430" s="63" t="inlineStr">
        <is>
          <t>F13-T7-04</t>
        </is>
      </c>
      <c r="B430" s="63" t="inlineStr">
        <is>
          <t>F13</t>
        </is>
      </c>
      <c r="C430" s="63">
        <f>Flights!$F$17</f>
        <v/>
      </c>
      <c r="D430" s="64">
        <f>Flights!$D$17</f>
        <v/>
      </c>
      <c r="E430" s="63">
        <f>Flights!$G$17&amp;"-"&amp;Flights!$H$17</f>
        <v/>
      </c>
      <c r="F430" s="63">
        <f>Flights!$K$17</f>
        <v/>
      </c>
      <c r="G430" s="63" t="inlineStr">
        <is>
          <t>T-7D</t>
        </is>
      </c>
      <c r="H430" s="63" t="inlineStr">
        <is>
          <t>Preparation</t>
        </is>
      </c>
      <c r="I430" s="63" t="inlineStr">
        <is>
          <t>Staffing</t>
        </is>
      </c>
      <c r="J430" s="63" t="inlineStr">
        <is>
          <t>Experienced catering officer assigned to this flight</t>
        </is>
      </c>
      <c r="K430" s="73" t="inlineStr">
        <is>
          <t>Record officer name in Result</t>
        </is>
      </c>
      <c r="L430" s="73" t="inlineStr">
        <is>
          <t>User brief (T-7 days)</t>
        </is>
      </c>
      <c r="M430" s="73" t="inlineStr"/>
      <c r="N430" s="73" t="inlineStr">
        <is>
          <t>Required</t>
        </is>
      </c>
      <c r="O430" s="73" t="inlineStr"/>
      <c r="P430" s="63" t="inlineStr">
        <is>
          <t>ADL</t>
        </is>
      </c>
      <c r="Q430" s="65">
        <f>Flights!$AC$17</f>
        <v/>
      </c>
      <c r="R430" s="65">
        <f>Q430+(IF(AND(INDEX(TZ_DSTS,MATCH(P430,TZ_STN,0))&lt;&gt;"",Q430&gt;=INDEX(TZ_DSTS,MATCH(P430,TZ_STN,0)),Q430&lt;INDEX(TZ_DSTE,MATCH(P430,TZ_STN,0))),INDEX(TZ_DST,MATCH(P430,TZ_STN,0)),INDEX(TZ_STD,MATCH(P430,TZ_STN,0))))/24</f>
        <v/>
      </c>
      <c r="S430" s="65" t="inlineStr"/>
      <c r="T430" s="66" t="n"/>
      <c r="U430" s="66" t="n"/>
      <c r="V430" s="66" t="n"/>
      <c r="W430" s="67" t="n"/>
      <c r="X430" s="66" t="n"/>
      <c r="Y430" s="66" t="n"/>
      <c r="Z430" s="66" t="n"/>
      <c r="AA430" s="66" t="n"/>
      <c r="AB430" s="66" t="n"/>
      <c r="AC430" s="66" t="n"/>
      <c r="AD430" s="72" t="n"/>
      <c r="AE430" s="66" t="n"/>
      <c r="AF430" s="67">
        <f>IF(AND(ISNUMBER(X430),ISNUMBER(Y430)),Y430-X430,"")</f>
        <v/>
      </c>
      <c r="AG430" s="68">
        <f>IF(ISNUMBER(AD430),AD430-(IF(AND(INDEX(TZ_DSTS,MATCH(P430,TZ_STN,0))&lt;&gt;"",(AD430-INDEX(TZ_STD,MATCH(P430,TZ_STN,0))/24)&gt;=INDEX(TZ_DSTS,MATCH(P430,TZ_STN,0)),(AD430-INDEX(TZ_STD,MATCH(P430,TZ_STN,0))/24)&lt;INDEX(TZ_DSTE,MATCH(P430,TZ_STN,0))),INDEX(TZ_DST,MATCH(P430,TZ_STN,0)),INDEX(TZ_STD,MATCH(P430,TZ_STN,0))))/24,"")</f>
        <v/>
      </c>
      <c r="AH430" s="71">
        <f>IF(N430="N/A – rule","N/A – RULE",IF(TRIM(U430)="N/A",IF(AT430=0,"INVALID – N/A not permitted for this mandatory check",IF(AND(TRIM(AC430)&lt;&gt;"",TRIM(AE430)&lt;&gt;"",TRIM(T430)&lt;&gt;""),"N/A – JUSTIFIED","INVALID – N/A needs justification, PIC and verifier")),IF(OR(TRIM(U430)="Pass",TRIM(U430)="Pass after CA"),IF(NOT(ISNUMBER(AD430)),"INVALID – completion time missing",IF(TRIM(T430)="","INVALID – PIC missing",IF(TRIM(Z430)="","INVALID – evidence missing",IF(TRIM(AE430)="","INVALID – verifier missing",IF(AND(AQ430=1,TRIM(W430)=""),"INVALID – batch ID missing",IF(AND(AR430=1,OR(NOT(ISNUMBER(X430)),NOT(ISNUMBER(Y430)))),"INVALID – expected/actual qty missing",IF(IF(AND(TRIM(U430)="Pass",ISNUMBER(AF430)),IF(AF430&lt;&gt;0,"INVALID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recorded/closed","")&lt;&gt;"",IF(AND(TRIM(U430)="Pass",ISNUMBER(AF430)),IF(AF430&lt;&gt;0,"INVALID – qty variance: use Fail or Pass after CA",""),"")&amp;IF(AND(TRIM(U430)="Pass",AB430="Open"),"INVALID – corrective action still open: use Fail, then Pass after CA","")&amp;IF(AND(TRIM(U430)="Pass after CA",OR(TRIM(AA430)="",AB430&lt;&gt;"Closed")),"INVALID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window"),IF(AG430&gt;Flights!$AA$17,"INVALID – completed after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f>
        <v/>
      </c>
      <c r="AI430" s="67">
        <f>IF(OR(AH430="N/A – RULE",AH430="N/A – JUSTIFIED"),0,1)</f>
        <v/>
      </c>
      <c r="AJ430" s="67">
        <f>IF(LEFT(AH430,8)="COMPLETE",1,0)</f>
        <v/>
      </c>
      <c r="AK430" s="67">
        <f>IF(AND(AI430=1,AJ430=0,AsOfUTC&gt;Q430),1,0)</f>
        <v/>
      </c>
      <c r="AL430" s="67">
        <f>IF(AND(AI430=1,OR(TRIM(U430)="Fail",AB430="Open",AND(ISNUMBER(AF430),AF430&lt;&gt;0,TRIM(U430)&lt;&gt;"Pass after CA"))),1,0)</f>
        <v/>
      </c>
      <c r="AM430" s="67">
        <f>IF(LEFT(AH430,7)="INVALID",1,0)</f>
        <v/>
      </c>
      <c r="AN430" s="67">
        <f>IF(AND(N430="Clarification required",AI430=1,AJ430=0),1,0)</f>
        <v/>
      </c>
      <c r="AO430" s="67">
        <f>IF(AK430=1,SUM(AK$5:AK430),"")</f>
        <v/>
      </c>
      <c r="AP430" s="67">
        <f>IF(AL430=1,SUM(AL$5:AL430),"")</f>
        <v/>
      </c>
      <c r="AQ430" s="67" t="n">
        <v>0</v>
      </c>
      <c r="AR430" s="67" t="n">
        <v>0</v>
      </c>
      <c r="AS430" s="67" t="n">
        <v>0</v>
      </c>
      <c r="AT430" s="67" t="n">
        <v>0</v>
      </c>
    </row>
    <row r="431" ht="40" customHeight="1">
      <c r="A431" s="63" t="inlineStr">
        <is>
          <t>F13-T7-05</t>
        </is>
      </c>
      <c r="B431" s="63" t="inlineStr">
        <is>
          <t>F13</t>
        </is>
      </c>
      <c r="C431" s="63">
        <f>Flights!$F$17</f>
        <v/>
      </c>
      <c r="D431" s="64">
        <f>Flights!$D$17</f>
        <v/>
      </c>
      <c r="E431" s="63">
        <f>Flights!$G$17&amp;"-"&amp;Flights!$H$17</f>
        <v/>
      </c>
      <c r="F431" s="63">
        <f>Flights!$K$17</f>
        <v/>
      </c>
      <c r="G431" s="63" t="inlineStr">
        <is>
          <t>T-7D</t>
        </is>
      </c>
      <c r="H431" s="63" t="inlineStr">
        <is>
          <t>Preparation</t>
        </is>
      </c>
      <c r="I431" s="63" t="inlineStr">
        <is>
          <t>ISOP</t>
        </is>
      </c>
      <c r="J431" s="63" t="inlineStr">
        <is>
          <t>All latest applicable ISOP revisions communicated to caterer</t>
        </is>
      </c>
      <c r="K431" s="73" t="inlineStr">
        <is>
          <t>List revision numbers in Result (see ISOP register)</t>
        </is>
      </c>
      <c r="L431" s="73" t="inlineStr">
        <is>
          <t>User brief (T-7 days)</t>
        </is>
      </c>
      <c r="M431" s="73" t="inlineStr"/>
      <c r="N431" s="73" t="inlineStr">
        <is>
          <t>Required</t>
        </is>
      </c>
      <c r="O431" s="73" t="inlineStr"/>
      <c r="P431" s="63" t="inlineStr">
        <is>
          <t>ADL</t>
        </is>
      </c>
      <c r="Q431" s="65">
        <f>Flights!$AC$17</f>
        <v/>
      </c>
      <c r="R431" s="65">
        <f>Q431+(IF(AND(INDEX(TZ_DSTS,MATCH(P431,TZ_STN,0))&lt;&gt;"",Q431&gt;=INDEX(TZ_DSTS,MATCH(P431,TZ_STN,0)),Q431&lt;INDEX(TZ_DSTE,MATCH(P431,TZ_STN,0))),INDEX(TZ_DST,MATCH(P431,TZ_STN,0)),INDEX(TZ_STD,MATCH(P431,TZ_STN,0))))/24</f>
        <v/>
      </c>
      <c r="S431" s="65" t="inlineStr"/>
      <c r="T431" s="66" t="n"/>
      <c r="U431" s="66" t="n"/>
      <c r="V431" s="66" t="n"/>
      <c r="W431" s="67" t="n"/>
      <c r="X431" s="66" t="n"/>
      <c r="Y431" s="66" t="n"/>
      <c r="Z431" s="66" t="n"/>
      <c r="AA431" s="66" t="n"/>
      <c r="AB431" s="66" t="n"/>
      <c r="AC431" s="66" t="n"/>
      <c r="AD431" s="72" t="n"/>
      <c r="AE431" s="66" t="n"/>
      <c r="AF431" s="67">
        <f>IF(AND(ISNUMBER(X431),ISNUMBER(Y431)),Y431-X431,"")</f>
        <v/>
      </c>
      <c r="AG431" s="68">
        <f>IF(ISNUMBER(AD431),AD431-(IF(AND(INDEX(TZ_DSTS,MATCH(P431,TZ_STN,0))&lt;&gt;"",(AD431-INDEX(TZ_STD,MATCH(P431,TZ_STN,0))/24)&gt;=INDEX(TZ_DSTS,MATCH(P431,TZ_STN,0)),(AD431-INDEX(TZ_STD,MATCH(P431,TZ_STN,0))/24)&lt;INDEX(TZ_DSTE,MATCH(P431,TZ_STN,0))),INDEX(TZ_DST,MATCH(P431,TZ_STN,0)),INDEX(TZ_STD,MATCH(P431,TZ_STN,0))))/24,"")</f>
        <v/>
      </c>
      <c r="AH431" s="71">
        <f>IF(N431="N/A – rule","N/A – RULE",IF(TRIM(U431)="N/A",IF(AT431=0,"INVALID – N/A not permitted for this mandatory check",IF(AND(TRIM(AC431)&lt;&gt;"",TRIM(AE431)&lt;&gt;"",TRIM(T431)&lt;&gt;""),"N/A – JUSTIFIED","INVALID – N/A needs justification, PIC and verifier")),IF(OR(TRIM(U431)="Pass",TRIM(U431)="Pass after CA"),IF(NOT(ISNUMBER(AD431)),"INVALID – completion time missing",IF(TRIM(T431)="","INVALID – PIC missing",IF(TRIM(Z431)="","INVALID – evidence missing",IF(TRIM(AE431)="","INVALID – verifier missing",IF(AND(AQ431=1,TRIM(W431)=""),"INVALID – batch ID missing",IF(AND(AR431=1,OR(NOT(ISNUMBER(X431)),NOT(ISNUMBER(Y431)))),"INVALID – expected/actual qty missing",IF(IF(AND(TRIM(U431)="Pass",ISNUMBER(AF431)),IF(AF431&lt;&gt;0,"INVALID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recorded/closed","")&lt;&gt;"",IF(AND(TRIM(U431)="Pass",ISNUMBER(AF431)),IF(AF431&lt;&gt;0,"INVALID – qty variance: use Fail or Pass after CA",""),"")&amp;IF(AND(TRIM(U431)="Pass",AB431="Open"),"INVALID – corrective action still open: use Fail, then Pass after CA","")&amp;IF(AND(TRIM(U431)="Pass after CA",OR(TRIM(AA431)="",AB431&lt;&gt;"Closed")),"INVALID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window"),IF(AG431&gt;Flights!$AA$17,"INVALID – completed after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f>
        <v/>
      </c>
      <c r="AI431" s="67">
        <f>IF(OR(AH431="N/A – RULE",AH431="N/A – JUSTIFIED"),0,1)</f>
        <v/>
      </c>
      <c r="AJ431" s="67">
        <f>IF(LEFT(AH431,8)="COMPLETE",1,0)</f>
        <v/>
      </c>
      <c r="AK431" s="67">
        <f>IF(AND(AI431=1,AJ431=0,AsOfUTC&gt;Q431),1,0)</f>
        <v/>
      </c>
      <c r="AL431" s="67">
        <f>IF(AND(AI431=1,OR(TRIM(U431)="Fail",AB431="Open",AND(ISNUMBER(AF431),AF431&lt;&gt;0,TRIM(U431)&lt;&gt;"Pass after CA"))),1,0)</f>
        <v/>
      </c>
      <c r="AM431" s="67">
        <f>IF(LEFT(AH431,7)="INVALID",1,0)</f>
        <v/>
      </c>
      <c r="AN431" s="67">
        <f>IF(AND(N431="Clarification required",AI431=1,AJ431=0),1,0)</f>
        <v/>
      </c>
      <c r="AO431" s="67">
        <f>IF(AK431=1,SUM(AK$5:AK431),"")</f>
        <v/>
      </c>
      <c r="AP431" s="67">
        <f>IF(AL431=1,SUM(AL$5:AL431),"")</f>
        <v/>
      </c>
      <c r="AQ431" s="67" t="n">
        <v>0</v>
      </c>
      <c r="AR431" s="67" t="n">
        <v>0</v>
      </c>
      <c r="AS431" s="67" t="n">
        <v>0</v>
      </c>
      <c r="AT431" s="67" t="n">
        <v>0</v>
      </c>
    </row>
    <row r="432" ht="40" customHeight="1">
      <c r="A432" s="63" t="inlineStr">
        <is>
          <t>F13-T7-06</t>
        </is>
      </c>
      <c r="B432" s="63" t="inlineStr">
        <is>
          <t>F13</t>
        </is>
      </c>
      <c r="C432" s="63">
        <f>Flights!$F$17</f>
        <v/>
      </c>
      <c r="D432" s="64">
        <f>Flights!$D$17</f>
        <v/>
      </c>
      <c r="E432" s="63">
        <f>Flights!$G$17&amp;"-"&amp;Flights!$H$17</f>
        <v/>
      </c>
      <c r="F432" s="63">
        <f>Flights!$K$17</f>
        <v/>
      </c>
      <c r="G432" s="63" t="inlineStr">
        <is>
          <t>T-7D</t>
        </is>
      </c>
      <c r="H432" s="63" t="inlineStr">
        <is>
          <t>Preparation</t>
        </is>
      </c>
      <c r="I432" s="63" t="inlineStr">
        <is>
          <t>ISOP</t>
        </is>
      </c>
      <c r="J432" s="63" t="inlineStr">
        <is>
          <t>Caterer acknowledgement of ISOP revisions recorded</t>
        </is>
      </c>
      <c r="K432" s="73" t="inlineStr">
        <is>
          <t>Record acknowledgement ref in Evidence</t>
        </is>
      </c>
      <c r="L432" s="73" t="inlineStr">
        <is>
          <t>User brief (T-7 days)</t>
        </is>
      </c>
      <c r="M432" s="73" t="inlineStr"/>
      <c r="N432" s="73" t="inlineStr">
        <is>
          <t>Required</t>
        </is>
      </c>
      <c r="O432" s="73" t="inlineStr"/>
      <c r="P432" s="63" t="inlineStr">
        <is>
          <t>ADL</t>
        </is>
      </c>
      <c r="Q432" s="65">
        <f>Flights!$AC$17</f>
        <v/>
      </c>
      <c r="R432" s="65">
        <f>Q432+(IF(AND(INDEX(TZ_DSTS,MATCH(P432,TZ_STN,0))&lt;&gt;"",Q432&gt;=INDEX(TZ_DSTS,MATCH(P432,TZ_STN,0)),Q432&lt;INDEX(TZ_DSTE,MATCH(P432,TZ_STN,0))),INDEX(TZ_DST,MATCH(P432,TZ_STN,0)),INDEX(TZ_STD,MATCH(P432,TZ_STN,0))))/24</f>
        <v/>
      </c>
      <c r="S432" s="65" t="inlineStr"/>
      <c r="T432" s="66" t="n"/>
      <c r="U432" s="66" t="n"/>
      <c r="V432" s="66" t="n"/>
      <c r="W432" s="67" t="n"/>
      <c r="X432" s="66" t="n"/>
      <c r="Y432" s="66" t="n"/>
      <c r="Z432" s="66" t="n"/>
      <c r="AA432" s="66" t="n"/>
      <c r="AB432" s="66" t="n"/>
      <c r="AC432" s="66" t="n"/>
      <c r="AD432" s="72" t="n"/>
      <c r="AE432" s="66" t="n"/>
      <c r="AF432" s="67">
        <f>IF(AND(ISNUMBER(X432),ISNUMBER(Y432)),Y432-X432,"")</f>
        <v/>
      </c>
      <c r="AG432" s="68">
        <f>IF(ISNUMBER(AD432),AD432-(IF(AND(INDEX(TZ_DSTS,MATCH(P432,TZ_STN,0))&lt;&gt;"",(AD432-INDEX(TZ_STD,MATCH(P432,TZ_STN,0))/24)&gt;=INDEX(TZ_DSTS,MATCH(P432,TZ_STN,0)),(AD432-INDEX(TZ_STD,MATCH(P432,TZ_STN,0))/24)&lt;INDEX(TZ_DSTE,MATCH(P432,TZ_STN,0))),INDEX(TZ_DST,MATCH(P432,TZ_STN,0)),INDEX(TZ_STD,MATCH(P432,TZ_STN,0))))/24,"")</f>
        <v/>
      </c>
      <c r="AH432" s="71">
        <f>IF(N432="N/A – rule","N/A – RULE",IF(TRIM(U432)="N/A",IF(AT432=0,"INVALID – N/A not permitted for this mandatory check",IF(AND(TRIM(AC432)&lt;&gt;"",TRIM(AE432)&lt;&gt;"",TRIM(T432)&lt;&gt;""),"N/A – JUSTIFIED","INVALID – N/A needs justification, PIC and verifier")),IF(OR(TRIM(U432)="Pass",TRIM(U432)="Pass after CA"),IF(NOT(ISNUMBER(AD432)),"INVALID – completion time missing",IF(TRIM(T432)="","INVALID – PIC missing",IF(TRIM(Z432)="","INVALID – evidence missing",IF(TRIM(AE432)="","INVALID – verifier missing",IF(AND(AQ432=1,TRIM(W432)=""),"INVALID – batch ID missing",IF(AND(AR432=1,OR(NOT(ISNUMBER(X432)),NOT(ISNUMBER(Y432)))),"INVALID – expected/actual qty missing",IF(IF(AND(TRIM(U432)="Pass",ISNUMBER(AF432)),IF(AF432&lt;&gt;0,"INVALID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recorded/closed","")&lt;&gt;"",IF(AND(TRIM(U432)="Pass",ISNUMBER(AF432)),IF(AF432&lt;&gt;0,"INVALID – qty variance: use Fail or Pass after CA",""),"")&amp;IF(AND(TRIM(U432)="Pass",AB432="Open"),"INVALID – corrective action still open: use Fail, then Pass after CA","")&amp;IF(AND(TRIM(U432)="Pass after CA",OR(TRIM(AA432)="",AB432&lt;&gt;"Closed")),"INVALID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window"),IF(AG432&gt;Flights!$AA$17,"INVALID – completed after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f>
        <v/>
      </c>
      <c r="AI432" s="67">
        <f>IF(OR(AH432="N/A – RULE",AH432="N/A – JUSTIFIED"),0,1)</f>
        <v/>
      </c>
      <c r="AJ432" s="67">
        <f>IF(LEFT(AH432,8)="COMPLETE",1,0)</f>
        <v/>
      </c>
      <c r="AK432" s="67">
        <f>IF(AND(AI432=1,AJ432=0,AsOfUTC&gt;Q432),1,0)</f>
        <v/>
      </c>
      <c r="AL432" s="67">
        <f>IF(AND(AI432=1,OR(TRIM(U432)="Fail",AB432="Open",AND(ISNUMBER(AF432),AF432&lt;&gt;0,TRIM(U432)&lt;&gt;"Pass after CA"))),1,0)</f>
        <v/>
      </c>
      <c r="AM432" s="67">
        <f>IF(LEFT(AH432,7)="INVALID",1,0)</f>
        <v/>
      </c>
      <c r="AN432" s="67">
        <f>IF(AND(N432="Clarification required",AI432=1,AJ432=0),1,0)</f>
        <v/>
      </c>
      <c r="AO432" s="67">
        <f>IF(AK432=1,SUM(AK$5:AK432),"")</f>
        <v/>
      </c>
      <c r="AP432" s="67">
        <f>IF(AL432=1,SUM(AL$5:AL432),"")</f>
        <v/>
      </c>
      <c r="AQ432" s="67" t="n">
        <v>0</v>
      </c>
      <c r="AR432" s="67" t="n">
        <v>0</v>
      </c>
      <c r="AS432" s="67" t="n">
        <v>0</v>
      </c>
      <c r="AT432" s="67" t="n">
        <v>0</v>
      </c>
    </row>
    <row r="433" ht="40" customHeight="1">
      <c r="A433" s="63" t="inlineStr">
        <is>
          <t>F13-T7-07</t>
        </is>
      </c>
      <c r="B433" s="63" t="inlineStr">
        <is>
          <t>F13</t>
        </is>
      </c>
      <c r="C433" s="63">
        <f>Flights!$F$17</f>
        <v/>
      </c>
      <c r="D433" s="64">
        <f>Flights!$D$17</f>
        <v/>
      </c>
      <c r="E433" s="63">
        <f>Flights!$G$17&amp;"-"&amp;Flights!$H$17</f>
        <v/>
      </c>
      <c r="F433" s="63">
        <f>Flights!$K$17</f>
        <v/>
      </c>
      <c r="G433" s="63" t="inlineStr">
        <is>
          <t>T-7D</t>
        </is>
      </c>
      <c r="H433" s="63" t="inlineStr">
        <is>
          <t>Preparation</t>
        </is>
      </c>
      <c r="I433" s="63" t="inlineStr">
        <is>
          <t>Documents</t>
        </is>
      </c>
      <c r="J433" s="63" t="inlineStr">
        <is>
          <t>Galley loading diagram (GLD) received, revision recorded &amp; attached</t>
        </is>
      </c>
      <c r="K433" s="73" t="inlineStr">
        <is>
          <t>Documents sheet row complete</t>
        </is>
      </c>
      <c r="L433" s="73" t="inlineStr">
        <is>
          <t>User brief (T-7 days)</t>
        </is>
      </c>
      <c r="M433" s="73" t="inlineStr"/>
      <c r="N433" s="73" t="inlineStr">
        <is>
          <t>Required</t>
        </is>
      </c>
      <c r="O433" s="73" t="inlineStr"/>
      <c r="P433" s="63" t="inlineStr">
        <is>
          <t>ADL</t>
        </is>
      </c>
      <c r="Q433" s="65">
        <f>Flights!$AC$17</f>
        <v/>
      </c>
      <c r="R433" s="65">
        <f>Q433+(IF(AND(INDEX(TZ_DSTS,MATCH(P433,TZ_STN,0))&lt;&gt;"",Q433&gt;=INDEX(TZ_DSTS,MATCH(P433,TZ_STN,0)),Q433&lt;INDEX(TZ_DSTE,MATCH(P433,TZ_STN,0))),INDEX(TZ_DST,MATCH(P433,TZ_STN,0)),INDEX(TZ_STD,MATCH(P433,TZ_STN,0))))/24</f>
        <v/>
      </c>
      <c r="S433" s="65" t="inlineStr"/>
      <c r="T433" s="66" t="n"/>
      <c r="U433" s="66" t="n"/>
      <c r="V433" s="66" t="n"/>
      <c r="W433" s="67" t="n"/>
      <c r="X433" s="66" t="n"/>
      <c r="Y433" s="66" t="n"/>
      <c r="Z433" s="66" t="n"/>
      <c r="AA433" s="66" t="n"/>
      <c r="AB433" s="66" t="n"/>
      <c r="AC433" s="66" t="n"/>
      <c r="AD433" s="72" t="n"/>
      <c r="AE433" s="66" t="n"/>
      <c r="AF433" s="67">
        <f>IF(AND(ISNUMBER(X433),ISNUMBER(Y433)),Y433-X433,"")</f>
        <v/>
      </c>
      <c r="AG433" s="68">
        <f>IF(ISNUMBER(AD433),AD433-(IF(AND(INDEX(TZ_DSTS,MATCH(P433,TZ_STN,0))&lt;&gt;"",(AD433-INDEX(TZ_STD,MATCH(P433,TZ_STN,0))/24)&gt;=INDEX(TZ_DSTS,MATCH(P433,TZ_STN,0)),(AD433-INDEX(TZ_STD,MATCH(P433,TZ_STN,0))/24)&lt;INDEX(TZ_DSTE,MATCH(P433,TZ_STN,0))),INDEX(TZ_DST,MATCH(P433,TZ_STN,0)),INDEX(TZ_STD,MATCH(P433,TZ_STN,0))))/24,"")</f>
        <v/>
      </c>
      <c r="AH433" s="71">
        <f>IF(N433="N/A – rule","N/A – RULE",IF(TRIM(U433)="N/A",IF(AT433=0,"INVALID – N/A not permitted for this mandatory check",IF(AND(TRIM(AC433)&lt;&gt;"",TRIM(AE433)&lt;&gt;"",TRIM(T433)&lt;&gt;""),"N/A – JUSTIFIED","INVALID – N/A needs justification, PIC and verifier")),IF(OR(TRIM(U433)="Pass",TRIM(U433)="Pass after CA"),IF(NOT(ISNUMBER(AD433)),"INVALID – completion time missing",IF(TRIM(T433)="","INVALID – PIC missing",IF(TRIM(Z433)="","INVALID – evidence missing",IF(TRIM(AE433)="","INVALID – verifier missing",IF(AND(AQ433=1,TRIM(W433)=""),"INVALID – batch ID missing",IF(AND(AR433=1,OR(NOT(ISNUMBER(X433)),NOT(ISNUMBER(Y433)))),"INVALID – expected/actual qty missing",IF(IF(AND(TRIM(U433)="Pass",ISNUMBER(AF433)),IF(AF433&lt;&gt;0,"INVALID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recorded/closed","")&lt;&gt;"",IF(AND(TRIM(U433)="Pass",ISNUMBER(AF433)),IF(AF433&lt;&gt;0,"INVALID – qty variance: use Fail or Pass after CA",""),"")&amp;IF(AND(TRIM(U433)="Pass",AB433="Open"),"INVALID – corrective action still open: use Fail, then Pass after CA","")&amp;IF(AND(TRIM(U433)="Pass after CA",OR(TRIM(AA433)="",AB433&lt;&gt;"Closed")),"INVALID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window"),IF(AG433&gt;Flights!$AA$17,"INVALID – completed after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f>
        <v/>
      </c>
      <c r="AI433" s="67">
        <f>IF(OR(AH433="N/A – RULE",AH433="N/A – JUSTIFIED"),0,1)</f>
        <v/>
      </c>
      <c r="AJ433" s="67">
        <f>IF(LEFT(AH433,8)="COMPLETE",1,0)</f>
        <v/>
      </c>
      <c r="AK433" s="67">
        <f>IF(AND(AI433=1,AJ433=0,AsOfUTC&gt;Q433),1,0)</f>
        <v/>
      </c>
      <c r="AL433" s="67">
        <f>IF(AND(AI433=1,OR(TRIM(U433)="Fail",AB433="Open",AND(ISNUMBER(AF433),AF433&lt;&gt;0,TRIM(U433)&lt;&gt;"Pass after CA"))),1,0)</f>
        <v/>
      </c>
      <c r="AM433" s="67">
        <f>IF(LEFT(AH433,7)="INVALID",1,0)</f>
        <v/>
      </c>
      <c r="AN433" s="67">
        <f>IF(AND(N433="Clarification required",AI433=1,AJ433=0),1,0)</f>
        <v/>
      </c>
      <c r="AO433" s="67">
        <f>IF(AK433=1,SUM(AK$5:AK433),"")</f>
        <v/>
      </c>
      <c r="AP433" s="67">
        <f>IF(AL433=1,SUM(AL$5:AL433),"")</f>
        <v/>
      </c>
      <c r="AQ433" s="67" t="n">
        <v>0</v>
      </c>
      <c r="AR433" s="67" t="n">
        <v>0</v>
      </c>
      <c r="AS433" s="67" t="n">
        <v>1</v>
      </c>
      <c r="AT433" s="67" t="n">
        <v>0</v>
      </c>
    </row>
    <row r="434" ht="40" customHeight="1">
      <c r="A434" s="63" t="inlineStr">
        <is>
          <t>F13-T7-08</t>
        </is>
      </c>
      <c r="B434" s="63" t="inlineStr">
        <is>
          <t>F13</t>
        </is>
      </c>
      <c r="C434" s="63">
        <f>Flights!$F$17</f>
        <v/>
      </c>
      <c r="D434" s="64">
        <f>Flights!$D$17</f>
        <v/>
      </c>
      <c r="E434" s="63">
        <f>Flights!$G$17&amp;"-"&amp;Flights!$H$17</f>
        <v/>
      </c>
      <c r="F434" s="63">
        <f>Flights!$K$17</f>
        <v/>
      </c>
      <c r="G434" s="63" t="inlineStr">
        <is>
          <t>T-7D</t>
        </is>
      </c>
      <c r="H434" s="63" t="inlineStr">
        <is>
          <t>Preparation</t>
        </is>
      </c>
      <c r="I434" s="63" t="inlineStr">
        <is>
          <t>Documents</t>
        </is>
      </c>
      <c r="J434" s="63" t="inlineStr">
        <is>
          <t>Menu checklist received, revision recorded &amp; attached</t>
        </is>
      </c>
      <c r="K434" s="73" t="inlineStr">
        <is>
          <t>Documents sheet row complete</t>
        </is>
      </c>
      <c r="L434" s="73" t="inlineStr">
        <is>
          <t>User brief (T-7 days)</t>
        </is>
      </c>
      <c r="M434" s="73" t="inlineStr"/>
      <c r="N434" s="73" t="inlineStr">
        <is>
          <t>Required</t>
        </is>
      </c>
      <c r="O434" s="73" t="inlineStr"/>
      <c r="P434" s="63" t="inlineStr">
        <is>
          <t>ADL</t>
        </is>
      </c>
      <c r="Q434" s="65">
        <f>Flights!$AC$17</f>
        <v/>
      </c>
      <c r="R434" s="65">
        <f>Q434+(IF(AND(INDEX(TZ_DSTS,MATCH(P434,TZ_STN,0))&lt;&gt;"",Q434&gt;=INDEX(TZ_DSTS,MATCH(P434,TZ_STN,0)),Q434&lt;INDEX(TZ_DSTE,MATCH(P434,TZ_STN,0))),INDEX(TZ_DST,MATCH(P434,TZ_STN,0)),INDEX(TZ_STD,MATCH(P434,TZ_STN,0))))/24</f>
        <v/>
      </c>
      <c r="S434" s="65" t="inlineStr"/>
      <c r="T434" s="66" t="n"/>
      <c r="U434" s="66" t="n"/>
      <c r="V434" s="66" t="n"/>
      <c r="W434" s="67" t="n"/>
      <c r="X434" s="66" t="n"/>
      <c r="Y434" s="66" t="n"/>
      <c r="Z434" s="66" t="n"/>
      <c r="AA434" s="66" t="n"/>
      <c r="AB434" s="66" t="n"/>
      <c r="AC434" s="66" t="n"/>
      <c r="AD434" s="72" t="n"/>
      <c r="AE434" s="66" t="n"/>
      <c r="AF434" s="67">
        <f>IF(AND(ISNUMBER(X434),ISNUMBER(Y434)),Y434-X434,"")</f>
        <v/>
      </c>
      <c r="AG434" s="68">
        <f>IF(ISNUMBER(AD434),AD434-(IF(AND(INDEX(TZ_DSTS,MATCH(P434,TZ_STN,0))&lt;&gt;"",(AD434-INDEX(TZ_STD,MATCH(P434,TZ_STN,0))/24)&gt;=INDEX(TZ_DSTS,MATCH(P434,TZ_STN,0)),(AD434-INDEX(TZ_STD,MATCH(P434,TZ_STN,0))/24)&lt;INDEX(TZ_DSTE,MATCH(P434,TZ_STN,0))),INDEX(TZ_DST,MATCH(P434,TZ_STN,0)),INDEX(TZ_STD,MATCH(P434,TZ_STN,0))))/24,"")</f>
        <v/>
      </c>
      <c r="AH434" s="71">
        <f>IF(N434="N/A – rule","N/A – RULE",IF(TRIM(U434)="N/A",IF(AT434=0,"INVALID – N/A not permitted for this mandatory check",IF(AND(TRIM(AC434)&lt;&gt;"",TRIM(AE434)&lt;&gt;"",TRIM(T434)&lt;&gt;""),"N/A – JUSTIFIED","INVALID – N/A needs justification, PIC and verifier")),IF(OR(TRIM(U434)="Pass",TRIM(U434)="Pass after CA"),IF(NOT(ISNUMBER(AD434)),"INVALID – completion time missing",IF(TRIM(T434)="","INVALID – PIC missing",IF(TRIM(Z434)="","INVALID – evidence missing",IF(TRIM(AE434)="","INVALID – verifier missing",IF(AND(AQ434=1,TRIM(W434)=""),"INVALID – batch ID missing",IF(AND(AR434=1,OR(NOT(ISNUMBER(X434)),NOT(ISNUMBER(Y434)))),"INVALID – expected/actual qty missing",IF(IF(AND(TRIM(U434)="Pass",ISNUMBER(AF434)),IF(AF434&lt;&gt;0,"INVALID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recorded/closed","")&lt;&gt;"",IF(AND(TRIM(U434)="Pass",ISNUMBER(AF434)),IF(AF434&lt;&gt;0,"INVALID – qty variance: use Fail or Pass after CA",""),"")&amp;IF(AND(TRIM(U434)="Pass",AB434="Open"),"INVALID – corrective action still open: use Fail, then Pass after CA","")&amp;IF(AND(TRIM(U434)="Pass after CA",OR(TRIM(AA434)="",AB434&lt;&gt;"Closed")),"INVALID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window"),IF(AG434&gt;Flights!$AA$17,"INVALID – completed after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f>
        <v/>
      </c>
      <c r="AI434" s="67">
        <f>IF(OR(AH434="N/A – RULE",AH434="N/A – JUSTIFIED"),0,1)</f>
        <v/>
      </c>
      <c r="AJ434" s="67">
        <f>IF(LEFT(AH434,8)="COMPLETE",1,0)</f>
        <v/>
      </c>
      <c r="AK434" s="67">
        <f>IF(AND(AI434=1,AJ434=0,AsOfUTC&gt;Q434),1,0)</f>
        <v/>
      </c>
      <c r="AL434" s="67">
        <f>IF(AND(AI434=1,OR(TRIM(U434)="Fail",AB434="Open",AND(ISNUMBER(AF434),AF434&lt;&gt;0,TRIM(U434)&lt;&gt;"Pass after CA"))),1,0)</f>
        <v/>
      </c>
      <c r="AM434" s="67">
        <f>IF(LEFT(AH434,7)="INVALID",1,0)</f>
        <v/>
      </c>
      <c r="AN434" s="67">
        <f>IF(AND(N434="Clarification required",AI434=1,AJ434=0),1,0)</f>
        <v/>
      </c>
      <c r="AO434" s="67">
        <f>IF(AK434=1,SUM(AK$5:AK434),"")</f>
        <v/>
      </c>
      <c r="AP434" s="67">
        <f>IF(AL434=1,SUM(AL$5:AL434),"")</f>
        <v/>
      </c>
      <c r="AQ434" s="67" t="n">
        <v>0</v>
      </c>
      <c r="AR434" s="67" t="n">
        <v>0</v>
      </c>
      <c r="AS434" s="67" t="n">
        <v>2</v>
      </c>
      <c r="AT434" s="67" t="n">
        <v>0</v>
      </c>
    </row>
    <row r="435" ht="40" customHeight="1">
      <c r="A435" s="63" t="inlineStr">
        <is>
          <t>F13-T7-09</t>
        </is>
      </c>
      <c r="B435" s="63" t="inlineStr">
        <is>
          <t>F13</t>
        </is>
      </c>
      <c r="C435" s="63">
        <f>Flights!$F$17</f>
        <v/>
      </c>
      <c r="D435" s="64">
        <f>Flights!$D$17</f>
        <v/>
      </c>
      <c r="E435" s="63">
        <f>Flights!$G$17&amp;"-"&amp;Flights!$H$17</f>
        <v/>
      </c>
      <c r="F435" s="63">
        <f>Flights!$K$17</f>
        <v/>
      </c>
      <c r="G435" s="63" t="inlineStr">
        <is>
          <t>T-7D</t>
        </is>
      </c>
      <c r="H435" s="63" t="inlineStr">
        <is>
          <t>Preparation</t>
        </is>
      </c>
      <c r="I435" s="63" t="inlineStr">
        <is>
          <t>Uplift plan</t>
        </is>
      </c>
      <c r="J435" s="63" t="inlineStr">
        <is>
          <t>Uplift plan confirmed with caterer vs STD Uplift Information</t>
        </is>
      </c>
      <c r="K435" s="73" t="inlineStr">
        <is>
          <t>Service: 1.5 Meal (Meal); meal uplift stn ADL (ref lists KUL/ADL)</t>
        </is>
      </c>
      <c r="L435" s="73" t="inlineStr">
        <is>
          <t>STD UPLIFT INFORMATION.xlsx &gt; CATERING UPLIFT STN!C11:G11</t>
        </is>
      </c>
      <c r="M435" s="73" t="inlineStr"/>
      <c r="N435" s="73" t="inlineStr">
        <is>
          <t>Required</t>
        </is>
      </c>
      <c r="O435" s="73" t="inlineStr"/>
      <c r="P435" s="63" t="inlineStr">
        <is>
          <t>ADL</t>
        </is>
      </c>
      <c r="Q435" s="65">
        <f>Flights!$AC$17</f>
        <v/>
      </c>
      <c r="R435" s="65">
        <f>Q435+(IF(AND(INDEX(TZ_DSTS,MATCH(P435,TZ_STN,0))&lt;&gt;"",Q435&gt;=INDEX(TZ_DSTS,MATCH(P435,TZ_STN,0)),Q435&lt;INDEX(TZ_DSTE,MATCH(P435,TZ_STN,0))),INDEX(TZ_DST,MATCH(P435,TZ_STN,0)),INDEX(TZ_STD,MATCH(P435,TZ_STN,0))))/24</f>
        <v/>
      </c>
      <c r="S435" s="65" t="inlineStr"/>
      <c r="T435" s="66" t="n"/>
      <c r="U435" s="66" t="n"/>
      <c r="V435" s="66" t="n"/>
      <c r="W435" s="67" t="n"/>
      <c r="X435" s="66" t="n"/>
      <c r="Y435" s="66" t="n"/>
      <c r="Z435" s="66" t="n"/>
      <c r="AA435" s="66" t="n"/>
      <c r="AB435" s="66" t="n"/>
      <c r="AC435" s="66" t="n"/>
      <c r="AD435" s="72" t="n"/>
      <c r="AE435" s="66" t="n"/>
      <c r="AF435" s="67">
        <f>IF(AND(ISNUMBER(X435),ISNUMBER(Y435)),Y435-X435,"")</f>
        <v/>
      </c>
      <c r="AG435" s="68">
        <f>IF(ISNUMBER(AD435),AD435-(IF(AND(INDEX(TZ_DSTS,MATCH(P435,TZ_STN,0))&lt;&gt;"",(AD435-INDEX(TZ_STD,MATCH(P435,TZ_STN,0))/24)&gt;=INDEX(TZ_DSTS,MATCH(P435,TZ_STN,0)),(AD435-INDEX(TZ_STD,MATCH(P435,TZ_STN,0))/24)&lt;INDEX(TZ_DSTE,MATCH(P435,TZ_STN,0))),INDEX(TZ_DST,MATCH(P435,TZ_STN,0)),INDEX(TZ_STD,MATCH(P435,TZ_STN,0))))/24,"")</f>
        <v/>
      </c>
      <c r="AH435" s="71">
        <f>IF(N435="N/A – rule","N/A – RULE",IF(TRIM(U435)="N/A",IF(AT435=0,"INVALID – N/A not permitted for this mandatory check",IF(AND(TRIM(AC435)&lt;&gt;"",TRIM(AE435)&lt;&gt;"",TRIM(T435)&lt;&gt;""),"N/A – JUSTIFIED","INVALID – N/A needs justification, PIC and verifier")),IF(OR(TRIM(U435)="Pass",TRIM(U435)="Pass after CA"),IF(NOT(ISNUMBER(AD435)),"INVALID – completion time missing",IF(TRIM(T435)="","INVALID – PIC missing",IF(TRIM(Z435)="","INVALID – evidence missing",IF(TRIM(AE435)="","INVALID – verifier missing",IF(AND(AQ435=1,TRIM(W435)=""),"INVALID – batch ID missing",IF(AND(AR435=1,OR(NOT(ISNUMBER(X435)),NOT(ISNUMBER(Y435)))),"INVALID – expected/actual qty missing",IF(IF(AND(TRIM(U435)="Pass",ISNUMBER(AF435)),IF(AF435&lt;&gt;0,"INVALID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recorded/closed","")&lt;&gt;"",IF(AND(TRIM(U435)="Pass",ISNUMBER(AF435)),IF(AF435&lt;&gt;0,"INVALID – qty variance: use Fail or Pass after CA",""),"")&amp;IF(AND(TRIM(U435)="Pass",AB435="Open"),"INVALID – corrective action still open: use Fail, then Pass after CA","")&amp;IF(AND(TRIM(U435)="Pass after CA",OR(TRIM(AA435)="",AB435&lt;&gt;"Closed")),"INVALID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window"),IF(AG435&gt;Flights!$AA$17,"INVALID – completed after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f>
        <v/>
      </c>
      <c r="AI435" s="67">
        <f>IF(OR(AH435="N/A – RULE",AH435="N/A – JUSTIFIED"),0,1)</f>
        <v/>
      </c>
      <c r="AJ435" s="67">
        <f>IF(LEFT(AH435,8)="COMPLETE",1,0)</f>
        <v/>
      </c>
      <c r="AK435" s="67">
        <f>IF(AND(AI435=1,AJ435=0,AsOfUTC&gt;Q435),1,0)</f>
        <v/>
      </c>
      <c r="AL435" s="67">
        <f>IF(AND(AI435=1,OR(TRIM(U435)="Fail",AB435="Open",AND(ISNUMBER(AF435),AF435&lt;&gt;0,TRIM(U435)&lt;&gt;"Pass after CA"))),1,0)</f>
        <v/>
      </c>
      <c r="AM435" s="67">
        <f>IF(LEFT(AH435,7)="INVALID",1,0)</f>
        <v/>
      </c>
      <c r="AN435" s="67">
        <f>IF(AND(N435="Clarification required",AI435=1,AJ435=0),1,0)</f>
        <v/>
      </c>
      <c r="AO435" s="67">
        <f>IF(AK435=1,SUM(AK$5:AK435),"")</f>
        <v/>
      </c>
      <c r="AP435" s="67">
        <f>IF(AL435=1,SUM(AL$5:AL435),"")</f>
        <v/>
      </c>
      <c r="AQ435" s="67" t="n">
        <v>0</v>
      </c>
      <c r="AR435" s="67" t="n">
        <v>0</v>
      </c>
      <c r="AS435" s="67" t="n">
        <v>0</v>
      </c>
      <c r="AT435" s="67" t="n">
        <v>0</v>
      </c>
    </row>
    <row r="436" ht="79" customHeight="1">
      <c r="A436" s="63" t="inlineStr">
        <is>
          <t>F13-T7-10</t>
        </is>
      </c>
      <c r="B436" s="63" t="inlineStr">
        <is>
          <t>F13</t>
        </is>
      </c>
      <c r="C436" s="63">
        <f>Flights!$F$17</f>
        <v/>
      </c>
      <c r="D436" s="64">
        <f>Flights!$D$17</f>
        <v/>
      </c>
      <c r="E436" s="63">
        <f>Flights!$G$17&amp;"-"&amp;Flights!$H$17</f>
        <v/>
      </c>
      <c r="F436" s="63">
        <f>Flights!$K$17</f>
        <v/>
      </c>
      <c r="G436" s="63" t="inlineStr">
        <is>
          <t>T-7D</t>
        </is>
      </c>
      <c r="H436" s="63" t="inlineStr">
        <is>
          <t>Preparation</t>
        </is>
      </c>
      <c r="I436" s="63" t="inlineStr">
        <is>
          <t>Uplift plan</t>
        </is>
      </c>
      <c r="J436" s="63" t="inlineStr">
        <is>
          <t>Inbound KUL-ADL flight carrying KUL-sourced items identified and its KUL departure (UTC) entered on Flights col AX</t>
        </is>
      </c>
      <c r="K436" s="73" t="inlineStr">
        <is>
          <t>KUL-sourced items (Toiletry kits) travel on the inbound KUL-ADL sector</t>
        </is>
      </c>
      <c r="L436" s="73" t="inlineStr">
        <is>
          <t>STD UPLIFT INFORMATION.xlsx &gt; item uplift stn columns (see Requirements)</t>
        </is>
      </c>
      <c r="M436" s="73" t="inlineStr"/>
      <c r="N436" s="73" t="inlineStr">
        <is>
          <t>Clarification required</t>
        </is>
      </c>
      <c r="O436" s="73" t="inlineStr">
        <is>
          <t>Cannot be passed until Flights AX holds the carrying flight's KUL departure. Until then, the prep and KUL-loading dues use the latest possible time: STD minus the shortest agenda KUL-ADL block (MH0139 12-Oct (F12)) minus the uplift window.</t>
        </is>
      </c>
      <c r="P436" s="63" t="inlineStr">
        <is>
          <t>KUL</t>
        </is>
      </c>
      <c r="Q436" s="65">
        <f>Flights!$AC$17</f>
        <v/>
      </c>
      <c r="R436" s="65">
        <f>Q436+(IF(AND(INDEX(TZ_DSTS,MATCH(P436,TZ_STN,0))&lt;&gt;"",Q436&gt;=INDEX(TZ_DSTS,MATCH(P436,TZ_STN,0)),Q436&lt;INDEX(TZ_DSTE,MATCH(P436,TZ_STN,0))),INDEX(TZ_DST,MATCH(P436,TZ_STN,0)),INDEX(TZ_STD,MATCH(P436,TZ_STN,0))))/24</f>
        <v/>
      </c>
      <c r="S436" s="65" t="inlineStr"/>
      <c r="T436" s="66" t="n"/>
      <c r="U436" s="66" t="n"/>
      <c r="V436" s="66" t="n"/>
      <c r="W436" s="67" t="n"/>
      <c r="X436" s="66" t="n"/>
      <c r="Y436" s="66" t="n"/>
      <c r="Z436" s="66" t="n"/>
      <c r="AA436" s="66" t="n"/>
      <c r="AB436" s="66" t="n"/>
      <c r="AC436" s="66" t="n"/>
      <c r="AD436" s="72" t="n"/>
      <c r="AE436" s="66" t="n"/>
      <c r="AF436" s="67">
        <f>IF(AND(ISNUMBER(X436),ISNUMBER(Y436)),Y436-X436,"")</f>
        <v/>
      </c>
      <c r="AG436" s="68">
        <f>IF(ISNUMBER(AD436),AD436-(IF(AND(INDEX(TZ_DSTS,MATCH(P436,TZ_STN,0))&lt;&gt;"",(AD436-INDEX(TZ_STD,MATCH(P436,TZ_STN,0))/24)&gt;=INDEX(TZ_DSTS,MATCH(P436,TZ_STN,0)),(AD436-INDEX(TZ_STD,MATCH(P436,TZ_STN,0))/24)&lt;INDEX(TZ_DSTE,MATCH(P436,TZ_STN,0))),INDEX(TZ_DST,MATCH(P436,TZ_STN,0)),INDEX(TZ_STD,MATCH(P436,TZ_STN,0))))/24,"")</f>
        <v/>
      </c>
      <c r="AH436" s="71">
        <f>IF(N436="N/A – rule","N/A – RULE",IF(TRIM(U436)="N/A",IF(AT436=0,"INVALID – N/A not permitted for this mandatory check",IF(AND(TRIM(AC436)&lt;&gt;"",TRIM(AE436)&lt;&gt;"",TRIM(T436)&lt;&gt;""),"N/A – JUSTIFIED","INVALID – N/A needs justification, PIC and verifier")),IF(OR(TRIM(U436)="Pass",TRIM(U436)="Pass after CA"),IF(NOT(ISNUMBER(AD436)),"INVALID – completion time missing",IF(TRIM(T436)="","INVALID – PIC missing",IF(TRIM(Z436)="","INVALID – evidence missing",IF(TRIM(AE436)="","INVALID – verifier missing",IF(AND(AQ436=1,TRIM(W436)=""),"INVALID – batch ID missing",IF(AND(AR436=1,OR(NOT(ISNUMBER(X436)),NOT(ISNUMBER(Y436)))),"INVALID – expected/actual qty missing",IF(IF(AND(TRIM(U436)="Pass",ISNUMBER(AF436)),IF(AF436&lt;&gt;0,"INVALID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recorded/closed","")&lt;&gt;"",IF(AND(TRIM(U436)="Pass",ISNUMBER(AF436)),IF(AF436&lt;&gt;0,"INVALID – qty variance: use Fail or Pass after CA",""),"")&amp;IF(AND(TRIM(U436)="Pass",AB436="Open"),"INVALID – corrective action still open: use Fail, then Pass after CA","")&amp;IF(AND(TRIM(U436)="Pass after CA",OR(TRIM(AA436)="",AB436&lt;&gt;"Closed")),"INVALID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window"),IF(AG436&gt;Flights!$AA$17,"INVALID – completed after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f>
        <v/>
      </c>
      <c r="AI436" s="67">
        <f>IF(OR(AH436="N/A – RULE",AH436="N/A – JUSTIFIED"),0,1)</f>
        <v/>
      </c>
      <c r="AJ436" s="67">
        <f>IF(LEFT(AH436,8)="COMPLETE",1,0)</f>
        <v/>
      </c>
      <c r="AK436" s="67">
        <f>IF(AND(AI436=1,AJ436=0,AsOfUTC&gt;Q436),1,0)</f>
        <v/>
      </c>
      <c r="AL436" s="67">
        <f>IF(AND(AI436=1,OR(TRIM(U436)="Fail",AB436="Open",AND(ISNUMBER(AF436),AF436&lt;&gt;0,TRIM(U436)&lt;&gt;"Pass after CA"))),1,0)</f>
        <v/>
      </c>
      <c r="AM436" s="67">
        <f>IF(LEFT(AH436,7)="INVALID",1,0)</f>
        <v/>
      </c>
      <c r="AN436" s="67">
        <f>IF(AND(N436="Clarification required",AI436=1,AJ436=0),1,0)</f>
        <v/>
      </c>
      <c r="AO436" s="67">
        <f>IF(AK436=1,SUM(AK$5:AK436),"")</f>
        <v/>
      </c>
      <c r="AP436" s="67">
        <f>IF(AL436=1,SUM(AL$5:AL436),"")</f>
        <v/>
      </c>
      <c r="AQ436" s="67" t="n">
        <v>0</v>
      </c>
      <c r="AR436" s="67" t="n">
        <v>0</v>
      </c>
      <c r="AS436" s="67" t="n">
        <v>3</v>
      </c>
      <c r="AT436" s="67" t="n">
        <v>1</v>
      </c>
    </row>
    <row r="437" ht="40" customHeight="1">
      <c r="A437" s="63" t="inlineStr">
        <is>
          <t>F13-T24-01</t>
        </is>
      </c>
      <c r="B437" s="63" t="inlineStr">
        <is>
          <t>F13</t>
        </is>
      </c>
      <c r="C437" s="63">
        <f>Flights!$F$17</f>
        <v/>
      </c>
      <c r="D437" s="64">
        <f>Flights!$D$17</f>
        <v/>
      </c>
      <c r="E437" s="63">
        <f>Flights!$G$17&amp;"-"&amp;Flights!$H$17</f>
        <v/>
      </c>
      <c r="F437" s="63">
        <f>Flights!$K$17</f>
        <v/>
      </c>
      <c r="G437" s="63" t="inlineStr">
        <is>
          <t>T-24H</t>
        </is>
      </c>
      <c r="H437" s="63" t="inlineStr">
        <is>
          <t>Preparation</t>
        </is>
      </c>
      <c r="I437" s="63" t="inlineStr">
        <is>
          <t>Meal</t>
        </is>
      </c>
      <c r="J437" s="63" t="inlineStr">
        <is>
          <t>Sensory test repeated on ACTUAL production batch for this flight</t>
        </is>
      </c>
      <c r="K437" s="73" t="inlineStr">
        <is>
          <t>Batch ID, result, CA and acceptance mandatory</t>
        </is>
      </c>
      <c r="L437" s="73" t="inlineStr">
        <is>
          <t>User brief (T-24 hours)</t>
        </is>
      </c>
      <c r="M437" s="73" t="inlineStr"/>
      <c r="N437" s="73" t="inlineStr">
        <is>
          <t>Required</t>
        </is>
      </c>
      <c r="O437" s="73" t="inlineStr"/>
      <c r="P437" s="63" t="inlineStr">
        <is>
          <t>ADL</t>
        </is>
      </c>
      <c r="Q437" s="65">
        <f>Flights!$AD$17</f>
        <v/>
      </c>
      <c r="R437" s="65">
        <f>Q437+(IF(AND(INDEX(TZ_DSTS,MATCH(P437,TZ_STN,0))&lt;&gt;"",Q437&gt;=INDEX(TZ_DSTS,MATCH(P437,TZ_STN,0)),Q437&lt;INDEX(TZ_DSTE,MATCH(P437,TZ_STN,0))),INDEX(TZ_DST,MATCH(P437,TZ_STN,0)),INDEX(TZ_STD,MATCH(P437,TZ_STN,0))))/24</f>
        <v/>
      </c>
      <c r="S437" s="65">
        <f>Q437-T24EarlyH/24</f>
        <v/>
      </c>
      <c r="T437" s="66" t="n"/>
      <c r="U437" s="66" t="n"/>
      <c r="V437" s="66" t="n"/>
      <c r="W437" s="66" t="n"/>
      <c r="X437" s="66" t="n"/>
      <c r="Y437" s="66" t="n"/>
      <c r="Z437" s="66" t="n"/>
      <c r="AA437" s="66" t="n"/>
      <c r="AB437" s="66" t="n"/>
      <c r="AC437" s="66" t="n"/>
      <c r="AD437" s="72" t="n"/>
      <c r="AE437" s="66" t="n"/>
      <c r="AF437" s="67">
        <f>IF(AND(ISNUMBER(X437),ISNUMBER(Y437)),Y437-X437,"")</f>
        <v/>
      </c>
      <c r="AG437" s="68">
        <f>IF(ISNUMBER(AD437),AD437-(IF(AND(INDEX(TZ_DSTS,MATCH(P437,TZ_STN,0))&lt;&gt;"",(AD437-INDEX(TZ_STD,MATCH(P437,TZ_STN,0))/24)&gt;=INDEX(TZ_DSTS,MATCH(P437,TZ_STN,0)),(AD437-INDEX(TZ_STD,MATCH(P437,TZ_STN,0))/24)&lt;INDEX(TZ_DSTE,MATCH(P437,TZ_STN,0))),INDEX(TZ_DST,MATCH(P437,TZ_STN,0)),INDEX(TZ_STD,MATCH(P437,TZ_STN,0))))/24,"")</f>
        <v/>
      </c>
      <c r="AH437" s="71">
        <f>IF(N437="N/A – rule","N/A – RULE",IF(TRIM(U437)="N/A",IF(AT437=0,"INVALID – N/A not permitted for this mandatory check",IF(AND(TRIM(AC437)&lt;&gt;"",TRIM(AE437)&lt;&gt;"",TRIM(T437)&lt;&gt;""),"N/A – JUSTIFIED","INVALID – N/A needs justification, PIC and verifier")),IF(OR(TRIM(U437)="Pass",TRIM(U437)="Pass after CA"),IF(NOT(ISNUMBER(AD437)),"INVALID – completion time missing",IF(TRIM(T437)="","INVALID – PIC missing",IF(TRIM(Z437)="","INVALID – evidence missing",IF(TRIM(AE437)="","INVALID – verifier missing",IF(AND(AQ437=1,TRIM(W437)=""),"INVALID – batch ID missing",IF(AND(AR437=1,OR(NOT(ISNUMBER(X437)),NOT(ISNUMBER(Y437)))),"INVALID – expected/actual qty missing",IF(IF(AND(TRIM(U437)="Pass",ISNUMBER(AF437)),IF(AF437&lt;&gt;0,"INVALID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recorded/closed","")&lt;&gt;"",IF(AND(TRIM(U437)="Pass",ISNUMBER(AF437)),IF(AF437&lt;&gt;0,"INVALID – qty variance: use Fail or Pass after CA",""),"")&amp;IF(AND(TRIM(U437)="Pass",AB437="Open"),"INVALID – corrective action still open: use Fail, then Pass after CA","")&amp;IF(AND(TRIM(U437)="Pass after CA",OR(TRIM(AA437)="",AB437&lt;&gt;"Closed")),"INVALID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window"),IF(AG437&gt;Flights!$AA$17,"INVALID – completed after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f>
        <v/>
      </c>
      <c r="AI437" s="67">
        <f>IF(OR(AH437="N/A – RULE",AH437="N/A – JUSTIFIED"),0,1)</f>
        <v/>
      </c>
      <c r="AJ437" s="67">
        <f>IF(LEFT(AH437,8)="COMPLETE",1,0)</f>
        <v/>
      </c>
      <c r="AK437" s="67">
        <f>IF(AND(AI437=1,AJ437=0,AsOfUTC&gt;Q437),1,0)</f>
        <v/>
      </c>
      <c r="AL437" s="67">
        <f>IF(AND(AI437=1,OR(TRIM(U437)="Fail",AB437="Open",AND(ISNUMBER(AF437),AF437&lt;&gt;0,TRIM(U437)&lt;&gt;"Pass after CA"))),1,0)</f>
        <v/>
      </c>
      <c r="AM437" s="67">
        <f>IF(LEFT(AH437,7)="INVALID",1,0)</f>
        <v/>
      </c>
      <c r="AN437" s="67">
        <f>IF(AND(N437="Clarification required",AI437=1,AJ437=0),1,0)</f>
        <v/>
      </c>
      <c r="AO437" s="67">
        <f>IF(AK437=1,SUM(AK$5:AK437),"")</f>
        <v/>
      </c>
      <c r="AP437" s="67">
        <f>IF(AL437=1,SUM(AL$5:AL437),"")</f>
        <v/>
      </c>
      <c r="AQ437" s="67" t="n">
        <v>1</v>
      </c>
      <c r="AR437" s="67" t="n">
        <v>0</v>
      </c>
      <c r="AS437" s="67" t="n">
        <v>0</v>
      </c>
      <c r="AT437" s="67" t="n">
        <v>0</v>
      </c>
    </row>
    <row r="438" ht="40" customHeight="1">
      <c r="A438" s="63" t="inlineStr">
        <is>
          <t>F13-T12-01</t>
        </is>
      </c>
      <c r="B438" s="63" t="inlineStr">
        <is>
          <t>F13</t>
        </is>
      </c>
      <c r="C438" s="63">
        <f>Flights!$F$17</f>
        <v/>
      </c>
      <c r="D438" s="64">
        <f>Flights!$D$17</f>
        <v/>
      </c>
      <c r="E438" s="63">
        <f>Flights!$G$17&amp;"-"&amp;Flights!$H$17</f>
        <v/>
      </c>
      <c r="F438" s="63">
        <f>Flights!$K$17</f>
        <v/>
      </c>
      <c r="G438" s="63" t="inlineStr">
        <is>
          <t>T-12H PREP</t>
        </is>
      </c>
      <c r="H438" s="63" t="inlineStr">
        <is>
          <t>Preparation</t>
        </is>
      </c>
      <c r="I438" s="63" t="inlineStr">
        <is>
          <t>Meal</t>
        </is>
      </c>
      <c r="J438" s="63" t="inlineStr">
        <is>
          <t>Meal quality vs menu checklist</t>
        </is>
      </c>
      <c r="K438" s="73" t="inlineStr"/>
      <c r="L438" s="73" t="inlineStr">
        <is>
          <t>User brief (T-12 hours)</t>
        </is>
      </c>
      <c r="M438" s="73" t="inlineStr"/>
      <c r="N438" s="73" t="inlineStr">
        <is>
          <t>Required</t>
        </is>
      </c>
      <c r="O438" s="73" t="inlineStr">
        <is>
          <t>Preparation check at caterer - does NOT confirm loading.</t>
        </is>
      </c>
      <c r="P438" s="63" t="inlineStr">
        <is>
          <t>ADL</t>
        </is>
      </c>
      <c r="Q438" s="65">
        <f>Flights!$AE$17</f>
        <v/>
      </c>
      <c r="R438" s="65">
        <f>Q438+(IF(AND(INDEX(TZ_DSTS,MATCH(P438,TZ_STN,0))&lt;&gt;"",Q438&gt;=INDEX(TZ_DSTS,MATCH(P438,TZ_STN,0)),Q438&lt;INDEX(TZ_DSTE,MATCH(P438,TZ_STN,0))),INDEX(TZ_DST,MATCH(P438,TZ_STN,0)),INDEX(TZ_STD,MATCH(P438,TZ_STN,0))))/24</f>
        <v/>
      </c>
      <c r="S438" s="65">
        <f>Q438-T12EarlyH/24</f>
        <v/>
      </c>
      <c r="T438" s="66" t="n"/>
      <c r="U438" s="66" t="n"/>
      <c r="V438" s="66" t="n"/>
      <c r="W438" s="67" t="n"/>
      <c r="X438" s="66" t="n"/>
      <c r="Y438" s="66" t="n"/>
      <c r="Z438" s="66" t="n"/>
      <c r="AA438" s="66" t="n"/>
      <c r="AB438" s="66" t="n"/>
      <c r="AC438" s="66" t="n"/>
      <c r="AD438" s="72" t="n"/>
      <c r="AE438" s="66" t="n"/>
      <c r="AF438" s="67">
        <f>IF(AND(ISNUMBER(X438),ISNUMBER(Y438)),Y438-X438,"")</f>
        <v/>
      </c>
      <c r="AG438" s="68">
        <f>IF(ISNUMBER(AD438),AD438-(IF(AND(INDEX(TZ_DSTS,MATCH(P438,TZ_STN,0))&lt;&gt;"",(AD438-INDEX(TZ_STD,MATCH(P438,TZ_STN,0))/24)&gt;=INDEX(TZ_DSTS,MATCH(P438,TZ_STN,0)),(AD438-INDEX(TZ_STD,MATCH(P438,TZ_STN,0))/24)&lt;INDEX(TZ_DSTE,MATCH(P438,TZ_STN,0))),INDEX(TZ_DST,MATCH(P438,TZ_STN,0)),INDEX(TZ_STD,MATCH(P438,TZ_STN,0))))/24,"")</f>
        <v/>
      </c>
      <c r="AH438" s="71">
        <f>IF(N438="N/A – rule","N/A – RULE",IF(TRIM(U438)="N/A",IF(AT438=0,"INVALID – N/A not permitted for this mandatory check",IF(AND(TRIM(AC438)&lt;&gt;"",TRIM(AE438)&lt;&gt;"",TRIM(T438)&lt;&gt;""),"N/A – JUSTIFIED","INVALID – N/A needs justification, PIC and verifier")),IF(OR(TRIM(U438)="Pass",TRIM(U438)="Pass after CA"),IF(NOT(ISNUMBER(AD438)),"INVALID – completion time missing",IF(TRIM(T438)="","INVALID – PIC missing",IF(TRIM(Z438)="","INVALID – evidence missing",IF(TRIM(AE438)="","INVALID – verifier missing",IF(AND(AQ438=1,TRIM(W438)=""),"INVALID – batch ID missing",IF(AND(AR438=1,OR(NOT(ISNUMBER(X438)),NOT(ISNUMBER(Y438)))),"INVALID – expected/actual qty missing",IF(IF(AND(TRIM(U438)="Pass",ISNUMBER(AF438)),IF(AF438&lt;&gt;0,"INVALID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recorded/closed","")&lt;&gt;"",IF(AND(TRIM(U438)="Pass",ISNUMBER(AF438)),IF(AF438&lt;&gt;0,"INVALID – qty variance: use Fail or Pass after CA",""),"")&amp;IF(AND(TRIM(U438)="Pass",AB438="Open"),"INVALID – corrective action still open: use Fail, then Pass after CA","")&amp;IF(AND(TRIM(U438)="Pass after CA",OR(TRIM(AA438)="",AB438&lt;&gt;"Closed")),"INVALID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window"),IF(AG438&gt;Flights!$AA$17,"INVALID – completed after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f>
        <v/>
      </c>
      <c r="AI438" s="67">
        <f>IF(OR(AH438="N/A – RULE",AH438="N/A – JUSTIFIED"),0,1)</f>
        <v/>
      </c>
      <c r="AJ438" s="67">
        <f>IF(LEFT(AH438,8)="COMPLETE",1,0)</f>
        <v/>
      </c>
      <c r="AK438" s="67">
        <f>IF(AND(AI438=1,AJ438=0,AsOfUTC&gt;Q438),1,0)</f>
        <v/>
      </c>
      <c r="AL438" s="67">
        <f>IF(AND(AI438=1,OR(TRIM(U438)="Fail",AB438="Open",AND(ISNUMBER(AF438),AF438&lt;&gt;0,TRIM(U438)&lt;&gt;"Pass after CA"))),1,0)</f>
        <v/>
      </c>
      <c r="AM438" s="67">
        <f>IF(LEFT(AH438,7)="INVALID",1,0)</f>
        <v/>
      </c>
      <c r="AN438" s="67">
        <f>IF(AND(N438="Clarification required",AI438=1,AJ438=0),1,0)</f>
        <v/>
      </c>
      <c r="AO438" s="67">
        <f>IF(AK438=1,SUM(AK$5:AK438),"")</f>
        <v/>
      </c>
      <c r="AP438" s="67">
        <f>IF(AL438=1,SUM(AL$5:AL438),"")</f>
        <v/>
      </c>
      <c r="AQ438" s="67" t="n">
        <v>0</v>
      </c>
      <c r="AR438" s="67" t="n">
        <v>0</v>
      </c>
      <c r="AS438" s="67" t="n">
        <v>0</v>
      </c>
      <c r="AT438" s="67" t="n">
        <v>0</v>
      </c>
    </row>
    <row r="439" ht="40" customHeight="1">
      <c r="A439" s="63" t="inlineStr">
        <is>
          <t>F13-T12-02</t>
        </is>
      </c>
      <c r="B439" s="63" t="inlineStr">
        <is>
          <t>F13</t>
        </is>
      </c>
      <c r="C439" s="63">
        <f>Flights!$F$17</f>
        <v/>
      </c>
      <c r="D439" s="64">
        <f>Flights!$D$17</f>
        <v/>
      </c>
      <c r="E439" s="63">
        <f>Flights!$G$17&amp;"-"&amp;Flights!$H$17</f>
        <v/>
      </c>
      <c r="F439" s="63">
        <f>Flights!$K$17</f>
        <v/>
      </c>
      <c r="G439" s="63" t="inlineStr">
        <is>
          <t>T-12H PREP</t>
        </is>
      </c>
      <c r="H439" s="63" t="inlineStr">
        <is>
          <t>Preparation</t>
        </is>
      </c>
      <c r="I439" s="63" t="inlineStr">
        <is>
          <t>Meal</t>
        </is>
      </c>
      <c r="J439" s="63" t="inlineStr">
        <is>
          <t>Meal quantities vs menu checklist</t>
        </is>
      </c>
      <c r="K439" s="73" t="inlineStr">
        <is>
          <t>Enter expected &amp; actual</t>
        </is>
      </c>
      <c r="L439" s="73" t="inlineStr">
        <is>
          <t>User brief (T-12 hours)</t>
        </is>
      </c>
      <c r="M439" s="73" t="inlineStr"/>
      <c r="N439" s="73" t="inlineStr">
        <is>
          <t>Required</t>
        </is>
      </c>
      <c r="O439" s="73" t="inlineStr">
        <is>
          <t>Preparation check at caterer - does NOT confirm loading.</t>
        </is>
      </c>
      <c r="P439" s="63" t="inlineStr">
        <is>
          <t>ADL</t>
        </is>
      </c>
      <c r="Q439" s="65">
        <f>Flights!$AE$17</f>
        <v/>
      </c>
      <c r="R439" s="65">
        <f>Q439+(IF(AND(INDEX(TZ_DSTS,MATCH(P439,TZ_STN,0))&lt;&gt;"",Q439&gt;=INDEX(TZ_DSTS,MATCH(P439,TZ_STN,0)),Q439&lt;INDEX(TZ_DSTE,MATCH(P439,TZ_STN,0))),INDEX(TZ_DST,MATCH(P439,TZ_STN,0)),INDEX(TZ_STD,MATCH(P439,TZ_STN,0))))/24</f>
        <v/>
      </c>
      <c r="S439" s="65">
        <f>Q439-T12EarlyH/24</f>
        <v/>
      </c>
      <c r="T439" s="66" t="n"/>
      <c r="U439" s="66" t="n"/>
      <c r="V439" s="66" t="n"/>
      <c r="W439" s="67" t="n"/>
      <c r="X439" s="66" t="n"/>
      <c r="Y439" s="66" t="n"/>
      <c r="Z439" s="66" t="n"/>
      <c r="AA439" s="66" t="n"/>
      <c r="AB439" s="66" t="n"/>
      <c r="AC439" s="66" t="n"/>
      <c r="AD439" s="72" t="n"/>
      <c r="AE439" s="66" t="n"/>
      <c r="AF439" s="67">
        <f>IF(AND(ISNUMBER(X439),ISNUMBER(Y439)),Y439-X439,"")</f>
        <v/>
      </c>
      <c r="AG439" s="68">
        <f>IF(ISNUMBER(AD439),AD439-(IF(AND(INDEX(TZ_DSTS,MATCH(P439,TZ_STN,0))&lt;&gt;"",(AD439-INDEX(TZ_STD,MATCH(P439,TZ_STN,0))/24)&gt;=INDEX(TZ_DSTS,MATCH(P439,TZ_STN,0)),(AD439-INDEX(TZ_STD,MATCH(P439,TZ_STN,0))/24)&lt;INDEX(TZ_DSTE,MATCH(P439,TZ_STN,0))),INDEX(TZ_DST,MATCH(P439,TZ_STN,0)),INDEX(TZ_STD,MATCH(P439,TZ_STN,0))))/24,"")</f>
        <v/>
      </c>
      <c r="AH439" s="71">
        <f>IF(N439="N/A – rule","N/A – RULE",IF(TRIM(U439)="N/A",IF(AT439=0,"INVALID – N/A not permitted for this mandatory check",IF(AND(TRIM(AC439)&lt;&gt;"",TRIM(AE439)&lt;&gt;"",TRIM(T439)&lt;&gt;""),"N/A – JUSTIFIED","INVALID – N/A needs justification, PIC and verifier")),IF(OR(TRIM(U439)="Pass",TRIM(U439)="Pass after CA"),IF(NOT(ISNUMBER(AD439)),"INVALID – completion time missing",IF(TRIM(T439)="","INVALID – PIC missing",IF(TRIM(Z439)="","INVALID – evidence missing",IF(TRIM(AE439)="","INVALID – verifier missing",IF(AND(AQ439=1,TRIM(W439)=""),"INVALID – batch ID missing",IF(AND(AR439=1,OR(NOT(ISNUMBER(X439)),NOT(ISNUMBER(Y439)))),"INVALID – expected/actual qty missing",IF(IF(AND(TRIM(U439)="Pass",ISNUMBER(AF439)),IF(AF439&lt;&gt;0,"INVALID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recorded/closed","")&lt;&gt;"",IF(AND(TRIM(U439)="Pass",ISNUMBER(AF439)),IF(AF439&lt;&gt;0,"INVALID – qty variance: use Fail or Pass after CA",""),"")&amp;IF(AND(TRIM(U439)="Pass",AB439="Open"),"INVALID – corrective action still open: use Fail, then Pass after CA","")&amp;IF(AND(TRIM(U439)="Pass after CA",OR(TRIM(AA439)="",AB439&lt;&gt;"Closed")),"INVALID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window"),IF(AG439&gt;Flights!$AA$17,"INVALID – completed after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f>
        <v/>
      </c>
      <c r="AI439" s="67">
        <f>IF(OR(AH439="N/A – RULE",AH439="N/A – JUSTIFIED"),0,1)</f>
        <v/>
      </c>
      <c r="AJ439" s="67">
        <f>IF(LEFT(AH439,8)="COMPLETE",1,0)</f>
        <v/>
      </c>
      <c r="AK439" s="67">
        <f>IF(AND(AI439=1,AJ439=0,AsOfUTC&gt;Q439),1,0)</f>
        <v/>
      </c>
      <c r="AL439" s="67">
        <f>IF(AND(AI439=1,OR(TRIM(U439)="Fail",AB439="Open",AND(ISNUMBER(AF439),AF439&lt;&gt;0,TRIM(U439)&lt;&gt;"Pass after CA"))),1,0)</f>
        <v/>
      </c>
      <c r="AM439" s="67">
        <f>IF(LEFT(AH439,7)="INVALID",1,0)</f>
        <v/>
      </c>
      <c r="AN439" s="67">
        <f>IF(AND(N439="Clarification required",AI439=1,AJ439=0),1,0)</f>
        <v/>
      </c>
      <c r="AO439" s="67">
        <f>IF(AK439=1,SUM(AK$5:AK439),"")</f>
        <v/>
      </c>
      <c r="AP439" s="67">
        <f>IF(AL439=1,SUM(AL$5:AL439),"")</f>
        <v/>
      </c>
      <c r="AQ439" s="67" t="n">
        <v>0</v>
      </c>
      <c r="AR439" s="67" t="n">
        <v>1</v>
      </c>
      <c r="AS439" s="67" t="n">
        <v>0</v>
      </c>
      <c r="AT439" s="67" t="n">
        <v>0</v>
      </c>
    </row>
    <row r="440" ht="40" customHeight="1">
      <c r="A440" s="63" t="inlineStr">
        <is>
          <t>F13-T12-03</t>
        </is>
      </c>
      <c r="B440" s="63" t="inlineStr">
        <is>
          <t>F13</t>
        </is>
      </c>
      <c r="C440" s="63">
        <f>Flights!$F$17</f>
        <v/>
      </c>
      <c r="D440" s="64">
        <f>Flights!$D$17</f>
        <v/>
      </c>
      <c r="E440" s="63">
        <f>Flights!$G$17&amp;"-"&amp;Flights!$H$17</f>
        <v/>
      </c>
      <c r="F440" s="63">
        <f>Flights!$K$17</f>
        <v/>
      </c>
      <c r="G440" s="63" t="inlineStr">
        <is>
          <t>T-12H PREP</t>
        </is>
      </c>
      <c r="H440" s="63" t="inlineStr">
        <is>
          <t>Preparation</t>
        </is>
      </c>
      <c r="I440" s="63" t="inlineStr">
        <is>
          <t>Equipment</t>
        </is>
      </c>
      <c r="J440" s="63" t="inlineStr">
        <is>
          <t>Equipment cleanliness vs GLD</t>
        </is>
      </c>
      <c r="K440" s="73" t="inlineStr"/>
      <c r="L440" s="73" t="inlineStr">
        <is>
          <t>User brief (T-12 hours)</t>
        </is>
      </c>
      <c r="M440" s="73" t="inlineStr"/>
      <c r="N440" s="73" t="inlineStr">
        <is>
          <t>Required</t>
        </is>
      </c>
      <c r="O440" s="73" t="inlineStr">
        <is>
          <t>Preparation check at caterer - does NOT confirm loading.</t>
        </is>
      </c>
      <c r="P440" s="63" t="inlineStr">
        <is>
          <t>ADL</t>
        </is>
      </c>
      <c r="Q440" s="65">
        <f>Flights!$AE$17</f>
        <v/>
      </c>
      <c r="R440" s="65">
        <f>Q440+(IF(AND(INDEX(TZ_DSTS,MATCH(P440,TZ_STN,0))&lt;&gt;"",Q440&gt;=INDEX(TZ_DSTS,MATCH(P440,TZ_STN,0)),Q440&lt;INDEX(TZ_DSTE,MATCH(P440,TZ_STN,0))),INDEX(TZ_DST,MATCH(P440,TZ_STN,0)),INDEX(TZ_STD,MATCH(P440,TZ_STN,0))))/24</f>
        <v/>
      </c>
      <c r="S440" s="65">
        <f>Q440-T12EarlyH/24</f>
        <v/>
      </c>
      <c r="T440" s="66" t="n"/>
      <c r="U440" s="66" t="n"/>
      <c r="V440" s="66" t="n"/>
      <c r="W440" s="67" t="n"/>
      <c r="X440" s="66" t="n"/>
      <c r="Y440" s="66" t="n"/>
      <c r="Z440" s="66" t="n"/>
      <c r="AA440" s="66" t="n"/>
      <c r="AB440" s="66" t="n"/>
      <c r="AC440" s="66" t="n"/>
      <c r="AD440" s="72" t="n"/>
      <c r="AE440" s="66" t="n"/>
      <c r="AF440" s="67">
        <f>IF(AND(ISNUMBER(X440),ISNUMBER(Y440)),Y440-X440,"")</f>
        <v/>
      </c>
      <c r="AG440" s="68">
        <f>IF(ISNUMBER(AD440),AD440-(IF(AND(INDEX(TZ_DSTS,MATCH(P440,TZ_STN,0))&lt;&gt;"",(AD440-INDEX(TZ_STD,MATCH(P440,TZ_STN,0))/24)&gt;=INDEX(TZ_DSTS,MATCH(P440,TZ_STN,0)),(AD440-INDEX(TZ_STD,MATCH(P440,TZ_STN,0))/24)&lt;INDEX(TZ_DSTE,MATCH(P440,TZ_STN,0))),INDEX(TZ_DST,MATCH(P440,TZ_STN,0)),INDEX(TZ_STD,MATCH(P440,TZ_STN,0))))/24,"")</f>
        <v/>
      </c>
      <c r="AH440" s="71">
        <f>IF(N440="N/A – rule","N/A – RULE",IF(TRIM(U440)="N/A",IF(AT440=0,"INVALID – N/A not permitted for this mandatory check",IF(AND(TRIM(AC440)&lt;&gt;"",TRIM(AE440)&lt;&gt;"",TRIM(T440)&lt;&gt;""),"N/A – JUSTIFIED","INVALID – N/A needs justification, PIC and verifier")),IF(OR(TRIM(U440)="Pass",TRIM(U440)="Pass after CA"),IF(NOT(ISNUMBER(AD440)),"INVALID – completion time missing",IF(TRIM(T440)="","INVALID – PIC missing",IF(TRIM(Z440)="","INVALID – evidence missing",IF(TRIM(AE440)="","INVALID – verifier missing",IF(AND(AQ440=1,TRIM(W440)=""),"INVALID – batch ID missing",IF(AND(AR440=1,OR(NOT(ISNUMBER(X440)),NOT(ISNUMBER(Y440)))),"INVALID – expected/actual qty missing",IF(IF(AND(TRIM(U440)="Pass",ISNUMBER(AF440)),IF(AF440&lt;&gt;0,"INVALID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recorded/closed","")&lt;&gt;"",IF(AND(TRIM(U440)="Pass",ISNUMBER(AF440)),IF(AF440&lt;&gt;0,"INVALID – qty variance: use Fail or Pass after CA",""),"")&amp;IF(AND(TRIM(U440)="Pass",AB440="Open"),"INVALID – corrective action still open: use Fail, then Pass after CA","")&amp;IF(AND(TRIM(U440)="Pass after CA",OR(TRIM(AA440)="",AB440&lt;&gt;"Closed")),"INVALID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window"),IF(AG440&gt;Flights!$AA$17,"INVALID – completed after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f>
        <v/>
      </c>
      <c r="AI440" s="67">
        <f>IF(OR(AH440="N/A – RULE",AH440="N/A – JUSTIFIED"),0,1)</f>
        <v/>
      </c>
      <c r="AJ440" s="67">
        <f>IF(LEFT(AH440,8)="COMPLETE",1,0)</f>
        <v/>
      </c>
      <c r="AK440" s="67">
        <f>IF(AND(AI440=1,AJ440=0,AsOfUTC&gt;Q440),1,0)</f>
        <v/>
      </c>
      <c r="AL440" s="67">
        <f>IF(AND(AI440=1,OR(TRIM(U440)="Fail",AB440="Open",AND(ISNUMBER(AF440),AF440&lt;&gt;0,TRIM(U440)&lt;&gt;"Pass after CA"))),1,0)</f>
        <v/>
      </c>
      <c r="AM440" s="67">
        <f>IF(LEFT(AH440,7)="INVALID",1,0)</f>
        <v/>
      </c>
      <c r="AN440" s="67">
        <f>IF(AND(N440="Clarification required",AI440=1,AJ440=0),1,0)</f>
        <v/>
      </c>
      <c r="AO440" s="67">
        <f>IF(AK440=1,SUM(AK$5:AK440),"")</f>
        <v/>
      </c>
      <c r="AP440" s="67">
        <f>IF(AL440=1,SUM(AL$5:AL440),"")</f>
        <v/>
      </c>
      <c r="AQ440" s="67" t="n">
        <v>0</v>
      </c>
      <c r="AR440" s="67" t="n">
        <v>0</v>
      </c>
      <c r="AS440" s="67" t="n">
        <v>0</v>
      </c>
      <c r="AT440" s="67" t="n">
        <v>0</v>
      </c>
    </row>
    <row r="441" ht="40" customHeight="1">
      <c r="A441" s="63" t="inlineStr">
        <is>
          <t>F13-T12-04</t>
        </is>
      </c>
      <c r="B441" s="63" t="inlineStr">
        <is>
          <t>F13</t>
        </is>
      </c>
      <c r="C441" s="63">
        <f>Flights!$F$17</f>
        <v/>
      </c>
      <c r="D441" s="64">
        <f>Flights!$D$17</f>
        <v/>
      </c>
      <c r="E441" s="63">
        <f>Flights!$G$17&amp;"-"&amp;Flights!$H$17</f>
        <v/>
      </c>
      <c r="F441" s="63">
        <f>Flights!$K$17</f>
        <v/>
      </c>
      <c r="G441" s="63" t="inlineStr">
        <is>
          <t>T-12H PREP</t>
        </is>
      </c>
      <c r="H441" s="63" t="inlineStr">
        <is>
          <t>Preparation</t>
        </is>
      </c>
      <c r="I441" s="63" t="inlineStr">
        <is>
          <t>Equipment</t>
        </is>
      </c>
      <c r="J441" s="63" t="inlineStr">
        <is>
          <t>Equipment presentation vs GLD</t>
        </is>
      </c>
      <c r="K441" s="73" t="inlineStr"/>
      <c r="L441" s="73" t="inlineStr">
        <is>
          <t>User brief (T-12 hours)</t>
        </is>
      </c>
      <c r="M441" s="73" t="inlineStr"/>
      <c r="N441" s="73" t="inlineStr">
        <is>
          <t>Required</t>
        </is>
      </c>
      <c r="O441" s="73" t="inlineStr">
        <is>
          <t>Preparation check at caterer - does NOT confirm loading.</t>
        </is>
      </c>
      <c r="P441" s="63" t="inlineStr">
        <is>
          <t>ADL</t>
        </is>
      </c>
      <c r="Q441" s="65">
        <f>Flights!$AE$17</f>
        <v/>
      </c>
      <c r="R441" s="65">
        <f>Q441+(IF(AND(INDEX(TZ_DSTS,MATCH(P441,TZ_STN,0))&lt;&gt;"",Q441&gt;=INDEX(TZ_DSTS,MATCH(P441,TZ_STN,0)),Q441&lt;INDEX(TZ_DSTE,MATCH(P441,TZ_STN,0))),INDEX(TZ_DST,MATCH(P441,TZ_STN,0)),INDEX(TZ_STD,MATCH(P441,TZ_STN,0))))/24</f>
        <v/>
      </c>
      <c r="S441" s="65">
        <f>Q441-T12EarlyH/24</f>
        <v/>
      </c>
      <c r="T441" s="66" t="n"/>
      <c r="U441" s="66" t="n"/>
      <c r="V441" s="66" t="n"/>
      <c r="W441" s="67" t="n"/>
      <c r="X441" s="66" t="n"/>
      <c r="Y441" s="66" t="n"/>
      <c r="Z441" s="66" t="n"/>
      <c r="AA441" s="66" t="n"/>
      <c r="AB441" s="66" t="n"/>
      <c r="AC441" s="66" t="n"/>
      <c r="AD441" s="72" t="n"/>
      <c r="AE441" s="66" t="n"/>
      <c r="AF441" s="67">
        <f>IF(AND(ISNUMBER(X441),ISNUMBER(Y441)),Y441-X441,"")</f>
        <v/>
      </c>
      <c r="AG441" s="68">
        <f>IF(ISNUMBER(AD441),AD441-(IF(AND(INDEX(TZ_DSTS,MATCH(P441,TZ_STN,0))&lt;&gt;"",(AD441-INDEX(TZ_STD,MATCH(P441,TZ_STN,0))/24)&gt;=INDEX(TZ_DSTS,MATCH(P441,TZ_STN,0)),(AD441-INDEX(TZ_STD,MATCH(P441,TZ_STN,0))/24)&lt;INDEX(TZ_DSTE,MATCH(P441,TZ_STN,0))),INDEX(TZ_DST,MATCH(P441,TZ_STN,0)),INDEX(TZ_STD,MATCH(P441,TZ_STN,0))))/24,"")</f>
        <v/>
      </c>
      <c r="AH441" s="71">
        <f>IF(N441="N/A – rule","N/A – RULE",IF(TRIM(U441)="N/A",IF(AT441=0,"INVALID – N/A not permitted for this mandatory check",IF(AND(TRIM(AC441)&lt;&gt;"",TRIM(AE441)&lt;&gt;"",TRIM(T441)&lt;&gt;""),"N/A – JUSTIFIED","INVALID – N/A needs justification, PIC and verifier")),IF(OR(TRIM(U441)="Pass",TRIM(U441)="Pass after CA"),IF(NOT(ISNUMBER(AD441)),"INVALID – completion time missing",IF(TRIM(T441)="","INVALID – PIC missing",IF(TRIM(Z441)="","INVALID – evidence missing",IF(TRIM(AE441)="","INVALID – verifier missing",IF(AND(AQ441=1,TRIM(W441)=""),"INVALID – batch ID missing",IF(AND(AR441=1,OR(NOT(ISNUMBER(X441)),NOT(ISNUMBER(Y441)))),"INVALID – expected/actual qty missing",IF(IF(AND(TRIM(U441)="Pass",ISNUMBER(AF441)),IF(AF441&lt;&gt;0,"INVALID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recorded/closed","")&lt;&gt;"",IF(AND(TRIM(U441)="Pass",ISNUMBER(AF441)),IF(AF441&lt;&gt;0,"INVALID – qty variance: use Fail or Pass after CA",""),"")&amp;IF(AND(TRIM(U441)="Pass",AB441="Open"),"INVALID – corrective action still open: use Fail, then Pass after CA","")&amp;IF(AND(TRIM(U441)="Pass after CA",OR(TRIM(AA441)="",AB441&lt;&gt;"Closed")),"INVALID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window"),IF(AG441&gt;Flights!$AA$17,"INVALID – completed after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f>
        <v/>
      </c>
      <c r="AI441" s="67">
        <f>IF(OR(AH441="N/A – RULE",AH441="N/A – JUSTIFIED"),0,1)</f>
        <v/>
      </c>
      <c r="AJ441" s="67">
        <f>IF(LEFT(AH441,8)="COMPLETE",1,0)</f>
        <v/>
      </c>
      <c r="AK441" s="67">
        <f>IF(AND(AI441=1,AJ441=0,AsOfUTC&gt;Q441),1,0)</f>
        <v/>
      </c>
      <c r="AL441" s="67">
        <f>IF(AND(AI441=1,OR(TRIM(U441)="Fail",AB441="Open",AND(ISNUMBER(AF441),AF441&lt;&gt;0,TRIM(U441)&lt;&gt;"Pass after CA"))),1,0)</f>
        <v/>
      </c>
      <c r="AM441" s="67">
        <f>IF(LEFT(AH441,7)="INVALID",1,0)</f>
        <v/>
      </c>
      <c r="AN441" s="67">
        <f>IF(AND(N441="Clarification required",AI441=1,AJ441=0),1,0)</f>
        <v/>
      </c>
      <c r="AO441" s="67">
        <f>IF(AK441=1,SUM(AK$5:AK441),"")</f>
        <v/>
      </c>
      <c r="AP441" s="67">
        <f>IF(AL441=1,SUM(AL$5:AL441),"")</f>
        <v/>
      </c>
      <c r="AQ441" s="67" t="n">
        <v>0</v>
      </c>
      <c r="AR441" s="67" t="n">
        <v>0</v>
      </c>
      <c r="AS441" s="67" t="n">
        <v>0</v>
      </c>
      <c r="AT441" s="67" t="n">
        <v>0</v>
      </c>
    </row>
    <row r="442" ht="40" customHeight="1">
      <c r="A442" s="63" t="inlineStr">
        <is>
          <t>F13-T12-05</t>
        </is>
      </c>
      <c r="B442" s="63" t="inlineStr">
        <is>
          <t>F13</t>
        </is>
      </c>
      <c r="C442" s="63">
        <f>Flights!$F$17</f>
        <v/>
      </c>
      <c r="D442" s="64">
        <f>Flights!$D$17</f>
        <v/>
      </c>
      <c r="E442" s="63">
        <f>Flights!$G$17&amp;"-"&amp;Flights!$H$17</f>
        <v/>
      </c>
      <c r="F442" s="63">
        <f>Flights!$K$17</f>
        <v/>
      </c>
      <c r="G442" s="63" t="inlineStr">
        <is>
          <t>T-12H PREP</t>
        </is>
      </c>
      <c r="H442" s="63" t="inlineStr">
        <is>
          <t>Preparation</t>
        </is>
      </c>
      <c r="I442" s="63" t="inlineStr">
        <is>
          <t>Equipment</t>
        </is>
      </c>
      <c r="J442" s="63" t="inlineStr">
        <is>
          <t>Equipment serviceability vs GLD</t>
        </is>
      </c>
      <c r="K442" s="73" t="inlineStr"/>
      <c r="L442" s="73" t="inlineStr">
        <is>
          <t>User brief (T-12 hours)</t>
        </is>
      </c>
      <c r="M442" s="73" t="inlineStr"/>
      <c r="N442" s="73" t="inlineStr">
        <is>
          <t>Required</t>
        </is>
      </c>
      <c r="O442" s="73" t="inlineStr">
        <is>
          <t>Preparation check at caterer - does NOT confirm loading.</t>
        </is>
      </c>
      <c r="P442" s="63" t="inlineStr">
        <is>
          <t>ADL</t>
        </is>
      </c>
      <c r="Q442" s="65">
        <f>Flights!$AE$17</f>
        <v/>
      </c>
      <c r="R442" s="65">
        <f>Q442+(IF(AND(INDEX(TZ_DSTS,MATCH(P442,TZ_STN,0))&lt;&gt;"",Q442&gt;=INDEX(TZ_DSTS,MATCH(P442,TZ_STN,0)),Q442&lt;INDEX(TZ_DSTE,MATCH(P442,TZ_STN,0))),INDEX(TZ_DST,MATCH(P442,TZ_STN,0)),INDEX(TZ_STD,MATCH(P442,TZ_STN,0))))/24</f>
        <v/>
      </c>
      <c r="S442" s="65">
        <f>Q442-T12EarlyH/24</f>
        <v/>
      </c>
      <c r="T442" s="66" t="n"/>
      <c r="U442" s="66" t="n"/>
      <c r="V442" s="66" t="n"/>
      <c r="W442" s="67" t="n"/>
      <c r="X442" s="66" t="n"/>
      <c r="Y442" s="66" t="n"/>
      <c r="Z442" s="66" t="n"/>
      <c r="AA442" s="66" t="n"/>
      <c r="AB442" s="66" t="n"/>
      <c r="AC442" s="66" t="n"/>
      <c r="AD442" s="72" t="n"/>
      <c r="AE442" s="66" t="n"/>
      <c r="AF442" s="67">
        <f>IF(AND(ISNUMBER(X442),ISNUMBER(Y442)),Y442-X442,"")</f>
        <v/>
      </c>
      <c r="AG442" s="68">
        <f>IF(ISNUMBER(AD442),AD442-(IF(AND(INDEX(TZ_DSTS,MATCH(P442,TZ_STN,0))&lt;&gt;"",(AD442-INDEX(TZ_STD,MATCH(P442,TZ_STN,0))/24)&gt;=INDEX(TZ_DSTS,MATCH(P442,TZ_STN,0)),(AD442-INDEX(TZ_STD,MATCH(P442,TZ_STN,0))/24)&lt;INDEX(TZ_DSTE,MATCH(P442,TZ_STN,0))),INDEX(TZ_DST,MATCH(P442,TZ_STN,0)),INDEX(TZ_STD,MATCH(P442,TZ_STN,0))))/24,"")</f>
        <v/>
      </c>
      <c r="AH442" s="71">
        <f>IF(N442="N/A – rule","N/A – RULE",IF(TRIM(U442)="N/A",IF(AT442=0,"INVALID – N/A not permitted for this mandatory check",IF(AND(TRIM(AC442)&lt;&gt;"",TRIM(AE442)&lt;&gt;"",TRIM(T442)&lt;&gt;""),"N/A – JUSTIFIED","INVALID – N/A needs justification, PIC and verifier")),IF(OR(TRIM(U442)="Pass",TRIM(U442)="Pass after CA"),IF(NOT(ISNUMBER(AD442)),"INVALID – completion time missing",IF(TRIM(T442)="","INVALID – PIC missing",IF(TRIM(Z442)="","INVALID – evidence missing",IF(TRIM(AE442)="","INVALID – verifier missing",IF(AND(AQ442=1,TRIM(W442)=""),"INVALID – batch ID missing",IF(AND(AR442=1,OR(NOT(ISNUMBER(X442)),NOT(ISNUMBER(Y442)))),"INVALID – expected/actual qty missing",IF(IF(AND(TRIM(U442)="Pass",ISNUMBER(AF442)),IF(AF442&lt;&gt;0,"INVALID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recorded/closed","")&lt;&gt;"",IF(AND(TRIM(U442)="Pass",ISNUMBER(AF442)),IF(AF442&lt;&gt;0,"INVALID – qty variance: use Fail or Pass after CA",""),"")&amp;IF(AND(TRIM(U442)="Pass",AB442="Open"),"INVALID – corrective action still open: use Fail, then Pass after CA","")&amp;IF(AND(TRIM(U442)="Pass after CA",OR(TRIM(AA442)="",AB442&lt;&gt;"Closed")),"INVALID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window"),IF(AG442&gt;Flights!$AA$17,"INVALID – completed after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f>
        <v/>
      </c>
      <c r="AI442" s="67">
        <f>IF(OR(AH442="N/A – RULE",AH442="N/A – JUSTIFIED"),0,1)</f>
        <v/>
      </c>
      <c r="AJ442" s="67">
        <f>IF(LEFT(AH442,8)="COMPLETE",1,0)</f>
        <v/>
      </c>
      <c r="AK442" s="67">
        <f>IF(AND(AI442=1,AJ442=0,AsOfUTC&gt;Q442),1,0)</f>
        <v/>
      </c>
      <c r="AL442" s="67">
        <f>IF(AND(AI442=1,OR(TRIM(U442)="Fail",AB442="Open",AND(ISNUMBER(AF442),AF442&lt;&gt;0,TRIM(U442)&lt;&gt;"Pass after CA"))),1,0)</f>
        <v/>
      </c>
      <c r="AM442" s="67">
        <f>IF(LEFT(AH442,7)="INVALID",1,0)</f>
        <v/>
      </c>
      <c r="AN442" s="67">
        <f>IF(AND(N442="Clarification required",AI442=1,AJ442=0),1,0)</f>
        <v/>
      </c>
      <c r="AO442" s="67">
        <f>IF(AK442=1,SUM(AK$5:AK442),"")</f>
        <v/>
      </c>
      <c r="AP442" s="67">
        <f>IF(AL442=1,SUM(AL$5:AL442),"")</f>
        <v/>
      </c>
      <c r="AQ442" s="67" t="n">
        <v>0</v>
      </c>
      <c r="AR442" s="67" t="n">
        <v>0</v>
      </c>
      <c r="AS442" s="67" t="n">
        <v>0</v>
      </c>
      <c r="AT442" s="67" t="n">
        <v>0</v>
      </c>
    </row>
    <row r="443" ht="79" customHeight="1">
      <c r="A443" s="63" t="inlineStr">
        <is>
          <t>F13-T12-06</t>
        </is>
      </c>
      <c r="B443" s="63" t="inlineStr">
        <is>
          <t>F13</t>
        </is>
      </c>
      <c r="C443" s="63">
        <f>Flights!$F$17</f>
        <v/>
      </c>
      <c r="D443" s="64">
        <f>Flights!$D$17</f>
        <v/>
      </c>
      <c r="E443" s="63">
        <f>Flights!$G$17&amp;"-"&amp;Flights!$H$17</f>
        <v/>
      </c>
      <c r="F443" s="63">
        <f>Flights!$K$17</f>
        <v/>
      </c>
      <c r="G443" s="63" t="inlineStr">
        <is>
          <t>T-12H PREP</t>
        </is>
      </c>
      <c r="H443" s="63" t="inlineStr">
        <is>
          <t>Preparation</t>
        </is>
      </c>
      <c r="I443" s="63" t="inlineStr">
        <is>
          <t>Equipment</t>
        </is>
      </c>
      <c r="J443" s="63" t="inlineStr">
        <is>
          <t>Equipment quantities vs GLD</t>
        </is>
      </c>
      <c r="K443" s="73" t="inlineStr">
        <is>
          <t>Enter expected &amp; actual. Aircraft galley data: A330-900 (A339): carts 43.5, SU 111, ovens 13, warming ovens 4, fridges 2, water heaters 6, beverage makers -, espresso 1, folding trolleys 4, headsets BC: Dual Pin/ EY: Single Pin (AIRCRAFT TYPE!C8:R8)</t>
        </is>
      </c>
      <c r="L443" s="73" t="inlineStr">
        <is>
          <t>User brief (T-12 hours)</t>
        </is>
      </c>
      <c r="M443" s="73" t="inlineStr"/>
      <c r="N443" s="73" t="inlineStr">
        <is>
          <t>Required</t>
        </is>
      </c>
      <c r="O443" s="73" t="inlineStr">
        <is>
          <t>Preparation check at caterer - does NOT confirm loading.</t>
        </is>
      </c>
      <c r="P443" s="63" t="inlineStr">
        <is>
          <t>ADL</t>
        </is>
      </c>
      <c r="Q443" s="65">
        <f>Flights!$AE$17</f>
        <v/>
      </c>
      <c r="R443" s="65">
        <f>Q443+(IF(AND(INDEX(TZ_DSTS,MATCH(P443,TZ_STN,0))&lt;&gt;"",Q443&gt;=INDEX(TZ_DSTS,MATCH(P443,TZ_STN,0)),Q443&lt;INDEX(TZ_DSTE,MATCH(P443,TZ_STN,0))),INDEX(TZ_DST,MATCH(P443,TZ_STN,0)),INDEX(TZ_STD,MATCH(P443,TZ_STN,0))))/24</f>
        <v/>
      </c>
      <c r="S443" s="65">
        <f>Q443-T12EarlyH/24</f>
        <v/>
      </c>
      <c r="T443" s="66" t="n"/>
      <c r="U443" s="66" t="n"/>
      <c r="V443" s="66" t="n"/>
      <c r="W443" s="67" t="n"/>
      <c r="X443" s="66" t="n"/>
      <c r="Y443" s="66" t="n"/>
      <c r="Z443" s="66" t="n"/>
      <c r="AA443" s="66" t="n"/>
      <c r="AB443" s="66" t="n"/>
      <c r="AC443" s="66" t="n"/>
      <c r="AD443" s="72" t="n"/>
      <c r="AE443" s="66" t="n"/>
      <c r="AF443" s="67">
        <f>IF(AND(ISNUMBER(X443),ISNUMBER(Y443)),Y443-X443,"")</f>
        <v/>
      </c>
      <c r="AG443" s="68">
        <f>IF(ISNUMBER(AD443),AD443-(IF(AND(INDEX(TZ_DSTS,MATCH(P443,TZ_STN,0))&lt;&gt;"",(AD443-INDEX(TZ_STD,MATCH(P443,TZ_STN,0))/24)&gt;=INDEX(TZ_DSTS,MATCH(P443,TZ_STN,0)),(AD443-INDEX(TZ_STD,MATCH(P443,TZ_STN,0))/24)&lt;INDEX(TZ_DSTE,MATCH(P443,TZ_STN,0))),INDEX(TZ_DST,MATCH(P443,TZ_STN,0)),INDEX(TZ_STD,MATCH(P443,TZ_STN,0))))/24,"")</f>
        <v/>
      </c>
      <c r="AH443" s="71">
        <f>IF(N443="N/A – rule","N/A – RULE",IF(TRIM(U443)="N/A",IF(AT443=0,"INVALID – N/A not permitted for this mandatory check",IF(AND(TRIM(AC443)&lt;&gt;"",TRIM(AE443)&lt;&gt;"",TRIM(T443)&lt;&gt;""),"N/A – JUSTIFIED","INVALID – N/A needs justification, PIC and verifier")),IF(OR(TRIM(U443)="Pass",TRIM(U443)="Pass after CA"),IF(NOT(ISNUMBER(AD443)),"INVALID – completion time missing",IF(TRIM(T443)="","INVALID – PIC missing",IF(TRIM(Z443)="","INVALID – evidence missing",IF(TRIM(AE443)="","INVALID – verifier missing",IF(AND(AQ443=1,TRIM(W443)=""),"INVALID – batch ID missing",IF(AND(AR443=1,OR(NOT(ISNUMBER(X443)),NOT(ISNUMBER(Y443)))),"INVALID – expected/actual qty missing",IF(IF(AND(TRIM(U443)="Pass",ISNUMBER(AF443)),IF(AF443&lt;&gt;0,"INVALID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recorded/closed","")&lt;&gt;"",IF(AND(TRIM(U443)="Pass",ISNUMBER(AF443)),IF(AF443&lt;&gt;0,"INVALID – qty variance: use Fail or Pass after CA",""),"")&amp;IF(AND(TRIM(U443)="Pass",AB443="Open"),"INVALID – corrective action still open: use Fail, then Pass after CA","")&amp;IF(AND(TRIM(U443)="Pass after CA",OR(TRIM(AA443)="",AB443&lt;&gt;"Closed")),"INVALID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window"),IF(AG443&gt;Flights!$AA$17,"INVALID – completed after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f>
        <v/>
      </c>
      <c r="AI443" s="67">
        <f>IF(OR(AH443="N/A – RULE",AH443="N/A – JUSTIFIED"),0,1)</f>
        <v/>
      </c>
      <c r="AJ443" s="67">
        <f>IF(LEFT(AH443,8)="COMPLETE",1,0)</f>
        <v/>
      </c>
      <c r="AK443" s="67">
        <f>IF(AND(AI443=1,AJ443=0,AsOfUTC&gt;Q443),1,0)</f>
        <v/>
      </c>
      <c r="AL443" s="67">
        <f>IF(AND(AI443=1,OR(TRIM(U443)="Fail",AB443="Open",AND(ISNUMBER(AF443),AF443&lt;&gt;0,TRIM(U443)&lt;&gt;"Pass after CA"))),1,0)</f>
        <v/>
      </c>
      <c r="AM443" s="67">
        <f>IF(LEFT(AH443,7)="INVALID",1,0)</f>
        <v/>
      </c>
      <c r="AN443" s="67">
        <f>IF(AND(N443="Clarification required",AI443=1,AJ443=0),1,0)</f>
        <v/>
      </c>
      <c r="AO443" s="67">
        <f>IF(AK443=1,SUM(AK$5:AK443),"")</f>
        <v/>
      </c>
      <c r="AP443" s="67">
        <f>IF(AL443=1,SUM(AL$5:AL443),"")</f>
        <v/>
      </c>
      <c r="AQ443" s="67" t="n">
        <v>0</v>
      </c>
      <c r="AR443" s="67" t="n">
        <v>1</v>
      </c>
      <c r="AS443" s="67" t="n">
        <v>0</v>
      </c>
      <c r="AT443" s="67" t="n">
        <v>0</v>
      </c>
    </row>
    <row r="444" ht="40" customHeight="1">
      <c r="A444" s="63" t="inlineStr">
        <is>
          <t>F13-T12-07</t>
        </is>
      </c>
      <c r="B444" s="63" t="inlineStr">
        <is>
          <t>F13</t>
        </is>
      </c>
      <c r="C444" s="63">
        <f>Flights!$F$17</f>
        <v/>
      </c>
      <c r="D444" s="64">
        <f>Flights!$D$17</f>
        <v/>
      </c>
      <c r="E444" s="63">
        <f>Flights!$G$17&amp;"-"&amp;Flights!$H$17</f>
        <v/>
      </c>
      <c r="F444" s="63">
        <f>Flights!$K$17</f>
        <v/>
      </c>
      <c r="G444" s="63" t="inlineStr">
        <is>
          <t>T-12H PREP</t>
        </is>
      </c>
      <c r="H444" s="63" t="inlineStr">
        <is>
          <t>Preparation</t>
        </is>
      </c>
      <c r="I444" s="63" t="inlineStr">
        <is>
          <t>Equipment</t>
        </is>
      </c>
      <c r="J444" s="63" t="inlineStr">
        <is>
          <t>Loading positions planned vs GLD</t>
        </is>
      </c>
      <c r="K444" s="73" t="inlineStr"/>
      <c r="L444" s="73" t="inlineStr">
        <is>
          <t>User brief (T-12 hours)</t>
        </is>
      </c>
      <c r="M444" s="73" t="inlineStr"/>
      <c r="N444" s="73" t="inlineStr">
        <is>
          <t>Required</t>
        </is>
      </c>
      <c r="O444" s="73" t="inlineStr">
        <is>
          <t>Preparation check at caterer - does NOT confirm loading.</t>
        </is>
      </c>
      <c r="P444" s="63" t="inlineStr">
        <is>
          <t>ADL</t>
        </is>
      </c>
      <c r="Q444" s="65">
        <f>Flights!$AE$17</f>
        <v/>
      </c>
      <c r="R444" s="65">
        <f>Q444+(IF(AND(INDEX(TZ_DSTS,MATCH(P444,TZ_STN,0))&lt;&gt;"",Q444&gt;=INDEX(TZ_DSTS,MATCH(P444,TZ_STN,0)),Q444&lt;INDEX(TZ_DSTE,MATCH(P444,TZ_STN,0))),INDEX(TZ_DST,MATCH(P444,TZ_STN,0)),INDEX(TZ_STD,MATCH(P444,TZ_STN,0))))/24</f>
        <v/>
      </c>
      <c r="S444" s="65">
        <f>Q444-T12EarlyH/24</f>
        <v/>
      </c>
      <c r="T444" s="66" t="n"/>
      <c r="U444" s="66" t="n"/>
      <c r="V444" s="66" t="n"/>
      <c r="W444" s="67" t="n"/>
      <c r="X444" s="66" t="n"/>
      <c r="Y444" s="66" t="n"/>
      <c r="Z444" s="66" t="n"/>
      <c r="AA444" s="66" t="n"/>
      <c r="AB444" s="66" t="n"/>
      <c r="AC444" s="66" t="n"/>
      <c r="AD444" s="72" t="n"/>
      <c r="AE444" s="66" t="n"/>
      <c r="AF444" s="67">
        <f>IF(AND(ISNUMBER(X444),ISNUMBER(Y444)),Y444-X444,"")</f>
        <v/>
      </c>
      <c r="AG444" s="68">
        <f>IF(ISNUMBER(AD444),AD444-(IF(AND(INDEX(TZ_DSTS,MATCH(P444,TZ_STN,0))&lt;&gt;"",(AD444-INDEX(TZ_STD,MATCH(P444,TZ_STN,0))/24)&gt;=INDEX(TZ_DSTS,MATCH(P444,TZ_STN,0)),(AD444-INDEX(TZ_STD,MATCH(P444,TZ_STN,0))/24)&lt;INDEX(TZ_DSTE,MATCH(P444,TZ_STN,0))),INDEX(TZ_DST,MATCH(P444,TZ_STN,0)),INDEX(TZ_STD,MATCH(P444,TZ_STN,0))))/24,"")</f>
        <v/>
      </c>
      <c r="AH444" s="71">
        <f>IF(N444="N/A – rule","N/A – RULE",IF(TRIM(U444)="N/A",IF(AT444=0,"INVALID – N/A not permitted for this mandatory check",IF(AND(TRIM(AC444)&lt;&gt;"",TRIM(AE444)&lt;&gt;"",TRIM(T444)&lt;&gt;""),"N/A – JUSTIFIED","INVALID – N/A needs justification, PIC and verifier")),IF(OR(TRIM(U444)="Pass",TRIM(U444)="Pass after CA"),IF(NOT(ISNUMBER(AD444)),"INVALID – completion time missing",IF(TRIM(T444)="","INVALID – PIC missing",IF(TRIM(Z444)="","INVALID – evidence missing",IF(TRIM(AE444)="","INVALID – verifier missing",IF(AND(AQ444=1,TRIM(W444)=""),"INVALID – batch ID missing",IF(AND(AR444=1,OR(NOT(ISNUMBER(X444)),NOT(ISNUMBER(Y444)))),"INVALID – expected/actual qty missing",IF(IF(AND(TRIM(U444)="Pass",ISNUMBER(AF444)),IF(AF444&lt;&gt;0,"INVALID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recorded/closed","")&lt;&gt;"",IF(AND(TRIM(U444)="Pass",ISNUMBER(AF444)),IF(AF444&lt;&gt;0,"INVALID – qty variance: use Fail or Pass after CA",""),"")&amp;IF(AND(TRIM(U444)="Pass",AB444="Open"),"INVALID – corrective action still open: use Fail, then Pass after CA","")&amp;IF(AND(TRIM(U444)="Pass after CA",OR(TRIM(AA444)="",AB444&lt;&gt;"Closed")),"INVALID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window"),IF(AG444&gt;Flights!$AA$17,"INVALID – completed after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f>
        <v/>
      </c>
      <c r="AI444" s="67">
        <f>IF(OR(AH444="N/A – RULE",AH444="N/A – JUSTIFIED"),0,1)</f>
        <v/>
      </c>
      <c r="AJ444" s="67">
        <f>IF(LEFT(AH444,8)="COMPLETE",1,0)</f>
        <v/>
      </c>
      <c r="AK444" s="67">
        <f>IF(AND(AI444=1,AJ444=0,AsOfUTC&gt;Q444),1,0)</f>
        <v/>
      </c>
      <c r="AL444" s="67">
        <f>IF(AND(AI444=1,OR(TRIM(U444)="Fail",AB444="Open",AND(ISNUMBER(AF444),AF444&lt;&gt;0,TRIM(U444)&lt;&gt;"Pass after CA"))),1,0)</f>
        <v/>
      </c>
      <c r="AM444" s="67">
        <f>IF(LEFT(AH444,7)="INVALID",1,0)</f>
        <v/>
      </c>
      <c r="AN444" s="67">
        <f>IF(AND(N444="Clarification required",AI444=1,AJ444=0),1,0)</f>
        <v/>
      </c>
      <c r="AO444" s="67">
        <f>IF(AK444=1,SUM(AK$5:AK444),"")</f>
        <v/>
      </c>
      <c r="AP444" s="67">
        <f>IF(AL444=1,SUM(AL$5:AL444),"")</f>
        <v/>
      </c>
      <c r="AQ444" s="67" t="n">
        <v>0</v>
      </c>
      <c r="AR444" s="67" t="n">
        <v>0</v>
      </c>
      <c r="AS444" s="67" t="n">
        <v>0</v>
      </c>
      <c r="AT444" s="67" t="n">
        <v>0</v>
      </c>
    </row>
    <row r="445" ht="79" customHeight="1">
      <c r="A445" s="63" t="inlineStr">
        <is>
          <t>F13-T12-08</t>
        </is>
      </c>
      <c r="B445" s="63" t="inlineStr">
        <is>
          <t>F13</t>
        </is>
      </c>
      <c r="C445" s="63">
        <f>Flights!$F$17</f>
        <v/>
      </c>
      <c r="D445" s="64">
        <f>Flights!$D$17</f>
        <v/>
      </c>
      <c r="E445" s="63">
        <f>Flights!$G$17&amp;"-"&amp;Flights!$H$17</f>
        <v/>
      </c>
      <c r="F445" s="63">
        <f>Flights!$K$17</f>
        <v/>
      </c>
      <c r="G445" s="63" t="inlineStr">
        <is>
          <t>T-12H PREP</t>
        </is>
      </c>
      <c r="H445" s="63" t="inlineStr">
        <is>
          <t>Preparation</t>
        </is>
      </c>
      <c r="I445" s="63" t="inlineStr">
        <is>
          <t>Amenities</t>
        </is>
      </c>
      <c r="J445" s="63" t="inlineStr">
        <is>
          <t>Toiletry kits - prepared</t>
        </is>
      </c>
      <c r="K445" s="73" t="inlineStr">
        <is>
          <t>Available for sector (ticked in reference)</t>
        </is>
      </c>
      <c r="L445" s="73" t="inlineStr">
        <is>
          <t>STD UPLIFT INFORMATION.xlsx &gt; AMENITIES!D18 / H18</t>
        </is>
      </c>
      <c r="M445" s="73" t="inlineStr">
        <is>
          <t>KUL</t>
        </is>
      </c>
      <c r="N445" s="73" t="inlineStr">
        <is>
          <t>Clarification required</t>
        </is>
      </c>
      <c r="O445" s="73" t="inlineStr">
        <is>
          <t>Reference does not state the cabin class for toiletry kits. Confirm whether EY receives them; if not, mark N/A with the confirmation as justification. Loaded at KUL on the inbound KUL-ADL flight: due = that flight's KUL departure (Flights AX) minus the uplift window.</t>
        </is>
      </c>
      <c r="P445" s="63" t="inlineStr">
        <is>
          <t>KUL</t>
        </is>
      </c>
      <c r="Q445" s="65">
        <f>MIN(Flights!$AE$17,Flights!$AY$17)</f>
        <v/>
      </c>
      <c r="R445" s="65">
        <f>Q445+(IF(AND(INDEX(TZ_DSTS,MATCH(P445,TZ_STN,0))&lt;&gt;"",Q445&gt;=INDEX(TZ_DSTS,MATCH(P445,TZ_STN,0)),Q445&lt;INDEX(TZ_DSTE,MATCH(P445,TZ_STN,0))),INDEX(TZ_DST,MATCH(P445,TZ_STN,0)),INDEX(TZ_STD,MATCH(P445,TZ_STN,0))))/24</f>
        <v/>
      </c>
      <c r="S445" s="65">
        <f>Q445-T12EarlyH/24</f>
        <v/>
      </c>
      <c r="T445" s="66" t="n"/>
      <c r="U445" s="66" t="n"/>
      <c r="V445" s="66" t="n"/>
      <c r="W445" s="67" t="n"/>
      <c r="X445" s="66" t="n"/>
      <c r="Y445" s="66" t="n"/>
      <c r="Z445" s="66" t="n"/>
      <c r="AA445" s="66" t="n"/>
      <c r="AB445" s="66" t="n"/>
      <c r="AC445" s="66" t="n"/>
      <c r="AD445" s="72" t="n"/>
      <c r="AE445" s="66" t="n"/>
      <c r="AF445" s="67">
        <f>IF(AND(ISNUMBER(X445),ISNUMBER(Y445)),Y445-X445,"")</f>
        <v/>
      </c>
      <c r="AG445" s="68">
        <f>IF(ISNUMBER(AD445),AD445-(IF(AND(INDEX(TZ_DSTS,MATCH(P445,TZ_STN,0))&lt;&gt;"",(AD445-INDEX(TZ_STD,MATCH(P445,TZ_STN,0))/24)&gt;=INDEX(TZ_DSTS,MATCH(P445,TZ_STN,0)),(AD445-INDEX(TZ_STD,MATCH(P445,TZ_STN,0))/24)&lt;INDEX(TZ_DSTE,MATCH(P445,TZ_STN,0))),INDEX(TZ_DST,MATCH(P445,TZ_STN,0)),INDEX(TZ_STD,MATCH(P445,TZ_STN,0))))/24,"")</f>
        <v/>
      </c>
      <c r="AH445" s="71">
        <f>IF(N445="N/A – rule","N/A – RULE",IF(TRIM(U445)="N/A",IF(AT445=0,"INVALID – N/A not permitted for this mandatory check",IF(AND(TRIM(AC445)&lt;&gt;"",TRIM(AE445)&lt;&gt;"",TRIM(T445)&lt;&gt;""),"N/A – JUSTIFIED","INVALID – N/A needs justification, PIC and verifier")),IF(OR(TRIM(U445)="Pass",TRIM(U445)="Pass after CA"),IF(NOT(ISNUMBER(AD445)),"INVALID – completion time missing",IF(TRIM(T445)="","INVALID – PIC missing",IF(TRIM(Z445)="","INVALID – evidence missing",IF(TRIM(AE445)="","INVALID – verifier missing",IF(AND(AQ445=1,TRIM(W445)=""),"INVALID – batch ID missing",IF(AND(AR445=1,OR(NOT(ISNUMBER(X445)),NOT(ISNUMBER(Y445)))),"INVALID – expected/actual qty missing",IF(IF(AND(TRIM(U445)="Pass",ISNUMBER(AF445)),IF(AF445&lt;&gt;0,"INVALID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recorded/closed","")&lt;&gt;"",IF(AND(TRIM(U445)="Pass",ISNUMBER(AF445)),IF(AF445&lt;&gt;0,"INVALID – qty variance: use Fail or Pass after CA",""),"")&amp;IF(AND(TRIM(U445)="Pass",AB445="Open"),"INVALID – corrective action still open: use Fail, then Pass after CA","")&amp;IF(AND(TRIM(U445)="Pass after CA",OR(TRIM(AA445)="",AB445&lt;&gt;"Closed")),"INVALID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window"),IF(AG445&gt;Flights!$AA$17,"INVALID – completed after departure (cannot establish readiness)",IF(AND(H445="Physical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f>
        <v/>
      </c>
      <c r="AI445" s="67">
        <f>IF(OR(AH445="N/A – RULE",AH445="N/A – JUSTIFIED"),0,1)</f>
        <v/>
      </c>
      <c r="AJ445" s="67">
        <f>IF(LEFT(AH445,8)="COMPLETE",1,0)</f>
        <v/>
      </c>
      <c r="AK445" s="67">
        <f>IF(AND(AI445=1,AJ445=0,AsOfUTC&gt;Q445),1,0)</f>
        <v/>
      </c>
      <c r="AL445" s="67">
        <f>IF(AND(AI445=1,OR(TRIM(U445)="Fail",AB445="Open",AND(ISNUMBER(AF445),AF445&lt;&gt;0,TRIM(U445)&lt;&gt;"Pass after CA"))),1,0)</f>
        <v/>
      </c>
      <c r="AM445" s="67">
        <f>IF(LEFT(AH445,7)="INVALID",1,0)</f>
        <v/>
      </c>
      <c r="AN445" s="67">
        <f>IF(AND(N445="Clarification required",AI445=1,AJ445=0),1,0)</f>
        <v/>
      </c>
      <c r="AO445" s="67">
        <f>IF(AK445=1,SUM(AK$5:AK445),"")</f>
        <v/>
      </c>
      <c r="AP445" s="67">
        <f>IF(AL445=1,SUM(AL$5:AL445),"")</f>
        <v/>
      </c>
      <c r="AQ445" s="67" t="n">
        <v>0</v>
      </c>
      <c r="AR445" s="67" t="n">
        <v>0</v>
      </c>
      <c r="AS445" s="67" t="n">
        <v>0</v>
      </c>
      <c r="AT445" s="67" t="n">
        <v>1</v>
      </c>
    </row>
    <row r="446" ht="41.5" customHeight="1">
      <c r="A446" s="63" t="inlineStr">
        <is>
          <t>F13-T12-09</t>
        </is>
      </c>
      <c r="B446" s="63" t="inlineStr">
        <is>
          <t>F13</t>
        </is>
      </c>
      <c r="C446" s="63">
        <f>Flights!$F$17</f>
        <v/>
      </c>
      <c r="D446" s="64">
        <f>Flights!$D$17</f>
        <v/>
      </c>
      <c r="E446" s="63">
        <f>Flights!$G$17&amp;"-"&amp;Flights!$H$17</f>
        <v/>
      </c>
      <c r="F446" s="63">
        <f>Flights!$K$17</f>
        <v/>
      </c>
      <c r="G446" s="63" t="inlineStr">
        <is>
          <t>T-12H PREP</t>
        </is>
      </c>
      <c r="H446" s="63" t="inlineStr">
        <is>
          <t>Preparation</t>
        </is>
      </c>
      <c r="I446" s="63" t="inlineStr">
        <is>
          <t>Seat Linen</t>
        </is>
      </c>
      <c r="J446" s="63" t="inlineStr">
        <is>
          <t>Seat pillow (EY) - prepared</t>
        </is>
      </c>
      <c r="K446" s="73" t="inlineStr">
        <is>
          <t>Available 100% (ticked in reference)</t>
        </is>
      </c>
      <c r="L446" s="73" t="inlineStr">
        <is>
          <t>STD UPLIFT INFORMATION.xlsx &gt; SEAT LINEN!I9</t>
        </is>
      </c>
      <c r="M446" s="73" t="inlineStr">
        <is>
          <t>Not stated in reference</t>
        </is>
      </c>
      <c r="N446" s="73" t="inlineStr">
        <is>
          <t>Required</t>
        </is>
      </c>
      <c r="O446" s="73" t="inlineStr">
        <is>
          <t>Reference gives no uplift stn for this item: preparation checked at the meal uplift stn (ADL) - confirm with caterer.</t>
        </is>
      </c>
      <c r="P446" s="63" t="inlineStr">
        <is>
          <t>ADL</t>
        </is>
      </c>
      <c r="Q446" s="65">
        <f>Flights!$AE$17</f>
        <v/>
      </c>
      <c r="R446" s="65">
        <f>Q446+(IF(AND(INDEX(TZ_DSTS,MATCH(P446,TZ_STN,0))&lt;&gt;"",Q446&gt;=INDEX(TZ_DSTS,MATCH(P446,TZ_STN,0)),Q446&lt;INDEX(TZ_DSTE,MATCH(P446,TZ_STN,0))),INDEX(TZ_DST,MATCH(P446,TZ_STN,0)),INDEX(TZ_STD,MATCH(P446,TZ_STN,0))))/24</f>
        <v/>
      </c>
      <c r="S446" s="65">
        <f>Q446-T12EarlyH/24</f>
        <v/>
      </c>
      <c r="T446" s="66" t="n"/>
      <c r="U446" s="66" t="n"/>
      <c r="V446" s="66" t="n"/>
      <c r="W446" s="67" t="n"/>
      <c r="X446" s="66" t="n"/>
      <c r="Y446" s="66" t="n"/>
      <c r="Z446" s="66" t="n"/>
      <c r="AA446" s="66" t="n"/>
      <c r="AB446" s="66" t="n"/>
      <c r="AC446" s="66" t="n"/>
      <c r="AD446" s="72" t="n"/>
      <c r="AE446" s="66" t="n"/>
      <c r="AF446" s="67">
        <f>IF(AND(ISNUMBER(X446),ISNUMBER(Y446)),Y446-X446,"")</f>
        <v/>
      </c>
      <c r="AG446" s="68">
        <f>IF(ISNUMBER(AD446),AD446-(IF(AND(INDEX(TZ_DSTS,MATCH(P446,TZ_STN,0))&lt;&gt;"",(AD446-INDEX(TZ_STD,MATCH(P446,TZ_STN,0))/24)&gt;=INDEX(TZ_DSTS,MATCH(P446,TZ_STN,0)),(AD446-INDEX(TZ_STD,MATCH(P446,TZ_STN,0))/24)&lt;INDEX(TZ_DSTE,MATCH(P446,TZ_STN,0))),INDEX(TZ_DST,MATCH(P446,TZ_STN,0)),INDEX(TZ_STD,MATCH(P446,TZ_STN,0))))/24,"")</f>
        <v/>
      </c>
      <c r="AH446" s="71">
        <f>IF(N446="N/A – rule","N/A – RULE",IF(TRIM(U446)="N/A",IF(AT446=0,"INVALID – N/A not permitted for this mandatory check",IF(AND(TRIM(AC446)&lt;&gt;"",TRIM(AE446)&lt;&gt;"",TRIM(T446)&lt;&gt;""),"N/A – JUSTIFIED","INVALID – N/A needs justification, PIC and verifier")),IF(OR(TRIM(U446)="Pass",TRIM(U446)="Pass after CA"),IF(NOT(ISNUMBER(AD446)),"INVALID – completion time missing",IF(TRIM(T446)="","INVALID – PIC missing",IF(TRIM(Z446)="","INVALID – evidence missing",IF(TRIM(AE446)="","INVALID – verifier missing",IF(AND(AQ446=1,TRIM(W446)=""),"INVALID – batch ID missing",IF(AND(AR446=1,OR(NOT(ISNUMBER(X446)),NOT(ISNUMBER(Y446)))),"INVALID – expected/actual qty missing",IF(IF(AND(TRIM(U446)="Pass",ISNUMBER(AF446)),IF(AF446&lt;&gt;0,"INVALID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recorded/closed","")&lt;&gt;"",IF(AND(TRIM(U446)="Pass",ISNUMBER(AF446)),IF(AF446&lt;&gt;0,"INVALID – qty variance: use Fail or Pass after CA",""),"")&amp;IF(AND(TRIM(U446)="Pass",AB446="Open"),"INVALID – corrective action still open: use Fail, then Pass after CA","")&amp;IF(AND(TRIM(U446)="Pass after CA",OR(TRIM(AA446)="",AB446&lt;&gt;"Closed")),"INVALID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window"),IF(AG446&gt;Flights!$AA$17,"INVALID – completed after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f>
        <v/>
      </c>
      <c r="AI446" s="67">
        <f>IF(OR(AH446="N/A – RULE",AH446="N/A – JUSTIFIED"),0,1)</f>
        <v/>
      </c>
      <c r="AJ446" s="67">
        <f>IF(LEFT(AH446,8)="COMPLETE",1,0)</f>
        <v/>
      </c>
      <c r="AK446" s="67">
        <f>IF(AND(AI446=1,AJ446=0,AsOfUTC&gt;Q446),1,0)</f>
        <v/>
      </c>
      <c r="AL446" s="67">
        <f>IF(AND(AI446=1,OR(TRIM(U446)="Fail",AB446="Open",AND(ISNUMBER(AF446),AF446&lt;&gt;0,TRIM(U446)&lt;&gt;"Pass after CA"))),1,0)</f>
        <v/>
      </c>
      <c r="AM446" s="67">
        <f>IF(LEFT(AH446,7)="INVALID",1,0)</f>
        <v/>
      </c>
      <c r="AN446" s="67">
        <f>IF(AND(N446="Clarification required",AI446=1,AJ446=0),1,0)</f>
        <v/>
      </c>
      <c r="AO446" s="67">
        <f>IF(AK446=1,SUM(AK$5:AK446),"")</f>
        <v/>
      </c>
      <c r="AP446" s="67">
        <f>IF(AL446=1,SUM(AL$5:AL446),"")</f>
        <v/>
      </c>
      <c r="AQ446" s="67" t="n">
        <v>0</v>
      </c>
      <c r="AR446" s="67" t="n">
        <v>0</v>
      </c>
      <c r="AS446" s="67" t="n">
        <v>0</v>
      </c>
      <c r="AT446" s="67" t="n">
        <v>1</v>
      </c>
    </row>
    <row r="447" ht="79" customHeight="1">
      <c r="A447" s="63" t="inlineStr">
        <is>
          <t>F13-T12-10</t>
        </is>
      </c>
      <c r="B447" s="63" t="inlineStr">
        <is>
          <t>F13</t>
        </is>
      </c>
      <c r="C447" s="63">
        <f>Flights!$F$17</f>
        <v/>
      </c>
      <c r="D447" s="64">
        <f>Flights!$D$17</f>
        <v/>
      </c>
      <c r="E447" s="63">
        <f>Flights!$G$17&amp;"-"&amp;Flights!$H$17</f>
        <v/>
      </c>
      <c r="F447" s="63">
        <f>Flights!$K$17</f>
        <v/>
      </c>
      <c r="G447" s="63" t="inlineStr">
        <is>
          <t>T-12H PREP</t>
        </is>
      </c>
      <c r="H447" s="63" t="inlineStr">
        <is>
          <t>Preparation</t>
        </is>
      </c>
      <c r="I447" s="63" t="inlineStr">
        <is>
          <t>Seat Linen</t>
        </is>
      </c>
      <c r="J447" s="63" t="inlineStr">
        <is>
          <t>Blanket (EY) - prepared</t>
        </is>
      </c>
      <c r="K447" s="73" t="inlineStr">
        <is>
          <t>Available 100% (ticked in reference); qty 280</t>
        </is>
      </c>
      <c r="L447" s="73" t="inlineStr">
        <is>
          <t>STD UPLIFT INFORMATION.xlsx &gt; SEAT LINEN!J9</t>
        </is>
      </c>
      <c r="M447" s="73" t="inlineStr">
        <is>
          <t>Not stated in reference</t>
        </is>
      </c>
      <c r="N447" s="73" t="inlineStr">
        <is>
          <t>Required</t>
        </is>
      </c>
      <c r="O447" s="73" t="inlineStr">
        <is>
          <t>EY blanket: flight above 3 hours excl. Regional (SEAT LINEN!B74:C74); block 7.75 h. Qty 280 pcs (14 bundles) for A332/A333/A339 (SEAT LINEN!B75:C75). Reference gives no uplift stn for this item: preparation checked at the meal uplift stn (ADL) - confirm with caterer.</t>
        </is>
      </c>
      <c r="P447" s="63" t="inlineStr">
        <is>
          <t>ADL</t>
        </is>
      </c>
      <c r="Q447" s="65">
        <f>Flights!$AE$17</f>
        <v/>
      </c>
      <c r="R447" s="65">
        <f>Q447+(IF(AND(INDEX(TZ_DSTS,MATCH(P447,TZ_STN,0))&lt;&gt;"",Q447&gt;=INDEX(TZ_DSTS,MATCH(P447,TZ_STN,0)),Q447&lt;INDEX(TZ_DSTE,MATCH(P447,TZ_STN,0))),INDEX(TZ_DST,MATCH(P447,TZ_STN,0)),INDEX(TZ_STD,MATCH(P447,TZ_STN,0))))/24</f>
        <v/>
      </c>
      <c r="S447" s="65">
        <f>Q447-T12EarlyH/24</f>
        <v/>
      </c>
      <c r="T447" s="66" t="n"/>
      <c r="U447" s="66" t="n"/>
      <c r="V447" s="66" t="n"/>
      <c r="W447" s="67" t="n"/>
      <c r="X447" s="74" t="n">
        <v>280</v>
      </c>
      <c r="Y447" s="66" t="n"/>
      <c r="Z447" s="66" t="n"/>
      <c r="AA447" s="66" t="n"/>
      <c r="AB447" s="66" t="n"/>
      <c r="AC447" s="66" t="n"/>
      <c r="AD447" s="72" t="n"/>
      <c r="AE447" s="66" t="n"/>
      <c r="AF447" s="67">
        <f>IF(AND(ISNUMBER(X447),ISNUMBER(Y447)),Y447-X447,"")</f>
        <v/>
      </c>
      <c r="AG447" s="68">
        <f>IF(ISNUMBER(AD447),AD447-(IF(AND(INDEX(TZ_DSTS,MATCH(P447,TZ_STN,0))&lt;&gt;"",(AD447-INDEX(TZ_STD,MATCH(P447,TZ_STN,0))/24)&gt;=INDEX(TZ_DSTS,MATCH(P447,TZ_STN,0)),(AD447-INDEX(TZ_STD,MATCH(P447,TZ_STN,0))/24)&lt;INDEX(TZ_DSTE,MATCH(P447,TZ_STN,0))),INDEX(TZ_DST,MATCH(P447,TZ_STN,0)),INDEX(TZ_STD,MATCH(P447,TZ_STN,0))))/24,"")</f>
        <v/>
      </c>
      <c r="AH447" s="71">
        <f>IF(N447="N/A – rule","N/A – RULE",IF(TRIM(U447)="N/A",IF(AT447=0,"INVALID – N/A not permitted for this mandatory check",IF(AND(TRIM(AC447)&lt;&gt;"",TRIM(AE447)&lt;&gt;"",TRIM(T447)&lt;&gt;""),"N/A – JUSTIFIED","INVALID – N/A needs justification, PIC and verifier")),IF(OR(TRIM(U447)="Pass",TRIM(U447)="Pass after CA"),IF(NOT(ISNUMBER(AD447)),"INVALID – completion time missing",IF(TRIM(T447)="","INVALID – PIC missing",IF(TRIM(Z447)="","INVALID – evidence missing",IF(TRIM(AE447)="","INVALID – verifier missing",IF(AND(AQ447=1,TRIM(W447)=""),"INVALID – batch ID missing",IF(AND(AR447=1,OR(NOT(ISNUMBER(X447)),NOT(ISNUMBER(Y447)))),"INVALID – expected/actual qty missing",IF(IF(AND(TRIM(U447)="Pass",ISNUMBER(AF447)),IF(AF447&lt;&gt;0,"INVALID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recorded/closed","")&lt;&gt;"",IF(AND(TRIM(U447)="Pass",ISNUMBER(AF447)),IF(AF447&lt;&gt;0,"INVALID – qty variance: use Fail or Pass after CA",""),"")&amp;IF(AND(TRIM(U447)="Pass",AB447="Open"),"INVALID – corrective action still open: use Fail, then Pass after CA","")&amp;IF(AND(TRIM(U447)="Pass after CA",OR(TRIM(AA447)="",AB447&lt;&gt;"Closed")),"INVALID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window"),IF(AG447&gt;Flights!$AA$17,"INVALID – completed after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f>
        <v/>
      </c>
      <c r="AI447" s="67">
        <f>IF(OR(AH447="N/A – RULE",AH447="N/A – JUSTIFIED"),0,1)</f>
        <v/>
      </c>
      <c r="AJ447" s="67">
        <f>IF(LEFT(AH447,8)="COMPLETE",1,0)</f>
        <v/>
      </c>
      <c r="AK447" s="67">
        <f>IF(AND(AI447=1,AJ447=0,AsOfUTC&gt;Q447),1,0)</f>
        <v/>
      </c>
      <c r="AL447" s="67">
        <f>IF(AND(AI447=1,OR(TRIM(U447)="Fail",AB447="Open",AND(ISNUMBER(AF447),AF447&lt;&gt;0,TRIM(U447)&lt;&gt;"Pass after CA"))),1,0)</f>
        <v/>
      </c>
      <c r="AM447" s="67">
        <f>IF(LEFT(AH447,7)="INVALID",1,0)</f>
        <v/>
      </c>
      <c r="AN447" s="67">
        <f>IF(AND(N447="Clarification required",AI447=1,AJ447=0),1,0)</f>
        <v/>
      </c>
      <c r="AO447" s="67">
        <f>IF(AK447=1,SUM(AK$5:AK447),"")</f>
        <v/>
      </c>
      <c r="AP447" s="67">
        <f>IF(AL447=1,SUM(AL$5:AL447),"")</f>
        <v/>
      </c>
      <c r="AQ447" s="67" t="n">
        <v>0</v>
      </c>
      <c r="AR447" s="67" t="n">
        <v>1</v>
      </c>
      <c r="AS447" s="67" t="n">
        <v>0</v>
      </c>
      <c r="AT447" s="67" t="n">
        <v>1</v>
      </c>
    </row>
    <row r="448" ht="91.5" customHeight="1">
      <c r="A448" s="63" t="inlineStr">
        <is>
          <t>F13-T12-11</t>
        </is>
      </c>
      <c r="B448" s="63" t="inlineStr">
        <is>
          <t>F13</t>
        </is>
      </c>
      <c r="C448" s="63">
        <f>Flights!$F$17</f>
        <v/>
      </c>
      <c r="D448" s="64">
        <f>Flights!$D$17</f>
        <v/>
      </c>
      <c r="E448" s="63">
        <f>Flights!$G$17&amp;"-"&amp;Flights!$H$17</f>
        <v/>
      </c>
      <c r="F448" s="63">
        <f>Flights!$K$17</f>
        <v/>
      </c>
      <c r="G448" s="63" t="inlineStr">
        <is>
          <t>T-12H PREP</t>
        </is>
      </c>
      <c r="H448" s="63" t="inlineStr">
        <is>
          <t>Preparation</t>
        </is>
      </c>
      <c r="I448" s="63" t="inlineStr">
        <is>
          <t>Sales Cart</t>
        </is>
      </c>
      <c r="J448" s="63" t="inlineStr">
        <is>
          <t>Sales cart (caterer PASB) - prepared</t>
        </is>
      </c>
      <c r="K448" s="73" t="inlineStr">
        <is>
          <t>Location 241 &amp; 947 (A339)</t>
        </is>
      </c>
      <c r="L448" s="73" t="inlineStr">
        <is>
          <t>STD UPLIFT INFORMATION.xlsx &gt; SALES CART!J8:J17 / C13 / C40</t>
        </is>
      </c>
      <c r="M448" s="73" t="inlineStr">
        <is>
          <t>Not stated in reference</t>
        </is>
      </c>
      <c r="N448" s="73" t="inlineStr">
        <is>
          <t>Clarification required</t>
        </is>
      </c>
      <c r="O448" s="73" t="inlineStr">
        <is>
          <t>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is>
      </c>
      <c r="P448" s="63" t="inlineStr">
        <is>
          <t>ADL</t>
        </is>
      </c>
      <c r="Q448" s="65">
        <f>Flights!$AE$17</f>
        <v/>
      </c>
      <c r="R448" s="65">
        <f>Q448+(IF(AND(INDEX(TZ_DSTS,MATCH(P448,TZ_STN,0))&lt;&gt;"",Q448&gt;=INDEX(TZ_DSTS,MATCH(P448,TZ_STN,0)),Q448&lt;INDEX(TZ_DSTE,MATCH(P448,TZ_STN,0))),INDEX(TZ_DST,MATCH(P448,TZ_STN,0)),INDEX(TZ_STD,MATCH(P448,TZ_STN,0))))/24</f>
        <v/>
      </c>
      <c r="S448" s="65">
        <f>Q448-T12EarlyH/24</f>
        <v/>
      </c>
      <c r="T448" s="66" t="n"/>
      <c r="U448" s="66" t="n"/>
      <c r="V448" s="66" t="n"/>
      <c r="W448" s="67" t="n"/>
      <c r="X448" s="66" t="n"/>
      <c r="Y448" s="66" t="n"/>
      <c r="Z448" s="66" t="n"/>
      <c r="AA448" s="66" t="n"/>
      <c r="AB448" s="66" t="n"/>
      <c r="AC448" s="66" t="n"/>
      <c r="AD448" s="72" t="n"/>
      <c r="AE448" s="66" t="n"/>
      <c r="AF448" s="67">
        <f>IF(AND(ISNUMBER(X448),ISNUMBER(Y448)),Y448-X448,"")</f>
        <v/>
      </c>
      <c r="AG448" s="68">
        <f>IF(ISNUMBER(AD448),AD448-(IF(AND(INDEX(TZ_DSTS,MATCH(P448,TZ_STN,0))&lt;&gt;"",(AD448-INDEX(TZ_STD,MATCH(P448,TZ_STN,0))/24)&gt;=INDEX(TZ_DSTS,MATCH(P448,TZ_STN,0)),(AD448-INDEX(TZ_STD,MATCH(P448,TZ_STN,0))/24)&lt;INDEX(TZ_DSTE,MATCH(P448,TZ_STN,0))),INDEX(TZ_DST,MATCH(P448,TZ_STN,0)),INDEX(TZ_STD,MATCH(P448,TZ_STN,0))))/24,"")</f>
        <v/>
      </c>
      <c r="AH448" s="71">
        <f>IF(N448="N/A – rule","N/A – RULE",IF(TRIM(U448)="N/A",IF(AT448=0,"INVALID – N/A not permitted for this mandatory check",IF(AND(TRIM(AC448)&lt;&gt;"",TRIM(AE448)&lt;&gt;"",TRIM(T448)&lt;&gt;""),"N/A – JUSTIFIED","INVALID – N/A needs justification, PIC and verifier")),IF(OR(TRIM(U448)="Pass",TRIM(U448)="Pass after CA"),IF(NOT(ISNUMBER(AD448)),"INVALID – completion time missing",IF(TRIM(T448)="","INVALID – PIC missing",IF(TRIM(Z448)="","INVALID – evidence missing",IF(TRIM(AE448)="","INVALID – verifier missing",IF(AND(AQ448=1,TRIM(W448)=""),"INVALID – batch ID missing",IF(AND(AR448=1,OR(NOT(ISNUMBER(X448)),NOT(ISNUMBER(Y448)))),"INVALID – expected/actual qty missing",IF(IF(AND(TRIM(U448)="Pass",ISNUMBER(AF448)),IF(AF448&lt;&gt;0,"INVALID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recorded/closed","")&lt;&gt;"",IF(AND(TRIM(U448)="Pass",ISNUMBER(AF448)),IF(AF448&lt;&gt;0,"INVALID – qty variance: use Fail or Pass after CA",""),"")&amp;IF(AND(TRIM(U448)="Pass",AB448="Open"),"INVALID – corrective action still open: use Fail, then Pass after CA","")&amp;IF(AND(TRIM(U448)="Pass after CA",OR(TRIM(AA448)="",AB448&lt;&gt;"Closed")),"INVALID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window"),IF(AG448&gt;Flights!$AA$17,"INVALID – completed after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f>
        <v/>
      </c>
      <c r="AI448" s="67">
        <f>IF(OR(AH448="N/A – RULE",AH448="N/A – JUSTIFIED"),0,1)</f>
        <v/>
      </c>
      <c r="AJ448" s="67">
        <f>IF(LEFT(AH448,8)="COMPLETE",1,0)</f>
        <v/>
      </c>
      <c r="AK448" s="67">
        <f>IF(AND(AI448=1,AJ448=0,AsOfUTC&gt;Q448),1,0)</f>
        <v/>
      </c>
      <c r="AL448" s="67">
        <f>IF(AND(AI448=1,OR(TRIM(U448)="Fail",AB448="Open",AND(ISNUMBER(AF448),AF448&lt;&gt;0,TRIM(U448)&lt;&gt;"Pass after CA"))),1,0)</f>
        <v/>
      </c>
      <c r="AM448" s="67">
        <f>IF(LEFT(AH448,7)="INVALID",1,0)</f>
        <v/>
      </c>
      <c r="AN448" s="67">
        <f>IF(AND(N448="Clarification required",AI448=1,AJ448=0),1,0)</f>
        <v/>
      </c>
      <c r="AO448" s="67">
        <f>IF(AK448=1,SUM(AK$5:AK448),"")</f>
        <v/>
      </c>
      <c r="AP448" s="67">
        <f>IF(AL448=1,SUM(AL$5:AL448),"")</f>
        <v/>
      </c>
      <c r="AQ448" s="67" t="n">
        <v>0</v>
      </c>
      <c r="AR448" s="67" t="n">
        <v>0</v>
      </c>
      <c r="AS448" s="67" t="n">
        <v>0</v>
      </c>
      <c r="AT448" s="67" t="n">
        <v>1</v>
      </c>
    </row>
    <row r="449" ht="40" customHeight="1">
      <c r="A449" s="63" t="inlineStr">
        <is>
          <t>F13-UPL-01</t>
        </is>
      </c>
      <c r="B449" s="63" t="inlineStr">
        <is>
          <t>F13</t>
        </is>
      </c>
      <c r="C449" s="63">
        <f>Flights!$F$17</f>
        <v/>
      </c>
      <c r="D449" s="64">
        <f>Flights!$D$17</f>
        <v/>
      </c>
      <c r="E449" s="63">
        <f>Flights!$G$17&amp;"-"&amp;Flights!$H$17</f>
        <v/>
      </c>
      <c r="F449" s="63">
        <f>Flights!$K$17</f>
        <v/>
      </c>
      <c r="G449" s="63" t="inlineStr">
        <is>
          <t>UPLIFT</t>
        </is>
      </c>
      <c r="H449" s="63" t="inlineStr">
        <is>
          <t>Physical uplift</t>
        </is>
      </c>
      <c r="I449" s="63" t="inlineStr">
        <is>
          <t>Meal</t>
        </is>
      </c>
      <c r="J449" s="63" t="inlineStr">
        <is>
          <t>Meals physically uplifted on board - quantity vs menu checklist</t>
        </is>
      </c>
      <c r="K449" s="73" t="inlineStr">
        <is>
          <t>Enter expected &amp; actual</t>
        </is>
      </c>
      <c r="L449" s="73" t="inlineStr">
        <is>
          <t>User brief (T-12 hours - physical uplift)</t>
        </is>
      </c>
      <c r="M449" s="73" t="inlineStr"/>
      <c r="N449" s="73" t="inlineStr">
        <is>
          <t>Required</t>
        </is>
      </c>
      <c r="O449" s="73" t="inlineStr">
        <is>
          <t>Confirm on board before departure; completion time must fall inside the uplift window.</t>
        </is>
      </c>
      <c r="P449" s="63" t="inlineStr">
        <is>
          <t>ADL</t>
        </is>
      </c>
      <c r="Q449" s="65">
        <f>Flights!$AF$17</f>
        <v/>
      </c>
      <c r="R449" s="65">
        <f>Q449+(IF(AND(INDEX(TZ_DSTS,MATCH(P449,TZ_STN,0))&lt;&gt;"",Q449&gt;=INDEX(TZ_DSTS,MATCH(P449,TZ_STN,0)),Q449&lt;INDEX(TZ_DSTE,MATCH(P449,TZ_STN,0))),INDEX(TZ_DST,MATCH(P449,TZ_STN,0)),INDEX(TZ_STD,MATCH(P449,TZ_STN,0))))/24</f>
        <v/>
      </c>
      <c r="S449" s="65">
        <f>Q449-UpliftWindowH/24</f>
        <v/>
      </c>
      <c r="T449" s="66" t="n"/>
      <c r="U449" s="66" t="n"/>
      <c r="V449" s="66" t="n"/>
      <c r="W449" s="67" t="n"/>
      <c r="X449" s="66" t="n"/>
      <c r="Y449" s="66" t="n"/>
      <c r="Z449" s="66" t="n"/>
      <c r="AA449" s="66" t="n"/>
      <c r="AB449" s="66" t="n"/>
      <c r="AC449" s="66" t="n"/>
      <c r="AD449" s="72" t="n"/>
      <c r="AE449" s="66" t="n"/>
      <c r="AF449" s="67">
        <f>IF(AND(ISNUMBER(X449),ISNUMBER(Y449)),Y449-X449,"")</f>
        <v/>
      </c>
      <c r="AG449" s="68">
        <f>IF(ISNUMBER(AD449),AD449-(IF(AND(INDEX(TZ_DSTS,MATCH(P449,TZ_STN,0))&lt;&gt;"",(AD449-INDEX(TZ_STD,MATCH(P449,TZ_STN,0))/24)&gt;=INDEX(TZ_DSTS,MATCH(P449,TZ_STN,0)),(AD449-INDEX(TZ_STD,MATCH(P449,TZ_STN,0))/24)&lt;INDEX(TZ_DSTE,MATCH(P449,TZ_STN,0))),INDEX(TZ_DST,MATCH(P449,TZ_STN,0)),INDEX(TZ_STD,MATCH(P449,TZ_STN,0))))/24,"")</f>
        <v/>
      </c>
      <c r="AH449" s="71">
        <f>IF(N449="N/A – rule","N/A – RULE",IF(TRIM(U449)="N/A",IF(AT449=0,"INVALID – N/A not permitted for this mandatory check",IF(AND(TRIM(AC449)&lt;&gt;"",TRIM(AE449)&lt;&gt;"",TRIM(T449)&lt;&gt;""),"N/A – JUSTIFIED","INVALID – N/A needs justification, PIC and verifier")),IF(OR(TRIM(U449)="Pass",TRIM(U449)="Pass after CA"),IF(NOT(ISNUMBER(AD449)),"INVALID – completion time missing",IF(TRIM(T449)="","INVALID – PIC missing",IF(TRIM(Z449)="","INVALID – evidence missing",IF(TRIM(AE449)="","INVALID – verifier missing",IF(AND(AQ449=1,TRIM(W449)=""),"INVALID – batch ID missing",IF(AND(AR449=1,OR(NOT(ISNUMBER(X449)),NOT(ISNUMBER(Y449)))),"INVALID – expected/actual qty missing",IF(IF(AND(TRIM(U449)="Pass",ISNUMBER(AF449)),IF(AF449&lt;&gt;0,"INVALID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recorded/closed","")&lt;&gt;"",IF(AND(TRIM(U449)="Pass",ISNUMBER(AF449)),IF(AF449&lt;&gt;0,"INVALID – qty variance: use Fail or Pass after CA",""),"")&amp;IF(AND(TRIM(U449)="Pass",AB449="Open"),"INVALID – corrective action still open: use Fail, then Pass after CA","")&amp;IF(AND(TRIM(U449)="Pass after CA",OR(TRIM(AA449)="",AB449&lt;&gt;"Closed")),"INVALID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window"),IF(AG449&gt;Flights!$AA$17,"INVALID – completed after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f>
        <v/>
      </c>
      <c r="AI449" s="67">
        <f>IF(OR(AH449="N/A – RULE",AH449="N/A – JUSTIFIED"),0,1)</f>
        <v/>
      </c>
      <c r="AJ449" s="67">
        <f>IF(LEFT(AH449,8)="COMPLETE",1,0)</f>
        <v/>
      </c>
      <c r="AK449" s="67">
        <f>IF(AND(AI449=1,AJ449=0,AsOfUTC&gt;Q449),1,0)</f>
        <v/>
      </c>
      <c r="AL449" s="67">
        <f>IF(AND(AI449=1,OR(TRIM(U449)="Fail",AB449="Open",AND(ISNUMBER(AF449),AF449&lt;&gt;0,TRIM(U449)&lt;&gt;"Pass after CA"))),1,0)</f>
        <v/>
      </c>
      <c r="AM449" s="67">
        <f>IF(LEFT(AH449,7)="INVALID",1,0)</f>
        <v/>
      </c>
      <c r="AN449" s="67">
        <f>IF(AND(N449="Clarification required",AI449=1,AJ449=0),1,0)</f>
        <v/>
      </c>
      <c r="AO449" s="67">
        <f>IF(AK449=1,SUM(AK$5:AK449),"")</f>
        <v/>
      </c>
      <c r="AP449" s="67">
        <f>IF(AL449=1,SUM(AL$5:AL449),"")</f>
        <v/>
      </c>
      <c r="AQ449" s="67" t="n">
        <v>0</v>
      </c>
      <c r="AR449" s="67" t="n">
        <v>1</v>
      </c>
      <c r="AS449" s="67" t="n">
        <v>0</v>
      </c>
      <c r="AT449" s="67" t="n">
        <v>0</v>
      </c>
    </row>
    <row r="450" ht="40" customHeight="1">
      <c r="A450" s="63" t="inlineStr">
        <is>
          <t>F13-UPL-02</t>
        </is>
      </c>
      <c r="B450" s="63" t="inlineStr">
        <is>
          <t>F13</t>
        </is>
      </c>
      <c r="C450" s="63">
        <f>Flights!$F$17</f>
        <v/>
      </c>
      <c r="D450" s="64">
        <f>Flights!$D$17</f>
        <v/>
      </c>
      <c r="E450" s="63">
        <f>Flights!$G$17&amp;"-"&amp;Flights!$H$17</f>
        <v/>
      </c>
      <c r="F450" s="63">
        <f>Flights!$K$17</f>
        <v/>
      </c>
      <c r="G450" s="63" t="inlineStr">
        <is>
          <t>UPLIFT</t>
        </is>
      </c>
      <c r="H450" s="63" t="inlineStr">
        <is>
          <t>Physical uplift</t>
        </is>
      </c>
      <c r="I450" s="63" t="inlineStr">
        <is>
          <t>Equipment</t>
        </is>
      </c>
      <c r="J450" s="63" t="inlineStr">
        <is>
          <t>Equipment physically loaded at GLD positions - quantity &amp; positions</t>
        </is>
      </c>
      <c r="K450" s="73" t="inlineStr">
        <is>
          <t>Enter expected &amp; actual</t>
        </is>
      </c>
      <c r="L450" s="73" t="inlineStr">
        <is>
          <t>User brief (T-12 hours - physical uplift)</t>
        </is>
      </c>
      <c r="M450" s="73" t="inlineStr"/>
      <c r="N450" s="73" t="inlineStr">
        <is>
          <t>Required</t>
        </is>
      </c>
      <c r="O450" s="73" t="inlineStr">
        <is>
          <t>Confirm on board before departure; completion time must fall inside the uplift window.</t>
        </is>
      </c>
      <c r="P450" s="63" t="inlineStr">
        <is>
          <t>ADL</t>
        </is>
      </c>
      <c r="Q450" s="65">
        <f>Flights!$AF$17</f>
        <v/>
      </c>
      <c r="R450" s="65">
        <f>Q450+(IF(AND(INDEX(TZ_DSTS,MATCH(P450,TZ_STN,0))&lt;&gt;"",Q450&gt;=INDEX(TZ_DSTS,MATCH(P450,TZ_STN,0)),Q450&lt;INDEX(TZ_DSTE,MATCH(P450,TZ_STN,0))),INDEX(TZ_DST,MATCH(P450,TZ_STN,0)),INDEX(TZ_STD,MATCH(P450,TZ_STN,0))))/24</f>
        <v/>
      </c>
      <c r="S450" s="65">
        <f>Q450-UpliftWindowH/24</f>
        <v/>
      </c>
      <c r="T450" s="66" t="n"/>
      <c r="U450" s="66" t="n"/>
      <c r="V450" s="66" t="n"/>
      <c r="W450" s="67" t="n"/>
      <c r="X450" s="66" t="n"/>
      <c r="Y450" s="66" t="n"/>
      <c r="Z450" s="66" t="n"/>
      <c r="AA450" s="66" t="n"/>
      <c r="AB450" s="66" t="n"/>
      <c r="AC450" s="66" t="n"/>
      <c r="AD450" s="72" t="n"/>
      <c r="AE450" s="66" t="n"/>
      <c r="AF450" s="67">
        <f>IF(AND(ISNUMBER(X450),ISNUMBER(Y450)),Y450-X450,"")</f>
        <v/>
      </c>
      <c r="AG450" s="68">
        <f>IF(ISNUMBER(AD450),AD450-(IF(AND(INDEX(TZ_DSTS,MATCH(P450,TZ_STN,0))&lt;&gt;"",(AD450-INDEX(TZ_STD,MATCH(P450,TZ_STN,0))/24)&gt;=INDEX(TZ_DSTS,MATCH(P450,TZ_STN,0)),(AD450-INDEX(TZ_STD,MATCH(P450,TZ_STN,0))/24)&lt;INDEX(TZ_DSTE,MATCH(P450,TZ_STN,0))),INDEX(TZ_DST,MATCH(P450,TZ_STN,0)),INDEX(TZ_STD,MATCH(P450,TZ_STN,0))))/24,"")</f>
        <v/>
      </c>
      <c r="AH450" s="71">
        <f>IF(N450="N/A – rule","N/A – RULE",IF(TRIM(U450)="N/A",IF(AT450=0,"INVALID – N/A not permitted for this mandatory check",IF(AND(TRIM(AC450)&lt;&gt;"",TRIM(AE450)&lt;&gt;"",TRIM(T450)&lt;&gt;""),"N/A – JUSTIFIED","INVALID – N/A needs justification, PIC and verifier")),IF(OR(TRIM(U450)="Pass",TRIM(U450)="Pass after CA"),IF(NOT(ISNUMBER(AD450)),"INVALID – completion time missing",IF(TRIM(T450)="","INVALID – PIC missing",IF(TRIM(Z450)="","INVALID – evidence missing",IF(TRIM(AE450)="","INVALID – verifier missing",IF(AND(AQ450=1,TRIM(W450)=""),"INVALID – batch ID missing",IF(AND(AR450=1,OR(NOT(ISNUMBER(X450)),NOT(ISNUMBER(Y450)))),"INVALID – expected/actual qty missing",IF(IF(AND(TRIM(U450)="Pass",ISNUMBER(AF450)),IF(AF450&lt;&gt;0,"INVALID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recorded/closed","")&lt;&gt;"",IF(AND(TRIM(U450)="Pass",ISNUMBER(AF450)),IF(AF450&lt;&gt;0,"INVALID – qty variance: use Fail or Pass after CA",""),"")&amp;IF(AND(TRIM(U450)="Pass",AB450="Open"),"INVALID – corrective action still open: use Fail, then Pass after CA","")&amp;IF(AND(TRIM(U450)="Pass after CA",OR(TRIM(AA450)="",AB450&lt;&gt;"Closed")),"INVALID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window"),IF(AG450&gt;Flights!$AA$17,"INVALID – completed after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f>
        <v/>
      </c>
      <c r="AI450" s="67">
        <f>IF(OR(AH450="N/A – RULE",AH450="N/A – JUSTIFIED"),0,1)</f>
        <v/>
      </c>
      <c r="AJ450" s="67">
        <f>IF(LEFT(AH450,8)="COMPLETE",1,0)</f>
        <v/>
      </c>
      <c r="AK450" s="67">
        <f>IF(AND(AI450=1,AJ450=0,AsOfUTC&gt;Q450),1,0)</f>
        <v/>
      </c>
      <c r="AL450" s="67">
        <f>IF(AND(AI450=1,OR(TRIM(U450)="Fail",AB450="Open",AND(ISNUMBER(AF450),AF450&lt;&gt;0,TRIM(U450)&lt;&gt;"Pass after CA"))),1,0)</f>
        <v/>
      </c>
      <c r="AM450" s="67">
        <f>IF(LEFT(AH450,7)="INVALID",1,0)</f>
        <v/>
      </c>
      <c r="AN450" s="67">
        <f>IF(AND(N450="Clarification required",AI450=1,AJ450=0),1,0)</f>
        <v/>
      </c>
      <c r="AO450" s="67">
        <f>IF(AK450=1,SUM(AK$5:AK450),"")</f>
        <v/>
      </c>
      <c r="AP450" s="67">
        <f>IF(AL450=1,SUM(AL$5:AL450),"")</f>
        <v/>
      </c>
      <c r="AQ450" s="67" t="n">
        <v>0</v>
      </c>
      <c r="AR450" s="67" t="n">
        <v>1</v>
      </c>
      <c r="AS450" s="67" t="n">
        <v>0</v>
      </c>
      <c r="AT450" s="67" t="n">
        <v>0</v>
      </c>
    </row>
    <row r="451" ht="41.5" customHeight="1">
      <c r="A451" s="63" t="inlineStr">
        <is>
          <t>F13-UPL-03</t>
        </is>
      </c>
      <c r="B451" s="63" t="inlineStr">
        <is>
          <t>F13</t>
        </is>
      </c>
      <c r="C451" s="63">
        <f>Flights!$F$17</f>
        <v/>
      </c>
      <c r="D451" s="64">
        <f>Flights!$D$17</f>
        <v/>
      </c>
      <c r="E451" s="63">
        <f>Flights!$G$17&amp;"-"&amp;Flights!$H$17</f>
        <v/>
      </c>
      <c r="F451" s="63">
        <f>Flights!$K$17</f>
        <v/>
      </c>
      <c r="G451" s="63" t="inlineStr">
        <is>
          <t>UPLIFT</t>
        </is>
      </c>
      <c r="H451" s="63" t="inlineStr">
        <is>
          <t>Physical uplift</t>
        </is>
      </c>
      <c r="I451" s="63" t="inlineStr">
        <is>
          <t>Uplift plan</t>
        </is>
      </c>
      <c r="J451" s="63" t="inlineStr">
        <is>
          <t>KUL-sourced items physically loaded at KUL on the inbound KUL-ADL flight</t>
        </is>
      </c>
      <c r="K451" s="73" t="inlineStr">
        <is>
          <t>Items: Toiletry kits. Quantities as per Requirements</t>
        </is>
      </c>
      <c r="L451" s="73" t="inlineStr">
        <is>
          <t>STD UPLIFT INFORMATION.xlsx &gt; item uplift stn columns</t>
        </is>
      </c>
      <c r="M451" s="73" t="inlineStr"/>
      <c r="N451" s="73" t="inlineStr">
        <is>
          <t>Required</t>
        </is>
      </c>
      <c r="O451" s="73" t="inlineStr">
        <is>
          <t>Confirmed at KUL inside the uplift window before the carrying flight's KUL departure (Flights AX).</t>
        </is>
      </c>
      <c r="P451" s="63" t="inlineStr">
        <is>
          <t>KUL</t>
        </is>
      </c>
      <c r="Q451" s="65">
        <f>Flights!$AY$17+UpliftWindowH/24</f>
        <v/>
      </c>
      <c r="R451" s="65">
        <f>Q451+(IF(AND(INDEX(TZ_DSTS,MATCH(P451,TZ_STN,0))&lt;&gt;"",Q451&gt;=INDEX(TZ_DSTS,MATCH(P451,TZ_STN,0)),Q451&lt;INDEX(TZ_DSTE,MATCH(P451,TZ_STN,0))),INDEX(TZ_DST,MATCH(P451,TZ_STN,0)),INDEX(TZ_STD,MATCH(P451,TZ_STN,0))))/24</f>
        <v/>
      </c>
      <c r="S451" s="65">
        <f>Q451-UpliftWindowH/24</f>
        <v/>
      </c>
      <c r="T451" s="66" t="n"/>
      <c r="U451" s="66" t="n"/>
      <c r="V451" s="66" t="n"/>
      <c r="W451" s="67" t="n"/>
      <c r="X451" s="66" t="n"/>
      <c r="Y451" s="66" t="n"/>
      <c r="Z451" s="66" t="n"/>
      <c r="AA451" s="66" t="n"/>
      <c r="AB451" s="66" t="n"/>
      <c r="AC451" s="66" t="n"/>
      <c r="AD451" s="72" t="n"/>
      <c r="AE451" s="66" t="n"/>
      <c r="AF451" s="67">
        <f>IF(AND(ISNUMBER(X451),ISNUMBER(Y451)),Y451-X451,"")</f>
        <v/>
      </c>
      <c r="AG451" s="68">
        <f>IF(ISNUMBER(AD451),AD451-(IF(AND(INDEX(TZ_DSTS,MATCH(P451,TZ_STN,0))&lt;&gt;"",(AD451-INDEX(TZ_STD,MATCH(P451,TZ_STN,0))/24)&gt;=INDEX(TZ_DSTS,MATCH(P451,TZ_STN,0)),(AD451-INDEX(TZ_STD,MATCH(P451,TZ_STN,0))/24)&lt;INDEX(TZ_DSTE,MATCH(P451,TZ_STN,0))),INDEX(TZ_DST,MATCH(P451,TZ_STN,0)),INDEX(TZ_STD,MATCH(P451,TZ_STN,0))))/24,"")</f>
        <v/>
      </c>
      <c r="AH451" s="71">
        <f>IF(N451="N/A – rule","N/A – RULE",IF(TRIM(U451)="N/A",IF(AT451=0,"INVALID – N/A not permitted for this mandatory check",IF(AND(TRIM(AC451)&lt;&gt;"",TRIM(AE451)&lt;&gt;"",TRIM(T451)&lt;&gt;""),"N/A – JUSTIFIED","INVALID – N/A needs justification, PIC and verifier")),IF(OR(TRIM(U451)="Pass",TRIM(U451)="Pass after CA"),IF(NOT(ISNUMBER(AD451)),"INVALID – completion time missing",IF(TRIM(T451)="","INVALID – PIC missing",IF(TRIM(Z451)="","INVALID – evidence missing",IF(TRIM(AE451)="","INVALID – verifier missing",IF(AND(AQ451=1,TRIM(W451)=""),"INVALID – batch ID missing",IF(AND(AR451=1,OR(NOT(ISNUMBER(X451)),NOT(ISNUMBER(Y451)))),"INVALID – expected/actual qty missing",IF(IF(AND(TRIM(U451)="Pass",ISNUMBER(AF451)),IF(AF451&lt;&gt;0,"INVALID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recorded/closed","")&lt;&gt;"",IF(AND(TRIM(U451)="Pass",ISNUMBER(AF451)),IF(AF451&lt;&gt;0,"INVALID – qty variance: use Fail or Pass after CA",""),"")&amp;IF(AND(TRIM(U451)="Pass",AB451="Open"),"INVALID – corrective action still open: use Fail, then Pass after CA","")&amp;IF(AND(TRIM(U451)="Pass after CA",OR(TRIM(AA451)="",AB451&lt;&gt;"Closed")),"INVALID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window"),IF(AG451&gt;Flights!$AA$17,"INVALID – completed after departure (cannot establish readiness)",IF(AND(H451="Physical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f>
        <v/>
      </c>
      <c r="AI451" s="67">
        <f>IF(OR(AH451="N/A – RULE",AH451="N/A – JUSTIFIED"),0,1)</f>
        <v/>
      </c>
      <c r="AJ451" s="67">
        <f>IF(LEFT(AH451,8)="COMPLETE",1,0)</f>
        <v/>
      </c>
      <c r="AK451" s="67">
        <f>IF(AND(AI451=1,AJ451=0,AsOfUTC&gt;Q451),1,0)</f>
        <v/>
      </c>
      <c r="AL451" s="67">
        <f>IF(AND(AI451=1,OR(TRIM(U451)="Fail",AB451="Open",AND(ISNUMBER(AF451),AF451&lt;&gt;0,TRIM(U451)&lt;&gt;"Pass after CA"))),1,0)</f>
        <v/>
      </c>
      <c r="AM451" s="67">
        <f>IF(LEFT(AH451,7)="INVALID",1,0)</f>
        <v/>
      </c>
      <c r="AN451" s="67">
        <f>IF(AND(N451="Clarification required",AI451=1,AJ451=0),1,0)</f>
        <v/>
      </c>
      <c r="AO451" s="67">
        <f>IF(AK451=1,SUM(AK$5:AK451),"")</f>
        <v/>
      </c>
      <c r="AP451" s="67">
        <f>IF(AL451=1,SUM(AL$5:AL451),"")</f>
        <v/>
      </c>
      <c r="AQ451" s="67" t="n">
        <v>0</v>
      </c>
      <c r="AR451" s="67" t="n">
        <v>0</v>
      </c>
      <c r="AS451" s="67" t="n">
        <v>0</v>
      </c>
      <c r="AT451" s="67" t="n">
        <v>0</v>
      </c>
    </row>
    <row r="452" ht="54" customHeight="1">
      <c r="A452" s="63" t="inlineStr">
        <is>
          <t>F13-UPL-04</t>
        </is>
      </c>
      <c r="B452" s="63" t="inlineStr">
        <is>
          <t>F13</t>
        </is>
      </c>
      <c r="C452" s="63">
        <f>Flights!$F$17</f>
        <v/>
      </c>
      <c r="D452" s="64">
        <f>Flights!$D$17</f>
        <v/>
      </c>
      <c r="E452" s="63">
        <f>Flights!$G$17&amp;"-"&amp;Flights!$H$17</f>
        <v/>
      </c>
      <c r="F452" s="63">
        <f>Flights!$K$17</f>
        <v/>
      </c>
      <c r="G452" s="63" t="inlineStr">
        <is>
          <t>UPLIFT</t>
        </is>
      </c>
      <c r="H452" s="63" t="inlineStr">
        <is>
          <t>Physical uplift</t>
        </is>
      </c>
      <c r="I452" s="63" t="inlineStr">
        <is>
          <t>Amenities</t>
        </is>
      </c>
      <c r="J452" s="63" t="inlineStr">
        <is>
          <t>Toiletry kits - on board</t>
        </is>
      </c>
      <c r="K452" s="73" t="inlineStr">
        <is>
          <t>Available for sector (ticked in reference)</t>
        </is>
      </c>
      <c r="L452" s="73" t="inlineStr">
        <is>
          <t>STD UPLIFT INFORMATION.xlsx &gt; AMENITIES!D18 / H18</t>
        </is>
      </c>
      <c r="M452" s="73" t="inlineStr">
        <is>
          <t>KUL</t>
        </is>
      </c>
      <c r="N452" s="73" t="inlineStr">
        <is>
          <t>Clarification required</t>
        </is>
      </c>
      <c r="O452" s="73" t="inlineStr">
        <is>
          <t>Reference does not state the cabin class for toiletry kits. Confirm whether EY receives them; if not, mark N/A with the confirmation as justification.</t>
        </is>
      </c>
      <c r="P452" s="63" t="inlineStr">
        <is>
          <t>ADL</t>
        </is>
      </c>
      <c r="Q452" s="65">
        <f>Flights!$AF$17</f>
        <v/>
      </c>
      <c r="R452" s="65">
        <f>Q452+(IF(AND(INDEX(TZ_DSTS,MATCH(P452,TZ_STN,0))&lt;&gt;"",Q452&gt;=INDEX(TZ_DSTS,MATCH(P452,TZ_STN,0)),Q452&lt;INDEX(TZ_DSTE,MATCH(P452,TZ_STN,0))),INDEX(TZ_DST,MATCH(P452,TZ_STN,0)),INDEX(TZ_STD,MATCH(P452,TZ_STN,0))))/24</f>
        <v/>
      </c>
      <c r="S452" s="65">
        <f>Q452-UpliftWindowH/24</f>
        <v/>
      </c>
      <c r="T452" s="66" t="n"/>
      <c r="U452" s="66" t="n"/>
      <c r="V452" s="66" t="n"/>
      <c r="W452" s="67" t="n"/>
      <c r="X452" s="66" t="n"/>
      <c r="Y452" s="66" t="n"/>
      <c r="Z452" s="66" t="n"/>
      <c r="AA452" s="66" t="n"/>
      <c r="AB452" s="66" t="n"/>
      <c r="AC452" s="66" t="n"/>
      <c r="AD452" s="72" t="n"/>
      <c r="AE452" s="66" t="n"/>
      <c r="AF452" s="67">
        <f>IF(AND(ISNUMBER(X452),ISNUMBER(Y452)),Y452-X452,"")</f>
        <v/>
      </c>
      <c r="AG452" s="68">
        <f>IF(ISNUMBER(AD452),AD452-(IF(AND(INDEX(TZ_DSTS,MATCH(P452,TZ_STN,0))&lt;&gt;"",(AD452-INDEX(TZ_STD,MATCH(P452,TZ_STN,0))/24)&gt;=INDEX(TZ_DSTS,MATCH(P452,TZ_STN,0)),(AD452-INDEX(TZ_STD,MATCH(P452,TZ_STN,0))/24)&lt;INDEX(TZ_DSTE,MATCH(P452,TZ_STN,0))),INDEX(TZ_DST,MATCH(P452,TZ_STN,0)),INDEX(TZ_STD,MATCH(P452,TZ_STN,0))))/24,"")</f>
        <v/>
      </c>
      <c r="AH452" s="71">
        <f>IF(N452="N/A – rule","N/A – RULE",IF(TRIM(U452)="N/A",IF(AT452=0,"INVALID – N/A not permitted for this mandatory check",IF(AND(TRIM(AC452)&lt;&gt;"",TRIM(AE452)&lt;&gt;"",TRIM(T452)&lt;&gt;""),"N/A – JUSTIFIED","INVALID – N/A needs justification, PIC and verifier")),IF(OR(TRIM(U452)="Pass",TRIM(U452)="Pass after CA"),IF(NOT(ISNUMBER(AD452)),"INVALID – completion time missing",IF(TRIM(T452)="","INVALID – PIC missing",IF(TRIM(Z452)="","INVALID – evidence missing",IF(TRIM(AE452)="","INVALID – verifier missing",IF(AND(AQ452=1,TRIM(W452)=""),"INVALID – batch ID missing",IF(AND(AR452=1,OR(NOT(ISNUMBER(X452)),NOT(ISNUMBER(Y452)))),"INVALID – expected/actual qty missing",IF(IF(AND(TRIM(U452)="Pass",ISNUMBER(AF452)),IF(AF452&lt;&gt;0,"INVALID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recorded/closed","")&lt;&gt;"",IF(AND(TRIM(U452)="Pass",ISNUMBER(AF452)),IF(AF452&lt;&gt;0,"INVALID – qty variance: use Fail or Pass after CA",""),"")&amp;IF(AND(TRIM(U452)="Pass",AB452="Open"),"INVALID – corrective action still open: use Fail, then Pass after CA","")&amp;IF(AND(TRIM(U452)="Pass after CA",OR(TRIM(AA452)="",AB452&lt;&gt;"Closed")),"INVALID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window"),IF(AG452&gt;Flights!$AA$17,"INVALID – completed after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f>
        <v/>
      </c>
      <c r="AI452" s="67">
        <f>IF(OR(AH452="N/A – RULE",AH452="N/A – JUSTIFIED"),0,1)</f>
        <v/>
      </c>
      <c r="AJ452" s="67">
        <f>IF(LEFT(AH452,8)="COMPLETE",1,0)</f>
        <v/>
      </c>
      <c r="AK452" s="67">
        <f>IF(AND(AI452=1,AJ452=0,AsOfUTC&gt;Q452),1,0)</f>
        <v/>
      </c>
      <c r="AL452" s="67">
        <f>IF(AND(AI452=1,OR(TRIM(U452)="Fail",AB452="Open",AND(ISNUMBER(AF452),AF452&lt;&gt;0,TRIM(U452)&lt;&gt;"Pass after CA"))),1,0)</f>
        <v/>
      </c>
      <c r="AM452" s="67">
        <f>IF(LEFT(AH452,7)="INVALID",1,0)</f>
        <v/>
      </c>
      <c r="AN452" s="67">
        <f>IF(AND(N452="Clarification required",AI452=1,AJ452=0),1,0)</f>
        <v/>
      </c>
      <c r="AO452" s="67">
        <f>IF(AK452=1,SUM(AK$5:AK452),"")</f>
        <v/>
      </c>
      <c r="AP452" s="67">
        <f>IF(AL452=1,SUM(AL$5:AL452),"")</f>
        <v/>
      </c>
      <c r="AQ452" s="67" t="n">
        <v>0</v>
      </c>
      <c r="AR452" s="67" t="n">
        <v>0</v>
      </c>
      <c r="AS452" s="67" t="n">
        <v>0</v>
      </c>
      <c r="AT452" s="67" t="n">
        <v>1</v>
      </c>
    </row>
    <row r="453" ht="40" customHeight="1">
      <c r="A453" s="63" t="inlineStr">
        <is>
          <t>F13-UPL-05</t>
        </is>
      </c>
      <c r="B453" s="63" t="inlineStr">
        <is>
          <t>F13</t>
        </is>
      </c>
      <c r="C453" s="63">
        <f>Flights!$F$17</f>
        <v/>
      </c>
      <c r="D453" s="64">
        <f>Flights!$D$17</f>
        <v/>
      </c>
      <c r="E453" s="63">
        <f>Flights!$G$17&amp;"-"&amp;Flights!$H$17</f>
        <v/>
      </c>
      <c r="F453" s="63">
        <f>Flights!$K$17</f>
        <v/>
      </c>
      <c r="G453" s="63" t="inlineStr">
        <is>
          <t>UPLIFT</t>
        </is>
      </c>
      <c r="H453" s="63" t="inlineStr">
        <is>
          <t>Physical uplift</t>
        </is>
      </c>
      <c r="I453" s="63" t="inlineStr">
        <is>
          <t>Seat Linen</t>
        </is>
      </c>
      <c r="J453" s="63" t="inlineStr">
        <is>
          <t>Seat pillow (EY) - on board</t>
        </is>
      </c>
      <c r="K453" s="73" t="inlineStr">
        <is>
          <t>Available 100% (ticked in reference)</t>
        </is>
      </c>
      <c r="L453" s="73" t="inlineStr">
        <is>
          <t>STD UPLIFT INFORMATION.xlsx &gt; SEAT LINEN!I9</t>
        </is>
      </c>
      <c r="M453" s="73" t="inlineStr">
        <is>
          <t>Not stated in reference</t>
        </is>
      </c>
      <c r="N453" s="73" t="inlineStr">
        <is>
          <t>Required</t>
        </is>
      </c>
      <c r="O453" s="73" t="inlineStr"/>
      <c r="P453" s="63" t="inlineStr">
        <is>
          <t>ADL</t>
        </is>
      </c>
      <c r="Q453" s="65">
        <f>Flights!$AF$17</f>
        <v/>
      </c>
      <c r="R453" s="65">
        <f>Q453+(IF(AND(INDEX(TZ_DSTS,MATCH(P453,TZ_STN,0))&lt;&gt;"",Q453&gt;=INDEX(TZ_DSTS,MATCH(P453,TZ_STN,0)),Q453&lt;INDEX(TZ_DSTE,MATCH(P453,TZ_STN,0))),INDEX(TZ_DST,MATCH(P453,TZ_STN,0)),INDEX(TZ_STD,MATCH(P453,TZ_STN,0))))/24</f>
        <v/>
      </c>
      <c r="S453" s="65">
        <f>Q453-UpliftWindowH/24</f>
        <v/>
      </c>
      <c r="T453" s="66" t="n"/>
      <c r="U453" s="66" t="n"/>
      <c r="V453" s="66" t="n"/>
      <c r="W453" s="67" t="n"/>
      <c r="X453" s="66" t="n"/>
      <c r="Y453" s="66" t="n"/>
      <c r="Z453" s="66" t="n"/>
      <c r="AA453" s="66" t="n"/>
      <c r="AB453" s="66" t="n"/>
      <c r="AC453" s="66" t="n"/>
      <c r="AD453" s="72" t="n"/>
      <c r="AE453" s="66" t="n"/>
      <c r="AF453" s="67">
        <f>IF(AND(ISNUMBER(X453),ISNUMBER(Y453)),Y453-X453,"")</f>
        <v/>
      </c>
      <c r="AG453" s="68">
        <f>IF(ISNUMBER(AD453),AD453-(IF(AND(INDEX(TZ_DSTS,MATCH(P453,TZ_STN,0))&lt;&gt;"",(AD453-INDEX(TZ_STD,MATCH(P453,TZ_STN,0))/24)&gt;=INDEX(TZ_DSTS,MATCH(P453,TZ_STN,0)),(AD453-INDEX(TZ_STD,MATCH(P453,TZ_STN,0))/24)&lt;INDEX(TZ_DSTE,MATCH(P453,TZ_STN,0))),INDEX(TZ_DST,MATCH(P453,TZ_STN,0)),INDEX(TZ_STD,MATCH(P453,TZ_STN,0))))/24,"")</f>
        <v/>
      </c>
      <c r="AH453" s="71">
        <f>IF(N453="N/A – rule","N/A – RULE",IF(TRIM(U453)="N/A",IF(AT453=0,"INVALID – N/A not permitted for this mandatory check",IF(AND(TRIM(AC453)&lt;&gt;"",TRIM(AE453)&lt;&gt;"",TRIM(T453)&lt;&gt;""),"N/A – JUSTIFIED","INVALID – N/A needs justification, PIC and verifier")),IF(OR(TRIM(U453)="Pass",TRIM(U453)="Pass after CA"),IF(NOT(ISNUMBER(AD453)),"INVALID – completion time missing",IF(TRIM(T453)="","INVALID – PIC missing",IF(TRIM(Z453)="","INVALID – evidence missing",IF(TRIM(AE453)="","INVALID – verifier missing",IF(AND(AQ453=1,TRIM(W453)=""),"INVALID – batch ID missing",IF(AND(AR453=1,OR(NOT(ISNUMBER(X453)),NOT(ISNUMBER(Y453)))),"INVALID – expected/actual qty missing",IF(IF(AND(TRIM(U453)="Pass",ISNUMBER(AF453)),IF(AF453&lt;&gt;0,"INVALID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recorded/closed","")&lt;&gt;"",IF(AND(TRIM(U453)="Pass",ISNUMBER(AF453)),IF(AF453&lt;&gt;0,"INVALID – qty variance: use Fail or Pass after CA",""),"")&amp;IF(AND(TRIM(U453)="Pass",AB453="Open"),"INVALID – corrective action still open: use Fail, then Pass after CA","")&amp;IF(AND(TRIM(U453)="Pass after CA",OR(TRIM(AA453)="",AB453&lt;&gt;"Closed")),"INVALID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window"),IF(AG453&gt;Flights!$AA$17,"INVALID – completed after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f>
        <v/>
      </c>
      <c r="AI453" s="67">
        <f>IF(OR(AH453="N/A – RULE",AH453="N/A – JUSTIFIED"),0,1)</f>
        <v/>
      </c>
      <c r="AJ453" s="67">
        <f>IF(LEFT(AH453,8)="COMPLETE",1,0)</f>
        <v/>
      </c>
      <c r="AK453" s="67">
        <f>IF(AND(AI453=1,AJ453=0,AsOfUTC&gt;Q453),1,0)</f>
        <v/>
      </c>
      <c r="AL453" s="67">
        <f>IF(AND(AI453=1,OR(TRIM(U453)="Fail",AB453="Open",AND(ISNUMBER(AF453),AF453&lt;&gt;0,TRIM(U453)&lt;&gt;"Pass after CA"))),1,0)</f>
        <v/>
      </c>
      <c r="AM453" s="67">
        <f>IF(LEFT(AH453,7)="INVALID",1,0)</f>
        <v/>
      </c>
      <c r="AN453" s="67">
        <f>IF(AND(N453="Clarification required",AI453=1,AJ453=0),1,0)</f>
        <v/>
      </c>
      <c r="AO453" s="67">
        <f>IF(AK453=1,SUM(AK$5:AK453),"")</f>
        <v/>
      </c>
      <c r="AP453" s="67">
        <f>IF(AL453=1,SUM(AL$5:AL453),"")</f>
        <v/>
      </c>
      <c r="AQ453" s="67" t="n">
        <v>0</v>
      </c>
      <c r="AR453" s="67" t="n">
        <v>0</v>
      </c>
      <c r="AS453" s="67" t="n">
        <v>0</v>
      </c>
      <c r="AT453" s="67" t="n">
        <v>1</v>
      </c>
    </row>
    <row r="454" ht="54" customHeight="1">
      <c r="A454" s="63" t="inlineStr">
        <is>
          <t>F13-UPL-06</t>
        </is>
      </c>
      <c r="B454" s="63" t="inlineStr">
        <is>
          <t>F13</t>
        </is>
      </c>
      <c r="C454" s="63">
        <f>Flights!$F$17</f>
        <v/>
      </c>
      <c r="D454" s="64">
        <f>Flights!$D$17</f>
        <v/>
      </c>
      <c r="E454" s="63">
        <f>Flights!$G$17&amp;"-"&amp;Flights!$H$17</f>
        <v/>
      </c>
      <c r="F454" s="63">
        <f>Flights!$K$17</f>
        <v/>
      </c>
      <c r="G454" s="63" t="inlineStr">
        <is>
          <t>UPLIFT</t>
        </is>
      </c>
      <c r="H454" s="63" t="inlineStr">
        <is>
          <t>Physical uplift</t>
        </is>
      </c>
      <c r="I454" s="63" t="inlineStr">
        <is>
          <t>Seat Linen</t>
        </is>
      </c>
      <c r="J454" s="63" t="inlineStr">
        <is>
          <t>Blanket (EY) - on board</t>
        </is>
      </c>
      <c r="K454" s="73" t="inlineStr">
        <is>
          <t>Available 100% (ticked in reference); qty 280</t>
        </is>
      </c>
      <c r="L454" s="73" t="inlineStr">
        <is>
          <t>STD UPLIFT INFORMATION.xlsx &gt; SEAT LINEN!J9</t>
        </is>
      </c>
      <c r="M454" s="73" t="inlineStr">
        <is>
          <t>Not stated in reference</t>
        </is>
      </c>
      <c r="N454" s="73" t="inlineStr">
        <is>
          <t>Required</t>
        </is>
      </c>
      <c r="O454" s="73" t="inlineStr">
        <is>
          <t>EY blanket: flight above 3 hours excl. Regional (SEAT LINEN!B74:C74); block 7.75 h. Qty 280 pcs (14 bundles) for A332/A333/A339 (SEAT LINEN!B75:C75).</t>
        </is>
      </c>
      <c r="P454" s="63" t="inlineStr">
        <is>
          <t>ADL</t>
        </is>
      </c>
      <c r="Q454" s="65">
        <f>Flights!$AF$17</f>
        <v/>
      </c>
      <c r="R454" s="65">
        <f>Q454+(IF(AND(INDEX(TZ_DSTS,MATCH(P454,TZ_STN,0))&lt;&gt;"",Q454&gt;=INDEX(TZ_DSTS,MATCH(P454,TZ_STN,0)),Q454&lt;INDEX(TZ_DSTE,MATCH(P454,TZ_STN,0))),INDEX(TZ_DST,MATCH(P454,TZ_STN,0)),INDEX(TZ_STD,MATCH(P454,TZ_STN,0))))/24</f>
        <v/>
      </c>
      <c r="S454" s="65">
        <f>Q454-UpliftWindowH/24</f>
        <v/>
      </c>
      <c r="T454" s="66" t="n"/>
      <c r="U454" s="66" t="n"/>
      <c r="V454" s="66" t="n"/>
      <c r="W454" s="67" t="n"/>
      <c r="X454" s="74" t="n">
        <v>280</v>
      </c>
      <c r="Y454" s="66" t="n"/>
      <c r="Z454" s="66" t="n"/>
      <c r="AA454" s="66" t="n"/>
      <c r="AB454" s="66" t="n"/>
      <c r="AC454" s="66" t="n"/>
      <c r="AD454" s="72" t="n"/>
      <c r="AE454" s="66" t="n"/>
      <c r="AF454" s="67">
        <f>IF(AND(ISNUMBER(X454),ISNUMBER(Y454)),Y454-X454,"")</f>
        <v/>
      </c>
      <c r="AG454" s="68">
        <f>IF(ISNUMBER(AD454),AD454-(IF(AND(INDEX(TZ_DSTS,MATCH(P454,TZ_STN,0))&lt;&gt;"",(AD454-INDEX(TZ_STD,MATCH(P454,TZ_STN,0))/24)&gt;=INDEX(TZ_DSTS,MATCH(P454,TZ_STN,0)),(AD454-INDEX(TZ_STD,MATCH(P454,TZ_STN,0))/24)&lt;INDEX(TZ_DSTE,MATCH(P454,TZ_STN,0))),INDEX(TZ_DST,MATCH(P454,TZ_STN,0)),INDEX(TZ_STD,MATCH(P454,TZ_STN,0))))/24,"")</f>
        <v/>
      </c>
      <c r="AH454" s="71">
        <f>IF(N454="N/A – rule","N/A – RULE",IF(TRIM(U454)="N/A",IF(AT454=0,"INVALID – N/A not permitted for this mandatory check",IF(AND(TRIM(AC454)&lt;&gt;"",TRIM(AE454)&lt;&gt;"",TRIM(T454)&lt;&gt;""),"N/A – JUSTIFIED","INVALID – N/A needs justification, PIC and verifier")),IF(OR(TRIM(U454)="Pass",TRIM(U454)="Pass after CA"),IF(NOT(ISNUMBER(AD454)),"INVALID – completion time missing",IF(TRIM(T454)="","INVALID – PIC missing",IF(TRIM(Z454)="","INVALID – evidence missing",IF(TRIM(AE454)="","INVALID – verifier missing",IF(AND(AQ454=1,TRIM(W454)=""),"INVALID – batch ID missing",IF(AND(AR454=1,OR(NOT(ISNUMBER(X454)),NOT(ISNUMBER(Y454)))),"INVALID – expected/actual qty missing",IF(IF(AND(TRIM(U454)="Pass",ISNUMBER(AF454)),IF(AF454&lt;&gt;0,"INVALID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recorded/closed","")&lt;&gt;"",IF(AND(TRIM(U454)="Pass",ISNUMBER(AF454)),IF(AF454&lt;&gt;0,"INVALID – qty variance: use Fail or Pass after CA",""),"")&amp;IF(AND(TRIM(U454)="Pass",AB454="Open"),"INVALID – corrective action still open: use Fail, then Pass after CA","")&amp;IF(AND(TRIM(U454)="Pass after CA",OR(TRIM(AA454)="",AB454&lt;&gt;"Closed")),"INVALID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window"),IF(AG454&gt;Flights!$AA$17,"INVALID – completed after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f>
        <v/>
      </c>
      <c r="AI454" s="67">
        <f>IF(OR(AH454="N/A – RULE",AH454="N/A – JUSTIFIED"),0,1)</f>
        <v/>
      </c>
      <c r="AJ454" s="67">
        <f>IF(LEFT(AH454,8)="COMPLETE",1,0)</f>
        <v/>
      </c>
      <c r="AK454" s="67">
        <f>IF(AND(AI454=1,AJ454=0,AsOfUTC&gt;Q454),1,0)</f>
        <v/>
      </c>
      <c r="AL454" s="67">
        <f>IF(AND(AI454=1,OR(TRIM(U454)="Fail",AB454="Open",AND(ISNUMBER(AF454),AF454&lt;&gt;0,TRIM(U454)&lt;&gt;"Pass after CA"))),1,0)</f>
        <v/>
      </c>
      <c r="AM454" s="67">
        <f>IF(LEFT(AH454,7)="INVALID",1,0)</f>
        <v/>
      </c>
      <c r="AN454" s="67">
        <f>IF(AND(N454="Clarification required",AI454=1,AJ454=0),1,0)</f>
        <v/>
      </c>
      <c r="AO454" s="67">
        <f>IF(AK454=1,SUM(AK$5:AK454),"")</f>
        <v/>
      </c>
      <c r="AP454" s="67">
        <f>IF(AL454=1,SUM(AL$5:AL454),"")</f>
        <v/>
      </c>
      <c r="AQ454" s="67" t="n">
        <v>0</v>
      </c>
      <c r="AR454" s="67" t="n">
        <v>1</v>
      </c>
      <c r="AS454" s="67" t="n">
        <v>0</v>
      </c>
      <c r="AT454" s="67" t="n">
        <v>1</v>
      </c>
    </row>
    <row r="455" ht="66.5" customHeight="1">
      <c r="A455" s="63" t="inlineStr">
        <is>
          <t>F13-UPL-07</t>
        </is>
      </c>
      <c r="B455" s="63" t="inlineStr">
        <is>
          <t>F13</t>
        </is>
      </c>
      <c r="C455" s="63">
        <f>Flights!$F$17</f>
        <v/>
      </c>
      <c r="D455" s="64">
        <f>Flights!$D$17</f>
        <v/>
      </c>
      <c r="E455" s="63">
        <f>Flights!$G$17&amp;"-"&amp;Flights!$H$17</f>
        <v/>
      </c>
      <c r="F455" s="63">
        <f>Flights!$K$17</f>
        <v/>
      </c>
      <c r="G455" s="63" t="inlineStr">
        <is>
          <t>UPLIFT</t>
        </is>
      </c>
      <c r="H455" s="63" t="inlineStr">
        <is>
          <t>Physical uplift</t>
        </is>
      </c>
      <c r="I455" s="63" t="inlineStr">
        <is>
          <t>Sales Cart</t>
        </is>
      </c>
      <c r="J455" s="63" t="inlineStr">
        <is>
          <t>Sales cart (caterer PASB) - on board</t>
        </is>
      </c>
      <c r="K455" s="73" t="inlineStr">
        <is>
          <t>Location 241 &amp; 947 (A339)</t>
        </is>
      </c>
      <c r="L455" s="73" t="inlineStr">
        <is>
          <t>STD UPLIFT INFORMATION.xlsx &gt; SALES CART!J8:J17 / C13 / C40</t>
        </is>
      </c>
      <c r="M455" s="73" t="inlineStr">
        <is>
          <t>Not stated in reference</t>
        </is>
      </c>
      <c r="N455" s="73" t="inlineStr">
        <is>
          <t>Clarification required</t>
        </is>
      </c>
      <c r="O455" s="73" t="inlineStr">
        <is>
          <t>Block 7.75 h &gt;= 4 h. Reference names caterer PASB (KUL) for the KUL/ADL/KUL sector but no uplift station: confirm whether the ADL-KUL sales cart is loaded at KUL (round trip) or at ADL.</t>
        </is>
      </c>
      <c r="P455" s="63" t="inlineStr">
        <is>
          <t>ADL</t>
        </is>
      </c>
      <c r="Q455" s="65">
        <f>Flights!$AF$17</f>
        <v/>
      </c>
      <c r="R455" s="65">
        <f>Q455+(IF(AND(INDEX(TZ_DSTS,MATCH(P455,TZ_STN,0))&lt;&gt;"",Q455&gt;=INDEX(TZ_DSTS,MATCH(P455,TZ_STN,0)),Q455&lt;INDEX(TZ_DSTE,MATCH(P455,TZ_STN,0))),INDEX(TZ_DST,MATCH(P455,TZ_STN,0)),INDEX(TZ_STD,MATCH(P455,TZ_STN,0))))/24</f>
        <v/>
      </c>
      <c r="S455" s="65">
        <f>Q455-UpliftWindowH/24</f>
        <v/>
      </c>
      <c r="T455" s="66" t="n"/>
      <c r="U455" s="66" t="n"/>
      <c r="V455" s="66" t="n"/>
      <c r="W455" s="67" t="n"/>
      <c r="X455" s="66" t="n"/>
      <c r="Y455" s="66" t="n"/>
      <c r="Z455" s="66" t="n"/>
      <c r="AA455" s="66" t="n"/>
      <c r="AB455" s="66" t="n"/>
      <c r="AC455" s="66" t="n"/>
      <c r="AD455" s="72" t="n"/>
      <c r="AE455" s="66" t="n"/>
      <c r="AF455" s="67">
        <f>IF(AND(ISNUMBER(X455),ISNUMBER(Y455)),Y455-X455,"")</f>
        <v/>
      </c>
      <c r="AG455" s="68">
        <f>IF(ISNUMBER(AD455),AD455-(IF(AND(INDEX(TZ_DSTS,MATCH(P455,TZ_STN,0))&lt;&gt;"",(AD455-INDEX(TZ_STD,MATCH(P455,TZ_STN,0))/24)&gt;=INDEX(TZ_DSTS,MATCH(P455,TZ_STN,0)),(AD455-INDEX(TZ_STD,MATCH(P455,TZ_STN,0))/24)&lt;INDEX(TZ_DSTE,MATCH(P455,TZ_STN,0))),INDEX(TZ_DST,MATCH(P455,TZ_STN,0)),INDEX(TZ_STD,MATCH(P455,TZ_STN,0))))/24,"")</f>
        <v/>
      </c>
      <c r="AH455" s="71">
        <f>IF(N455="N/A – rule","N/A – RULE",IF(TRIM(U455)="N/A",IF(AT455=0,"INVALID – N/A not permitted for this mandatory check",IF(AND(TRIM(AC455)&lt;&gt;"",TRIM(AE455)&lt;&gt;"",TRIM(T455)&lt;&gt;""),"N/A – JUSTIFIED","INVALID – N/A needs justification, PIC and verifier")),IF(OR(TRIM(U455)="Pass",TRIM(U455)="Pass after CA"),IF(NOT(ISNUMBER(AD455)),"INVALID – completion time missing",IF(TRIM(T455)="","INVALID – PIC missing",IF(TRIM(Z455)="","INVALID – evidence missing",IF(TRIM(AE455)="","INVALID – verifier missing",IF(AND(AQ455=1,TRIM(W455)=""),"INVALID – batch ID missing",IF(AND(AR455=1,OR(NOT(ISNUMBER(X455)),NOT(ISNUMBER(Y455)))),"INVALID – expected/actual qty missing",IF(IF(AND(TRIM(U455)="Pass",ISNUMBER(AF455)),IF(AF455&lt;&gt;0,"INVALID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recorded/closed","")&lt;&gt;"",IF(AND(TRIM(U455)="Pass",ISNUMBER(AF455)),IF(AF455&lt;&gt;0,"INVALID – qty variance: use Fail or Pass after CA",""),"")&amp;IF(AND(TRIM(U455)="Pass",AB455="Open"),"INVALID – corrective action still open: use Fail, then Pass after CA","")&amp;IF(AND(TRIM(U455)="Pass after CA",OR(TRIM(AA455)="",AB455&lt;&gt;"Closed")),"INVALID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window"),IF(AG455&gt;Flights!$AA$17,"INVALID – completed after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f>
        <v/>
      </c>
      <c r="AI455" s="67">
        <f>IF(OR(AH455="N/A – RULE",AH455="N/A – JUSTIFIED"),0,1)</f>
        <v/>
      </c>
      <c r="AJ455" s="67">
        <f>IF(LEFT(AH455,8)="COMPLETE",1,0)</f>
        <v/>
      </c>
      <c r="AK455" s="67">
        <f>IF(AND(AI455=1,AJ455=0,AsOfUTC&gt;Q455),1,0)</f>
        <v/>
      </c>
      <c r="AL455" s="67">
        <f>IF(AND(AI455=1,OR(TRIM(U455)="Fail",AB455="Open",AND(ISNUMBER(AF455),AF455&lt;&gt;0,TRIM(U455)&lt;&gt;"Pass after CA"))),1,0)</f>
        <v/>
      </c>
      <c r="AM455" s="67">
        <f>IF(LEFT(AH455,7)="INVALID",1,0)</f>
        <v/>
      </c>
      <c r="AN455" s="67">
        <f>IF(AND(N455="Clarification required",AI455=1,AJ455=0),1,0)</f>
        <v/>
      </c>
      <c r="AO455" s="67">
        <f>IF(AK455=1,SUM(AK$5:AK455),"")</f>
        <v/>
      </c>
      <c r="AP455" s="67">
        <f>IF(AL455=1,SUM(AL$5:AL455),"")</f>
        <v/>
      </c>
      <c r="AQ455" s="67" t="n">
        <v>0</v>
      </c>
      <c r="AR455" s="67" t="n">
        <v>0</v>
      </c>
      <c r="AS455" s="67" t="n">
        <v>0</v>
      </c>
      <c r="AT455" s="67" t="n">
        <v>1</v>
      </c>
    </row>
    <row r="456" ht="40" customHeight="1">
      <c r="A456" s="63" t="inlineStr">
        <is>
          <t>F14-T7-01</t>
        </is>
      </c>
      <c r="B456" s="63" t="inlineStr">
        <is>
          <t>F14</t>
        </is>
      </c>
      <c r="C456" s="63">
        <f>Flights!$F$18</f>
        <v/>
      </c>
      <c r="D456" s="64">
        <f>Flights!$D$18</f>
        <v/>
      </c>
      <c r="E456" s="63">
        <f>Flights!$G$18&amp;"-"&amp;Flights!$H$18</f>
        <v/>
      </c>
      <c r="F456" s="63">
        <f>Flights!$K$18</f>
        <v/>
      </c>
      <c r="G456" s="63" t="inlineStr">
        <is>
          <t>T-7D</t>
        </is>
      </c>
      <c r="H456" s="63" t="inlineStr">
        <is>
          <t>Preparation</t>
        </is>
      </c>
      <c r="I456" s="63" t="inlineStr">
        <is>
          <t>Meal</t>
        </is>
      </c>
      <c r="J456" s="63" t="inlineStr">
        <is>
          <t>Meal sensory testing completed for this flight's menu cycle (assessed class)</t>
        </is>
      </c>
      <c r="K456" s="73" t="inlineStr">
        <is>
          <t>Record panel result / score in Result</t>
        </is>
      </c>
      <c r="L456" s="73" t="inlineStr">
        <is>
          <t>User brief (T-7 days)</t>
        </is>
      </c>
      <c r="M456" s="73" t="inlineStr"/>
      <c r="N456" s="73" t="inlineStr">
        <is>
          <t>Required</t>
        </is>
      </c>
      <c r="O456" s="73" t="inlineStr"/>
      <c r="P456" s="63" t="inlineStr">
        <is>
          <t>KUL</t>
        </is>
      </c>
      <c r="Q456" s="65">
        <f>Flights!$AC$18</f>
        <v/>
      </c>
      <c r="R456" s="65">
        <f>Q456+(IF(AND(INDEX(TZ_DSTS,MATCH(P456,TZ_STN,0))&lt;&gt;"",Q456&gt;=INDEX(TZ_DSTS,MATCH(P456,TZ_STN,0)),Q456&lt;INDEX(TZ_DSTE,MATCH(P456,TZ_STN,0))),INDEX(TZ_DST,MATCH(P456,TZ_STN,0)),INDEX(TZ_STD,MATCH(P456,TZ_STN,0))))/24</f>
        <v/>
      </c>
      <c r="S456" s="65" t="inlineStr"/>
      <c r="T456" s="66" t="n"/>
      <c r="U456" s="66" t="n"/>
      <c r="V456" s="66" t="n"/>
      <c r="W456" s="67" t="n"/>
      <c r="X456" s="66" t="n"/>
      <c r="Y456" s="66" t="n"/>
      <c r="Z456" s="66" t="n"/>
      <c r="AA456" s="66" t="n"/>
      <c r="AB456" s="66" t="n"/>
      <c r="AC456" s="66" t="n"/>
      <c r="AD456" s="72" t="n"/>
      <c r="AE456" s="66" t="n"/>
      <c r="AF456" s="67">
        <f>IF(AND(ISNUMBER(X456),ISNUMBER(Y456)),Y456-X456,"")</f>
        <v/>
      </c>
      <c r="AG456" s="68">
        <f>IF(ISNUMBER(AD456),AD456-(IF(AND(INDEX(TZ_DSTS,MATCH(P456,TZ_STN,0))&lt;&gt;"",(AD456-INDEX(TZ_STD,MATCH(P456,TZ_STN,0))/24)&gt;=INDEX(TZ_DSTS,MATCH(P456,TZ_STN,0)),(AD456-INDEX(TZ_STD,MATCH(P456,TZ_STN,0))/24)&lt;INDEX(TZ_DSTE,MATCH(P456,TZ_STN,0))),INDEX(TZ_DST,MATCH(P456,TZ_STN,0)),INDEX(TZ_STD,MATCH(P456,TZ_STN,0))))/24,"")</f>
        <v/>
      </c>
      <c r="AH456" s="71">
        <f>IF(N456="N/A – rule","N/A – RULE",IF(TRIM(U456)="N/A",IF(AT456=0,"INVALID – N/A not permitted for this mandatory check",IF(AND(TRIM(AC456)&lt;&gt;"",TRIM(AE456)&lt;&gt;"",TRIM(T456)&lt;&gt;""),"N/A – JUSTIFIED","INVALID – N/A needs justification, PIC and verifier")),IF(OR(TRIM(U456)="Pass",TRIM(U456)="Pass after CA"),IF(NOT(ISNUMBER(AD456)),"INVALID – completion time missing",IF(TRIM(T456)="","INVALID – PIC missing",IF(TRIM(Z456)="","INVALID – evidence missing",IF(TRIM(AE456)="","INVALID – verifier missing",IF(AND(AQ456=1,TRIM(W456)=""),"INVALID – batch ID missing",IF(AND(AR456=1,OR(NOT(ISNUMBER(X456)),NOT(ISNUMBER(Y456)))),"INVALID – expected/actual qty missing",IF(IF(AND(TRIM(U456)="Pass",ISNUMBER(AF456)),IF(AF456&lt;&gt;0,"INVALID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recorded/closed","")&lt;&gt;"",IF(AND(TRIM(U456)="Pass",ISNUMBER(AF456)),IF(AF456&lt;&gt;0,"INVALID – qty variance: use Fail or Pass after CA",""),"")&amp;IF(AND(TRIM(U456)="Pass",AB456="Open"),"INVALID – corrective action still open: use Fail, then Pass after CA","")&amp;IF(AND(TRIM(U456)="Pass after CA",OR(TRIM(AA456)="",AB456&lt;&gt;"Closed")),"INVALID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window"),IF(AG456&gt;Flights!$AA$18,"INVALID – completed after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f>
        <v/>
      </c>
      <c r="AI456" s="67">
        <f>IF(OR(AH456="N/A – RULE",AH456="N/A – JUSTIFIED"),0,1)</f>
        <v/>
      </c>
      <c r="AJ456" s="67">
        <f>IF(LEFT(AH456,8)="COMPLETE",1,0)</f>
        <v/>
      </c>
      <c r="AK456" s="67">
        <f>IF(AND(AI456=1,AJ456=0,AsOfUTC&gt;Q456),1,0)</f>
        <v/>
      </c>
      <c r="AL456" s="67">
        <f>IF(AND(AI456=1,OR(TRIM(U456)="Fail",AB456="Open",AND(ISNUMBER(AF456),AF456&lt;&gt;0,TRIM(U456)&lt;&gt;"Pass after CA"))),1,0)</f>
        <v/>
      </c>
      <c r="AM456" s="67">
        <f>IF(LEFT(AH456,7)="INVALID",1,0)</f>
        <v/>
      </c>
      <c r="AN456" s="67">
        <f>IF(AND(N456="Clarification required",AI456=1,AJ456=0),1,0)</f>
        <v/>
      </c>
      <c r="AO456" s="67">
        <f>IF(AK456=1,SUM(AK$5:AK456),"")</f>
        <v/>
      </c>
      <c r="AP456" s="67">
        <f>IF(AL456=1,SUM(AL$5:AL456),"")</f>
        <v/>
      </c>
      <c r="AQ456" s="67" t="n">
        <v>0</v>
      </c>
      <c r="AR456" s="67" t="n">
        <v>0</v>
      </c>
      <c r="AS456" s="67" t="n">
        <v>0</v>
      </c>
      <c r="AT456" s="67" t="n">
        <v>0</v>
      </c>
    </row>
    <row r="457" ht="40" customHeight="1">
      <c r="A457" s="63" t="inlineStr">
        <is>
          <t>F14-T7-02</t>
        </is>
      </c>
      <c r="B457" s="63" t="inlineStr">
        <is>
          <t>F14</t>
        </is>
      </c>
      <c r="C457" s="63">
        <f>Flights!$F$18</f>
        <v/>
      </c>
      <c r="D457" s="64">
        <f>Flights!$D$18</f>
        <v/>
      </c>
      <c r="E457" s="63">
        <f>Flights!$G$18&amp;"-"&amp;Flights!$H$18</f>
        <v/>
      </c>
      <c r="F457" s="63">
        <f>Flights!$K$18</f>
        <v/>
      </c>
      <c r="G457" s="63" t="inlineStr">
        <is>
          <t>T-7D</t>
        </is>
      </c>
      <c r="H457" s="63" t="inlineStr">
        <is>
          <t>Preparation</t>
        </is>
      </c>
      <c r="I457" s="63" t="inlineStr">
        <is>
          <t>Menu</t>
        </is>
      </c>
      <c r="J457" s="63" t="inlineStr">
        <is>
          <t>Printed menu cards confirmed (content, cycle, language, quantity)</t>
        </is>
      </c>
      <c r="K457" s="73" t="inlineStr">
        <is>
          <t>Menu card matches approved menu for this flight</t>
        </is>
      </c>
      <c r="L457" s="73" t="inlineStr">
        <is>
          <t>User brief (T-7 days)</t>
        </is>
      </c>
      <c r="M457" s="73" t="inlineStr"/>
      <c r="N457" s="73" t="inlineStr">
        <is>
          <t>Required</t>
        </is>
      </c>
      <c r="O457" s="73" t="inlineStr"/>
      <c r="P457" s="63" t="inlineStr">
        <is>
          <t>KUL</t>
        </is>
      </c>
      <c r="Q457" s="65">
        <f>Flights!$AC$18</f>
        <v/>
      </c>
      <c r="R457" s="65">
        <f>Q457+(IF(AND(INDEX(TZ_DSTS,MATCH(P457,TZ_STN,0))&lt;&gt;"",Q457&gt;=INDEX(TZ_DSTS,MATCH(P457,TZ_STN,0)),Q457&lt;INDEX(TZ_DSTE,MATCH(P457,TZ_STN,0))),INDEX(TZ_DST,MATCH(P457,TZ_STN,0)),INDEX(TZ_STD,MATCH(P457,TZ_STN,0))))/24</f>
        <v/>
      </c>
      <c r="S457" s="65" t="inlineStr"/>
      <c r="T457" s="66" t="n"/>
      <c r="U457" s="66" t="n"/>
      <c r="V457" s="66" t="n"/>
      <c r="W457" s="67" t="n"/>
      <c r="X457" s="66" t="n"/>
      <c r="Y457" s="66" t="n"/>
      <c r="Z457" s="66" t="n"/>
      <c r="AA457" s="66" t="n"/>
      <c r="AB457" s="66" t="n"/>
      <c r="AC457" s="66" t="n"/>
      <c r="AD457" s="72" t="n"/>
      <c r="AE457" s="66" t="n"/>
      <c r="AF457" s="67">
        <f>IF(AND(ISNUMBER(X457),ISNUMBER(Y457)),Y457-X457,"")</f>
        <v/>
      </c>
      <c r="AG457" s="68">
        <f>IF(ISNUMBER(AD457),AD457-(IF(AND(INDEX(TZ_DSTS,MATCH(P457,TZ_STN,0))&lt;&gt;"",(AD457-INDEX(TZ_STD,MATCH(P457,TZ_STN,0))/24)&gt;=INDEX(TZ_DSTS,MATCH(P457,TZ_STN,0)),(AD457-INDEX(TZ_STD,MATCH(P457,TZ_STN,0))/24)&lt;INDEX(TZ_DSTE,MATCH(P457,TZ_STN,0))),INDEX(TZ_DST,MATCH(P457,TZ_STN,0)),INDEX(TZ_STD,MATCH(P457,TZ_STN,0))))/24,"")</f>
        <v/>
      </c>
      <c r="AH457" s="71">
        <f>IF(N457="N/A – rule","N/A – RULE",IF(TRIM(U457)="N/A",IF(AT457=0,"INVALID – N/A not permitted for this mandatory check",IF(AND(TRIM(AC457)&lt;&gt;"",TRIM(AE457)&lt;&gt;"",TRIM(T457)&lt;&gt;""),"N/A – JUSTIFIED","INVALID – N/A needs justification, PIC and verifier")),IF(OR(TRIM(U457)="Pass",TRIM(U457)="Pass after CA"),IF(NOT(ISNUMBER(AD457)),"INVALID – completion time missing",IF(TRIM(T457)="","INVALID – PIC missing",IF(TRIM(Z457)="","INVALID – evidence missing",IF(TRIM(AE457)="","INVALID – verifier missing",IF(AND(AQ457=1,TRIM(W457)=""),"INVALID – batch ID missing",IF(AND(AR457=1,OR(NOT(ISNUMBER(X457)),NOT(ISNUMBER(Y457)))),"INVALID – expected/actual qty missing",IF(IF(AND(TRIM(U457)="Pass",ISNUMBER(AF457)),IF(AF457&lt;&gt;0,"INVALID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recorded/closed","")&lt;&gt;"",IF(AND(TRIM(U457)="Pass",ISNUMBER(AF457)),IF(AF457&lt;&gt;0,"INVALID – qty variance: use Fail or Pass after CA",""),"")&amp;IF(AND(TRIM(U457)="Pass",AB457="Open"),"INVALID – corrective action still open: use Fail, then Pass after CA","")&amp;IF(AND(TRIM(U457)="Pass after CA",OR(TRIM(AA457)="",AB457&lt;&gt;"Closed")),"INVALID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window"),IF(AG457&gt;Flights!$AA$18,"INVALID – completed after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f>
        <v/>
      </c>
      <c r="AI457" s="67">
        <f>IF(OR(AH457="N/A – RULE",AH457="N/A – JUSTIFIED"),0,1)</f>
        <v/>
      </c>
      <c r="AJ457" s="67">
        <f>IF(LEFT(AH457,8)="COMPLETE",1,0)</f>
        <v/>
      </c>
      <c r="AK457" s="67">
        <f>IF(AND(AI457=1,AJ457=0,AsOfUTC&gt;Q457),1,0)</f>
        <v/>
      </c>
      <c r="AL457" s="67">
        <f>IF(AND(AI457=1,OR(TRIM(U457)="Fail",AB457="Open",AND(ISNUMBER(AF457),AF457&lt;&gt;0,TRIM(U457)&lt;&gt;"Pass after CA"))),1,0)</f>
        <v/>
      </c>
      <c r="AM457" s="67">
        <f>IF(LEFT(AH457,7)="INVALID",1,0)</f>
        <v/>
      </c>
      <c r="AN457" s="67">
        <f>IF(AND(N457="Clarification required",AI457=1,AJ457=0),1,0)</f>
        <v/>
      </c>
      <c r="AO457" s="67">
        <f>IF(AK457=1,SUM(AK$5:AK457),"")</f>
        <v/>
      </c>
      <c r="AP457" s="67">
        <f>IF(AL457=1,SUM(AL$5:AL457),"")</f>
        <v/>
      </c>
      <c r="AQ457" s="67" t="n">
        <v>0</v>
      </c>
      <c r="AR457" s="67" t="n">
        <v>0</v>
      </c>
      <c r="AS457" s="67" t="n">
        <v>0</v>
      </c>
      <c r="AT457" s="67" t="n">
        <v>1</v>
      </c>
    </row>
    <row r="458" ht="41.5" customHeight="1">
      <c r="A458" s="63" t="inlineStr">
        <is>
          <t>F14-T7-03</t>
        </is>
      </c>
      <c r="B458" s="63" t="inlineStr">
        <is>
          <t>F14</t>
        </is>
      </c>
      <c r="C458" s="63">
        <f>Flights!$F$18</f>
        <v/>
      </c>
      <c r="D458" s="64">
        <f>Flights!$D$18</f>
        <v/>
      </c>
      <c r="E458" s="63">
        <f>Flights!$G$18&amp;"-"&amp;Flights!$H$18</f>
        <v/>
      </c>
      <c r="F458" s="63">
        <f>Flights!$K$18</f>
        <v/>
      </c>
      <c r="G458" s="63" t="inlineStr">
        <is>
          <t>T-7D</t>
        </is>
      </c>
      <c r="H458" s="63" t="inlineStr">
        <is>
          <t>Preparation</t>
        </is>
      </c>
      <c r="I458" s="63" t="inlineStr">
        <is>
          <t>IFE</t>
        </is>
      </c>
      <c r="J458" s="63" t="inlineStr">
        <is>
          <t>Digital menu in IFE confirmed (A339 only)</t>
        </is>
      </c>
      <c r="K458" s="73" t="inlineStr">
        <is>
          <t>Applies when fleet = A339</t>
        </is>
      </c>
      <c r="L458" s="73" t="inlineStr">
        <is>
          <t>User brief (T-7 days)</t>
        </is>
      </c>
      <c r="M458" s="73" t="inlineStr"/>
      <c r="N458" s="73">
        <f>IF(TRIM(Flights!$L$18)="A339","Required","N/A – rule")</f>
        <v/>
      </c>
      <c r="O458" s="73" t="inlineStr">
        <is>
          <t>Digital IFE menu applies to A339 only (user brief). Applicability follows the Fleet cell on Flights.</t>
        </is>
      </c>
      <c r="P458" s="63" t="inlineStr">
        <is>
          <t>KUL</t>
        </is>
      </c>
      <c r="Q458" s="65">
        <f>Flights!$AC$18</f>
        <v/>
      </c>
      <c r="R458" s="65">
        <f>Q458+(IF(AND(INDEX(TZ_DSTS,MATCH(P458,TZ_STN,0))&lt;&gt;"",Q458&gt;=INDEX(TZ_DSTS,MATCH(P458,TZ_STN,0)),Q458&lt;INDEX(TZ_DSTE,MATCH(P458,TZ_STN,0))),INDEX(TZ_DST,MATCH(P458,TZ_STN,0)),INDEX(TZ_STD,MATCH(P458,TZ_STN,0))))/24</f>
        <v/>
      </c>
      <c r="S458" s="65" t="inlineStr"/>
      <c r="T458" s="66" t="n"/>
      <c r="U458" s="66" t="n"/>
      <c r="V458" s="66" t="n"/>
      <c r="W458" s="67" t="n"/>
      <c r="X458" s="66" t="n"/>
      <c r="Y458" s="66" t="n"/>
      <c r="Z458" s="66" t="n"/>
      <c r="AA458" s="66" t="n"/>
      <c r="AB458" s="66" t="n"/>
      <c r="AC458" s="66" t="n"/>
      <c r="AD458" s="72" t="n"/>
      <c r="AE458" s="66" t="n"/>
      <c r="AF458" s="67">
        <f>IF(AND(ISNUMBER(X458),ISNUMBER(Y458)),Y458-X458,"")</f>
        <v/>
      </c>
      <c r="AG458" s="68">
        <f>IF(ISNUMBER(AD458),AD458-(IF(AND(INDEX(TZ_DSTS,MATCH(P458,TZ_STN,0))&lt;&gt;"",(AD458-INDEX(TZ_STD,MATCH(P458,TZ_STN,0))/24)&gt;=INDEX(TZ_DSTS,MATCH(P458,TZ_STN,0)),(AD458-INDEX(TZ_STD,MATCH(P458,TZ_STN,0))/24)&lt;INDEX(TZ_DSTE,MATCH(P458,TZ_STN,0))),INDEX(TZ_DST,MATCH(P458,TZ_STN,0)),INDEX(TZ_STD,MATCH(P458,TZ_STN,0))))/24,"")</f>
        <v/>
      </c>
      <c r="AH458" s="71">
        <f>IF(N458="N/A – rule","N/A – RULE",IF(TRIM(U458)="N/A",IF(AT458=0,"INVALID – N/A not permitted for this mandatory check",IF(AND(TRIM(AC458)&lt;&gt;"",TRIM(AE458)&lt;&gt;"",TRIM(T458)&lt;&gt;""),"N/A – JUSTIFIED","INVALID – N/A needs justification, PIC and verifier")),IF(OR(TRIM(U458)="Pass",TRIM(U458)="Pass after CA"),IF(NOT(ISNUMBER(AD458)),"INVALID – completion time missing",IF(TRIM(T458)="","INVALID – PIC missing",IF(TRIM(Z458)="","INVALID – evidence missing",IF(TRIM(AE458)="","INVALID – verifier missing",IF(AND(AQ458=1,TRIM(W458)=""),"INVALID – batch ID missing",IF(AND(AR458=1,OR(NOT(ISNUMBER(X458)),NOT(ISNUMBER(Y458)))),"INVALID – expected/actual qty missing",IF(IF(AND(TRIM(U458)="Pass",ISNUMBER(AF458)),IF(AF458&lt;&gt;0,"INVALID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recorded/closed","")&lt;&gt;"",IF(AND(TRIM(U458)="Pass",ISNUMBER(AF458)),IF(AF458&lt;&gt;0,"INVALID – qty variance: use Fail or Pass after CA",""),"")&amp;IF(AND(TRIM(U458)="Pass",AB458="Open"),"INVALID – corrective action still open: use Fail, then Pass after CA","")&amp;IF(AND(TRIM(U458)="Pass after CA",OR(TRIM(AA458)="",AB458&lt;&gt;"Closed")),"INVALID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window"),IF(AG458&gt;Flights!$AA$18,"INVALID – completed after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f>
        <v/>
      </c>
      <c r="AI458" s="67">
        <f>IF(OR(AH458="N/A – RULE",AH458="N/A – JUSTIFIED"),0,1)</f>
        <v/>
      </c>
      <c r="AJ458" s="67">
        <f>IF(LEFT(AH458,8)="COMPLETE",1,0)</f>
        <v/>
      </c>
      <c r="AK458" s="67">
        <f>IF(AND(AI458=1,AJ458=0,AsOfUTC&gt;Q458),1,0)</f>
        <v/>
      </c>
      <c r="AL458" s="67">
        <f>IF(AND(AI458=1,OR(TRIM(U458)="Fail",AB458="Open",AND(ISNUMBER(AF458),AF458&lt;&gt;0,TRIM(U458)&lt;&gt;"Pass after CA"))),1,0)</f>
        <v/>
      </c>
      <c r="AM458" s="67">
        <f>IF(LEFT(AH458,7)="INVALID",1,0)</f>
        <v/>
      </c>
      <c r="AN458" s="67">
        <f>IF(AND(N458="Clarification required",AI458=1,AJ458=0),1,0)</f>
        <v/>
      </c>
      <c r="AO458" s="67">
        <f>IF(AK458=1,SUM(AK$5:AK458),"")</f>
        <v/>
      </c>
      <c r="AP458" s="67">
        <f>IF(AL458=1,SUM(AL$5:AL458),"")</f>
        <v/>
      </c>
      <c r="AQ458" s="67" t="n">
        <v>0</v>
      </c>
      <c r="AR458" s="67" t="n">
        <v>0</v>
      </c>
      <c r="AS458" s="67" t="n">
        <v>0</v>
      </c>
      <c r="AT458" s="67" t="n">
        <v>0</v>
      </c>
    </row>
    <row r="459" ht="40" customHeight="1">
      <c r="A459" s="63" t="inlineStr">
        <is>
          <t>F14-T7-04</t>
        </is>
      </c>
      <c r="B459" s="63" t="inlineStr">
        <is>
          <t>F14</t>
        </is>
      </c>
      <c r="C459" s="63">
        <f>Flights!$F$18</f>
        <v/>
      </c>
      <c r="D459" s="64">
        <f>Flights!$D$18</f>
        <v/>
      </c>
      <c r="E459" s="63">
        <f>Flights!$G$18&amp;"-"&amp;Flights!$H$18</f>
        <v/>
      </c>
      <c r="F459" s="63">
        <f>Flights!$K$18</f>
        <v/>
      </c>
      <c r="G459" s="63" t="inlineStr">
        <is>
          <t>T-7D</t>
        </is>
      </c>
      <c r="H459" s="63" t="inlineStr">
        <is>
          <t>Preparation</t>
        </is>
      </c>
      <c r="I459" s="63" t="inlineStr">
        <is>
          <t>Staffing</t>
        </is>
      </c>
      <c r="J459" s="63" t="inlineStr">
        <is>
          <t>Experienced catering officer assigned to this flight</t>
        </is>
      </c>
      <c r="K459" s="73" t="inlineStr">
        <is>
          <t>Record officer name in Result</t>
        </is>
      </c>
      <c r="L459" s="73" t="inlineStr">
        <is>
          <t>User brief (T-7 days)</t>
        </is>
      </c>
      <c r="M459" s="73" t="inlineStr"/>
      <c r="N459" s="73" t="inlineStr">
        <is>
          <t>Required</t>
        </is>
      </c>
      <c r="O459" s="73" t="inlineStr"/>
      <c r="P459" s="63" t="inlineStr">
        <is>
          <t>KUL</t>
        </is>
      </c>
      <c r="Q459" s="65">
        <f>Flights!$AC$18</f>
        <v/>
      </c>
      <c r="R459" s="65">
        <f>Q459+(IF(AND(INDEX(TZ_DSTS,MATCH(P459,TZ_STN,0))&lt;&gt;"",Q459&gt;=INDEX(TZ_DSTS,MATCH(P459,TZ_STN,0)),Q459&lt;INDEX(TZ_DSTE,MATCH(P459,TZ_STN,0))),INDEX(TZ_DST,MATCH(P459,TZ_STN,0)),INDEX(TZ_STD,MATCH(P459,TZ_STN,0))))/24</f>
        <v/>
      </c>
      <c r="S459" s="65" t="inlineStr"/>
      <c r="T459" s="66" t="n"/>
      <c r="U459" s="66" t="n"/>
      <c r="V459" s="66" t="n"/>
      <c r="W459" s="67" t="n"/>
      <c r="X459" s="66" t="n"/>
      <c r="Y459" s="66" t="n"/>
      <c r="Z459" s="66" t="n"/>
      <c r="AA459" s="66" t="n"/>
      <c r="AB459" s="66" t="n"/>
      <c r="AC459" s="66" t="n"/>
      <c r="AD459" s="72" t="n"/>
      <c r="AE459" s="66" t="n"/>
      <c r="AF459" s="67">
        <f>IF(AND(ISNUMBER(X459),ISNUMBER(Y459)),Y459-X459,"")</f>
        <v/>
      </c>
      <c r="AG459" s="68">
        <f>IF(ISNUMBER(AD459),AD459-(IF(AND(INDEX(TZ_DSTS,MATCH(P459,TZ_STN,0))&lt;&gt;"",(AD459-INDEX(TZ_STD,MATCH(P459,TZ_STN,0))/24)&gt;=INDEX(TZ_DSTS,MATCH(P459,TZ_STN,0)),(AD459-INDEX(TZ_STD,MATCH(P459,TZ_STN,0))/24)&lt;INDEX(TZ_DSTE,MATCH(P459,TZ_STN,0))),INDEX(TZ_DST,MATCH(P459,TZ_STN,0)),INDEX(TZ_STD,MATCH(P459,TZ_STN,0))))/24,"")</f>
        <v/>
      </c>
      <c r="AH459" s="71">
        <f>IF(N459="N/A – rule","N/A – RULE",IF(TRIM(U459)="N/A",IF(AT459=0,"INVALID – N/A not permitted for this mandatory check",IF(AND(TRIM(AC459)&lt;&gt;"",TRIM(AE459)&lt;&gt;"",TRIM(T459)&lt;&gt;""),"N/A – JUSTIFIED","INVALID – N/A needs justification, PIC and verifier")),IF(OR(TRIM(U459)="Pass",TRIM(U459)="Pass after CA"),IF(NOT(ISNUMBER(AD459)),"INVALID – completion time missing",IF(TRIM(T459)="","INVALID – PIC missing",IF(TRIM(Z459)="","INVALID – evidence missing",IF(TRIM(AE459)="","INVALID – verifier missing",IF(AND(AQ459=1,TRIM(W459)=""),"INVALID – batch ID missing",IF(AND(AR459=1,OR(NOT(ISNUMBER(X459)),NOT(ISNUMBER(Y459)))),"INVALID – expected/actual qty missing",IF(IF(AND(TRIM(U459)="Pass",ISNUMBER(AF459)),IF(AF459&lt;&gt;0,"INVALID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recorded/closed","")&lt;&gt;"",IF(AND(TRIM(U459)="Pass",ISNUMBER(AF459)),IF(AF459&lt;&gt;0,"INVALID – qty variance: use Fail or Pass after CA",""),"")&amp;IF(AND(TRIM(U459)="Pass",AB459="Open"),"INVALID – corrective action still open: use Fail, then Pass after CA","")&amp;IF(AND(TRIM(U459)="Pass after CA",OR(TRIM(AA459)="",AB459&lt;&gt;"Closed")),"INVALID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window"),IF(AG459&gt;Flights!$AA$18,"INVALID – completed after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f>
        <v/>
      </c>
      <c r="AI459" s="67">
        <f>IF(OR(AH459="N/A – RULE",AH459="N/A – JUSTIFIED"),0,1)</f>
        <v/>
      </c>
      <c r="AJ459" s="67">
        <f>IF(LEFT(AH459,8)="COMPLETE",1,0)</f>
        <v/>
      </c>
      <c r="AK459" s="67">
        <f>IF(AND(AI459=1,AJ459=0,AsOfUTC&gt;Q459),1,0)</f>
        <v/>
      </c>
      <c r="AL459" s="67">
        <f>IF(AND(AI459=1,OR(TRIM(U459)="Fail",AB459="Open",AND(ISNUMBER(AF459),AF459&lt;&gt;0,TRIM(U459)&lt;&gt;"Pass after CA"))),1,0)</f>
        <v/>
      </c>
      <c r="AM459" s="67">
        <f>IF(LEFT(AH459,7)="INVALID",1,0)</f>
        <v/>
      </c>
      <c r="AN459" s="67">
        <f>IF(AND(N459="Clarification required",AI459=1,AJ459=0),1,0)</f>
        <v/>
      </c>
      <c r="AO459" s="67">
        <f>IF(AK459=1,SUM(AK$5:AK459),"")</f>
        <v/>
      </c>
      <c r="AP459" s="67">
        <f>IF(AL459=1,SUM(AL$5:AL459),"")</f>
        <v/>
      </c>
      <c r="AQ459" s="67" t="n">
        <v>0</v>
      </c>
      <c r="AR459" s="67" t="n">
        <v>0</v>
      </c>
      <c r="AS459" s="67" t="n">
        <v>0</v>
      </c>
      <c r="AT459" s="67" t="n">
        <v>0</v>
      </c>
    </row>
    <row r="460" ht="40" customHeight="1">
      <c r="A460" s="63" t="inlineStr">
        <is>
          <t>F14-T7-05</t>
        </is>
      </c>
      <c r="B460" s="63" t="inlineStr">
        <is>
          <t>F14</t>
        </is>
      </c>
      <c r="C460" s="63">
        <f>Flights!$F$18</f>
        <v/>
      </c>
      <c r="D460" s="64">
        <f>Flights!$D$18</f>
        <v/>
      </c>
      <c r="E460" s="63">
        <f>Flights!$G$18&amp;"-"&amp;Flights!$H$18</f>
        <v/>
      </c>
      <c r="F460" s="63">
        <f>Flights!$K$18</f>
        <v/>
      </c>
      <c r="G460" s="63" t="inlineStr">
        <is>
          <t>T-7D</t>
        </is>
      </c>
      <c r="H460" s="63" t="inlineStr">
        <is>
          <t>Preparation</t>
        </is>
      </c>
      <c r="I460" s="63" t="inlineStr">
        <is>
          <t>ISOP</t>
        </is>
      </c>
      <c r="J460" s="63" t="inlineStr">
        <is>
          <t>All latest applicable ISOP revisions communicated to caterer</t>
        </is>
      </c>
      <c r="K460" s="73" t="inlineStr">
        <is>
          <t>List revision numbers in Result (see ISOP register)</t>
        </is>
      </c>
      <c r="L460" s="73" t="inlineStr">
        <is>
          <t>User brief (T-7 days)</t>
        </is>
      </c>
      <c r="M460" s="73" t="inlineStr"/>
      <c r="N460" s="73" t="inlineStr">
        <is>
          <t>Required</t>
        </is>
      </c>
      <c r="O460" s="73" t="inlineStr"/>
      <c r="P460" s="63" t="inlineStr">
        <is>
          <t>KUL</t>
        </is>
      </c>
      <c r="Q460" s="65">
        <f>Flights!$AC$18</f>
        <v/>
      </c>
      <c r="R460" s="65">
        <f>Q460+(IF(AND(INDEX(TZ_DSTS,MATCH(P460,TZ_STN,0))&lt;&gt;"",Q460&gt;=INDEX(TZ_DSTS,MATCH(P460,TZ_STN,0)),Q460&lt;INDEX(TZ_DSTE,MATCH(P460,TZ_STN,0))),INDEX(TZ_DST,MATCH(P460,TZ_STN,0)),INDEX(TZ_STD,MATCH(P460,TZ_STN,0))))/24</f>
        <v/>
      </c>
      <c r="S460" s="65" t="inlineStr"/>
      <c r="T460" s="66" t="n"/>
      <c r="U460" s="66" t="n"/>
      <c r="V460" s="66" t="n"/>
      <c r="W460" s="67" t="n"/>
      <c r="X460" s="66" t="n"/>
      <c r="Y460" s="66" t="n"/>
      <c r="Z460" s="66" t="n"/>
      <c r="AA460" s="66" t="n"/>
      <c r="AB460" s="66" t="n"/>
      <c r="AC460" s="66" t="n"/>
      <c r="AD460" s="72" t="n"/>
      <c r="AE460" s="66" t="n"/>
      <c r="AF460" s="67">
        <f>IF(AND(ISNUMBER(X460),ISNUMBER(Y460)),Y460-X460,"")</f>
        <v/>
      </c>
      <c r="AG460" s="68">
        <f>IF(ISNUMBER(AD460),AD460-(IF(AND(INDEX(TZ_DSTS,MATCH(P460,TZ_STN,0))&lt;&gt;"",(AD460-INDEX(TZ_STD,MATCH(P460,TZ_STN,0))/24)&gt;=INDEX(TZ_DSTS,MATCH(P460,TZ_STN,0)),(AD460-INDEX(TZ_STD,MATCH(P460,TZ_STN,0))/24)&lt;INDEX(TZ_DSTE,MATCH(P460,TZ_STN,0))),INDEX(TZ_DST,MATCH(P460,TZ_STN,0)),INDEX(TZ_STD,MATCH(P460,TZ_STN,0))))/24,"")</f>
        <v/>
      </c>
      <c r="AH460" s="71">
        <f>IF(N460="N/A – rule","N/A – RULE",IF(TRIM(U460)="N/A",IF(AT460=0,"INVALID – N/A not permitted for this mandatory check",IF(AND(TRIM(AC460)&lt;&gt;"",TRIM(AE460)&lt;&gt;"",TRIM(T460)&lt;&gt;""),"N/A – JUSTIFIED","INVALID – N/A needs justification, PIC and verifier")),IF(OR(TRIM(U460)="Pass",TRIM(U460)="Pass after CA"),IF(NOT(ISNUMBER(AD460)),"INVALID – completion time missing",IF(TRIM(T460)="","INVALID – PIC missing",IF(TRIM(Z460)="","INVALID – evidence missing",IF(TRIM(AE460)="","INVALID – verifier missing",IF(AND(AQ460=1,TRIM(W460)=""),"INVALID – batch ID missing",IF(AND(AR460=1,OR(NOT(ISNUMBER(X460)),NOT(ISNUMBER(Y460)))),"INVALID – expected/actual qty missing",IF(IF(AND(TRIM(U460)="Pass",ISNUMBER(AF460)),IF(AF460&lt;&gt;0,"INVALID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recorded/closed","")&lt;&gt;"",IF(AND(TRIM(U460)="Pass",ISNUMBER(AF460)),IF(AF460&lt;&gt;0,"INVALID – qty variance: use Fail or Pass after CA",""),"")&amp;IF(AND(TRIM(U460)="Pass",AB460="Open"),"INVALID – corrective action still open: use Fail, then Pass after CA","")&amp;IF(AND(TRIM(U460)="Pass after CA",OR(TRIM(AA460)="",AB460&lt;&gt;"Closed")),"INVALID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window"),IF(AG460&gt;Flights!$AA$18,"INVALID – completed after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f>
        <v/>
      </c>
      <c r="AI460" s="67">
        <f>IF(OR(AH460="N/A – RULE",AH460="N/A – JUSTIFIED"),0,1)</f>
        <v/>
      </c>
      <c r="AJ460" s="67">
        <f>IF(LEFT(AH460,8)="COMPLETE",1,0)</f>
        <v/>
      </c>
      <c r="AK460" s="67">
        <f>IF(AND(AI460=1,AJ460=0,AsOfUTC&gt;Q460),1,0)</f>
        <v/>
      </c>
      <c r="AL460" s="67">
        <f>IF(AND(AI460=1,OR(TRIM(U460)="Fail",AB460="Open",AND(ISNUMBER(AF460),AF460&lt;&gt;0,TRIM(U460)&lt;&gt;"Pass after CA"))),1,0)</f>
        <v/>
      </c>
      <c r="AM460" s="67">
        <f>IF(LEFT(AH460,7)="INVALID",1,0)</f>
        <v/>
      </c>
      <c r="AN460" s="67">
        <f>IF(AND(N460="Clarification required",AI460=1,AJ460=0),1,0)</f>
        <v/>
      </c>
      <c r="AO460" s="67">
        <f>IF(AK460=1,SUM(AK$5:AK460),"")</f>
        <v/>
      </c>
      <c r="AP460" s="67">
        <f>IF(AL460=1,SUM(AL$5:AL460),"")</f>
        <v/>
      </c>
      <c r="AQ460" s="67" t="n">
        <v>0</v>
      </c>
      <c r="AR460" s="67" t="n">
        <v>0</v>
      </c>
      <c r="AS460" s="67" t="n">
        <v>0</v>
      </c>
      <c r="AT460" s="67" t="n">
        <v>0</v>
      </c>
    </row>
    <row r="461" ht="40" customHeight="1">
      <c r="A461" s="63" t="inlineStr">
        <is>
          <t>F14-T7-06</t>
        </is>
      </c>
      <c r="B461" s="63" t="inlineStr">
        <is>
          <t>F14</t>
        </is>
      </c>
      <c r="C461" s="63">
        <f>Flights!$F$18</f>
        <v/>
      </c>
      <c r="D461" s="64">
        <f>Flights!$D$18</f>
        <v/>
      </c>
      <c r="E461" s="63">
        <f>Flights!$G$18&amp;"-"&amp;Flights!$H$18</f>
        <v/>
      </c>
      <c r="F461" s="63">
        <f>Flights!$K$18</f>
        <v/>
      </c>
      <c r="G461" s="63" t="inlineStr">
        <is>
          <t>T-7D</t>
        </is>
      </c>
      <c r="H461" s="63" t="inlineStr">
        <is>
          <t>Preparation</t>
        </is>
      </c>
      <c r="I461" s="63" t="inlineStr">
        <is>
          <t>ISOP</t>
        </is>
      </c>
      <c r="J461" s="63" t="inlineStr">
        <is>
          <t>Caterer acknowledgement of ISOP revisions recorded</t>
        </is>
      </c>
      <c r="K461" s="73" t="inlineStr">
        <is>
          <t>Record acknowledgement ref in Evidence</t>
        </is>
      </c>
      <c r="L461" s="73" t="inlineStr">
        <is>
          <t>User brief (T-7 days)</t>
        </is>
      </c>
      <c r="M461" s="73" t="inlineStr"/>
      <c r="N461" s="73" t="inlineStr">
        <is>
          <t>Required</t>
        </is>
      </c>
      <c r="O461" s="73" t="inlineStr"/>
      <c r="P461" s="63" t="inlineStr">
        <is>
          <t>KUL</t>
        </is>
      </c>
      <c r="Q461" s="65">
        <f>Flights!$AC$18</f>
        <v/>
      </c>
      <c r="R461" s="65">
        <f>Q461+(IF(AND(INDEX(TZ_DSTS,MATCH(P461,TZ_STN,0))&lt;&gt;"",Q461&gt;=INDEX(TZ_DSTS,MATCH(P461,TZ_STN,0)),Q461&lt;INDEX(TZ_DSTE,MATCH(P461,TZ_STN,0))),INDEX(TZ_DST,MATCH(P461,TZ_STN,0)),INDEX(TZ_STD,MATCH(P461,TZ_STN,0))))/24</f>
        <v/>
      </c>
      <c r="S461" s="65" t="inlineStr"/>
      <c r="T461" s="66" t="n"/>
      <c r="U461" s="66" t="n"/>
      <c r="V461" s="66" t="n"/>
      <c r="W461" s="67" t="n"/>
      <c r="X461" s="66" t="n"/>
      <c r="Y461" s="66" t="n"/>
      <c r="Z461" s="66" t="n"/>
      <c r="AA461" s="66" t="n"/>
      <c r="AB461" s="66" t="n"/>
      <c r="AC461" s="66" t="n"/>
      <c r="AD461" s="72" t="n"/>
      <c r="AE461" s="66" t="n"/>
      <c r="AF461" s="67">
        <f>IF(AND(ISNUMBER(X461),ISNUMBER(Y461)),Y461-X461,"")</f>
        <v/>
      </c>
      <c r="AG461" s="68">
        <f>IF(ISNUMBER(AD461),AD461-(IF(AND(INDEX(TZ_DSTS,MATCH(P461,TZ_STN,0))&lt;&gt;"",(AD461-INDEX(TZ_STD,MATCH(P461,TZ_STN,0))/24)&gt;=INDEX(TZ_DSTS,MATCH(P461,TZ_STN,0)),(AD461-INDEX(TZ_STD,MATCH(P461,TZ_STN,0))/24)&lt;INDEX(TZ_DSTE,MATCH(P461,TZ_STN,0))),INDEX(TZ_DST,MATCH(P461,TZ_STN,0)),INDEX(TZ_STD,MATCH(P461,TZ_STN,0))))/24,"")</f>
        <v/>
      </c>
      <c r="AH461" s="71">
        <f>IF(N461="N/A – rule","N/A – RULE",IF(TRIM(U461)="N/A",IF(AT461=0,"INVALID – N/A not permitted for this mandatory check",IF(AND(TRIM(AC461)&lt;&gt;"",TRIM(AE461)&lt;&gt;"",TRIM(T461)&lt;&gt;""),"N/A – JUSTIFIED","INVALID – N/A needs justification, PIC and verifier")),IF(OR(TRIM(U461)="Pass",TRIM(U461)="Pass after CA"),IF(NOT(ISNUMBER(AD461)),"INVALID – completion time missing",IF(TRIM(T461)="","INVALID – PIC missing",IF(TRIM(Z461)="","INVALID – evidence missing",IF(TRIM(AE461)="","INVALID – verifier missing",IF(AND(AQ461=1,TRIM(W461)=""),"INVALID – batch ID missing",IF(AND(AR461=1,OR(NOT(ISNUMBER(X461)),NOT(ISNUMBER(Y461)))),"INVALID – expected/actual qty missing",IF(IF(AND(TRIM(U461)="Pass",ISNUMBER(AF461)),IF(AF461&lt;&gt;0,"INVALID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recorded/closed","")&lt;&gt;"",IF(AND(TRIM(U461)="Pass",ISNUMBER(AF461)),IF(AF461&lt;&gt;0,"INVALID – qty variance: use Fail or Pass after CA",""),"")&amp;IF(AND(TRIM(U461)="Pass",AB461="Open"),"INVALID – corrective action still open: use Fail, then Pass after CA","")&amp;IF(AND(TRIM(U461)="Pass after CA",OR(TRIM(AA461)="",AB461&lt;&gt;"Closed")),"INVALID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window"),IF(AG461&gt;Flights!$AA$18,"INVALID – completed after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f>
        <v/>
      </c>
      <c r="AI461" s="67">
        <f>IF(OR(AH461="N/A – RULE",AH461="N/A – JUSTIFIED"),0,1)</f>
        <v/>
      </c>
      <c r="AJ461" s="67">
        <f>IF(LEFT(AH461,8)="COMPLETE",1,0)</f>
        <v/>
      </c>
      <c r="AK461" s="67">
        <f>IF(AND(AI461=1,AJ461=0,AsOfUTC&gt;Q461),1,0)</f>
        <v/>
      </c>
      <c r="AL461" s="67">
        <f>IF(AND(AI461=1,OR(TRIM(U461)="Fail",AB461="Open",AND(ISNUMBER(AF461),AF461&lt;&gt;0,TRIM(U461)&lt;&gt;"Pass after CA"))),1,0)</f>
        <v/>
      </c>
      <c r="AM461" s="67">
        <f>IF(LEFT(AH461,7)="INVALID",1,0)</f>
        <v/>
      </c>
      <c r="AN461" s="67">
        <f>IF(AND(N461="Clarification required",AI461=1,AJ461=0),1,0)</f>
        <v/>
      </c>
      <c r="AO461" s="67">
        <f>IF(AK461=1,SUM(AK$5:AK461),"")</f>
        <v/>
      </c>
      <c r="AP461" s="67">
        <f>IF(AL461=1,SUM(AL$5:AL461),"")</f>
        <v/>
      </c>
      <c r="AQ461" s="67" t="n">
        <v>0</v>
      </c>
      <c r="AR461" s="67" t="n">
        <v>0</v>
      </c>
      <c r="AS461" s="67" t="n">
        <v>0</v>
      </c>
      <c r="AT461" s="67" t="n">
        <v>0</v>
      </c>
    </row>
    <row r="462" ht="40" customHeight="1">
      <c r="A462" s="63" t="inlineStr">
        <is>
          <t>F14-T7-07</t>
        </is>
      </c>
      <c r="B462" s="63" t="inlineStr">
        <is>
          <t>F14</t>
        </is>
      </c>
      <c r="C462" s="63">
        <f>Flights!$F$18</f>
        <v/>
      </c>
      <c r="D462" s="64">
        <f>Flights!$D$18</f>
        <v/>
      </c>
      <c r="E462" s="63">
        <f>Flights!$G$18&amp;"-"&amp;Flights!$H$18</f>
        <v/>
      </c>
      <c r="F462" s="63">
        <f>Flights!$K$18</f>
        <v/>
      </c>
      <c r="G462" s="63" t="inlineStr">
        <is>
          <t>T-7D</t>
        </is>
      </c>
      <c r="H462" s="63" t="inlineStr">
        <is>
          <t>Preparation</t>
        </is>
      </c>
      <c r="I462" s="63" t="inlineStr">
        <is>
          <t>Documents</t>
        </is>
      </c>
      <c r="J462" s="63" t="inlineStr">
        <is>
          <t>Galley loading diagram (GLD) received, revision recorded &amp; attached</t>
        </is>
      </c>
      <c r="K462" s="73" t="inlineStr">
        <is>
          <t>Documents sheet row complete</t>
        </is>
      </c>
      <c r="L462" s="73" t="inlineStr">
        <is>
          <t>User brief (T-7 days)</t>
        </is>
      </c>
      <c r="M462" s="73" t="inlineStr"/>
      <c r="N462" s="73" t="inlineStr">
        <is>
          <t>Required</t>
        </is>
      </c>
      <c r="O462" s="73" t="inlineStr"/>
      <c r="P462" s="63" t="inlineStr">
        <is>
          <t>KUL</t>
        </is>
      </c>
      <c r="Q462" s="65">
        <f>Flights!$AC$18</f>
        <v/>
      </c>
      <c r="R462" s="65">
        <f>Q462+(IF(AND(INDEX(TZ_DSTS,MATCH(P462,TZ_STN,0))&lt;&gt;"",Q462&gt;=INDEX(TZ_DSTS,MATCH(P462,TZ_STN,0)),Q462&lt;INDEX(TZ_DSTE,MATCH(P462,TZ_STN,0))),INDEX(TZ_DST,MATCH(P462,TZ_STN,0)),INDEX(TZ_STD,MATCH(P462,TZ_STN,0))))/24</f>
        <v/>
      </c>
      <c r="S462" s="65" t="inlineStr"/>
      <c r="T462" s="66" t="n"/>
      <c r="U462" s="66" t="n"/>
      <c r="V462" s="66" t="n"/>
      <c r="W462" s="67" t="n"/>
      <c r="X462" s="66" t="n"/>
      <c r="Y462" s="66" t="n"/>
      <c r="Z462" s="66" t="n"/>
      <c r="AA462" s="66" t="n"/>
      <c r="AB462" s="66" t="n"/>
      <c r="AC462" s="66" t="n"/>
      <c r="AD462" s="72" t="n"/>
      <c r="AE462" s="66" t="n"/>
      <c r="AF462" s="67">
        <f>IF(AND(ISNUMBER(X462),ISNUMBER(Y462)),Y462-X462,"")</f>
        <v/>
      </c>
      <c r="AG462" s="68">
        <f>IF(ISNUMBER(AD462),AD462-(IF(AND(INDEX(TZ_DSTS,MATCH(P462,TZ_STN,0))&lt;&gt;"",(AD462-INDEX(TZ_STD,MATCH(P462,TZ_STN,0))/24)&gt;=INDEX(TZ_DSTS,MATCH(P462,TZ_STN,0)),(AD462-INDEX(TZ_STD,MATCH(P462,TZ_STN,0))/24)&lt;INDEX(TZ_DSTE,MATCH(P462,TZ_STN,0))),INDEX(TZ_DST,MATCH(P462,TZ_STN,0)),INDEX(TZ_STD,MATCH(P462,TZ_STN,0))))/24,"")</f>
        <v/>
      </c>
      <c r="AH462" s="71">
        <f>IF(N462="N/A – rule","N/A – RULE",IF(TRIM(U462)="N/A",IF(AT462=0,"INVALID – N/A not permitted for this mandatory check",IF(AND(TRIM(AC462)&lt;&gt;"",TRIM(AE462)&lt;&gt;"",TRIM(T462)&lt;&gt;""),"N/A – JUSTIFIED","INVALID – N/A needs justification, PIC and verifier")),IF(OR(TRIM(U462)="Pass",TRIM(U462)="Pass after CA"),IF(NOT(ISNUMBER(AD462)),"INVALID – completion time missing",IF(TRIM(T462)="","INVALID – PIC missing",IF(TRIM(Z462)="","INVALID – evidence missing",IF(TRIM(AE462)="","INVALID – verifier missing",IF(AND(AQ462=1,TRIM(W462)=""),"INVALID – batch ID missing",IF(AND(AR462=1,OR(NOT(ISNUMBER(X462)),NOT(ISNUMBER(Y462)))),"INVALID – expected/actual qty missing",IF(IF(AND(TRIM(U462)="Pass",ISNUMBER(AF462)),IF(AF462&lt;&gt;0,"INVALID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recorded/closed","")&lt;&gt;"",IF(AND(TRIM(U462)="Pass",ISNUMBER(AF462)),IF(AF462&lt;&gt;0,"INVALID – qty variance: use Fail or Pass after CA",""),"")&amp;IF(AND(TRIM(U462)="Pass",AB462="Open"),"INVALID – corrective action still open: use Fail, then Pass after CA","")&amp;IF(AND(TRIM(U462)="Pass after CA",OR(TRIM(AA462)="",AB462&lt;&gt;"Closed")),"INVALID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window"),IF(AG462&gt;Flights!$AA$18,"INVALID – completed after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f>
        <v/>
      </c>
      <c r="AI462" s="67">
        <f>IF(OR(AH462="N/A – RULE",AH462="N/A – JUSTIFIED"),0,1)</f>
        <v/>
      </c>
      <c r="AJ462" s="67">
        <f>IF(LEFT(AH462,8)="COMPLETE",1,0)</f>
        <v/>
      </c>
      <c r="AK462" s="67">
        <f>IF(AND(AI462=1,AJ462=0,AsOfUTC&gt;Q462),1,0)</f>
        <v/>
      </c>
      <c r="AL462" s="67">
        <f>IF(AND(AI462=1,OR(TRIM(U462)="Fail",AB462="Open",AND(ISNUMBER(AF462),AF462&lt;&gt;0,TRIM(U462)&lt;&gt;"Pass after CA"))),1,0)</f>
        <v/>
      </c>
      <c r="AM462" s="67">
        <f>IF(LEFT(AH462,7)="INVALID",1,0)</f>
        <v/>
      </c>
      <c r="AN462" s="67">
        <f>IF(AND(N462="Clarification required",AI462=1,AJ462=0),1,0)</f>
        <v/>
      </c>
      <c r="AO462" s="67">
        <f>IF(AK462=1,SUM(AK$5:AK462),"")</f>
        <v/>
      </c>
      <c r="AP462" s="67">
        <f>IF(AL462=1,SUM(AL$5:AL462),"")</f>
        <v/>
      </c>
      <c r="AQ462" s="67" t="n">
        <v>0</v>
      </c>
      <c r="AR462" s="67" t="n">
        <v>0</v>
      </c>
      <c r="AS462" s="67" t="n">
        <v>1</v>
      </c>
      <c r="AT462" s="67" t="n">
        <v>0</v>
      </c>
    </row>
    <row r="463" ht="40" customHeight="1">
      <c r="A463" s="63" t="inlineStr">
        <is>
          <t>F14-T7-08</t>
        </is>
      </c>
      <c r="B463" s="63" t="inlineStr">
        <is>
          <t>F14</t>
        </is>
      </c>
      <c r="C463" s="63">
        <f>Flights!$F$18</f>
        <v/>
      </c>
      <c r="D463" s="64">
        <f>Flights!$D$18</f>
        <v/>
      </c>
      <c r="E463" s="63">
        <f>Flights!$G$18&amp;"-"&amp;Flights!$H$18</f>
        <v/>
      </c>
      <c r="F463" s="63">
        <f>Flights!$K$18</f>
        <v/>
      </c>
      <c r="G463" s="63" t="inlineStr">
        <is>
          <t>T-7D</t>
        </is>
      </c>
      <c r="H463" s="63" t="inlineStr">
        <is>
          <t>Preparation</t>
        </is>
      </c>
      <c r="I463" s="63" t="inlineStr">
        <is>
          <t>Documents</t>
        </is>
      </c>
      <c r="J463" s="63" t="inlineStr">
        <is>
          <t>Menu checklist received, revision recorded &amp; attached</t>
        </is>
      </c>
      <c r="K463" s="73" t="inlineStr">
        <is>
          <t>Documents sheet row complete</t>
        </is>
      </c>
      <c r="L463" s="73" t="inlineStr">
        <is>
          <t>User brief (T-7 days)</t>
        </is>
      </c>
      <c r="M463" s="73" t="inlineStr"/>
      <c r="N463" s="73" t="inlineStr">
        <is>
          <t>Required</t>
        </is>
      </c>
      <c r="O463" s="73" t="inlineStr"/>
      <c r="P463" s="63" t="inlineStr">
        <is>
          <t>KUL</t>
        </is>
      </c>
      <c r="Q463" s="65">
        <f>Flights!$AC$18</f>
        <v/>
      </c>
      <c r="R463" s="65">
        <f>Q463+(IF(AND(INDEX(TZ_DSTS,MATCH(P463,TZ_STN,0))&lt;&gt;"",Q463&gt;=INDEX(TZ_DSTS,MATCH(P463,TZ_STN,0)),Q463&lt;INDEX(TZ_DSTE,MATCH(P463,TZ_STN,0))),INDEX(TZ_DST,MATCH(P463,TZ_STN,0)),INDEX(TZ_STD,MATCH(P463,TZ_STN,0))))/24</f>
        <v/>
      </c>
      <c r="S463" s="65" t="inlineStr"/>
      <c r="T463" s="66" t="n"/>
      <c r="U463" s="66" t="n"/>
      <c r="V463" s="66" t="n"/>
      <c r="W463" s="67" t="n"/>
      <c r="X463" s="66" t="n"/>
      <c r="Y463" s="66" t="n"/>
      <c r="Z463" s="66" t="n"/>
      <c r="AA463" s="66" t="n"/>
      <c r="AB463" s="66" t="n"/>
      <c r="AC463" s="66" t="n"/>
      <c r="AD463" s="72" t="n"/>
      <c r="AE463" s="66" t="n"/>
      <c r="AF463" s="67">
        <f>IF(AND(ISNUMBER(X463),ISNUMBER(Y463)),Y463-X463,"")</f>
        <v/>
      </c>
      <c r="AG463" s="68">
        <f>IF(ISNUMBER(AD463),AD463-(IF(AND(INDEX(TZ_DSTS,MATCH(P463,TZ_STN,0))&lt;&gt;"",(AD463-INDEX(TZ_STD,MATCH(P463,TZ_STN,0))/24)&gt;=INDEX(TZ_DSTS,MATCH(P463,TZ_STN,0)),(AD463-INDEX(TZ_STD,MATCH(P463,TZ_STN,0))/24)&lt;INDEX(TZ_DSTE,MATCH(P463,TZ_STN,0))),INDEX(TZ_DST,MATCH(P463,TZ_STN,0)),INDEX(TZ_STD,MATCH(P463,TZ_STN,0))))/24,"")</f>
        <v/>
      </c>
      <c r="AH463" s="71">
        <f>IF(N463="N/A – rule","N/A – RULE",IF(TRIM(U463)="N/A",IF(AT463=0,"INVALID – N/A not permitted for this mandatory check",IF(AND(TRIM(AC463)&lt;&gt;"",TRIM(AE463)&lt;&gt;"",TRIM(T463)&lt;&gt;""),"N/A – JUSTIFIED","INVALID – N/A needs justification, PIC and verifier")),IF(OR(TRIM(U463)="Pass",TRIM(U463)="Pass after CA"),IF(NOT(ISNUMBER(AD463)),"INVALID – completion time missing",IF(TRIM(T463)="","INVALID – PIC missing",IF(TRIM(Z463)="","INVALID – evidence missing",IF(TRIM(AE463)="","INVALID – verifier missing",IF(AND(AQ463=1,TRIM(W463)=""),"INVALID – batch ID missing",IF(AND(AR463=1,OR(NOT(ISNUMBER(X463)),NOT(ISNUMBER(Y463)))),"INVALID – expected/actual qty missing",IF(IF(AND(TRIM(U463)="Pass",ISNUMBER(AF463)),IF(AF463&lt;&gt;0,"INVALID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recorded/closed","")&lt;&gt;"",IF(AND(TRIM(U463)="Pass",ISNUMBER(AF463)),IF(AF463&lt;&gt;0,"INVALID – qty variance: use Fail or Pass after CA",""),"")&amp;IF(AND(TRIM(U463)="Pass",AB463="Open"),"INVALID – corrective action still open: use Fail, then Pass after CA","")&amp;IF(AND(TRIM(U463)="Pass after CA",OR(TRIM(AA463)="",AB463&lt;&gt;"Closed")),"INVALID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window"),IF(AG463&gt;Flights!$AA$18,"INVALID – completed after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f>
        <v/>
      </c>
      <c r="AI463" s="67">
        <f>IF(OR(AH463="N/A – RULE",AH463="N/A – JUSTIFIED"),0,1)</f>
        <v/>
      </c>
      <c r="AJ463" s="67">
        <f>IF(LEFT(AH463,8)="COMPLETE",1,0)</f>
        <v/>
      </c>
      <c r="AK463" s="67">
        <f>IF(AND(AI463=1,AJ463=0,AsOfUTC&gt;Q463),1,0)</f>
        <v/>
      </c>
      <c r="AL463" s="67">
        <f>IF(AND(AI463=1,OR(TRIM(U463)="Fail",AB463="Open",AND(ISNUMBER(AF463),AF463&lt;&gt;0,TRIM(U463)&lt;&gt;"Pass after CA"))),1,0)</f>
        <v/>
      </c>
      <c r="AM463" s="67">
        <f>IF(LEFT(AH463,7)="INVALID",1,0)</f>
        <v/>
      </c>
      <c r="AN463" s="67">
        <f>IF(AND(N463="Clarification required",AI463=1,AJ463=0),1,0)</f>
        <v/>
      </c>
      <c r="AO463" s="67">
        <f>IF(AK463=1,SUM(AK$5:AK463),"")</f>
        <v/>
      </c>
      <c r="AP463" s="67">
        <f>IF(AL463=1,SUM(AL$5:AL463),"")</f>
        <v/>
      </c>
      <c r="AQ463" s="67" t="n">
        <v>0</v>
      </c>
      <c r="AR463" s="67" t="n">
        <v>0</v>
      </c>
      <c r="AS463" s="67" t="n">
        <v>2</v>
      </c>
      <c r="AT463" s="67" t="n">
        <v>0</v>
      </c>
    </row>
    <row r="464" ht="40" customHeight="1">
      <c r="A464" s="63" t="inlineStr">
        <is>
          <t>F14-T7-09</t>
        </is>
      </c>
      <c r="B464" s="63" t="inlineStr">
        <is>
          <t>F14</t>
        </is>
      </c>
      <c r="C464" s="63">
        <f>Flights!$F$18</f>
        <v/>
      </c>
      <c r="D464" s="64">
        <f>Flights!$D$18</f>
        <v/>
      </c>
      <c r="E464" s="63">
        <f>Flights!$G$18&amp;"-"&amp;Flights!$H$18</f>
        <v/>
      </c>
      <c r="F464" s="63">
        <f>Flights!$K$18</f>
        <v/>
      </c>
      <c r="G464" s="63" t="inlineStr">
        <is>
          <t>T-7D</t>
        </is>
      </c>
      <c r="H464" s="63" t="inlineStr">
        <is>
          <t>Preparation</t>
        </is>
      </c>
      <c r="I464" s="63" t="inlineStr">
        <is>
          <t>Uplift plan</t>
        </is>
      </c>
      <c r="J464" s="63" t="inlineStr">
        <is>
          <t>Uplift plan confirmed with caterer vs STD Uplift Information</t>
        </is>
      </c>
      <c r="K464" s="73" t="inlineStr">
        <is>
          <t>Service: 2.5 Meal (Meal); meal uplift stn KUL (ref lists KUL/LHR)</t>
        </is>
      </c>
      <c r="L464" s="73" t="inlineStr">
        <is>
          <t>STD UPLIFT INFORMATION.xlsx &gt; CATERING UPLIFT STN!C9:G9</t>
        </is>
      </c>
      <c r="M464" s="73" t="inlineStr"/>
      <c r="N464" s="73" t="inlineStr">
        <is>
          <t>Required</t>
        </is>
      </c>
      <c r="O464" s="73" t="inlineStr"/>
      <c r="P464" s="63" t="inlineStr">
        <is>
          <t>KUL</t>
        </is>
      </c>
      <c r="Q464" s="65">
        <f>Flights!$AC$18</f>
        <v/>
      </c>
      <c r="R464" s="65">
        <f>Q464+(IF(AND(INDEX(TZ_DSTS,MATCH(P464,TZ_STN,0))&lt;&gt;"",Q464&gt;=INDEX(TZ_DSTS,MATCH(P464,TZ_STN,0)),Q464&lt;INDEX(TZ_DSTE,MATCH(P464,TZ_STN,0))),INDEX(TZ_DST,MATCH(P464,TZ_STN,0)),INDEX(TZ_STD,MATCH(P464,TZ_STN,0))))/24</f>
        <v/>
      </c>
      <c r="S464" s="65" t="inlineStr"/>
      <c r="T464" s="66" t="n"/>
      <c r="U464" s="66" t="n"/>
      <c r="V464" s="66" t="n"/>
      <c r="W464" s="67" t="n"/>
      <c r="X464" s="66" t="n"/>
      <c r="Y464" s="66" t="n"/>
      <c r="Z464" s="66" t="n"/>
      <c r="AA464" s="66" t="n"/>
      <c r="AB464" s="66" t="n"/>
      <c r="AC464" s="66" t="n"/>
      <c r="AD464" s="72" t="n"/>
      <c r="AE464" s="66" t="n"/>
      <c r="AF464" s="67">
        <f>IF(AND(ISNUMBER(X464),ISNUMBER(Y464)),Y464-X464,"")</f>
        <v/>
      </c>
      <c r="AG464" s="68">
        <f>IF(ISNUMBER(AD464),AD464-(IF(AND(INDEX(TZ_DSTS,MATCH(P464,TZ_STN,0))&lt;&gt;"",(AD464-INDEX(TZ_STD,MATCH(P464,TZ_STN,0))/24)&gt;=INDEX(TZ_DSTS,MATCH(P464,TZ_STN,0)),(AD464-INDEX(TZ_STD,MATCH(P464,TZ_STN,0))/24)&lt;INDEX(TZ_DSTE,MATCH(P464,TZ_STN,0))),INDEX(TZ_DST,MATCH(P464,TZ_STN,0)),INDEX(TZ_STD,MATCH(P464,TZ_STN,0))))/24,"")</f>
        <v/>
      </c>
      <c r="AH464" s="71">
        <f>IF(N464="N/A – rule","N/A – RULE",IF(TRIM(U464)="N/A",IF(AT464=0,"INVALID – N/A not permitted for this mandatory check",IF(AND(TRIM(AC464)&lt;&gt;"",TRIM(AE464)&lt;&gt;"",TRIM(T464)&lt;&gt;""),"N/A – JUSTIFIED","INVALID – N/A needs justification, PIC and verifier")),IF(OR(TRIM(U464)="Pass",TRIM(U464)="Pass after CA"),IF(NOT(ISNUMBER(AD464)),"INVALID – completion time missing",IF(TRIM(T464)="","INVALID – PIC missing",IF(TRIM(Z464)="","INVALID – evidence missing",IF(TRIM(AE464)="","INVALID – verifier missing",IF(AND(AQ464=1,TRIM(W464)=""),"INVALID – batch ID missing",IF(AND(AR464=1,OR(NOT(ISNUMBER(X464)),NOT(ISNUMBER(Y464)))),"INVALID – expected/actual qty missing",IF(IF(AND(TRIM(U464)="Pass",ISNUMBER(AF464)),IF(AF464&lt;&gt;0,"INVALID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recorded/closed","")&lt;&gt;"",IF(AND(TRIM(U464)="Pass",ISNUMBER(AF464)),IF(AF464&lt;&gt;0,"INVALID – qty variance: use Fail or Pass after CA",""),"")&amp;IF(AND(TRIM(U464)="Pass",AB464="Open"),"INVALID – corrective action still open: use Fail, then Pass after CA","")&amp;IF(AND(TRIM(U464)="Pass after CA",OR(TRIM(AA464)="",AB464&lt;&gt;"Closed")),"INVALID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window"),IF(AG464&gt;Flights!$AA$18,"INVALID – completed after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f>
        <v/>
      </c>
      <c r="AI464" s="67">
        <f>IF(OR(AH464="N/A – RULE",AH464="N/A – JUSTIFIED"),0,1)</f>
        <v/>
      </c>
      <c r="AJ464" s="67">
        <f>IF(LEFT(AH464,8)="COMPLETE",1,0)</f>
        <v/>
      </c>
      <c r="AK464" s="67">
        <f>IF(AND(AI464=1,AJ464=0,AsOfUTC&gt;Q464),1,0)</f>
        <v/>
      </c>
      <c r="AL464" s="67">
        <f>IF(AND(AI464=1,OR(TRIM(U464)="Fail",AB464="Open",AND(ISNUMBER(AF464),AF464&lt;&gt;0,TRIM(U464)&lt;&gt;"Pass after CA"))),1,0)</f>
        <v/>
      </c>
      <c r="AM464" s="67">
        <f>IF(LEFT(AH464,7)="INVALID",1,0)</f>
        <v/>
      </c>
      <c r="AN464" s="67">
        <f>IF(AND(N464="Clarification required",AI464=1,AJ464=0),1,0)</f>
        <v/>
      </c>
      <c r="AO464" s="67">
        <f>IF(AK464=1,SUM(AK$5:AK464),"")</f>
        <v/>
      </c>
      <c r="AP464" s="67">
        <f>IF(AL464=1,SUM(AL$5:AL464),"")</f>
        <v/>
      </c>
      <c r="AQ464" s="67" t="n">
        <v>0</v>
      </c>
      <c r="AR464" s="67" t="n">
        <v>0</v>
      </c>
      <c r="AS464" s="67" t="n">
        <v>0</v>
      </c>
      <c r="AT464" s="67" t="n">
        <v>0</v>
      </c>
    </row>
    <row r="465" ht="40" customHeight="1">
      <c r="A465" s="63" t="inlineStr">
        <is>
          <t>F14-T24-01</t>
        </is>
      </c>
      <c r="B465" s="63" t="inlineStr">
        <is>
          <t>F14</t>
        </is>
      </c>
      <c r="C465" s="63">
        <f>Flights!$F$18</f>
        <v/>
      </c>
      <c r="D465" s="64">
        <f>Flights!$D$18</f>
        <v/>
      </c>
      <c r="E465" s="63">
        <f>Flights!$G$18&amp;"-"&amp;Flights!$H$18</f>
        <v/>
      </c>
      <c r="F465" s="63">
        <f>Flights!$K$18</f>
        <v/>
      </c>
      <c r="G465" s="63" t="inlineStr">
        <is>
          <t>T-24H</t>
        </is>
      </c>
      <c r="H465" s="63" t="inlineStr">
        <is>
          <t>Preparation</t>
        </is>
      </c>
      <c r="I465" s="63" t="inlineStr">
        <is>
          <t>Meal</t>
        </is>
      </c>
      <c r="J465" s="63" t="inlineStr">
        <is>
          <t>Sensory test repeated on ACTUAL production batch for this flight</t>
        </is>
      </c>
      <c r="K465" s="73" t="inlineStr">
        <is>
          <t>Batch ID, result, CA and acceptance mandatory</t>
        </is>
      </c>
      <c r="L465" s="73" t="inlineStr">
        <is>
          <t>User brief (T-24 hours)</t>
        </is>
      </c>
      <c r="M465" s="73" t="inlineStr"/>
      <c r="N465" s="73" t="inlineStr">
        <is>
          <t>Required</t>
        </is>
      </c>
      <c r="O465" s="73" t="inlineStr"/>
      <c r="P465" s="63" t="inlineStr">
        <is>
          <t>KUL</t>
        </is>
      </c>
      <c r="Q465" s="65">
        <f>Flights!$AD$18</f>
        <v/>
      </c>
      <c r="R465" s="65">
        <f>Q465+(IF(AND(INDEX(TZ_DSTS,MATCH(P465,TZ_STN,0))&lt;&gt;"",Q465&gt;=INDEX(TZ_DSTS,MATCH(P465,TZ_STN,0)),Q465&lt;INDEX(TZ_DSTE,MATCH(P465,TZ_STN,0))),INDEX(TZ_DST,MATCH(P465,TZ_STN,0)),INDEX(TZ_STD,MATCH(P465,TZ_STN,0))))/24</f>
        <v/>
      </c>
      <c r="S465" s="65">
        <f>Q465-T24EarlyH/24</f>
        <v/>
      </c>
      <c r="T465" s="66" t="n"/>
      <c r="U465" s="66" t="n"/>
      <c r="V465" s="66" t="n"/>
      <c r="W465" s="66" t="n"/>
      <c r="X465" s="66" t="n"/>
      <c r="Y465" s="66" t="n"/>
      <c r="Z465" s="66" t="n"/>
      <c r="AA465" s="66" t="n"/>
      <c r="AB465" s="66" t="n"/>
      <c r="AC465" s="66" t="n"/>
      <c r="AD465" s="72" t="n"/>
      <c r="AE465" s="66" t="n"/>
      <c r="AF465" s="67">
        <f>IF(AND(ISNUMBER(X465),ISNUMBER(Y465)),Y465-X465,"")</f>
        <v/>
      </c>
      <c r="AG465" s="68">
        <f>IF(ISNUMBER(AD465),AD465-(IF(AND(INDEX(TZ_DSTS,MATCH(P465,TZ_STN,0))&lt;&gt;"",(AD465-INDEX(TZ_STD,MATCH(P465,TZ_STN,0))/24)&gt;=INDEX(TZ_DSTS,MATCH(P465,TZ_STN,0)),(AD465-INDEX(TZ_STD,MATCH(P465,TZ_STN,0))/24)&lt;INDEX(TZ_DSTE,MATCH(P465,TZ_STN,0))),INDEX(TZ_DST,MATCH(P465,TZ_STN,0)),INDEX(TZ_STD,MATCH(P465,TZ_STN,0))))/24,"")</f>
        <v/>
      </c>
      <c r="AH465" s="71">
        <f>IF(N465="N/A – rule","N/A – RULE",IF(TRIM(U465)="N/A",IF(AT465=0,"INVALID – N/A not permitted for this mandatory check",IF(AND(TRIM(AC465)&lt;&gt;"",TRIM(AE465)&lt;&gt;"",TRIM(T465)&lt;&gt;""),"N/A – JUSTIFIED","INVALID – N/A needs justification, PIC and verifier")),IF(OR(TRIM(U465)="Pass",TRIM(U465)="Pass after CA"),IF(NOT(ISNUMBER(AD465)),"INVALID – completion time missing",IF(TRIM(T465)="","INVALID – PIC missing",IF(TRIM(Z465)="","INVALID – evidence missing",IF(TRIM(AE465)="","INVALID – verifier missing",IF(AND(AQ465=1,TRIM(W465)=""),"INVALID – batch ID missing",IF(AND(AR465=1,OR(NOT(ISNUMBER(X465)),NOT(ISNUMBER(Y465)))),"INVALID – expected/actual qty missing",IF(IF(AND(TRIM(U465)="Pass",ISNUMBER(AF465)),IF(AF465&lt;&gt;0,"INVALID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recorded/closed","")&lt;&gt;"",IF(AND(TRIM(U465)="Pass",ISNUMBER(AF465)),IF(AF465&lt;&gt;0,"INVALID – qty variance: use Fail or Pass after CA",""),"")&amp;IF(AND(TRIM(U465)="Pass",AB465="Open"),"INVALID – corrective action still open: use Fail, then Pass after CA","")&amp;IF(AND(TRIM(U465)="Pass after CA",OR(TRIM(AA465)="",AB465&lt;&gt;"Closed")),"INVALID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window"),IF(AG465&gt;Flights!$AA$18,"INVALID – completed after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f>
        <v/>
      </c>
      <c r="AI465" s="67">
        <f>IF(OR(AH465="N/A – RULE",AH465="N/A – JUSTIFIED"),0,1)</f>
        <v/>
      </c>
      <c r="AJ465" s="67">
        <f>IF(LEFT(AH465,8)="COMPLETE",1,0)</f>
        <v/>
      </c>
      <c r="AK465" s="67">
        <f>IF(AND(AI465=1,AJ465=0,AsOfUTC&gt;Q465),1,0)</f>
        <v/>
      </c>
      <c r="AL465" s="67">
        <f>IF(AND(AI465=1,OR(TRIM(U465)="Fail",AB465="Open",AND(ISNUMBER(AF465),AF465&lt;&gt;0,TRIM(U465)&lt;&gt;"Pass after CA"))),1,0)</f>
        <v/>
      </c>
      <c r="AM465" s="67">
        <f>IF(LEFT(AH465,7)="INVALID",1,0)</f>
        <v/>
      </c>
      <c r="AN465" s="67">
        <f>IF(AND(N465="Clarification required",AI465=1,AJ465=0),1,0)</f>
        <v/>
      </c>
      <c r="AO465" s="67">
        <f>IF(AK465=1,SUM(AK$5:AK465),"")</f>
        <v/>
      </c>
      <c r="AP465" s="67">
        <f>IF(AL465=1,SUM(AL$5:AL465),"")</f>
        <v/>
      </c>
      <c r="AQ465" s="67" t="n">
        <v>1</v>
      </c>
      <c r="AR465" s="67" t="n">
        <v>0</v>
      </c>
      <c r="AS465" s="67" t="n">
        <v>0</v>
      </c>
      <c r="AT465" s="67" t="n">
        <v>0</v>
      </c>
    </row>
    <row r="466" ht="40" customHeight="1">
      <c r="A466" s="63" t="inlineStr">
        <is>
          <t>F14-T12-01</t>
        </is>
      </c>
      <c r="B466" s="63" t="inlineStr">
        <is>
          <t>F14</t>
        </is>
      </c>
      <c r="C466" s="63">
        <f>Flights!$F$18</f>
        <v/>
      </c>
      <c r="D466" s="64">
        <f>Flights!$D$18</f>
        <v/>
      </c>
      <c r="E466" s="63">
        <f>Flights!$G$18&amp;"-"&amp;Flights!$H$18</f>
        <v/>
      </c>
      <c r="F466" s="63">
        <f>Flights!$K$18</f>
        <v/>
      </c>
      <c r="G466" s="63" t="inlineStr">
        <is>
          <t>T-12H PREP</t>
        </is>
      </c>
      <c r="H466" s="63" t="inlineStr">
        <is>
          <t>Preparation</t>
        </is>
      </c>
      <c r="I466" s="63" t="inlineStr">
        <is>
          <t>Meal</t>
        </is>
      </c>
      <c r="J466" s="63" t="inlineStr">
        <is>
          <t>Meal quality vs menu checklist</t>
        </is>
      </c>
      <c r="K466" s="73" t="inlineStr"/>
      <c r="L466" s="73" t="inlineStr">
        <is>
          <t>User brief (T-12 hours)</t>
        </is>
      </c>
      <c r="M466" s="73" t="inlineStr"/>
      <c r="N466" s="73" t="inlineStr">
        <is>
          <t>Required</t>
        </is>
      </c>
      <c r="O466" s="73" t="inlineStr">
        <is>
          <t>Preparation check at caterer - does NOT confirm loading.</t>
        </is>
      </c>
      <c r="P466" s="63" t="inlineStr">
        <is>
          <t>KUL</t>
        </is>
      </c>
      <c r="Q466" s="65">
        <f>Flights!$AE$18</f>
        <v/>
      </c>
      <c r="R466" s="65">
        <f>Q466+(IF(AND(INDEX(TZ_DSTS,MATCH(P466,TZ_STN,0))&lt;&gt;"",Q466&gt;=INDEX(TZ_DSTS,MATCH(P466,TZ_STN,0)),Q466&lt;INDEX(TZ_DSTE,MATCH(P466,TZ_STN,0))),INDEX(TZ_DST,MATCH(P466,TZ_STN,0)),INDEX(TZ_STD,MATCH(P466,TZ_STN,0))))/24</f>
        <v/>
      </c>
      <c r="S466" s="65">
        <f>Q466-T12EarlyH/24</f>
        <v/>
      </c>
      <c r="T466" s="66" t="n"/>
      <c r="U466" s="66" t="n"/>
      <c r="V466" s="66" t="n"/>
      <c r="W466" s="67" t="n"/>
      <c r="X466" s="66" t="n"/>
      <c r="Y466" s="66" t="n"/>
      <c r="Z466" s="66" t="n"/>
      <c r="AA466" s="66" t="n"/>
      <c r="AB466" s="66" t="n"/>
      <c r="AC466" s="66" t="n"/>
      <c r="AD466" s="72" t="n"/>
      <c r="AE466" s="66" t="n"/>
      <c r="AF466" s="67">
        <f>IF(AND(ISNUMBER(X466),ISNUMBER(Y466)),Y466-X466,"")</f>
        <v/>
      </c>
      <c r="AG466" s="68">
        <f>IF(ISNUMBER(AD466),AD466-(IF(AND(INDEX(TZ_DSTS,MATCH(P466,TZ_STN,0))&lt;&gt;"",(AD466-INDEX(TZ_STD,MATCH(P466,TZ_STN,0))/24)&gt;=INDEX(TZ_DSTS,MATCH(P466,TZ_STN,0)),(AD466-INDEX(TZ_STD,MATCH(P466,TZ_STN,0))/24)&lt;INDEX(TZ_DSTE,MATCH(P466,TZ_STN,0))),INDEX(TZ_DST,MATCH(P466,TZ_STN,0)),INDEX(TZ_STD,MATCH(P466,TZ_STN,0))))/24,"")</f>
        <v/>
      </c>
      <c r="AH466" s="71">
        <f>IF(N466="N/A – rule","N/A – RULE",IF(TRIM(U466)="N/A",IF(AT466=0,"INVALID – N/A not permitted for this mandatory check",IF(AND(TRIM(AC466)&lt;&gt;"",TRIM(AE466)&lt;&gt;"",TRIM(T466)&lt;&gt;""),"N/A – JUSTIFIED","INVALID – N/A needs justification, PIC and verifier")),IF(OR(TRIM(U466)="Pass",TRIM(U466)="Pass after CA"),IF(NOT(ISNUMBER(AD466)),"INVALID – completion time missing",IF(TRIM(T466)="","INVALID – PIC missing",IF(TRIM(Z466)="","INVALID – evidence missing",IF(TRIM(AE466)="","INVALID – verifier missing",IF(AND(AQ466=1,TRIM(W466)=""),"INVALID – batch ID missing",IF(AND(AR466=1,OR(NOT(ISNUMBER(X466)),NOT(ISNUMBER(Y466)))),"INVALID – expected/actual qty missing",IF(IF(AND(TRIM(U466)="Pass",ISNUMBER(AF466)),IF(AF466&lt;&gt;0,"INVALID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recorded/closed","")&lt;&gt;"",IF(AND(TRIM(U466)="Pass",ISNUMBER(AF466)),IF(AF466&lt;&gt;0,"INVALID – qty variance: use Fail or Pass after CA",""),"")&amp;IF(AND(TRIM(U466)="Pass",AB466="Open"),"INVALID – corrective action still open: use Fail, then Pass after CA","")&amp;IF(AND(TRIM(U466)="Pass after CA",OR(TRIM(AA466)="",AB466&lt;&gt;"Closed")),"INVALID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window"),IF(AG466&gt;Flights!$AA$18,"INVALID – completed after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f>
        <v/>
      </c>
      <c r="AI466" s="67">
        <f>IF(OR(AH466="N/A – RULE",AH466="N/A – JUSTIFIED"),0,1)</f>
        <v/>
      </c>
      <c r="AJ466" s="67">
        <f>IF(LEFT(AH466,8)="COMPLETE",1,0)</f>
        <v/>
      </c>
      <c r="AK466" s="67">
        <f>IF(AND(AI466=1,AJ466=0,AsOfUTC&gt;Q466),1,0)</f>
        <v/>
      </c>
      <c r="AL466" s="67">
        <f>IF(AND(AI466=1,OR(TRIM(U466)="Fail",AB466="Open",AND(ISNUMBER(AF466),AF466&lt;&gt;0,TRIM(U466)&lt;&gt;"Pass after CA"))),1,0)</f>
        <v/>
      </c>
      <c r="AM466" s="67">
        <f>IF(LEFT(AH466,7)="INVALID",1,0)</f>
        <v/>
      </c>
      <c r="AN466" s="67">
        <f>IF(AND(N466="Clarification required",AI466=1,AJ466=0),1,0)</f>
        <v/>
      </c>
      <c r="AO466" s="67">
        <f>IF(AK466=1,SUM(AK$5:AK466),"")</f>
        <v/>
      </c>
      <c r="AP466" s="67">
        <f>IF(AL466=1,SUM(AL$5:AL466),"")</f>
        <v/>
      </c>
      <c r="AQ466" s="67" t="n">
        <v>0</v>
      </c>
      <c r="AR466" s="67" t="n">
        <v>0</v>
      </c>
      <c r="AS466" s="67" t="n">
        <v>0</v>
      </c>
      <c r="AT466" s="67" t="n">
        <v>0</v>
      </c>
    </row>
    <row r="467" ht="40" customHeight="1">
      <c r="A467" s="63" t="inlineStr">
        <is>
          <t>F14-T12-02</t>
        </is>
      </c>
      <c r="B467" s="63" t="inlineStr">
        <is>
          <t>F14</t>
        </is>
      </c>
      <c r="C467" s="63">
        <f>Flights!$F$18</f>
        <v/>
      </c>
      <c r="D467" s="64">
        <f>Flights!$D$18</f>
        <v/>
      </c>
      <c r="E467" s="63">
        <f>Flights!$G$18&amp;"-"&amp;Flights!$H$18</f>
        <v/>
      </c>
      <c r="F467" s="63">
        <f>Flights!$K$18</f>
        <v/>
      </c>
      <c r="G467" s="63" t="inlineStr">
        <is>
          <t>T-12H PREP</t>
        </is>
      </c>
      <c r="H467" s="63" t="inlineStr">
        <is>
          <t>Preparation</t>
        </is>
      </c>
      <c r="I467" s="63" t="inlineStr">
        <is>
          <t>Meal</t>
        </is>
      </c>
      <c r="J467" s="63" t="inlineStr">
        <is>
          <t>Meal quantities vs menu checklist</t>
        </is>
      </c>
      <c r="K467" s="73" t="inlineStr">
        <is>
          <t>Enter expected &amp; actual</t>
        </is>
      </c>
      <c r="L467" s="73" t="inlineStr">
        <is>
          <t>User brief (T-12 hours)</t>
        </is>
      </c>
      <c r="M467" s="73" t="inlineStr"/>
      <c r="N467" s="73" t="inlineStr">
        <is>
          <t>Required</t>
        </is>
      </c>
      <c r="O467" s="73" t="inlineStr">
        <is>
          <t>Preparation check at caterer - does NOT confirm loading.</t>
        </is>
      </c>
      <c r="P467" s="63" t="inlineStr">
        <is>
          <t>KUL</t>
        </is>
      </c>
      <c r="Q467" s="65">
        <f>Flights!$AE$18</f>
        <v/>
      </c>
      <c r="R467" s="65">
        <f>Q467+(IF(AND(INDEX(TZ_DSTS,MATCH(P467,TZ_STN,0))&lt;&gt;"",Q467&gt;=INDEX(TZ_DSTS,MATCH(P467,TZ_STN,0)),Q467&lt;INDEX(TZ_DSTE,MATCH(P467,TZ_STN,0))),INDEX(TZ_DST,MATCH(P467,TZ_STN,0)),INDEX(TZ_STD,MATCH(P467,TZ_STN,0))))/24</f>
        <v/>
      </c>
      <c r="S467" s="65">
        <f>Q467-T12EarlyH/24</f>
        <v/>
      </c>
      <c r="T467" s="66" t="n"/>
      <c r="U467" s="66" t="n"/>
      <c r="V467" s="66" t="n"/>
      <c r="W467" s="67" t="n"/>
      <c r="X467" s="66" t="n"/>
      <c r="Y467" s="66" t="n"/>
      <c r="Z467" s="66" t="n"/>
      <c r="AA467" s="66" t="n"/>
      <c r="AB467" s="66" t="n"/>
      <c r="AC467" s="66" t="n"/>
      <c r="AD467" s="72" t="n"/>
      <c r="AE467" s="66" t="n"/>
      <c r="AF467" s="67">
        <f>IF(AND(ISNUMBER(X467),ISNUMBER(Y467)),Y467-X467,"")</f>
        <v/>
      </c>
      <c r="AG467" s="68">
        <f>IF(ISNUMBER(AD467),AD467-(IF(AND(INDEX(TZ_DSTS,MATCH(P467,TZ_STN,0))&lt;&gt;"",(AD467-INDEX(TZ_STD,MATCH(P467,TZ_STN,0))/24)&gt;=INDEX(TZ_DSTS,MATCH(P467,TZ_STN,0)),(AD467-INDEX(TZ_STD,MATCH(P467,TZ_STN,0))/24)&lt;INDEX(TZ_DSTE,MATCH(P467,TZ_STN,0))),INDEX(TZ_DST,MATCH(P467,TZ_STN,0)),INDEX(TZ_STD,MATCH(P467,TZ_STN,0))))/24,"")</f>
        <v/>
      </c>
      <c r="AH467" s="71">
        <f>IF(N467="N/A – rule","N/A – RULE",IF(TRIM(U467)="N/A",IF(AT467=0,"INVALID – N/A not permitted for this mandatory check",IF(AND(TRIM(AC467)&lt;&gt;"",TRIM(AE467)&lt;&gt;"",TRIM(T467)&lt;&gt;""),"N/A – JUSTIFIED","INVALID – N/A needs justification, PIC and verifier")),IF(OR(TRIM(U467)="Pass",TRIM(U467)="Pass after CA"),IF(NOT(ISNUMBER(AD467)),"INVALID – completion time missing",IF(TRIM(T467)="","INVALID – PIC missing",IF(TRIM(Z467)="","INVALID – evidence missing",IF(TRIM(AE467)="","INVALID – verifier missing",IF(AND(AQ467=1,TRIM(W467)=""),"INVALID – batch ID missing",IF(AND(AR467=1,OR(NOT(ISNUMBER(X467)),NOT(ISNUMBER(Y467)))),"INVALID – expected/actual qty missing",IF(IF(AND(TRIM(U467)="Pass",ISNUMBER(AF467)),IF(AF467&lt;&gt;0,"INVALID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recorded/closed","")&lt;&gt;"",IF(AND(TRIM(U467)="Pass",ISNUMBER(AF467)),IF(AF467&lt;&gt;0,"INVALID – qty variance: use Fail or Pass after CA",""),"")&amp;IF(AND(TRIM(U467)="Pass",AB467="Open"),"INVALID – corrective action still open: use Fail, then Pass after CA","")&amp;IF(AND(TRIM(U467)="Pass after CA",OR(TRIM(AA467)="",AB467&lt;&gt;"Closed")),"INVALID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window"),IF(AG467&gt;Flights!$AA$18,"INVALID – completed after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f>
        <v/>
      </c>
      <c r="AI467" s="67">
        <f>IF(OR(AH467="N/A – RULE",AH467="N/A – JUSTIFIED"),0,1)</f>
        <v/>
      </c>
      <c r="AJ467" s="67">
        <f>IF(LEFT(AH467,8)="COMPLETE",1,0)</f>
        <v/>
      </c>
      <c r="AK467" s="67">
        <f>IF(AND(AI467=1,AJ467=0,AsOfUTC&gt;Q467),1,0)</f>
        <v/>
      </c>
      <c r="AL467" s="67">
        <f>IF(AND(AI467=1,OR(TRIM(U467)="Fail",AB467="Open",AND(ISNUMBER(AF467),AF467&lt;&gt;0,TRIM(U467)&lt;&gt;"Pass after CA"))),1,0)</f>
        <v/>
      </c>
      <c r="AM467" s="67">
        <f>IF(LEFT(AH467,7)="INVALID",1,0)</f>
        <v/>
      </c>
      <c r="AN467" s="67">
        <f>IF(AND(N467="Clarification required",AI467=1,AJ467=0),1,0)</f>
        <v/>
      </c>
      <c r="AO467" s="67">
        <f>IF(AK467=1,SUM(AK$5:AK467),"")</f>
        <v/>
      </c>
      <c r="AP467" s="67">
        <f>IF(AL467=1,SUM(AL$5:AL467),"")</f>
        <v/>
      </c>
      <c r="AQ467" s="67" t="n">
        <v>0</v>
      </c>
      <c r="AR467" s="67" t="n">
        <v>1</v>
      </c>
      <c r="AS467" s="67" t="n">
        <v>0</v>
      </c>
      <c r="AT467" s="67" t="n">
        <v>0</v>
      </c>
    </row>
    <row r="468" ht="40" customHeight="1">
      <c r="A468" s="63" t="inlineStr">
        <is>
          <t>F14-T12-03</t>
        </is>
      </c>
      <c r="B468" s="63" t="inlineStr">
        <is>
          <t>F14</t>
        </is>
      </c>
      <c r="C468" s="63">
        <f>Flights!$F$18</f>
        <v/>
      </c>
      <c r="D468" s="64">
        <f>Flights!$D$18</f>
        <v/>
      </c>
      <c r="E468" s="63">
        <f>Flights!$G$18&amp;"-"&amp;Flights!$H$18</f>
        <v/>
      </c>
      <c r="F468" s="63">
        <f>Flights!$K$18</f>
        <v/>
      </c>
      <c r="G468" s="63" t="inlineStr">
        <is>
          <t>T-12H PREP</t>
        </is>
      </c>
      <c r="H468" s="63" t="inlineStr">
        <is>
          <t>Preparation</t>
        </is>
      </c>
      <c r="I468" s="63" t="inlineStr">
        <is>
          <t>Equipment</t>
        </is>
      </c>
      <c r="J468" s="63" t="inlineStr">
        <is>
          <t>Equipment cleanliness vs GLD</t>
        </is>
      </c>
      <c r="K468" s="73" t="inlineStr"/>
      <c r="L468" s="73" t="inlineStr">
        <is>
          <t>User brief (T-12 hours)</t>
        </is>
      </c>
      <c r="M468" s="73" t="inlineStr"/>
      <c r="N468" s="73" t="inlineStr">
        <is>
          <t>Required</t>
        </is>
      </c>
      <c r="O468" s="73" t="inlineStr">
        <is>
          <t>Preparation check at caterer - does NOT confirm loading.</t>
        </is>
      </c>
      <c r="P468" s="63" t="inlineStr">
        <is>
          <t>KUL</t>
        </is>
      </c>
      <c r="Q468" s="65">
        <f>Flights!$AE$18</f>
        <v/>
      </c>
      <c r="R468" s="65">
        <f>Q468+(IF(AND(INDEX(TZ_DSTS,MATCH(P468,TZ_STN,0))&lt;&gt;"",Q468&gt;=INDEX(TZ_DSTS,MATCH(P468,TZ_STN,0)),Q468&lt;INDEX(TZ_DSTE,MATCH(P468,TZ_STN,0))),INDEX(TZ_DST,MATCH(P468,TZ_STN,0)),INDEX(TZ_STD,MATCH(P468,TZ_STN,0))))/24</f>
        <v/>
      </c>
      <c r="S468" s="65">
        <f>Q468-T12EarlyH/24</f>
        <v/>
      </c>
      <c r="T468" s="66" t="n"/>
      <c r="U468" s="66" t="n"/>
      <c r="V468" s="66" t="n"/>
      <c r="W468" s="67" t="n"/>
      <c r="X468" s="66" t="n"/>
      <c r="Y468" s="66" t="n"/>
      <c r="Z468" s="66" t="n"/>
      <c r="AA468" s="66" t="n"/>
      <c r="AB468" s="66" t="n"/>
      <c r="AC468" s="66" t="n"/>
      <c r="AD468" s="72" t="n"/>
      <c r="AE468" s="66" t="n"/>
      <c r="AF468" s="67">
        <f>IF(AND(ISNUMBER(X468),ISNUMBER(Y468)),Y468-X468,"")</f>
        <v/>
      </c>
      <c r="AG468" s="68">
        <f>IF(ISNUMBER(AD468),AD468-(IF(AND(INDEX(TZ_DSTS,MATCH(P468,TZ_STN,0))&lt;&gt;"",(AD468-INDEX(TZ_STD,MATCH(P468,TZ_STN,0))/24)&gt;=INDEX(TZ_DSTS,MATCH(P468,TZ_STN,0)),(AD468-INDEX(TZ_STD,MATCH(P468,TZ_STN,0))/24)&lt;INDEX(TZ_DSTE,MATCH(P468,TZ_STN,0))),INDEX(TZ_DST,MATCH(P468,TZ_STN,0)),INDEX(TZ_STD,MATCH(P468,TZ_STN,0))))/24,"")</f>
        <v/>
      </c>
      <c r="AH468" s="71">
        <f>IF(N468="N/A – rule","N/A – RULE",IF(TRIM(U468)="N/A",IF(AT468=0,"INVALID – N/A not permitted for this mandatory check",IF(AND(TRIM(AC468)&lt;&gt;"",TRIM(AE468)&lt;&gt;"",TRIM(T468)&lt;&gt;""),"N/A – JUSTIFIED","INVALID – N/A needs justification, PIC and verifier")),IF(OR(TRIM(U468)="Pass",TRIM(U468)="Pass after CA"),IF(NOT(ISNUMBER(AD468)),"INVALID – completion time missing",IF(TRIM(T468)="","INVALID – PIC missing",IF(TRIM(Z468)="","INVALID – evidence missing",IF(TRIM(AE468)="","INVALID – verifier missing",IF(AND(AQ468=1,TRIM(W468)=""),"INVALID – batch ID missing",IF(AND(AR468=1,OR(NOT(ISNUMBER(X468)),NOT(ISNUMBER(Y468)))),"INVALID – expected/actual qty missing",IF(IF(AND(TRIM(U468)="Pass",ISNUMBER(AF468)),IF(AF468&lt;&gt;0,"INVALID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recorded/closed","")&lt;&gt;"",IF(AND(TRIM(U468)="Pass",ISNUMBER(AF468)),IF(AF468&lt;&gt;0,"INVALID – qty variance: use Fail or Pass after CA",""),"")&amp;IF(AND(TRIM(U468)="Pass",AB468="Open"),"INVALID – corrective action still open: use Fail, then Pass after CA","")&amp;IF(AND(TRIM(U468)="Pass after CA",OR(TRIM(AA468)="",AB468&lt;&gt;"Closed")),"INVALID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window"),IF(AG468&gt;Flights!$AA$18,"INVALID – completed after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f>
        <v/>
      </c>
      <c r="AI468" s="67">
        <f>IF(OR(AH468="N/A – RULE",AH468="N/A – JUSTIFIED"),0,1)</f>
        <v/>
      </c>
      <c r="AJ468" s="67">
        <f>IF(LEFT(AH468,8)="COMPLETE",1,0)</f>
        <v/>
      </c>
      <c r="AK468" s="67">
        <f>IF(AND(AI468=1,AJ468=0,AsOfUTC&gt;Q468),1,0)</f>
        <v/>
      </c>
      <c r="AL468" s="67">
        <f>IF(AND(AI468=1,OR(TRIM(U468)="Fail",AB468="Open",AND(ISNUMBER(AF468),AF468&lt;&gt;0,TRIM(U468)&lt;&gt;"Pass after CA"))),1,0)</f>
        <v/>
      </c>
      <c r="AM468" s="67">
        <f>IF(LEFT(AH468,7)="INVALID",1,0)</f>
        <v/>
      </c>
      <c r="AN468" s="67">
        <f>IF(AND(N468="Clarification required",AI468=1,AJ468=0),1,0)</f>
        <v/>
      </c>
      <c r="AO468" s="67">
        <f>IF(AK468=1,SUM(AK$5:AK468),"")</f>
        <v/>
      </c>
      <c r="AP468" s="67">
        <f>IF(AL468=1,SUM(AL$5:AL468),"")</f>
        <v/>
      </c>
      <c r="AQ468" s="67" t="n">
        <v>0</v>
      </c>
      <c r="AR468" s="67" t="n">
        <v>0</v>
      </c>
      <c r="AS468" s="67" t="n">
        <v>0</v>
      </c>
      <c r="AT468" s="67" t="n">
        <v>0</v>
      </c>
    </row>
    <row r="469" ht="40" customHeight="1">
      <c r="A469" s="63" t="inlineStr">
        <is>
          <t>F14-T12-04</t>
        </is>
      </c>
      <c r="B469" s="63" t="inlineStr">
        <is>
          <t>F14</t>
        </is>
      </c>
      <c r="C469" s="63">
        <f>Flights!$F$18</f>
        <v/>
      </c>
      <c r="D469" s="64">
        <f>Flights!$D$18</f>
        <v/>
      </c>
      <c r="E469" s="63">
        <f>Flights!$G$18&amp;"-"&amp;Flights!$H$18</f>
        <v/>
      </c>
      <c r="F469" s="63">
        <f>Flights!$K$18</f>
        <v/>
      </c>
      <c r="G469" s="63" t="inlineStr">
        <is>
          <t>T-12H PREP</t>
        </is>
      </c>
      <c r="H469" s="63" t="inlineStr">
        <is>
          <t>Preparation</t>
        </is>
      </c>
      <c r="I469" s="63" t="inlineStr">
        <is>
          <t>Equipment</t>
        </is>
      </c>
      <c r="J469" s="63" t="inlineStr">
        <is>
          <t>Equipment presentation vs GLD</t>
        </is>
      </c>
      <c r="K469" s="73" t="inlineStr"/>
      <c r="L469" s="73" t="inlineStr">
        <is>
          <t>User brief (T-12 hours)</t>
        </is>
      </c>
      <c r="M469" s="73" t="inlineStr"/>
      <c r="N469" s="73" t="inlineStr">
        <is>
          <t>Required</t>
        </is>
      </c>
      <c r="O469" s="73" t="inlineStr">
        <is>
          <t>Preparation check at caterer - does NOT confirm loading.</t>
        </is>
      </c>
      <c r="P469" s="63" t="inlineStr">
        <is>
          <t>KUL</t>
        </is>
      </c>
      <c r="Q469" s="65">
        <f>Flights!$AE$18</f>
        <v/>
      </c>
      <c r="R469" s="65">
        <f>Q469+(IF(AND(INDEX(TZ_DSTS,MATCH(P469,TZ_STN,0))&lt;&gt;"",Q469&gt;=INDEX(TZ_DSTS,MATCH(P469,TZ_STN,0)),Q469&lt;INDEX(TZ_DSTE,MATCH(P469,TZ_STN,0))),INDEX(TZ_DST,MATCH(P469,TZ_STN,0)),INDEX(TZ_STD,MATCH(P469,TZ_STN,0))))/24</f>
        <v/>
      </c>
      <c r="S469" s="65">
        <f>Q469-T12EarlyH/24</f>
        <v/>
      </c>
      <c r="T469" s="66" t="n"/>
      <c r="U469" s="66" t="n"/>
      <c r="V469" s="66" t="n"/>
      <c r="W469" s="67" t="n"/>
      <c r="X469" s="66" t="n"/>
      <c r="Y469" s="66" t="n"/>
      <c r="Z469" s="66" t="n"/>
      <c r="AA469" s="66" t="n"/>
      <c r="AB469" s="66" t="n"/>
      <c r="AC469" s="66" t="n"/>
      <c r="AD469" s="72" t="n"/>
      <c r="AE469" s="66" t="n"/>
      <c r="AF469" s="67">
        <f>IF(AND(ISNUMBER(X469),ISNUMBER(Y469)),Y469-X469,"")</f>
        <v/>
      </c>
      <c r="AG469" s="68">
        <f>IF(ISNUMBER(AD469),AD469-(IF(AND(INDEX(TZ_DSTS,MATCH(P469,TZ_STN,0))&lt;&gt;"",(AD469-INDEX(TZ_STD,MATCH(P469,TZ_STN,0))/24)&gt;=INDEX(TZ_DSTS,MATCH(P469,TZ_STN,0)),(AD469-INDEX(TZ_STD,MATCH(P469,TZ_STN,0))/24)&lt;INDEX(TZ_DSTE,MATCH(P469,TZ_STN,0))),INDEX(TZ_DST,MATCH(P469,TZ_STN,0)),INDEX(TZ_STD,MATCH(P469,TZ_STN,0))))/24,"")</f>
        <v/>
      </c>
      <c r="AH469" s="71">
        <f>IF(N469="N/A – rule","N/A – RULE",IF(TRIM(U469)="N/A",IF(AT469=0,"INVALID – N/A not permitted for this mandatory check",IF(AND(TRIM(AC469)&lt;&gt;"",TRIM(AE469)&lt;&gt;"",TRIM(T469)&lt;&gt;""),"N/A – JUSTIFIED","INVALID – N/A needs justification, PIC and verifier")),IF(OR(TRIM(U469)="Pass",TRIM(U469)="Pass after CA"),IF(NOT(ISNUMBER(AD469)),"INVALID – completion time missing",IF(TRIM(T469)="","INVALID – PIC missing",IF(TRIM(Z469)="","INVALID – evidence missing",IF(TRIM(AE469)="","INVALID – verifier missing",IF(AND(AQ469=1,TRIM(W469)=""),"INVALID – batch ID missing",IF(AND(AR469=1,OR(NOT(ISNUMBER(X469)),NOT(ISNUMBER(Y469)))),"INVALID – expected/actual qty missing",IF(IF(AND(TRIM(U469)="Pass",ISNUMBER(AF469)),IF(AF469&lt;&gt;0,"INVALID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recorded/closed","")&lt;&gt;"",IF(AND(TRIM(U469)="Pass",ISNUMBER(AF469)),IF(AF469&lt;&gt;0,"INVALID – qty variance: use Fail or Pass after CA",""),"")&amp;IF(AND(TRIM(U469)="Pass",AB469="Open"),"INVALID – corrective action still open: use Fail, then Pass after CA","")&amp;IF(AND(TRIM(U469)="Pass after CA",OR(TRIM(AA469)="",AB469&lt;&gt;"Closed")),"INVALID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window"),IF(AG469&gt;Flights!$AA$18,"INVALID – completed after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f>
        <v/>
      </c>
      <c r="AI469" s="67">
        <f>IF(OR(AH469="N/A – RULE",AH469="N/A – JUSTIFIED"),0,1)</f>
        <v/>
      </c>
      <c r="AJ469" s="67">
        <f>IF(LEFT(AH469,8)="COMPLETE",1,0)</f>
        <v/>
      </c>
      <c r="AK469" s="67">
        <f>IF(AND(AI469=1,AJ469=0,AsOfUTC&gt;Q469),1,0)</f>
        <v/>
      </c>
      <c r="AL469" s="67">
        <f>IF(AND(AI469=1,OR(TRIM(U469)="Fail",AB469="Open",AND(ISNUMBER(AF469),AF469&lt;&gt;0,TRIM(U469)&lt;&gt;"Pass after CA"))),1,0)</f>
        <v/>
      </c>
      <c r="AM469" s="67">
        <f>IF(LEFT(AH469,7)="INVALID",1,0)</f>
        <v/>
      </c>
      <c r="AN469" s="67">
        <f>IF(AND(N469="Clarification required",AI469=1,AJ469=0),1,0)</f>
        <v/>
      </c>
      <c r="AO469" s="67">
        <f>IF(AK469=1,SUM(AK$5:AK469),"")</f>
        <v/>
      </c>
      <c r="AP469" s="67">
        <f>IF(AL469=1,SUM(AL$5:AL469),"")</f>
        <v/>
      </c>
      <c r="AQ469" s="67" t="n">
        <v>0</v>
      </c>
      <c r="AR469" s="67" t="n">
        <v>0</v>
      </c>
      <c r="AS469" s="67" t="n">
        <v>0</v>
      </c>
      <c r="AT469" s="67" t="n">
        <v>0</v>
      </c>
    </row>
    <row r="470" ht="40" customHeight="1">
      <c r="A470" s="63" t="inlineStr">
        <is>
          <t>F14-T12-05</t>
        </is>
      </c>
      <c r="B470" s="63" t="inlineStr">
        <is>
          <t>F14</t>
        </is>
      </c>
      <c r="C470" s="63">
        <f>Flights!$F$18</f>
        <v/>
      </c>
      <c r="D470" s="64">
        <f>Flights!$D$18</f>
        <v/>
      </c>
      <c r="E470" s="63">
        <f>Flights!$G$18&amp;"-"&amp;Flights!$H$18</f>
        <v/>
      </c>
      <c r="F470" s="63">
        <f>Flights!$K$18</f>
        <v/>
      </c>
      <c r="G470" s="63" t="inlineStr">
        <is>
          <t>T-12H PREP</t>
        </is>
      </c>
      <c r="H470" s="63" t="inlineStr">
        <is>
          <t>Preparation</t>
        </is>
      </c>
      <c r="I470" s="63" t="inlineStr">
        <is>
          <t>Equipment</t>
        </is>
      </c>
      <c r="J470" s="63" t="inlineStr">
        <is>
          <t>Equipment serviceability vs GLD</t>
        </is>
      </c>
      <c r="K470" s="73" t="inlineStr"/>
      <c r="L470" s="73" t="inlineStr">
        <is>
          <t>User brief (T-12 hours)</t>
        </is>
      </c>
      <c r="M470" s="73" t="inlineStr"/>
      <c r="N470" s="73" t="inlineStr">
        <is>
          <t>Required</t>
        </is>
      </c>
      <c r="O470" s="73" t="inlineStr">
        <is>
          <t>Preparation check at caterer - does NOT confirm loading.</t>
        </is>
      </c>
      <c r="P470" s="63" t="inlineStr">
        <is>
          <t>KUL</t>
        </is>
      </c>
      <c r="Q470" s="65">
        <f>Flights!$AE$18</f>
        <v/>
      </c>
      <c r="R470" s="65">
        <f>Q470+(IF(AND(INDEX(TZ_DSTS,MATCH(P470,TZ_STN,0))&lt;&gt;"",Q470&gt;=INDEX(TZ_DSTS,MATCH(P470,TZ_STN,0)),Q470&lt;INDEX(TZ_DSTE,MATCH(P470,TZ_STN,0))),INDEX(TZ_DST,MATCH(P470,TZ_STN,0)),INDEX(TZ_STD,MATCH(P470,TZ_STN,0))))/24</f>
        <v/>
      </c>
      <c r="S470" s="65">
        <f>Q470-T12EarlyH/24</f>
        <v/>
      </c>
      <c r="T470" s="66" t="n"/>
      <c r="U470" s="66" t="n"/>
      <c r="V470" s="66" t="n"/>
      <c r="W470" s="67" t="n"/>
      <c r="X470" s="66" t="n"/>
      <c r="Y470" s="66" t="n"/>
      <c r="Z470" s="66" t="n"/>
      <c r="AA470" s="66" t="n"/>
      <c r="AB470" s="66" t="n"/>
      <c r="AC470" s="66" t="n"/>
      <c r="AD470" s="72" t="n"/>
      <c r="AE470" s="66" t="n"/>
      <c r="AF470" s="67">
        <f>IF(AND(ISNUMBER(X470),ISNUMBER(Y470)),Y470-X470,"")</f>
        <v/>
      </c>
      <c r="AG470" s="68">
        <f>IF(ISNUMBER(AD470),AD470-(IF(AND(INDEX(TZ_DSTS,MATCH(P470,TZ_STN,0))&lt;&gt;"",(AD470-INDEX(TZ_STD,MATCH(P470,TZ_STN,0))/24)&gt;=INDEX(TZ_DSTS,MATCH(P470,TZ_STN,0)),(AD470-INDEX(TZ_STD,MATCH(P470,TZ_STN,0))/24)&lt;INDEX(TZ_DSTE,MATCH(P470,TZ_STN,0))),INDEX(TZ_DST,MATCH(P470,TZ_STN,0)),INDEX(TZ_STD,MATCH(P470,TZ_STN,0))))/24,"")</f>
        <v/>
      </c>
      <c r="AH470" s="71">
        <f>IF(N470="N/A – rule","N/A – RULE",IF(TRIM(U470)="N/A",IF(AT470=0,"INVALID – N/A not permitted for this mandatory check",IF(AND(TRIM(AC470)&lt;&gt;"",TRIM(AE470)&lt;&gt;"",TRIM(T470)&lt;&gt;""),"N/A – JUSTIFIED","INVALID – N/A needs justification, PIC and verifier")),IF(OR(TRIM(U470)="Pass",TRIM(U470)="Pass after CA"),IF(NOT(ISNUMBER(AD470)),"INVALID – completion time missing",IF(TRIM(T470)="","INVALID – PIC missing",IF(TRIM(Z470)="","INVALID – evidence missing",IF(TRIM(AE470)="","INVALID – verifier missing",IF(AND(AQ470=1,TRIM(W470)=""),"INVALID – batch ID missing",IF(AND(AR470=1,OR(NOT(ISNUMBER(X470)),NOT(ISNUMBER(Y470)))),"INVALID – expected/actual qty missing",IF(IF(AND(TRIM(U470)="Pass",ISNUMBER(AF470)),IF(AF470&lt;&gt;0,"INVALID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recorded/closed","")&lt;&gt;"",IF(AND(TRIM(U470)="Pass",ISNUMBER(AF470)),IF(AF470&lt;&gt;0,"INVALID – qty variance: use Fail or Pass after CA",""),"")&amp;IF(AND(TRIM(U470)="Pass",AB470="Open"),"INVALID – corrective action still open: use Fail, then Pass after CA","")&amp;IF(AND(TRIM(U470)="Pass after CA",OR(TRIM(AA470)="",AB470&lt;&gt;"Closed")),"INVALID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window"),IF(AG470&gt;Flights!$AA$18,"INVALID – completed after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f>
        <v/>
      </c>
      <c r="AI470" s="67">
        <f>IF(OR(AH470="N/A – RULE",AH470="N/A – JUSTIFIED"),0,1)</f>
        <v/>
      </c>
      <c r="AJ470" s="67">
        <f>IF(LEFT(AH470,8)="COMPLETE",1,0)</f>
        <v/>
      </c>
      <c r="AK470" s="67">
        <f>IF(AND(AI470=1,AJ470=0,AsOfUTC&gt;Q470),1,0)</f>
        <v/>
      </c>
      <c r="AL470" s="67">
        <f>IF(AND(AI470=1,OR(TRIM(U470)="Fail",AB470="Open",AND(ISNUMBER(AF470),AF470&lt;&gt;0,TRIM(U470)&lt;&gt;"Pass after CA"))),1,0)</f>
        <v/>
      </c>
      <c r="AM470" s="67">
        <f>IF(LEFT(AH470,7)="INVALID",1,0)</f>
        <v/>
      </c>
      <c r="AN470" s="67">
        <f>IF(AND(N470="Clarification required",AI470=1,AJ470=0),1,0)</f>
        <v/>
      </c>
      <c r="AO470" s="67">
        <f>IF(AK470=1,SUM(AK$5:AK470),"")</f>
        <v/>
      </c>
      <c r="AP470" s="67">
        <f>IF(AL470=1,SUM(AL$5:AL470),"")</f>
        <v/>
      </c>
      <c r="AQ470" s="67" t="n">
        <v>0</v>
      </c>
      <c r="AR470" s="67" t="n">
        <v>0</v>
      </c>
      <c r="AS470" s="67" t="n">
        <v>0</v>
      </c>
      <c r="AT470" s="67" t="n">
        <v>0</v>
      </c>
    </row>
    <row r="471" ht="141.5" customHeight="1">
      <c r="A471" s="63" t="inlineStr">
        <is>
          <t>F14-T12-06</t>
        </is>
      </c>
      <c r="B471" s="63" t="inlineStr">
        <is>
          <t>F14</t>
        </is>
      </c>
      <c r="C471" s="63">
        <f>Flights!$F$18</f>
        <v/>
      </c>
      <c r="D471" s="64">
        <f>Flights!$D$18</f>
        <v/>
      </c>
      <c r="E471" s="63">
        <f>Flights!$G$18&amp;"-"&amp;Flights!$H$18</f>
        <v/>
      </c>
      <c r="F471" s="63">
        <f>Flights!$K$18</f>
        <v/>
      </c>
      <c r="G471" s="63" t="inlineStr">
        <is>
          <t>T-12H PREP</t>
        </is>
      </c>
      <c r="H471" s="63" t="inlineStr">
        <is>
          <t>Preparation</t>
        </is>
      </c>
      <c r="I471" s="63" t="inlineStr">
        <is>
          <t>Equipment</t>
        </is>
      </c>
      <c r="J471" s="63" t="inlineStr">
        <is>
          <t>Equipment quantities vs GLD</t>
        </is>
      </c>
      <c r="K471"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471" s="73" t="inlineStr">
        <is>
          <t>User brief (T-12 hours)</t>
        </is>
      </c>
      <c r="M471" s="73" t="inlineStr"/>
      <c r="N471" s="73" t="inlineStr">
        <is>
          <t>Required</t>
        </is>
      </c>
      <c r="O471" s="73" t="inlineStr">
        <is>
          <t>Preparation check at caterer - does NOT confirm loading.</t>
        </is>
      </c>
      <c r="P471" s="63" t="inlineStr">
        <is>
          <t>KUL</t>
        </is>
      </c>
      <c r="Q471" s="65">
        <f>Flights!$AE$18</f>
        <v/>
      </c>
      <c r="R471" s="65">
        <f>Q471+(IF(AND(INDEX(TZ_DSTS,MATCH(P471,TZ_STN,0))&lt;&gt;"",Q471&gt;=INDEX(TZ_DSTS,MATCH(P471,TZ_STN,0)),Q471&lt;INDEX(TZ_DSTE,MATCH(P471,TZ_STN,0))),INDEX(TZ_DST,MATCH(P471,TZ_STN,0)),INDEX(TZ_STD,MATCH(P471,TZ_STN,0))))/24</f>
        <v/>
      </c>
      <c r="S471" s="65">
        <f>Q471-T12EarlyH/24</f>
        <v/>
      </c>
      <c r="T471" s="66" t="n"/>
      <c r="U471" s="66" t="n"/>
      <c r="V471" s="66" t="n"/>
      <c r="W471" s="67" t="n"/>
      <c r="X471" s="66" t="n"/>
      <c r="Y471" s="66" t="n"/>
      <c r="Z471" s="66" t="n"/>
      <c r="AA471" s="66" t="n"/>
      <c r="AB471" s="66" t="n"/>
      <c r="AC471" s="66" t="n"/>
      <c r="AD471" s="72" t="n"/>
      <c r="AE471" s="66" t="n"/>
      <c r="AF471" s="67">
        <f>IF(AND(ISNUMBER(X471),ISNUMBER(Y471)),Y471-X471,"")</f>
        <v/>
      </c>
      <c r="AG471" s="68">
        <f>IF(ISNUMBER(AD471),AD471-(IF(AND(INDEX(TZ_DSTS,MATCH(P471,TZ_STN,0))&lt;&gt;"",(AD471-INDEX(TZ_STD,MATCH(P471,TZ_STN,0))/24)&gt;=INDEX(TZ_DSTS,MATCH(P471,TZ_STN,0)),(AD471-INDEX(TZ_STD,MATCH(P471,TZ_STN,0))/24)&lt;INDEX(TZ_DSTE,MATCH(P471,TZ_STN,0))),INDEX(TZ_DST,MATCH(P471,TZ_STN,0)),INDEX(TZ_STD,MATCH(P471,TZ_STN,0))))/24,"")</f>
        <v/>
      </c>
      <c r="AH471" s="71">
        <f>IF(N471="N/A – rule","N/A – RULE",IF(TRIM(U471)="N/A",IF(AT471=0,"INVALID – N/A not permitted for this mandatory check",IF(AND(TRIM(AC471)&lt;&gt;"",TRIM(AE471)&lt;&gt;"",TRIM(T471)&lt;&gt;""),"N/A – JUSTIFIED","INVALID – N/A needs justification, PIC and verifier")),IF(OR(TRIM(U471)="Pass",TRIM(U471)="Pass after CA"),IF(NOT(ISNUMBER(AD471)),"INVALID – completion time missing",IF(TRIM(T471)="","INVALID – PIC missing",IF(TRIM(Z471)="","INVALID – evidence missing",IF(TRIM(AE471)="","INVALID – verifier missing",IF(AND(AQ471=1,TRIM(W471)=""),"INVALID – batch ID missing",IF(AND(AR471=1,OR(NOT(ISNUMBER(X471)),NOT(ISNUMBER(Y471)))),"INVALID – expected/actual qty missing",IF(IF(AND(TRIM(U471)="Pass",ISNUMBER(AF471)),IF(AF471&lt;&gt;0,"INVALID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recorded/closed","")&lt;&gt;"",IF(AND(TRIM(U471)="Pass",ISNUMBER(AF471)),IF(AF471&lt;&gt;0,"INVALID – qty variance: use Fail or Pass after CA",""),"")&amp;IF(AND(TRIM(U471)="Pass",AB471="Open"),"INVALID – corrective action still open: use Fail, then Pass after CA","")&amp;IF(AND(TRIM(U471)="Pass after CA",OR(TRIM(AA471)="",AB471&lt;&gt;"Closed")),"INVALID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window"),IF(AG471&gt;Flights!$AA$18,"INVALID – completed after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f>
        <v/>
      </c>
      <c r="AI471" s="67">
        <f>IF(OR(AH471="N/A – RULE",AH471="N/A – JUSTIFIED"),0,1)</f>
        <v/>
      </c>
      <c r="AJ471" s="67">
        <f>IF(LEFT(AH471,8)="COMPLETE",1,0)</f>
        <v/>
      </c>
      <c r="AK471" s="67">
        <f>IF(AND(AI471=1,AJ471=0,AsOfUTC&gt;Q471),1,0)</f>
        <v/>
      </c>
      <c r="AL471" s="67">
        <f>IF(AND(AI471=1,OR(TRIM(U471)="Fail",AB471="Open",AND(ISNUMBER(AF471),AF471&lt;&gt;0,TRIM(U471)&lt;&gt;"Pass after CA"))),1,0)</f>
        <v/>
      </c>
      <c r="AM471" s="67">
        <f>IF(LEFT(AH471,7)="INVALID",1,0)</f>
        <v/>
      </c>
      <c r="AN471" s="67">
        <f>IF(AND(N471="Clarification required",AI471=1,AJ471=0),1,0)</f>
        <v/>
      </c>
      <c r="AO471" s="67">
        <f>IF(AK471=1,SUM(AK$5:AK471),"")</f>
        <v/>
      </c>
      <c r="AP471" s="67">
        <f>IF(AL471=1,SUM(AL$5:AL471),"")</f>
        <v/>
      </c>
      <c r="AQ471" s="67" t="n">
        <v>0</v>
      </c>
      <c r="AR471" s="67" t="n">
        <v>1</v>
      </c>
      <c r="AS471" s="67" t="n">
        <v>0</v>
      </c>
      <c r="AT471" s="67" t="n">
        <v>0</v>
      </c>
    </row>
    <row r="472" ht="40" customHeight="1">
      <c r="A472" s="63" t="inlineStr">
        <is>
          <t>F14-T12-07</t>
        </is>
      </c>
      <c r="B472" s="63" t="inlineStr">
        <is>
          <t>F14</t>
        </is>
      </c>
      <c r="C472" s="63">
        <f>Flights!$F$18</f>
        <v/>
      </c>
      <c r="D472" s="64">
        <f>Flights!$D$18</f>
        <v/>
      </c>
      <c r="E472" s="63">
        <f>Flights!$G$18&amp;"-"&amp;Flights!$H$18</f>
        <v/>
      </c>
      <c r="F472" s="63">
        <f>Flights!$K$18</f>
        <v/>
      </c>
      <c r="G472" s="63" t="inlineStr">
        <is>
          <t>T-12H PREP</t>
        </is>
      </c>
      <c r="H472" s="63" t="inlineStr">
        <is>
          <t>Preparation</t>
        </is>
      </c>
      <c r="I472" s="63" t="inlineStr">
        <is>
          <t>Equipment</t>
        </is>
      </c>
      <c r="J472" s="63" t="inlineStr">
        <is>
          <t>Loading positions planned vs GLD</t>
        </is>
      </c>
      <c r="K472" s="73" t="inlineStr"/>
      <c r="L472" s="73" t="inlineStr">
        <is>
          <t>User brief (T-12 hours)</t>
        </is>
      </c>
      <c r="M472" s="73" t="inlineStr"/>
      <c r="N472" s="73" t="inlineStr">
        <is>
          <t>Required</t>
        </is>
      </c>
      <c r="O472" s="73" t="inlineStr">
        <is>
          <t>Preparation check at caterer - does NOT confirm loading.</t>
        </is>
      </c>
      <c r="P472" s="63" t="inlineStr">
        <is>
          <t>KUL</t>
        </is>
      </c>
      <c r="Q472" s="65">
        <f>Flights!$AE$18</f>
        <v/>
      </c>
      <c r="R472" s="65">
        <f>Q472+(IF(AND(INDEX(TZ_DSTS,MATCH(P472,TZ_STN,0))&lt;&gt;"",Q472&gt;=INDEX(TZ_DSTS,MATCH(P472,TZ_STN,0)),Q472&lt;INDEX(TZ_DSTE,MATCH(P472,TZ_STN,0))),INDEX(TZ_DST,MATCH(P472,TZ_STN,0)),INDEX(TZ_STD,MATCH(P472,TZ_STN,0))))/24</f>
        <v/>
      </c>
      <c r="S472" s="65">
        <f>Q472-T12EarlyH/24</f>
        <v/>
      </c>
      <c r="T472" s="66" t="n"/>
      <c r="U472" s="66" t="n"/>
      <c r="V472" s="66" t="n"/>
      <c r="W472" s="67" t="n"/>
      <c r="X472" s="66" t="n"/>
      <c r="Y472" s="66" t="n"/>
      <c r="Z472" s="66" t="n"/>
      <c r="AA472" s="66" t="n"/>
      <c r="AB472" s="66" t="n"/>
      <c r="AC472" s="66" t="n"/>
      <c r="AD472" s="72" t="n"/>
      <c r="AE472" s="66" t="n"/>
      <c r="AF472" s="67">
        <f>IF(AND(ISNUMBER(X472),ISNUMBER(Y472)),Y472-X472,"")</f>
        <v/>
      </c>
      <c r="AG472" s="68">
        <f>IF(ISNUMBER(AD472),AD472-(IF(AND(INDEX(TZ_DSTS,MATCH(P472,TZ_STN,0))&lt;&gt;"",(AD472-INDEX(TZ_STD,MATCH(P472,TZ_STN,0))/24)&gt;=INDEX(TZ_DSTS,MATCH(P472,TZ_STN,0)),(AD472-INDEX(TZ_STD,MATCH(P472,TZ_STN,0))/24)&lt;INDEX(TZ_DSTE,MATCH(P472,TZ_STN,0))),INDEX(TZ_DST,MATCH(P472,TZ_STN,0)),INDEX(TZ_STD,MATCH(P472,TZ_STN,0))))/24,"")</f>
        <v/>
      </c>
      <c r="AH472" s="71">
        <f>IF(N472="N/A – rule","N/A – RULE",IF(TRIM(U472)="N/A",IF(AT472=0,"INVALID – N/A not permitted for this mandatory check",IF(AND(TRIM(AC472)&lt;&gt;"",TRIM(AE472)&lt;&gt;"",TRIM(T472)&lt;&gt;""),"N/A – JUSTIFIED","INVALID – N/A needs justification, PIC and verifier")),IF(OR(TRIM(U472)="Pass",TRIM(U472)="Pass after CA"),IF(NOT(ISNUMBER(AD472)),"INVALID – completion time missing",IF(TRIM(T472)="","INVALID – PIC missing",IF(TRIM(Z472)="","INVALID – evidence missing",IF(TRIM(AE472)="","INVALID – verifier missing",IF(AND(AQ472=1,TRIM(W472)=""),"INVALID – batch ID missing",IF(AND(AR472=1,OR(NOT(ISNUMBER(X472)),NOT(ISNUMBER(Y472)))),"INVALID – expected/actual qty missing",IF(IF(AND(TRIM(U472)="Pass",ISNUMBER(AF472)),IF(AF472&lt;&gt;0,"INVALID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recorded/closed","")&lt;&gt;"",IF(AND(TRIM(U472)="Pass",ISNUMBER(AF472)),IF(AF472&lt;&gt;0,"INVALID – qty variance: use Fail or Pass after CA",""),"")&amp;IF(AND(TRIM(U472)="Pass",AB472="Open"),"INVALID – corrective action still open: use Fail, then Pass after CA","")&amp;IF(AND(TRIM(U472)="Pass after CA",OR(TRIM(AA472)="",AB472&lt;&gt;"Closed")),"INVALID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window"),IF(AG472&gt;Flights!$AA$18,"INVALID – completed after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f>
        <v/>
      </c>
      <c r="AI472" s="67">
        <f>IF(OR(AH472="N/A – RULE",AH472="N/A – JUSTIFIED"),0,1)</f>
        <v/>
      </c>
      <c r="AJ472" s="67">
        <f>IF(LEFT(AH472,8)="COMPLETE",1,0)</f>
        <v/>
      </c>
      <c r="AK472" s="67">
        <f>IF(AND(AI472=1,AJ472=0,AsOfUTC&gt;Q472),1,0)</f>
        <v/>
      </c>
      <c r="AL472" s="67">
        <f>IF(AND(AI472=1,OR(TRIM(U472)="Fail",AB472="Open",AND(ISNUMBER(AF472),AF472&lt;&gt;0,TRIM(U472)&lt;&gt;"Pass after CA"))),1,0)</f>
        <v/>
      </c>
      <c r="AM472" s="67">
        <f>IF(LEFT(AH472,7)="INVALID",1,0)</f>
        <v/>
      </c>
      <c r="AN472" s="67">
        <f>IF(AND(N472="Clarification required",AI472=1,AJ472=0),1,0)</f>
        <v/>
      </c>
      <c r="AO472" s="67">
        <f>IF(AK472=1,SUM(AK$5:AK472),"")</f>
        <v/>
      </c>
      <c r="AP472" s="67">
        <f>IF(AL472=1,SUM(AL$5:AL472),"")</f>
        <v/>
      </c>
      <c r="AQ472" s="67" t="n">
        <v>0</v>
      </c>
      <c r="AR472" s="67" t="n">
        <v>0</v>
      </c>
      <c r="AS472" s="67" t="n">
        <v>0</v>
      </c>
      <c r="AT472" s="67" t="n">
        <v>0</v>
      </c>
    </row>
    <row r="473" ht="116.5" customHeight="1">
      <c r="A473" s="63" t="inlineStr">
        <is>
          <t>F14-T12-08</t>
        </is>
      </c>
      <c r="B473" s="63" t="inlineStr">
        <is>
          <t>F14</t>
        </is>
      </c>
      <c r="C473" s="63">
        <f>Flights!$F$18</f>
        <v/>
      </c>
      <c r="D473" s="64">
        <f>Flights!$D$18</f>
        <v/>
      </c>
      <c r="E473" s="63">
        <f>Flights!$G$18&amp;"-"&amp;Flights!$H$18</f>
        <v/>
      </c>
      <c r="F473" s="63">
        <f>Flights!$K$18</f>
        <v/>
      </c>
      <c r="G473" s="63" t="inlineStr">
        <is>
          <t>T-12H PREP</t>
        </is>
      </c>
      <c r="H473" s="63" t="inlineStr">
        <is>
          <t>Preparation</t>
        </is>
      </c>
      <c r="I473" s="63" t="inlineStr">
        <is>
          <t>Amenities</t>
        </is>
      </c>
      <c r="J473" s="63" t="inlineStr">
        <is>
          <t>Toiletry kits - prepared</t>
        </is>
      </c>
      <c r="K473" s="73" t="inlineStr">
        <is>
          <t>Available (ticked in reference)</t>
        </is>
      </c>
      <c r="L473" s="73" t="inlineStr">
        <is>
          <t>STD UPLIFT INFORMATION.xlsx &gt; AMENITIES!D12 / H12</t>
        </is>
      </c>
      <c r="M473" s="73" t="inlineStr">
        <is>
          <t>LHR or KUL - confirm</t>
        </is>
      </c>
      <c r="N473" s="73" t="inlineStr">
        <is>
          <t>Clarification required</t>
        </is>
      </c>
      <c r="O473" s="73" t="inlineStr">
        <is>
          <t>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is>
      </c>
      <c r="P473" s="63" t="inlineStr">
        <is>
          <t>KUL</t>
        </is>
      </c>
      <c r="Q473" s="65">
        <f>Flights!$AE$18</f>
        <v/>
      </c>
      <c r="R473" s="65">
        <f>Q473+(IF(AND(INDEX(TZ_DSTS,MATCH(P473,TZ_STN,0))&lt;&gt;"",Q473&gt;=INDEX(TZ_DSTS,MATCH(P473,TZ_STN,0)),Q473&lt;INDEX(TZ_DSTE,MATCH(P473,TZ_STN,0))),INDEX(TZ_DST,MATCH(P473,TZ_STN,0)),INDEX(TZ_STD,MATCH(P473,TZ_STN,0))))/24</f>
        <v/>
      </c>
      <c r="S473" s="65">
        <f>Q473-T12EarlyH/24</f>
        <v/>
      </c>
      <c r="T473" s="66" t="n"/>
      <c r="U473" s="66" t="n"/>
      <c r="V473" s="66" t="n"/>
      <c r="W473" s="67" t="n"/>
      <c r="X473" s="66" t="n"/>
      <c r="Y473" s="66" t="n"/>
      <c r="Z473" s="66" t="n"/>
      <c r="AA473" s="66" t="n"/>
      <c r="AB473" s="66" t="n"/>
      <c r="AC473" s="66" t="n"/>
      <c r="AD473" s="72" t="n"/>
      <c r="AE473" s="66" t="n"/>
      <c r="AF473" s="67">
        <f>IF(AND(ISNUMBER(X473),ISNUMBER(Y473)),Y473-X473,"")</f>
        <v/>
      </c>
      <c r="AG473" s="68">
        <f>IF(ISNUMBER(AD473),AD473-(IF(AND(INDEX(TZ_DSTS,MATCH(P473,TZ_STN,0))&lt;&gt;"",(AD473-INDEX(TZ_STD,MATCH(P473,TZ_STN,0))/24)&gt;=INDEX(TZ_DSTS,MATCH(P473,TZ_STN,0)),(AD473-INDEX(TZ_STD,MATCH(P473,TZ_STN,0))/24)&lt;INDEX(TZ_DSTE,MATCH(P473,TZ_STN,0))),INDEX(TZ_DST,MATCH(P473,TZ_STN,0)),INDEX(TZ_STD,MATCH(P473,TZ_STN,0))))/24,"")</f>
        <v/>
      </c>
      <c r="AH473" s="71">
        <f>IF(N473="N/A – rule","N/A – RULE",IF(TRIM(U473)="N/A",IF(AT473=0,"INVALID – N/A not permitted for this mandatory check",IF(AND(TRIM(AC473)&lt;&gt;"",TRIM(AE473)&lt;&gt;"",TRIM(T473)&lt;&gt;""),"N/A – JUSTIFIED","INVALID – N/A needs justification, PIC and verifier")),IF(OR(TRIM(U473)="Pass",TRIM(U473)="Pass after CA"),IF(NOT(ISNUMBER(AD473)),"INVALID – completion time missing",IF(TRIM(T473)="","INVALID – PIC missing",IF(TRIM(Z473)="","INVALID – evidence missing",IF(TRIM(AE473)="","INVALID – verifier missing",IF(AND(AQ473=1,TRIM(W473)=""),"INVALID – batch ID missing",IF(AND(AR473=1,OR(NOT(ISNUMBER(X473)),NOT(ISNUMBER(Y473)))),"INVALID – expected/actual qty missing",IF(IF(AND(TRIM(U473)="Pass",ISNUMBER(AF473)),IF(AF473&lt;&gt;0,"INVALID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recorded/closed","")&lt;&gt;"",IF(AND(TRIM(U473)="Pass",ISNUMBER(AF473)),IF(AF473&lt;&gt;0,"INVALID – qty variance: use Fail or Pass after CA",""),"")&amp;IF(AND(TRIM(U473)="Pass",AB473="Open"),"INVALID – corrective action still open: use Fail, then Pass after CA","")&amp;IF(AND(TRIM(U473)="Pass after CA",OR(TRIM(AA473)="",AB473&lt;&gt;"Closed")),"INVALID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window"),IF(AG473&gt;Flights!$AA$18,"INVALID – completed after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f>
        <v/>
      </c>
      <c r="AI473" s="67">
        <f>IF(OR(AH473="N/A – RULE",AH473="N/A – JUSTIFIED"),0,1)</f>
        <v/>
      </c>
      <c r="AJ473" s="67">
        <f>IF(LEFT(AH473,8)="COMPLETE",1,0)</f>
        <v/>
      </c>
      <c r="AK473" s="67">
        <f>IF(AND(AI473=1,AJ473=0,AsOfUTC&gt;Q473),1,0)</f>
        <v/>
      </c>
      <c r="AL473" s="67">
        <f>IF(AND(AI473=1,OR(TRIM(U473)="Fail",AB473="Open",AND(ISNUMBER(AF473),AF473&lt;&gt;0,TRIM(U473)&lt;&gt;"Pass after CA"))),1,0)</f>
        <v/>
      </c>
      <c r="AM473" s="67">
        <f>IF(LEFT(AH473,7)="INVALID",1,0)</f>
        <v/>
      </c>
      <c r="AN473" s="67">
        <f>IF(AND(N473="Clarification required",AI473=1,AJ473=0),1,0)</f>
        <v/>
      </c>
      <c r="AO473" s="67">
        <f>IF(AK473=1,SUM(AK$5:AK473),"")</f>
        <v/>
      </c>
      <c r="AP473" s="67">
        <f>IF(AL473=1,SUM(AL$5:AL473),"")</f>
        <v/>
      </c>
      <c r="AQ473" s="67" t="n">
        <v>0</v>
      </c>
      <c r="AR473" s="67" t="n">
        <v>0</v>
      </c>
      <c r="AS473" s="67" t="n">
        <v>0</v>
      </c>
      <c r="AT473" s="67" t="n">
        <v>1</v>
      </c>
    </row>
    <row r="474" ht="41.5" customHeight="1">
      <c r="A474" s="63" t="inlineStr">
        <is>
          <t>F14-T12-09</t>
        </is>
      </c>
      <c r="B474" s="63" t="inlineStr">
        <is>
          <t>F14</t>
        </is>
      </c>
      <c r="C474" s="63">
        <f>Flights!$F$18</f>
        <v/>
      </c>
      <c r="D474" s="64">
        <f>Flights!$D$18</f>
        <v/>
      </c>
      <c r="E474" s="63">
        <f>Flights!$G$18&amp;"-"&amp;Flights!$H$18</f>
        <v/>
      </c>
      <c r="F474" s="63">
        <f>Flights!$K$18</f>
        <v/>
      </c>
      <c r="G474" s="63" t="inlineStr">
        <is>
          <t>T-12H PREP</t>
        </is>
      </c>
      <c r="H474" s="63" t="inlineStr">
        <is>
          <t>Preparation</t>
        </is>
      </c>
      <c r="I474" s="63" t="inlineStr">
        <is>
          <t>Seat Linen</t>
        </is>
      </c>
      <c r="J474" s="63" t="inlineStr">
        <is>
          <t>Seat pillow (EY) - prepared</t>
        </is>
      </c>
      <c r="K474" s="73" t="inlineStr">
        <is>
          <t>Available 100% (ticked in reference)</t>
        </is>
      </c>
      <c r="L474" s="73" t="inlineStr">
        <is>
          <t>STD UPLIFT INFORMATION.xlsx &gt; SEAT LINEN!I7</t>
        </is>
      </c>
      <c r="M474" s="73" t="inlineStr">
        <is>
          <t>Not stated in reference</t>
        </is>
      </c>
      <c r="N474" s="73" t="inlineStr">
        <is>
          <t>Required</t>
        </is>
      </c>
      <c r="O474" s="73" t="inlineStr">
        <is>
          <t>Reference gives no uplift stn for this item: preparation checked at the meal uplift stn (KUL) - confirm with caterer.</t>
        </is>
      </c>
      <c r="P474" s="63" t="inlineStr">
        <is>
          <t>KUL</t>
        </is>
      </c>
      <c r="Q474" s="65">
        <f>Flights!$AE$18</f>
        <v/>
      </c>
      <c r="R474" s="65">
        <f>Q474+(IF(AND(INDEX(TZ_DSTS,MATCH(P474,TZ_STN,0))&lt;&gt;"",Q474&gt;=INDEX(TZ_DSTS,MATCH(P474,TZ_STN,0)),Q474&lt;INDEX(TZ_DSTE,MATCH(P474,TZ_STN,0))),INDEX(TZ_DST,MATCH(P474,TZ_STN,0)),INDEX(TZ_STD,MATCH(P474,TZ_STN,0))))/24</f>
        <v/>
      </c>
      <c r="S474" s="65">
        <f>Q474-T12EarlyH/24</f>
        <v/>
      </c>
      <c r="T474" s="66" t="n"/>
      <c r="U474" s="66" t="n"/>
      <c r="V474" s="66" t="n"/>
      <c r="W474" s="67" t="n"/>
      <c r="X474" s="66" t="n"/>
      <c r="Y474" s="66" t="n"/>
      <c r="Z474" s="66" t="n"/>
      <c r="AA474" s="66" t="n"/>
      <c r="AB474" s="66" t="n"/>
      <c r="AC474" s="66" t="n"/>
      <c r="AD474" s="72" t="n"/>
      <c r="AE474" s="66" t="n"/>
      <c r="AF474" s="67">
        <f>IF(AND(ISNUMBER(X474),ISNUMBER(Y474)),Y474-X474,"")</f>
        <v/>
      </c>
      <c r="AG474" s="68">
        <f>IF(ISNUMBER(AD474),AD474-(IF(AND(INDEX(TZ_DSTS,MATCH(P474,TZ_STN,0))&lt;&gt;"",(AD474-INDEX(TZ_STD,MATCH(P474,TZ_STN,0))/24)&gt;=INDEX(TZ_DSTS,MATCH(P474,TZ_STN,0)),(AD474-INDEX(TZ_STD,MATCH(P474,TZ_STN,0))/24)&lt;INDEX(TZ_DSTE,MATCH(P474,TZ_STN,0))),INDEX(TZ_DST,MATCH(P474,TZ_STN,0)),INDEX(TZ_STD,MATCH(P474,TZ_STN,0))))/24,"")</f>
        <v/>
      </c>
      <c r="AH474" s="71">
        <f>IF(N474="N/A – rule","N/A – RULE",IF(TRIM(U474)="N/A",IF(AT474=0,"INVALID – N/A not permitted for this mandatory check",IF(AND(TRIM(AC474)&lt;&gt;"",TRIM(AE474)&lt;&gt;"",TRIM(T474)&lt;&gt;""),"N/A – JUSTIFIED","INVALID – N/A needs justification, PIC and verifier")),IF(OR(TRIM(U474)="Pass",TRIM(U474)="Pass after CA"),IF(NOT(ISNUMBER(AD474)),"INVALID – completion time missing",IF(TRIM(T474)="","INVALID – PIC missing",IF(TRIM(Z474)="","INVALID – evidence missing",IF(TRIM(AE474)="","INVALID – verifier missing",IF(AND(AQ474=1,TRIM(W474)=""),"INVALID – batch ID missing",IF(AND(AR474=1,OR(NOT(ISNUMBER(X474)),NOT(ISNUMBER(Y474)))),"INVALID – expected/actual qty missing",IF(IF(AND(TRIM(U474)="Pass",ISNUMBER(AF474)),IF(AF474&lt;&gt;0,"INVALID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recorded/closed","")&lt;&gt;"",IF(AND(TRIM(U474)="Pass",ISNUMBER(AF474)),IF(AF474&lt;&gt;0,"INVALID – qty variance: use Fail or Pass after CA",""),"")&amp;IF(AND(TRIM(U474)="Pass",AB474="Open"),"INVALID – corrective action still open: use Fail, then Pass after CA","")&amp;IF(AND(TRIM(U474)="Pass after CA",OR(TRIM(AA474)="",AB474&lt;&gt;"Closed")),"INVALID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window"),IF(AG474&gt;Flights!$AA$18,"INVALID – completed after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f>
        <v/>
      </c>
      <c r="AI474" s="67">
        <f>IF(OR(AH474="N/A – RULE",AH474="N/A – JUSTIFIED"),0,1)</f>
        <v/>
      </c>
      <c r="AJ474" s="67">
        <f>IF(LEFT(AH474,8)="COMPLETE",1,0)</f>
        <v/>
      </c>
      <c r="AK474" s="67">
        <f>IF(AND(AI474=1,AJ474=0,AsOfUTC&gt;Q474),1,0)</f>
        <v/>
      </c>
      <c r="AL474" s="67">
        <f>IF(AND(AI474=1,OR(TRIM(U474)="Fail",AB474="Open",AND(ISNUMBER(AF474),AF474&lt;&gt;0,TRIM(U474)&lt;&gt;"Pass after CA"))),1,0)</f>
        <v/>
      </c>
      <c r="AM474" s="67">
        <f>IF(LEFT(AH474,7)="INVALID",1,0)</f>
        <v/>
      </c>
      <c r="AN474" s="67">
        <f>IF(AND(N474="Clarification required",AI474=1,AJ474=0),1,0)</f>
        <v/>
      </c>
      <c r="AO474" s="67">
        <f>IF(AK474=1,SUM(AK$5:AK474),"")</f>
        <v/>
      </c>
      <c r="AP474" s="67">
        <f>IF(AL474=1,SUM(AL$5:AL474),"")</f>
        <v/>
      </c>
      <c r="AQ474" s="67" t="n">
        <v>0</v>
      </c>
      <c r="AR474" s="67" t="n">
        <v>0</v>
      </c>
      <c r="AS474" s="67" t="n">
        <v>0</v>
      </c>
      <c r="AT474" s="67" t="n">
        <v>1</v>
      </c>
    </row>
    <row r="475" ht="91.5" customHeight="1">
      <c r="A475" s="63" t="inlineStr">
        <is>
          <t>F14-T12-10</t>
        </is>
      </c>
      <c r="B475" s="63" t="inlineStr">
        <is>
          <t>F14</t>
        </is>
      </c>
      <c r="C475" s="63">
        <f>Flights!$F$18</f>
        <v/>
      </c>
      <c r="D475" s="64">
        <f>Flights!$D$18</f>
        <v/>
      </c>
      <c r="E475" s="63">
        <f>Flights!$G$18&amp;"-"&amp;Flights!$H$18</f>
        <v/>
      </c>
      <c r="F475" s="63">
        <f>Flights!$K$18</f>
        <v/>
      </c>
      <c r="G475" s="63" t="inlineStr">
        <is>
          <t>T-12H PREP</t>
        </is>
      </c>
      <c r="H475" s="63" t="inlineStr">
        <is>
          <t>Preparation</t>
        </is>
      </c>
      <c r="I475" s="63" t="inlineStr">
        <is>
          <t>Seat Linen</t>
        </is>
      </c>
      <c r="J475" s="63" t="inlineStr">
        <is>
          <t>Blanket (EY) - prepared</t>
        </is>
      </c>
      <c r="K475" s="73" t="inlineStr">
        <is>
          <t>Available 100% (ticked in reference); qty 280 (A350 9M-MAH) / 260 (A359) - per tail</t>
        </is>
      </c>
      <c r="L475" s="73" t="inlineStr">
        <is>
          <t>STD UPLIFT INFORMATION.xlsx &gt; SEAT LINEN!J7</t>
        </is>
      </c>
      <c r="M475" s="73" t="inlineStr">
        <is>
          <t>Not stated in reference</t>
        </is>
      </c>
      <c r="N475" s="73" t="inlineStr">
        <is>
          <t>Required</t>
        </is>
      </c>
      <c r="O475" s="73" t="inlineStr">
        <is>
          <t>EY blanket: flight above 3 hours excl. Regional (SEAT LINEN!B74:C74); block 13.75 h. Qty per tail: A350 280 pcs (SEAT LINEN!B76:C76), A359 260 pcs (SEAT LINEN!B77:C77). Reference gives no uplift stn for this item: preparation checked at the meal uplift stn (KUL) - confirm with caterer.</t>
        </is>
      </c>
      <c r="P475" s="63" t="inlineStr">
        <is>
          <t>KUL</t>
        </is>
      </c>
      <c r="Q475" s="65">
        <f>Flights!$AE$18</f>
        <v/>
      </c>
      <c r="R475" s="65">
        <f>Q475+(IF(AND(INDEX(TZ_DSTS,MATCH(P475,TZ_STN,0))&lt;&gt;"",Q475&gt;=INDEX(TZ_DSTS,MATCH(P475,TZ_STN,0)),Q475&lt;INDEX(TZ_DSTE,MATCH(P475,TZ_STN,0))),INDEX(TZ_DST,MATCH(P475,TZ_STN,0)),INDEX(TZ_STD,MATCH(P475,TZ_STN,0))))/24</f>
        <v/>
      </c>
      <c r="S475" s="65">
        <f>Q475-T12EarlyH/24</f>
        <v/>
      </c>
      <c r="T475" s="66" t="n"/>
      <c r="U475" s="66" t="n"/>
      <c r="V475" s="66" t="n"/>
      <c r="W475" s="67" t="n"/>
      <c r="X475" s="74">
        <f>IF(TRIM(Flights!$N$18)="","",IF(ISNUMBER(SEARCH("MAH",Flights!$N$18)),280,260))</f>
        <v/>
      </c>
      <c r="Y475" s="66" t="n"/>
      <c r="Z475" s="66" t="n"/>
      <c r="AA475" s="66" t="n"/>
      <c r="AB475" s="66" t="n"/>
      <c r="AC475" s="66" t="n"/>
      <c r="AD475" s="72" t="n"/>
      <c r="AE475" s="66" t="n"/>
      <c r="AF475" s="67">
        <f>IF(AND(ISNUMBER(X475),ISNUMBER(Y475)),Y475-X475,"")</f>
        <v/>
      </c>
      <c r="AG475" s="68">
        <f>IF(ISNUMBER(AD475),AD475-(IF(AND(INDEX(TZ_DSTS,MATCH(P475,TZ_STN,0))&lt;&gt;"",(AD475-INDEX(TZ_STD,MATCH(P475,TZ_STN,0))/24)&gt;=INDEX(TZ_DSTS,MATCH(P475,TZ_STN,0)),(AD475-INDEX(TZ_STD,MATCH(P475,TZ_STN,0))/24)&lt;INDEX(TZ_DSTE,MATCH(P475,TZ_STN,0))),INDEX(TZ_DST,MATCH(P475,TZ_STN,0)),INDEX(TZ_STD,MATCH(P475,TZ_STN,0))))/24,"")</f>
        <v/>
      </c>
      <c r="AH475" s="71">
        <f>IF(N475="N/A – rule","N/A – RULE",IF(TRIM(U475)="N/A",IF(AT475=0,"INVALID – N/A not permitted for this mandatory check",IF(AND(TRIM(AC475)&lt;&gt;"",TRIM(AE475)&lt;&gt;"",TRIM(T475)&lt;&gt;""),"N/A – JUSTIFIED","INVALID – N/A needs justification, PIC and verifier")),IF(OR(TRIM(U475)="Pass",TRIM(U475)="Pass after CA"),IF(NOT(ISNUMBER(AD475)),"INVALID – completion time missing",IF(TRIM(T475)="","INVALID – PIC missing",IF(TRIM(Z475)="","INVALID – evidence missing",IF(TRIM(AE475)="","INVALID – verifier missing",IF(AND(AQ475=1,TRIM(W475)=""),"INVALID – batch ID missing",IF(AND(AR475=1,OR(NOT(ISNUMBER(X475)),NOT(ISNUMBER(Y475)))),"INVALID – expected/actual qty missing",IF(IF(AND(TRIM(U475)="Pass",ISNUMBER(AF475)),IF(AF475&lt;&gt;0,"INVALID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recorded/closed","")&lt;&gt;"",IF(AND(TRIM(U475)="Pass",ISNUMBER(AF475)),IF(AF475&lt;&gt;0,"INVALID – qty variance: use Fail or Pass after CA",""),"")&amp;IF(AND(TRIM(U475)="Pass",AB475="Open"),"INVALID – corrective action still open: use Fail, then Pass after CA","")&amp;IF(AND(TRIM(U475)="Pass after CA",OR(TRIM(AA475)="",AB475&lt;&gt;"Closed")),"INVALID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window"),IF(AG475&gt;Flights!$AA$18,"INVALID – completed after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f>
        <v/>
      </c>
      <c r="AI475" s="67">
        <f>IF(OR(AH475="N/A – RULE",AH475="N/A – JUSTIFIED"),0,1)</f>
        <v/>
      </c>
      <c r="AJ475" s="67">
        <f>IF(LEFT(AH475,8)="COMPLETE",1,0)</f>
        <v/>
      </c>
      <c r="AK475" s="67">
        <f>IF(AND(AI475=1,AJ475=0,AsOfUTC&gt;Q475),1,0)</f>
        <v/>
      </c>
      <c r="AL475" s="67">
        <f>IF(AND(AI475=1,OR(TRIM(U475)="Fail",AB475="Open",AND(ISNUMBER(AF475),AF475&lt;&gt;0,TRIM(U475)&lt;&gt;"Pass after CA"))),1,0)</f>
        <v/>
      </c>
      <c r="AM475" s="67">
        <f>IF(LEFT(AH475,7)="INVALID",1,0)</f>
        <v/>
      </c>
      <c r="AN475" s="67">
        <f>IF(AND(N475="Clarification required",AI475=1,AJ475=0),1,0)</f>
        <v/>
      </c>
      <c r="AO475" s="67">
        <f>IF(AK475=1,SUM(AK$5:AK475),"")</f>
        <v/>
      </c>
      <c r="AP475" s="67">
        <f>IF(AL475=1,SUM(AL$5:AL475),"")</f>
        <v/>
      </c>
      <c r="AQ475" s="67" t="n">
        <v>0</v>
      </c>
      <c r="AR475" s="67" t="n">
        <v>1</v>
      </c>
      <c r="AS475" s="67" t="n">
        <v>0</v>
      </c>
      <c r="AT475" s="67" t="n">
        <v>1</v>
      </c>
    </row>
    <row r="476" ht="40" customHeight="1">
      <c r="A476" s="63" t="inlineStr">
        <is>
          <t>F14-UPL-01</t>
        </is>
      </c>
      <c r="B476" s="63" t="inlineStr">
        <is>
          <t>F14</t>
        </is>
      </c>
      <c r="C476" s="63">
        <f>Flights!$F$18</f>
        <v/>
      </c>
      <c r="D476" s="64">
        <f>Flights!$D$18</f>
        <v/>
      </c>
      <c r="E476" s="63">
        <f>Flights!$G$18&amp;"-"&amp;Flights!$H$18</f>
        <v/>
      </c>
      <c r="F476" s="63">
        <f>Flights!$K$18</f>
        <v/>
      </c>
      <c r="G476" s="63" t="inlineStr">
        <is>
          <t>UPLIFT</t>
        </is>
      </c>
      <c r="H476" s="63" t="inlineStr">
        <is>
          <t>Physical uplift</t>
        </is>
      </c>
      <c r="I476" s="63" t="inlineStr">
        <is>
          <t>Meal</t>
        </is>
      </c>
      <c r="J476" s="63" t="inlineStr">
        <is>
          <t>Meals physically uplifted on board - quantity vs menu checklist</t>
        </is>
      </c>
      <c r="K476" s="73" t="inlineStr">
        <is>
          <t>Enter expected &amp; actual</t>
        </is>
      </c>
      <c r="L476" s="73" t="inlineStr">
        <is>
          <t>User brief (T-12 hours - physical uplift)</t>
        </is>
      </c>
      <c r="M476" s="73" t="inlineStr"/>
      <c r="N476" s="73" t="inlineStr">
        <is>
          <t>Required</t>
        </is>
      </c>
      <c r="O476" s="73" t="inlineStr">
        <is>
          <t>Confirm on board before departure; completion time must fall inside the uplift window.</t>
        </is>
      </c>
      <c r="P476" s="63" t="inlineStr">
        <is>
          <t>KUL</t>
        </is>
      </c>
      <c r="Q476" s="65">
        <f>Flights!$AF$18</f>
        <v/>
      </c>
      <c r="R476" s="65">
        <f>Q476+(IF(AND(INDEX(TZ_DSTS,MATCH(P476,TZ_STN,0))&lt;&gt;"",Q476&gt;=INDEX(TZ_DSTS,MATCH(P476,TZ_STN,0)),Q476&lt;INDEX(TZ_DSTE,MATCH(P476,TZ_STN,0))),INDEX(TZ_DST,MATCH(P476,TZ_STN,0)),INDEX(TZ_STD,MATCH(P476,TZ_STN,0))))/24</f>
        <v/>
      </c>
      <c r="S476" s="65">
        <f>Q476-UpliftWindowH/24</f>
        <v/>
      </c>
      <c r="T476" s="66" t="n"/>
      <c r="U476" s="66" t="n"/>
      <c r="V476" s="66" t="n"/>
      <c r="W476" s="67" t="n"/>
      <c r="X476" s="66" t="n"/>
      <c r="Y476" s="66" t="n"/>
      <c r="Z476" s="66" t="n"/>
      <c r="AA476" s="66" t="n"/>
      <c r="AB476" s="66" t="n"/>
      <c r="AC476" s="66" t="n"/>
      <c r="AD476" s="72" t="n"/>
      <c r="AE476" s="66" t="n"/>
      <c r="AF476" s="67">
        <f>IF(AND(ISNUMBER(X476),ISNUMBER(Y476)),Y476-X476,"")</f>
        <v/>
      </c>
      <c r="AG476" s="68">
        <f>IF(ISNUMBER(AD476),AD476-(IF(AND(INDEX(TZ_DSTS,MATCH(P476,TZ_STN,0))&lt;&gt;"",(AD476-INDEX(TZ_STD,MATCH(P476,TZ_STN,0))/24)&gt;=INDEX(TZ_DSTS,MATCH(P476,TZ_STN,0)),(AD476-INDEX(TZ_STD,MATCH(P476,TZ_STN,0))/24)&lt;INDEX(TZ_DSTE,MATCH(P476,TZ_STN,0))),INDEX(TZ_DST,MATCH(P476,TZ_STN,0)),INDEX(TZ_STD,MATCH(P476,TZ_STN,0))))/24,"")</f>
        <v/>
      </c>
      <c r="AH476" s="71">
        <f>IF(N476="N/A – rule","N/A – RULE",IF(TRIM(U476)="N/A",IF(AT476=0,"INVALID – N/A not permitted for this mandatory check",IF(AND(TRIM(AC476)&lt;&gt;"",TRIM(AE476)&lt;&gt;"",TRIM(T476)&lt;&gt;""),"N/A – JUSTIFIED","INVALID – N/A needs justification, PIC and verifier")),IF(OR(TRIM(U476)="Pass",TRIM(U476)="Pass after CA"),IF(NOT(ISNUMBER(AD476)),"INVALID – completion time missing",IF(TRIM(T476)="","INVALID – PIC missing",IF(TRIM(Z476)="","INVALID – evidence missing",IF(TRIM(AE476)="","INVALID – verifier missing",IF(AND(AQ476=1,TRIM(W476)=""),"INVALID – batch ID missing",IF(AND(AR476=1,OR(NOT(ISNUMBER(X476)),NOT(ISNUMBER(Y476)))),"INVALID – expected/actual qty missing",IF(IF(AND(TRIM(U476)="Pass",ISNUMBER(AF476)),IF(AF476&lt;&gt;0,"INVALID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recorded/closed","")&lt;&gt;"",IF(AND(TRIM(U476)="Pass",ISNUMBER(AF476)),IF(AF476&lt;&gt;0,"INVALID – qty variance: use Fail or Pass after CA",""),"")&amp;IF(AND(TRIM(U476)="Pass",AB476="Open"),"INVALID – corrective action still open: use Fail, then Pass after CA","")&amp;IF(AND(TRIM(U476)="Pass after CA",OR(TRIM(AA476)="",AB476&lt;&gt;"Closed")),"INVALID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window"),IF(AG476&gt;Flights!$AA$18,"INVALID – completed after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f>
        <v/>
      </c>
      <c r="AI476" s="67">
        <f>IF(OR(AH476="N/A – RULE",AH476="N/A – JUSTIFIED"),0,1)</f>
        <v/>
      </c>
      <c r="AJ476" s="67">
        <f>IF(LEFT(AH476,8)="COMPLETE",1,0)</f>
        <v/>
      </c>
      <c r="AK476" s="67">
        <f>IF(AND(AI476=1,AJ476=0,AsOfUTC&gt;Q476),1,0)</f>
        <v/>
      </c>
      <c r="AL476" s="67">
        <f>IF(AND(AI476=1,OR(TRIM(U476)="Fail",AB476="Open",AND(ISNUMBER(AF476),AF476&lt;&gt;0,TRIM(U476)&lt;&gt;"Pass after CA"))),1,0)</f>
        <v/>
      </c>
      <c r="AM476" s="67">
        <f>IF(LEFT(AH476,7)="INVALID",1,0)</f>
        <v/>
      </c>
      <c r="AN476" s="67">
        <f>IF(AND(N476="Clarification required",AI476=1,AJ476=0),1,0)</f>
        <v/>
      </c>
      <c r="AO476" s="67">
        <f>IF(AK476=1,SUM(AK$5:AK476),"")</f>
        <v/>
      </c>
      <c r="AP476" s="67">
        <f>IF(AL476=1,SUM(AL$5:AL476),"")</f>
        <v/>
      </c>
      <c r="AQ476" s="67" t="n">
        <v>0</v>
      </c>
      <c r="AR476" s="67" t="n">
        <v>1</v>
      </c>
      <c r="AS476" s="67" t="n">
        <v>0</v>
      </c>
      <c r="AT476" s="67" t="n">
        <v>0</v>
      </c>
    </row>
    <row r="477" ht="40" customHeight="1">
      <c r="A477" s="63" t="inlineStr">
        <is>
          <t>F14-UPL-02</t>
        </is>
      </c>
      <c r="B477" s="63" t="inlineStr">
        <is>
          <t>F14</t>
        </is>
      </c>
      <c r="C477" s="63">
        <f>Flights!$F$18</f>
        <v/>
      </c>
      <c r="D477" s="64">
        <f>Flights!$D$18</f>
        <v/>
      </c>
      <c r="E477" s="63">
        <f>Flights!$G$18&amp;"-"&amp;Flights!$H$18</f>
        <v/>
      </c>
      <c r="F477" s="63">
        <f>Flights!$K$18</f>
        <v/>
      </c>
      <c r="G477" s="63" t="inlineStr">
        <is>
          <t>UPLIFT</t>
        </is>
      </c>
      <c r="H477" s="63" t="inlineStr">
        <is>
          <t>Physical uplift</t>
        </is>
      </c>
      <c r="I477" s="63" t="inlineStr">
        <is>
          <t>Equipment</t>
        </is>
      </c>
      <c r="J477" s="63" t="inlineStr">
        <is>
          <t>Equipment physically loaded at GLD positions - quantity &amp; positions</t>
        </is>
      </c>
      <c r="K477" s="73" t="inlineStr">
        <is>
          <t>Enter expected &amp; actual</t>
        </is>
      </c>
      <c r="L477" s="73" t="inlineStr">
        <is>
          <t>User brief (T-12 hours - physical uplift)</t>
        </is>
      </c>
      <c r="M477" s="73" t="inlineStr"/>
      <c r="N477" s="73" t="inlineStr">
        <is>
          <t>Required</t>
        </is>
      </c>
      <c r="O477" s="73" t="inlineStr">
        <is>
          <t>Confirm on board before departure; completion time must fall inside the uplift window.</t>
        </is>
      </c>
      <c r="P477" s="63" t="inlineStr">
        <is>
          <t>KUL</t>
        </is>
      </c>
      <c r="Q477" s="65">
        <f>Flights!$AF$18</f>
        <v/>
      </c>
      <c r="R477" s="65">
        <f>Q477+(IF(AND(INDEX(TZ_DSTS,MATCH(P477,TZ_STN,0))&lt;&gt;"",Q477&gt;=INDEX(TZ_DSTS,MATCH(P477,TZ_STN,0)),Q477&lt;INDEX(TZ_DSTE,MATCH(P477,TZ_STN,0))),INDEX(TZ_DST,MATCH(P477,TZ_STN,0)),INDEX(TZ_STD,MATCH(P477,TZ_STN,0))))/24</f>
        <v/>
      </c>
      <c r="S477" s="65">
        <f>Q477-UpliftWindowH/24</f>
        <v/>
      </c>
      <c r="T477" s="66" t="n"/>
      <c r="U477" s="66" t="n"/>
      <c r="V477" s="66" t="n"/>
      <c r="W477" s="67" t="n"/>
      <c r="X477" s="66" t="n"/>
      <c r="Y477" s="66" t="n"/>
      <c r="Z477" s="66" t="n"/>
      <c r="AA477" s="66" t="n"/>
      <c r="AB477" s="66" t="n"/>
      <c r="AC477" s="66" t="n"/>
      <c r="AD477" s="72" t="n"/>
      <c r="AE477" s="66" t="n"/>
      <c r="AF477" s="67">
        <f>IF(AND(ISNUMBER(X477),ISNUMBER(Y477)),Y477-X477,"")</f>
        <v/>
      </c>
      <c r="AG477" s="68">
        <f>IF(ISNUMBER(AD477),AD477-(IF(AND(INDEX(TZ_DSTS,MATCH(P477,TZ_STN,0))&lt;&gt;"",(AD477-INDEX(TZ_STD,MATCH(P477,TZ_STN,0))/24)&gt;=INDEX(TZ_DSTS,MATCH(P477,TZ_STN,0)),(AD477-INDEX(TZ_STD,MATCH(P477,TZ_STN,0))/24)&lt;INDEX(TZ_DSTE,MATCH(P477,TZ_STN,0))),INDEX(TZ_DST,MATCH(P477,TZ_STN,0)),INDEX(TZ_STD,MATCH(P477,TZ_STN,0))))/24,"")</f>
        <v/>
      </c>
      <c r="AH477" s="71">
        <f>IF(N477="N/A – rule","N/A – RULE",IF(TRIM(U477)="N/A",IF(AT477=0,"INVALID – N/A not permitted for this mandatory check",IF(AND(TRIM(AC477)&lt;&gt;"",TRIM(AE477)&lt;&gt;"",TRIM(T477)&lt;&gt;""),"N/A – JUSTIFIED","INVALID – N/A needs justification, PIC and verifier")),IF(OR(TRIM(U477)="Pass",TRIM(U477)="Pass after CA"),IF(NOT(ISNUMBER(AD477)),"INVALID – completion time missing",IF(TRIM(T477)="","INVALID – PIC missing",IF(TRIM(Z477)="","INVALID – evidence missing",IF(TRIM(AE477)="","INVALID – verifier missing",IF(AND(AQ477=1,TRIM(W477)=""),"INVALID – batch ID missing",IF(AND(AR477=1,OR(NOT(ISNUMBER(X477)),NOT(ISNUMBER(Y477)))),"INVALID – expected/actual qty missing",IF(IF(AND(TRIM(U477)="Pass",ISNUMBER(AF477)),IF(AF477&lt;&gt;0,"INVALID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recorded/closed","")&lt;&gt;"",IF(AND(TRIM(U477)="Pass",ISNUMBER(AF477)),IF(AF477&lt;&gt;0,"INVALID – qty variance: use Fail or Pass after CA",""),"")&amp;IF(AND(TRIM(U477)="Pass",AB477="Open"),"INVALID – corrective action still open: use Fail, then Pass after CA","")&amp;IF(AND(TRIM(U477)="Pass after CA",OR(TRIM(AA477)="",AB477&lt;&gt;"Closed")),"INVALID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window"),IF(AG477&gt;Flights!$AA$18,"INVALID – completed after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f>
        <v/>
      </c>
      <c r="AI477" s="67">
        <f>IF(OR(AH477="N/A – RULE",AH477="N/A – JUSTIFIED"),0,1)</f>
        <v/>
      </c>
      <c r="AJ477" s="67">
        <f>IF(LEFT(AH477,8)="COMPLETE",1,0)</f>
        <v/>
      </c>
      <c r="AK477" s="67">
        <f>IF(AND(AI477=1,AJ477=0,AsOfUTC&gt;Q477),1,0)</f>
        <v/>
      </c>
      <c r="AL477" s="67">
        <f>IF(AND(AI477=1,OR(TRIM(U477)="Fail",AB477="Open",AND(ISNUMBER(AF477),AF477&lt;&gt;0,TRIM(U477)&lt;&gt;"Pass after CA"))),1,0)</f>
        <v/>
      </c>
      <c r="AM477" s="67">
        <f>IF(LEFT(AH477,7)="INVALID",1,0)</f>
        <v/>
      </c>
      <c r="AN477" s="67">
        <f>IF(AND(N477="Clarification required",AI477=1,AJ477=0),1,0)</f>
        <v/>
      </c>
      <c r="AO477" s="67">
        <f>IF(AK477=1,SUM(AK$5:AK477),"")</f>
        <v/>
      </c>
      <c r="AP477" s="67">
        <f>IF(AL477=1,SUM(AL$5:AL477),"")</f>
        <v/>
      </c>
      <c r="AQ477" s="67" t="n">
        <v>0</v>
      </c>
      <c r="AR477" s="67" t="n">
        <v>1</v>
      </c>
      <c r="AS477" s="67" t="n">
        <v>0</v>
      </c>
      <c r="AT477" s="67" t="n">
        <v>0</v>
      </c>
    </row>
    <row r="478" ht="116.5" customHeight="1">
      <c r="A478" s="63" t="inlineStr">
        <is>
          <t>F14-UPL-03</t>
        </is>
      </c>
      <c r="B478" s="63" t="inlineStr">
        <is>
          <t>F14</t>
        </is>
      </c>
      <c r="C478" s="63">
        <f>Flights!$F$18</f>
        <v/>
      </c>
      <c r="D478" s="64">
        <f>Flights!$D$18</f>
        <v/>
      </c>
      <c r="E478" s="63">
        <f>Flights!$G$18&amp;"-"&amp;Flights!$H$18</f>
        <v/>
      </c>
      <c r="F478" s="63">
        <f>Flights!$K$18</f>
        <v/>
      </c>
      <c r="G478" s="63" t="inlineStr">
        <is>
          <t>UPLIFT</t>
        </is>
      </c>
      <c r="H478" s="63" t="inlineStr">
        <is>
          <t>Physical uplift</t>
        </is>
      </c>
      <c r="I478" s="63" t="inlineStr">
        <is>
          <t>Amenities</t>
        </is>
      </c>
      <c r="J478" s="63" t="inlineStr">
        <is>
          <t>Toiletry kits - on board</t>
        </is>
      </c>
      <c r="K478" s="73" t="inlineStr">
        <is>
          <t>Available (ticked in reference)</t>
        </is>
      </c>
      <c r="L478" s="73" t="inlineStr">
        <is>
          <t>STD UPLIFT INFORMATION.xlsx &gt; AMENITIES!D12 / H12</t>
        </is>
      </c>
      <c r="M478" s="73" t="inlineStr">
        <is>
          <t>LHR or KUL - confirm</t>
        </is>
      </c>
      <c r="N478" s="73" t="inlineStr">
        <is>
          <t>Clarification required</t>
        </is>
      </c>
      <c r="O478" s="73" t="inlineStr">
        <is>
          <t>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is>
      </c>
      <c r="P478" s="63" t="inlineStr">
        <is>
          <t>KUL</t>
        </is>
      </c>
      <c r="Q478" s="65">
        <f>Flights!$AF$18</f>
        <v/>
      </c>
      <c r="R478" s="65">
        <f>Q478+(IF(AND(INDEX(TZ_DSTS,MATCH(P478,TZ_STN,0))&lt;&gt;"",Q478&gt;=INDEX(TZ_DSTS,MATCH(P478,TZ_STN,0)),Q478&lt;INDEX(TZ_DSTE,MATCH(P478,TZ_STN,0))),INDEX(TZ_DST,MATCH(P478,TZ_STN,0)),INDEX(TZ_STD,MATCH(P478,TZ_STN,0))))/24</f>
        <v/>
      </c>
      <c r="S478" s="65">
        <f>Q478-UpliftWindowH/24</f>
        <v/>
      </c>
      <c r="T478" s="66" t="n"/>
      <c r="U478" s="66" t="n"/>
      <c r="V478" s="66" t="n"/>
      <c r="W478" s="67" t="n"/>
      <c r="X478" s="66" t="n"/>
      <c r="Y478" s="66" t="n"/>
      <c r="Z478" s="66" t="n"/>
      <c r="AA478" s="66" t="n"/>
      <c r="AB478" s="66" t="n"/>
      <c r="AC478" s="66" t="n"/>
      <c r="AD478" s="72" t="n"/>
      <c r="AE478" s="66" t="n"/>
      <c r="AF478" s="67">
        <f>IF(AND(ISNUMBER(X478),ISNUMBER(Y478)),Y478-X478,"")</f>
        <v/>
      </c>
      <c r="AG478" s="68">
        <f>IF(ISNUMBER(AD478),AD478-(IF(AND(INDEX(TZ_DSTS,MATCH(P478,TZ_STN,0))&lt;&gt;"",(AD478-INDEX(TZ_STD,MATCH(P478,TZ_STN,0))/24)&gt;=INDEX(TZ_DSTS,MATCH(P478,TZ_STN,0)),(AD478-INDEX(TZ_STD,MATCH(P478,TZ_STN,0))/24)&lt;INDEX(TZ_DSTE,MATCH(P478,TZ_STN,0))),INDEX(TZ_DST,MATCH(P478,TZ_STN,0)),INDEX(TZ_STD,MATCH(P478,TZ_STN,0))))/24,"")</f>
        <v/>
      </c>
      <c r="AH478" s="71">
        <f>IF(N478="N/A – rule","N/A – RULE",IF(TRIM(U478)="N/A",IF(AT478=0,"INVALID – N/A not permitted for this mandatory check",IF(AND(TRIM(AC478)&lt;&gt;"",TRIM(AE478)&lt;&gt;"",TRIM(T478)&lt;&gt;""),"N/A – JUSTIFIED","INVALID – N/A needs justification, PIC and verifier")),IF(OR(TRIM(U478)="Pass",TRIM(U478)="Pass after CA"),IF(NOT(ISNUMBER(AD478)),"INVALID – completion time missing",IF(TRIM(T478)="","INVALID – PIC missing",IF(TRIM(Z478)="","INVALID – evidence missing",IF(TRIM(AE478)="","INVALID – verifier missing",IF(AND(AQ478=1,TRIM(W478)=""),"INVALID – batch ID missing",IF(AND(AR478=1,OR(NOT(ISNUMBER(X478)),NOT(ISNUMBER(Y478)))),"INVALID – expected/actual qty missing",IF(IF(AND(TRIM(U478)="Pass",ISNUMBER(AF478)),IF(AF478&lt;&gt;0,"INVALID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recorded/closed","")&lt;&gt;"",IF(AND(TRIM(U478)="Pass",ISNUMBER(AF478)),IF(AF478&lt;&gt;0,"INVALID – qty variance: use Fail or Pass after CA",""),"")&amp;IF(AND(TRIM(U478)="Pass",AB478="Open"),"INVALID – corrective action still open: use Fail, then Pass after CA","")&amp;IF(AND(TRIM(U478)="Pass after CA",OR(TRIM(AA478)="",AB478&lt;&gt;"Closed")),"INVALID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window"),IF(AG478&gt;Flights!$AA$18,"INVALID – completed after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f>
        <v/>
      </c>
      <c r="AI478" s="67">
        <f>IF(OR(AH478="N/A – RULE",AH478="N/A – JUSTIFIED"),0,1)</f>
        <v/>
      </c>
      <c r="AJ478" s="67">
        <f>IF(LEFT(AH478,8)="COMPLETE",1,0)</f>
        <v/>
      </c>
      <c r="AK478" s="67">
        <f>IF(AND(AI478=1,AJ478=0,AsOfUTC&gt;Q478),1,0)</f>
        <v/>
      </c>
      <c r="AL478" s="67">
        <f>IF(AND(AI478=1,OR(TRIM(U478)="Fail",AB478="Open",AND(ISNUMBER(AF478),AF478&lt;&gt;0,TRIM(U478)&lt;&gt;"Pass after CA"))),1,0)</f>
        <v/>
      </c>
      <c r="AM478" s="67">
        <f>IF(LEFT(AH478,7)="INVALID",1,0)</f>
        <v/>
      </c>
      <c r="AN478" s="67">
        <f>IF(AND(N478="Clarification required",AI478=1,AJ478=0),1,0)</f>
        <v/>
      </c>
      <c r="AO478" s="67">
        <f>IF(AK478=1,SUM(AK$5:AK478),"")</f>
        <v/>
      </c>
      <c r="AP478" s="67">
        <f>IF(AL478=1,SUM(AL$5:AL478),"")</f>
        <v/>
      </c>
      <c r="AQ478" s="67" t="n">
        <v>0</v>
      </c>
      <c r="AR478" s="67" t="n">
        <v>0</v>
      </c>
      <c r="AS478" s="67" t="n">
        <v>0</v>
      </c>
      <c r="AT478" s="67" t="n">
        <v>1</v>
      </c>
    </row>
    <row r="479" ht="40" customHeight="1">
      <c r="A479" s="63" t="inlineStr">
        <is>
          <t>F14-UPL-04</t>
        </is>
      </c>
      <c r="B479" s="63" t="inlineStr">
        <is>
          <t>F14</t>
        </is>
      </c>
      <c r="C479" s="63">
        <f>Flights!$F$18</f>
        <v/>
      </c>
      <c r="D479" s="64">
        <f>Flights!$D$18</f>
        <v/>
      </c>
      <c r="E479" s="63">
        <f>Flights!$G$18&amp;"-"&amp;Flights!$H$18</f>
        <v/>
      </c>
      <c r="F479" s="63">
        <f>Flights!$K$18</f>
        <v/>
      </c>
      <c r="G479" s="63" t="inlineStr">
        <is>
          <t>UPLIFT</t>
        </is>
      </c>
      <c r="H479" s="63" t="inlineStr">
        <is>
          <t>Physical uplift</t>
        </is>
      </c>
      <c r="I479" s="63" t="inlineStr">
        <is>
          <t>Seat Linen</t>
        </is>
      </c>
      <c r="J479" s="63" t="inlineStr">
        <is>
          <t>Seat pillow (EY) - on board</t>
        </is>
      </c>
      <c r="K479" s="73" t="inlineStr">
        <is>
          <t>Available 100% (ticked in reference)</t>
        </is>
      </c>
      <c r="L479" s="73" t="inlineStr">
        <is>
          <t>STD UPLIFT INFORMATION.xlsx &gt; SEAT LINEN!I7</t>
        </is>
      </c>
      <c r="M479" s="73" t="inlineStr">
        <is>
          <t>Not stated in reference</t>
        </is>
      </c>
      <c r="N479" s="73" t="inlineStr">
        <is>
          <t>Required</t>
        </is>
      </c>
      <c r="O479" s="73" t="inlineStr"/>
      <c r="P479" s="63" t="inlineStr">
        <is>
          <t>KUL</t>
        </is>
      </c>
      <c r="Q479" s="65">
        <f>Flights!$AF$18</f>
        <v/>
      </c>
      <c r="R479" s="65">
        <f>Q479+(IF(AND(INDEX(TZ_DSTS,MATCH(P479,TZ_STN,0))&lt;&gt;"",Q479&gt;=INDEX(TZ_DSTS,MATCH(P479,TZ_STN,0)),Q479&lt;INDEX(TZ_DSTE,MATCH(P479,TZ_STN,0))),INDEX(TZ_DST,MATCH(P479,TZ_STN,0)),INDEX(TZ_STD,MATCH(P479,TZ_STN,0))))/24</f>
        <v/>
      </c>
      <c r="S479" s="65">
        <f>Q479-UpliftWindowH/24</f>
        <v/>
      </c>
      <c r="T479" s="66" t="n"/>
      <c r="U479" s="66" t="n"/>
      <c r="V479" s="66" t="n"/>
      <c r="W479" s="67" t="n"/>
      <c r="X479" s="66" t="n"/>
      <c r="Y479" s="66" t="n"/>
      <c r="Z479" s="66" t="n"/>
      <c r="AA479" s="66" t="n"/>
      <c r="AB479" s="66" t="n"/>
      <c r="AC479" s="66" t="n"/>
      <c r="AD479" s="72" t="n"/>
      <c r="AE479" s="66" t="n"/>
      <c r="AF479" s="67">
        <f>IF(AND(ISNUMBER(X479),ISNUMBER(Y479)),Y479-X479,"")</f>
        <v/>
      </c>
      <c r="AG479" s="68">
        <f>IF(ISNUMBER(AD479),AD479-(IF(AND(INDEX(TZ_DSTS,MATCH(P479,TZ_STN,0))&lt;&gt;"",(AD479-INDEX(TZ_STD,MATCH(P479,TZ_STN,0))/24)&gt;=INDEX(TZ_DSTS,MATCH(P479,TZ_STN,0)),(AD479-INDEX(TZ_STD,MATCH(P479,TZ_STN,0))/24)&lt;INDEX(TZ_DSTE,MATCH(P479,TZ_STN,0))),INDEX(TZ_DST,MATCH(P479,TZ_STN,0)),INDEX(TZ_STD,MATCH(P479,TZ_STN,0))))/24,"")</f>
        <v/>
      </c>
      <c r="AH479" s="71">
        <f>IF(N479="N/A – rule","N/A – RULE",IF(TRIM(U479)="N/A",IF(AT479=0,"INVALID – N/A not permitted for this mandatory check",IF(AND(TRIM(AC479)&lt;&gt;"",TRIM(AE479)&lt;&gt;"",TRIM(T479)&lt;&gt;""),"N/A – JUSTIFIED","INVALID – N/A needs justification, PIC and verifier")),IF(OR(TRIM(U479)="Pass",TRIM(U479)="Pass after CA"),IF(NOT(ISNUMBER(AD479)),"INVALID – completion time missing",IF(TRIM(T479)="","INVALID – PIC missing",IF(TRIM(Z479)="","INVALID – evidence missing",IF(TRIM(AE479)="","INVALID – verifier missing",IF(AND(AQ479=1,TRIM(W479)=""),"INVALID – batch ID missing",IF(AND(AR479=1,OR(NOT(ISNUMBER(X479)),NOT(ISNUMBER(Y479)))),"INVALID – expected/actual qty missing",IF(IF(AND(TRIM(U479)="Pass",ISNUMBER(AF479)),IF(AF479&lt;&gt;0,"INVALID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recorded/closed","")&lt;&gt;"",IF(AND(TRIM(U479)="Pass",ISNUMBER(AF479)),IF(AF479&lt;&gt;0,"INVALID – qty variance: use Fail or Pass after CA",""),"")&amp;IF(AND(TRIM(U479)="Pass",AB479="Open"),"INVALID – corrective action still open: use Fail, then Pass after CA","")&amp;IF(AND(TRIM(U479)="Pass after CA",OR(TRIM(AA479)="",AB479&lt;&gt;"Closed")),"INVALID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window"),IF(AG479&gt;Flights!$AA$18,"INVALID – completed after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f>
        <v/>
      </c>
      <c r="AI479" s="67">
        <f>IF(OR(AH479="N/A – RULE",AH479="N/A – JUSTIFIED"),0,1)</f>
        <v/>
      </c>
      <c r="AJ479" s="67">
        <f>IF(LEFT(AH479,8)="COMPLETE",1,0)</f>
        <v/>
      </c>
      <c r="AK479" s="67">
        <f>IF(AND(AI479=1,AJ479=0,AsOfUTC&gt;Q479),1,0)</f>
        <v/>
      </c>
      <c r="AL479" s="67">
        <f>IF(AND(AI479=1,OR(TRIM(U479)="Fail",AB479="Open",AND(ISNUMBER(AF479),AF479&lt;&gt;0,TRIM(U479)&lt;&gt;"Pass after CA"))),1,0)</f>
        <v/>
      </c>
      <c r="AM479" s="67">
        <f>IF(LEFT(AH479,7)="INVALID",1,0)</f>
        <v/>
      </c>
      <c r="AN479" s="67">
        <f>IF(AND(N479="Clarification required",AI479=1,AJ479=0),1,0)</f>
        <v/>
      </c>
      <c r="AO479" s="67">
        <f>IF(AK479=1,SUM(AK$5:AK479),"")</f>
        <v/>
      </c>
      <c r="AP479" s="67">
        <f>IF(AL479=1,SUM(AL$5:AL479),"")</f>
        <v/>
      </c>
      <c r="AQ479" s="67" t="n">
        <v>0</v>
      </c>
      <c r="AR479" s="67" t="n">
        <v>0</v>
      </c>
      <c r="AS479" s="67" t="n">
        <v>0</v>
      </c>
      <c r="AT479" s="67" t="n">
        <v>1</v>
      </c>
    </row>
    <row r="480" ht="54" customHeight="1">
      <c r="A480" s="63" t="inlineStr">
        <is>
          <t>F14-UPL-05</t>
        </is>
      </c>
      <c r="B480" s="63" t="inlineStr">
        <is>
          <t>F14</t>
        </is>
      </c>
      <c r="C480" s="63">
        <f>Flights!$F$18</f>
        <v/>
      </c>
      <c r="D480" s="64">
        <f>Flights!$D$18</f>
        <v/>
      </c>
      <c r="E480" s="63">
        <f>Flights!$G$18&amp;"-"&amp;Flights!$H$18</f>
        <v/>
      </c>
      <c r="F480" s="63">
        <f>Flights!$K$18</f>
        <v/>
      </c>
      <c r="G480" s="63" t="inlineStr">
        <is>
          <t>UPLIFT</t>
        </is>
      </c>
      <c r="H480" s="63" t="inlineStr">
        <is>
          <t>Physical uplift</t>
        </is>
      </c>
      <c r="I480" s="63" t="inlineStr">
        <is>
          <t>Seat Linen</t>
        </is>
      </c>
      <c r="J480" s="63" t="inlineStr">
        <is>
          <t>Blanket (EY) - on board</t>
        </is>
      </c>
      <c r="K480" s="73" t="inlineStr">
        <is>
          <t>Available 100% (ticked in reference); qty 280 (A350 9M-MAH) / 260 (A359) - per tail</t>
        </is>
      </c>
      <c r="L480" s="73" t="inlineStr">
        <is>
          <t>STD UPLIFT INFORMATION.xlsx &gt; SEAT LINEN!J7</t>
        </is>
      </c>
      <c r="M480" s="73" t="inlineStr">
        <is>
          <t>Not stated in reference</t>
        </is>
      </c>
      <c r="N480" s="73" t="inlineStr">
        <is>
          <t>Required</t>
        </is>
      </c>
      <c r="O480" s="73" t="inlineStr">
        <is>
          <t>EY blanket: flight above 3 hours excl. Regional (SEAT LINEN!B74:C74); block 13.75 h. Qty per tail: A350 280 pcs (SEAT LINEN!B76:C76), A359 260 pcs (SEAT LINEN!B77:C77).</t>
        </is>
      </c>
      <c r="P480" s="63" t="inlineStr">
        <is>
          <t>KUL</t>
        </is>
      </c>
      <c r="Q480" s="65">
        <f>Flights!$AF$18</f>
        <v/>
      </c>
      <c r="R480" s="65">
        <f>Q480+(IF(AND(INDEX(TZ_DSTS,MATCH(P480,TZ_STN,0))&lt;&gt;"",Q480&gt;=INDEX(TZ_DSTS,MATCH(P480,TZ_STN,0)),Q480&lt;INDEX(TZ_DSTE,MATCH(P480,TZ_STN,0))),INDEX(TZ_DST,MATCH(P480,TZ_STN,0)),INDEX(TZ_STD,MATCH(P480,TZ_STN,0))))/24</f>
        <v/>
      </c>
      <c r="S480" s="65">
        <f>Q480-UpliftWindowH/24</f>
        <v/>
      </c>
      <c r="T480" s="66" t="n"/>
      <c r="U480" s="66" t="n"/>
      <c r="V480" s="66" t="n"/>
      <c r="W480" s="67" t="n"/>
      <c r="X480" s="74">
        <f>IF(TRIM(Flights!$N$18)="","",IF(ISNUMBER(SEARCH("MAH",Flights!$N$18)),280,260))</f>
        <v/>
      </c>
      <c r="Y480" s="66" t="n"/>
      <c r="Z480" s="66" t="n"/>
      <c r="AA480" s="66" t="n"/>
      <c r="AB480" s="66" t="n"/>
      <c r="AC480" s="66" t="n"/>
      <c r="AD480" s="72" t="n"/>
      <c r="AE480" s="66" t="n"/>
      <c r="AF480" s="67">
        <f>IF(AND(ISNUMBER(X480),ISNUMBER(Y480)),Y480-X480,"")</f>
        <v/>
      </c>
      <c r="AG480" s="68">
        <f>IF(ISNUMBER(AD480),AD480-(IF(AND(INDEX(TZ_DSTS,MATCH(P480,TZ_STN,0))&lt;&gt;"",(AD480-INDEX(TZ_STD,MATCH(P480,TZ_STN,0))/24)&gt;=INDEX(TZ_DSTS,MATCH(P480,TZ_STN,0)),(AD480-INDEX(TZ_STD,MATCH(P480,TZ_STN,0))/24)&lt;INDEX(TZ_DSTE,MATCH(P480,TZ_STN,0))),INDEX(TZ_DST,MATCH(P480,TZ_STN,0)),INDEX(TZ_STD,MATCH(P480,TZ_STN,0))))/24,"")</f>
        <v/>
      </c>
      <c r="AH480" s="71">
        <f>IF(N480="N/A – rule","N/A – RULE",IF(TRIM(U480)="N/A",IF(AT480=0,"INVALID – N/A not permitted for this mandatory check",IF(AND(TRIM(AC480)&lt;&gt;"",TRIM(AE480)&lt;&gt;"",TRIM(T480)&lt;&gt;""),"N/A – JUSTIFIED","INVALID – N/A needs justification, PIC and verifier")),IF(OR(TRIM(U480)="Pass",TRIM(U480)="Pass after CA"),IF(NOT(ISNUMBER(AD480)),"INVALID – completion time missing",IF(TRIM(T480)="","INVALID – PIC missing",IF(TRIM(Z480)="","INVALID – evidence missing",IF(TRIM(AE480)="","INVALID – verifier missing",IF(AND(AQ480=1,TRIM(W480)=""),"INVALID – batch ID missing",IF(AND(AR480=1,OR(NOT(ISNUMBER(X480)),NOT(ISNUMBER(Y480)))),"INVALID – expected/actual qty missing",IF(IF(AND(TRIM(U480)="Pass",ISNUMBER(AF480)),IF(AF480&lt;&gt;0,"INVALID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recorded/closed","")&lt;&gt;"",IF(AND(TRIM(U480)="Pass",ISNUMBER(AF480)),IF(AF480&lt;&gt;0,"INVALID – qty variance: use Fail or Pass after CA",""),"")&amp;IF(AND(TRIM(U480)="Pass",AB480="Open"),"INVALID – corrective action still open: use Fail, then Pass after CA","")&amp;IF(AND(TRIM(U480)="Pass after CA",OR(TRIM(AA480)="",AB480&lt;&gt;"Closed")),"INVALID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window"),IF(AG480&gt;Flights!$AA$18,"INVALID – completed after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f>
        <v/>
      </c>
      <c r="AI480" s="67">
        <f>IF(OR(AH480="N/A – RULE",AH480="N/A – JUSTIFIED"),0,1)</f>
        <v/>
      </c>
      <c r="AJ480" s="67">
        <f>IF(LEFT(AH480,8)="COMPLETE",1,0)</f>
        <v/>
      </c>
      <c r="AK480" s="67">
        <f>IF(AND(AI480=1,AJ480=0,AsOfUTC&gt;Q480),1,0)</f>
        <v/>
      </c>
      <c r="AL480" s="67">
        <f>IF(AND(AI480=1,OR(TRIM(U480)="Fail",AB480="Open",AND(ISNUMBER(AF480),AF480&lt;&gt;0,TRIM(U480)&lt;&gt;"Pass after CA"))),1,0)</f>
        <v/>
      </c>
      <c r="AM480" s="67">
        <f>IF(LEFT(AH480,7)="INVALID",1,0)</f>
        <v/>
      </c>
      <c r="AN480" s="67">
        <f>IF(AND(N480="Clarification required",AI480=1,AJ480=0),1,0)</f>
        <v/>
      </c>
      <c r="AO480" s="67">
        <f>IF(AK480=1,SUM(AK$5:AK480),"")</f>
        <v/>
      </c>
      <c r="AP480" s="67">
        <f>IF(AL480=1,SUM(AL$5:AL480),"")</f>
        <v/>
      </c>
      <c r="AQ480" s="67" t="n">
        <v>0</v>
      </c>
      <c r="AR480" s="67" t="n">
        <v>1</v>
      </c>
      <c r="AS480" s="67" t="n">
        <v>0</v>
      </c>
      <c r="AT480" s="67" t="n">
        <v>1</v>
      </c>
    </row>
    <row r="481" ht="40" customHeight="1">
      <c r="A481" s="63" t="inlineStr">
        <is>
          <t>F15-T7-01</t>
        </is>
      </c>
      <c r="B481" s="63" t="inlineStr">
        <is>
          <t>F15</t>
        </is>
      </c>
      <c r="C481" s="63">
        <f>Flights!$F$19</f>
        <v/>
      </c>
      <c r="D481" s="64">
        <f>Flights!$D$19</f>
        <v/>
      </c>
      <c r="E481" s="63">
        <f>Flights!$G$19&amp;"-"&amp;Flights!$H$19</f>
        <v/>
      </c>
      <c r="F481" s="63">
        <f>Flights!$K$19</f>
        <v/>
      </c>
      <c r="G481" s="63" t="inlineStr">
        <is>
          <t>T-7D</t>
        </is>
      </c>
      <c r="H481" s="63" t="inlineStr">
        <is>
          <t>Preparation</t>
        </is>
      </c>
      <c r="I481" s="63" t="inlineStr">
        <is>
          <t>Meal</t>
        </is>
      </c>
      <c r="J481" s="63" t="inlineStr">
        <is>
          <t>Meal sensory testing completed for this flight's menu cycle (assessed class)</t>
        </is>
      </c>
      <c r="K481" s="73" t="inlineStr">
        <is>
          <t>Record panel result / score in Result</t>
        </is>
      </c>
      <c r="L481" s="73" t="inlineStr">
        <is>
          <t>User brief (T-7 days)</t>
        </is>
      </c>
      <c r="M481" s="73" t="inlineStr"/>
      <c r="N481" s="73" t="inlineStr">
        <is>
          <t>Required</t>
        </is>
      </c>
      <c r="O481" s="73" t="inlineStr"/>
      <c r="P481" s="63" t="inlineStr">
        <is>
          <t>LHR</t>
        </is>
      </c>
      <c r="Q481" s="65">
        <f>Flights!$AC$19</f>
        <v/>
      </c>
      <c r="R481" s="65">
        <f>Q481+(IF(AND(INDEX(TZ_DSTS,MATCH(P481,TZ_STN,0))&lt;&gt;"",Q481&gt;=INDEX(TZ_DSTS,MATCH(P481,TZ_STN,0)),Q481&lt;INDEX(TZ_DSTE,MATCH(P481,TZ_STN,0))),INDEX(TZ_DST,MATCH(P481,TZ_STN,0)),INDEX(TZ_STD,MATCH(P481,TZ_STN,0))))/24</f>
        <v/>
      </c>
      <c r="S481" s="65" t="inlineStr"/>
      <c r="T481" s="66" t="n"/>
      <c r="U481" s="66" t="n"/>
      <c r="V481" s="66" t="n"/>
      <c r="W481" s="67" t="n"/>
      <c r="X481" s="66" t="n"/>
      <c r="Y481" s="66" t="n"/>
      <c r="Z481" s="66" t="n"/>
      <c r="AA481" s="66" t="n"/>
      <c r="AB481" s="66" t="n"/>
      <c r="AC481" s="66" t="n"/>
      <c r="AD481" s="72" t="n"/>
      <c r="AE481" s="66" t="n"/>
      <c r="AF481" s="67">
        <f>IF(AND(ISNUMBER(X481),ISNUMBER(Y481)),Y481-X481,"")</f>
        <v/>
      </c>
      <c r="AG481" s="68">
        <f>IF(ISNUMBER(AD481),AD481-(IF(AND(INDEX(TZ_DSTS,MATCH(P481,TZ_STN,0))&lt;&gt;"",(AD481-INDEX(TZ_STD,MATCH(P481,TZ_STN,0))/24)&gt;=INDEX(TZ_DSTS,MATCH(P481,TZ_STN,0)),(AD481-INDEX(TZ_STD,MATCH(P481,TZ_STN,0))/24)&lt;INDEX(TZ_DSTE,MATCH(P481,TZ_STN,0))),INDEX(TZ_DST,MATCH(P481,TZ_STN,0)),INDEX(TZ_STD,MATCH(P481,TZ_STN,0))))/24,"")</f>
        <v/>
      </c>
      <c r="AH481" s="71">
        <f>IF(N481="N/A – rule","N/A – RULE",IF(TRIM(U481)="N/A",IF(AT481=0,"INVALID – N/A not permitted for this mandatory check",IF(AND(TRIM(AC481)&lt;&gt;"",TRIM(AE481)&lt;&gt;"",TRIM(T481)&lt;&gt;""),"N/A – JUSTIFIED","INVALID – N/A needs justification, PIC and verifier")),IF(OR(TRIM(U481)="Pass",TRIM(U481)="Pass after CA"),IF(NOT(ISNUMBER(AD481)),"INVALID – completion time missing",IF(TRIM(T481)="","INVALID – PIC missing",IF(TRIM(Z481)="","INVALID – evidence missing",IF(TRIM(AE481)="","INVALID – verifier missing",IF(AND(AQ481=1,TRIM(W481)=""),"INVALID – batch ID missing",IF(AND(AR481=1,OR(NOT(ISNUMBER(X481)),NOT(ISNUMBER(Y481)))),"INVALID – expected/actual qty missing",IF(IF(AND(TRIM(U481)="Pass",ISNUMBER(AF481)),IF(AF481&lt;&gt;0,"INVALID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recorded/closed","")&lt;&gt;"",IF(AND(TRIM(U481)="Pass",ISNUMBER(AF481)),IF(AF481&lt;&gt;0,"INVALID – qty variance: use Fail or Pass after CA",""),"")&amp;IF(AND(TRIM(U481)="Pass",AB481="Open"),"INVALID – corrective action still open: use Fail, then Pass after CA","")&amp;IF(AND(TRIM(U481)="Pass after CA",OR(TRIM(AA481)="",AB481&lt;&gt;"Closed")),"INVALID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window"),IF(AG481&gt;Flights!$AA$19,"INVALID – completed after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f>
        <v/>
      </c>
      <c r="AI481" s="67">
        <f>IF(OR(AH481="N/A – RULE",AH481="N/A – JUSTIFIED"),0,1)</f>
        <v/>
      </c>
      <c r="AJ481" s="67">
        <f>IF(LEFT(AH481,8)="COMPLETE",1,0)</f>
        <v/>
      </c>
      <c r="AK481" s="67">
        <f>IF(AND(AI481=1,AJ481=0,AsOfUTC&gt;Q481),1,0)</f>
        <v/>
      </c>
      <c r="AL481" s="67">
        <f>IF(AND(AI481=1,OR(TRIM(U481)="Fail",AB481="Open",AND(ISNUMBER(AF481),AF481&lt;&gt;0,TRIM(U481)&lt;&gt;"Pass after CA"))),1,0)</f>
        <v/>
      </c>
      <c r="AM481" s="67">
        <f>IF(LEFT(AH481,7)="INVALID",1,0)</f>
        <v/>
      </c>
      <c r="AN481" s="67">
        <f>IF(AND(N481="Clarification required",AI481=1,AJ481=0),1,0)</f>
        <v/>
      </c>
      <c r="AO481" s="67">
        <f>IF(AK481=1,SUM(AK$5:AK481),"")</f>
        <v/>
      </c>
      <c r="AP481" s="67">
        <f>IF(AL481=1,SUM(AL$5:AL481),"")</f>
        <v/>
      </c>
      <c r="AQ481" s="67" t="n">
        <v>0</v>
      </c>
      <c r="AR481" s="67" t="n">
        <v>0</v>
      </c>
      <c r="AS481" s="67" t="n">
        <v>0</v>
      </c>
      <c r="AT481" s="67" t="n">
        <v>0</v>
      </c>
    </row>
    <row r="482" ht="40" customHeight="1">
      <c r="A482" s="63" t="inlineStr">
        <is>
          <t>F15-T7-02</t>
        </is>
      </c>
      <c r="B482" s="63" t="inlineStr">
        <is>
          <t>F15</t>
        </is>
      </c>
      <c r="C482" s="63">
        <f>Flights!$F$19</f>
        <v/>
      </c>
      <c r="D482" s="64">
        <f>Flights!$D$19</f>
        <v/>
      </c>
      <c r="E482" s="63">
        <f>Flights!$G$19&amp;"-"&amp;Flights!$H$19</f>
        <v/>
      </c>
      <c r="F482" s="63">
        <f>Flights!$K$19</f>
        <v/>
      </c>
      <c r="G482" s="63" t="inlineStr">
        <is>
          <t>T-7D</t>
        </is>
      </c>
      <c r="H482" s="63" t="inlineStr">
        <is>
          <t>Preparation</t>
        </is>
      </c>
      <c r="I482" s="63" t="inlineStr">
        <is>
          <t>Menu</t>
        </is>
      </c>
      <c r="J482" s="63" t="inlineStr">
        <is>
          <t>Printed menu cards confirmed (content, cycle, language, quantity)</t>
        </is>
      </c>
      <c r="K482" s="73" t="inlineStr">
        <is>
          <t>Menu card matches approved menu for this flight</t>
        </is>
      </c>
      <c r="L482" s="73" t="inlineStr">
        <is>
          <t>User brief (T-7 days)</t>
        </is>
      </c>
      <c r="M482" s="73" t="inlineStr"/>
      <c r="N482" s="73" t="inlineStr">
        <is>
          <t>Required</t>
        </is>
      </c>
      <c r="O482" s="73" t="inlineStr"/>
      <c r="P482" s="63" t="inlineStr">
        <is>
          <t>LHR</t>
        </is>
      </c>
      <c r="Q482" s="65">
        <f>Flights!$AC$19</f>
        <v/>
      </c>
      <c r="R482" s="65">
        <f>Q482+(IF(AND(INDEX(TZ_DSTS,MATCH(P482,TZ_STN,0))&lt;&gt;"",Q482&gt;=INDEX(TZ_DSTS,MATCH(P482,TZ_STN,0)),Q482&lt;INDEX(TZ_DSTE,MATCH(P482,TZ_STN,0))),INDEX(TZ_DST,MATCH(P482,TZ_STN,0)),INDEX(TZ_STD,MATCH(P482,TZ_STN,0))))/24</f>
        <v/>
      </c>
      <c r="S482" s="65" t="inlineStr"/>
      <c r="T482" s="66" t="n"/>
      <c r="U482" s="66" t="n"/>
      <c r="V482" s="66" t="n"/>
      <c r="W482" s="67" t="n"/>
      <c r="X482" s="66" t="n"/>
      <c r="Y482" s="66" t="n"/>
      <c r="Z482" s="66" t="n"/>
      <c r="AA482" s="66" t="n"/>
      <c r="AB482" s="66" t="n"/>
      <c r="AC482" s="66" t="n"/>
      <c r="AD482" s="72" t="n"/>
      <c r="AE482" s="66" t="n"/>
      <c r="AF482" s="67">
        <f>IF(AND(ISNUMBER(X482),ISNUMBER(Y482)),Y482-X482,"")</f>
        <v/>
      </c>
      <c r="AG482" s="68">
        <f>IF(ISNUMBER(AD482),AD482-(IF(AND(INDEX(TZ_DSTS,MATCH(P482,TZ_STN,0))&lt;&gt;"",(AD482-INDEX(TZ_STD,MATCH(P482,TZ_STN,0))/24)&gt;=INDEX(TZ_DSTS,MATCH(P482,TZ_STN,0)),(AD482-INDEX(TZ_STD,MATCH(P482,TZ_STN,0))/24)&lt;INDEX(TZ_DSTE,MATCH(P482,TZ_STN,0))),INDEX(TZ_DST,MATCH(P482,TZ_STN,0)),INDEX(TZ_STD,MATCH(P482,TZ_STN,0))))/24,"")</f>
        <v/>
      </c>
      <c r="AH482" s="71">
        <f>IF(N482="N/A – rule","N/A – RULE",IF(TRIM(U482)="N/A",IF(AT482=0,"INVALID – N/A not permitted for this mandatory check",IF(AND(TRIM(AC482)&lt;&gt;"",TRIM(AE482)&lt;&gt;"",TRIM(T482)&lt;&gt;""),"N/A – JUSTIFIED","INVALID – N/A needs justification, PIC and verifier")),IF(OR(TRIM(U482)="Pass",TRIM(U482)="Pass after CA"),IF(NOT(ISNUMBER(AD482)),"INVALID – completion time missing",IF(TRIM(T482)="","INVALID – PIC missing",IF(TRIM(Z482)="","INVALID – evidence missing",IF(TRIM(AE482)="","INVALID – verifier missing",IF(AND(AQ482=1,TRIM(W482)=""),"INVALID – batch ID missing",IF(AND(AR482=1,OR(NOT(ISNUMBER(X482)),NOT(ISNUMBER(Y482)))),"INVALID – expected/actual qty missing",IF(IF(AND(TRIM(U482)="Pass",ISNUMBER(AF482)),IF(AF482&lt;&gt;0,"INVALID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recorded/closed","")&lt;&gt;"",IF(AND(TRIM(U482)="Pass",ISNUMBER(AF482)),IF(AF482&lt;&gt;0,"INVALID – qty variance: use Fail or Pass after CA",""),"")&amp;IF(AND(TRIM(U482)="Pass",AB482="Open"),"INVALID – corrective action still open: use Fail, then Pass after CA","")&amp;IF(AND(TRIM(U482)="Pass after CA",OR(TRIM(AA482)="",AB482&lt;&gt;"Closed")),"INVALID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window"),IF(AG482&gt;Flights!$AA$19,"INVALID – completed after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f>
        <v/>
      </c>
      <c r="AI482" s="67">
        <f>IF(OR(AH482="N/A – RULE",AH482="N/A – JUSTIFIED"),0,1)</f>
        <v/>
      </c>
      <c r="AJ482" s="67">
        <f>IF(LEFT(AH482,8)="COMPLETE",1,0)</f>
        <v/>
      </c>
      <c r="AK482" s="67">
        <f>IF(AND(AI482=1,AJ482=0,AsOfUTC&gt;Q482),1,0)</f>
        <v/>
      </c>
      <c r="AL482" s="67">
        <f>IF(AND(AI482=1,OR(TRIM(U482)="Fail",AB482="Open",AND(ISNUMBER(AF482),AF482&lt;&gt;0,TRIM(U482)&lt;&gt;"Pass after CA"))),1,0)</f>
        <v/>
      </c>
      <c r="AM482" s="67">
        <f>IF(LEFT(AH482,7)="INVALID",1,0)</f>
        <v/>
      </c>
      <c r="AN482" s="67">
        <f>IF(AND(N482="Clarification required",AI482=1,AJ482=0),1,0)</f>
        <v/>
      </c>
      <c r="AO482" s="67">
        <f>IF(AK482=1,SUM(AK$5:AK482),"")</f>
        <v/>
      </c>
      <c r="AP482" s="67">
        <f>IF(AL482=1,SUM(AL$5:AL482),"")</f>
        <v/>
      </c>
      <c r="AQ482" s="67" t="n">
        <v>0</v>
      </c>
      <c r="AR482" s="67" t="n">
        <v>0</v>
      </c>
      <c r="AS482" s="67" t="n">
        <v>0</v>
      </c>
      <c r="AT482" s="67" t="n">
        <v>1</v>
      </c>
    </row>
    <row r="483" ht="41.5" customHeight="1">
      <c r="A483" s="63" t="inlineStr">
        <is>
          <t>F15-T7-03</t>
        </is>
      </c>
      <c r="B483" s="63" t="inlineStr">
        <is>
          <t>F15</t>
        </is>
      </c>
      <c r="C483" s="63">
        <f>Flights!$F$19</f>
        <v/>
      </c>
      <c r="D483" s="64">
        <f>Flights!$D$19</f>
        <v/>
      </c>
      <c r="E483" s="63">
        <f>Flights!$G$19&amp;"-"&amp;Flights!$H$19</f>
        <v/>
      </c>
      <c r="F483" s="63">
        <f>Flights!$K$19</f>
        <v/>
      </c>
      <c r="G483" s="63" t="inlineStr">
        <is>
          <t>T-7D</t>
        </is>
      </c>
      <c r="H483" s="63" t="inlineStr">
        <is>
          <t>Preparation</t>
        </is>
      </c>
      <c r="I483" s="63" t="inlineStr">
        <is>
          <t>IFE</t>
        </is>
      </c>
      <c r="J483" s="63" t="inlineStr">
        <is>
          <t>Digital menu in IFE confirmed (A339 only)</t>
        </is>
      </c>
      <c r="K483" s="73" t="inlineStr">
        <is>
          <t>Applies when fleet = A339</t>
        </is>
      </c>
      <c r="L483" s="73" t="inlineStr">
        <is>
          <t>User brief (T-7 days)</t>
        </is>
      </c>
      <c r="M483" s="73" t="inlineStr"/>
      <c r="N483" s="73">
        <f>IF(TRIM(Flights!$L$19)="A339","Required","N/A – rule")</f>
        <v/>
      </c>
      <c r="O483" s="73" t="inlineStr">
        <is>
          <t>Digital IFE menu applies to A339 only (user brief). Applicability follows the Fleet cell on Flights.</t>
        </is>
      </c>
      <c r="P483" s="63" t="inlineStr">
        <is>
          <t>LHR</t>
        </is>
      </c>
      <c r="Q483" s="65">
        <f>Flights!$AC$19</f>
        <v/>
      </c>
      <c r="R483" s="65">
        <f>Q483+(IF(AND(INDEX(TZ_DSTS,MATCH(P483,TZ_STN,0))&lt;&gt;"",Q483&gt;=INDEX(TZ_DSTS,MATCH(P483,TZ_STN,0)),Q483&lt;INDEX(TZ_DSTE,MATCH(P483,TZ_STN,0))),INDEX(TZ_DST,MATCH(P483,TZ_STN,0)),INDEX(TZ_STD,MATCH(P483,TZ_STN,0))))/24</f>
        <v/>
      </c>
      <c r="S483" s="65" t="inlineStr"/>
      <c r="T483" s="66" t="n"/>
      <c r="U483" s="66" t="n"/>
      <c r="V483" s="66" t="n"/>
      <c r="W483" s="67" t="n"/>
      <c r="X483" s="66" t="n"/>
      <c r="Y483" s="66" t="n"/>
      <c r="Z483" s="66" t="n"/>
      <c r="AA483" s="66" t="n"/>
      <c r="AB483" s="66" t="n"/>
      <c r="AC483" s="66" t="n"/>
      <c r="AD483" s="72" t="n"/>
      <c r="AE483" s="66" t="n"/>
      <c r="AF483" s="67">
        <f>IF(AND(ISNUMBER(X483),ISNUMBER(Y483)),Y483-X483,"")</f>
        <v/>
      </c>
      <c r="AG483" s="68">
        <f>IF(ISNUMBER(AD483),AD483-(IF(AND(INDEX(TZ_DSTS,MATCH(P483,TZ_STN,0))&lt;&gt;"",(AD483-INDEX(TZ_STD,MATCH(P483,TZ_STN,0))/24)&gt;=INDEX(TZ_DSTS,MATCH(P483,TZ_STN,0)),(AD483-INDEX(TZ_STD,MATCH(P483,TZ_STN,0))/24)&lt;INDEX(TZ_DSTE,MATCH(P483,TZ_STN,0))),INDEX(TZ_DST,MATCH(P483,TZ_STN,0)),INDEX(TZ_STD,MATCH(P483,TZ_STN,0))))/24,"")</f>
        <v/>
      </c>
      <c r="AH483" s="71">
        <f>IF(N483="N/A – rule","N/A – RULE",IF(TRIM(U483)="N/A",IF(AT483=0,"INVALID – N/A not permitted for this mandatory check",IF(AND(TRIM(AC483)&lt;&gt;"",TRIM(AE483)&lt;&gt;"",TRIM(T483)&lt;&gt;""),"N/A – JUSTIFIED","INVALID – N/A needs justification, PIC and verifier")),IF(OR(TRIM(U483)="Pass",TRIM(U483)="Pass after CA"),IF(NOT(ISNUMBER(AD483)),"INVALID – completion time missing",IF(TRIM(T483)="","INVALID – PIC missing",IF(TRIM(Z483)="","INVALID – evidence missing",IF(TRIM(AE483)="","INVALID – verifier missing",IF(AND(AQ483=1,TRIM(W483)=""),"INVALID – batch ID missing",IF(AND(AR483=1,OR(NOT(ISNUMBER(X483)),NOT(ISNUMBER(Y483)))),"INVALID – expected/actual qty missing",IF(IF(AND(TRIM(U483)="Pass",ISNUMBER(AF483)),IF(AF483&lt;&gt;0,"INVALID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recorded/closed","")&lt;&gt;"",IF(AND(TRIM(U483)="Pass",ISNUMBER(AF483)),IF(AF483&lt;&gt;0,"INVALID – qty variance: use Fail or Pass after CA",""),"")&amp;IF(AND(TRIM(U483)="Pass",AB483="Open"),"INVALID – corrective action still open: use Fail, then Pass after CA","")&amp;IF(AND(TRIM(U483)="Pass after CA",OR(TRIM(AA483)="",AB483&lt;&gt;"Closed")),"INVALID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window"),IF(AG483&gt;Flights!$AA$19,"INVALID – completed after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f>
        <v/>
      </c>
      <c r="AI483" s="67">
        <f>IF(OR(AH483="N/A – RULE",AH483="N/A – JUSTIFIED"),0,1)</f>
        <v/>
      </c>
      <c r="AJ483" s="67">
        <f>IF(LEFT(AH483,8)="COMPLETE",1,0)</f>
        <v/>
      </c>
      <c r="AK483" s="67">
        <f>IF(AND(AI483=1,AJ483=0,AsOfUTC&gt;Q483),1,0)</f>
        <v/>
      </c>
      <c r="AL483" s="67">
        <f>IF(AND(AI483=1,OR(TRIM(U483)="Fail",AB483="Open",AND(ISNUMBER(AF483),AF483&lt;&gt;0,TRIM(U483)&lt;&gt;"Pass after CA"))),1,0)</f>
        <v/>
      </c>
      <c r="AM483" s="67">
        <f>IF(LEFT(AH483,7)="INVALID",1,0)</f>
        <v/>
      </c>
      <c r="AN483" s="67">
        <f>IF(AND(N483="Clarification required",AI483=1,AJ483=0),1,0)</f>
        <v/>
      </c>
      <c r="AO483" s="67">
        <f>IF(AK483=1,SUM(AK$5:AK483),"")</f>
        <v/>
      </c>
      <c r="AP483" s="67">
        <f>IF(AL483=1,SUM(AL$5:AL483),"")</f>
        <v/>
      </c>
      <c r="AQ483" s="67" t="n">
        <v>0</v>
      </c>
      <c r="AR483" s="67" t="n">
        <v>0</v>
      </c>
      <c r="AS483" s="67" t="n">
        <v>0</v>
      </c>
      <c r="AT483" s="67" t="n">
        <v>0</v>
      </c>
    </row>
    <row r="484" ht="40" customHeight="1">
      <c r="A484" s="63" t="inlineStr">
        <is>
          <t>F15-T7-04</t>
        </is>
      </c>
      <c r="B484" s="63" t="inlineStr">
        <is>
          <t>F15</t>
        </is>
      </c>
      <c r="C484" s="63">
        <f>Flights!$F$19</f>
        <v/>
      </c>
      <c r="D484" s="64">
        <f>Flights!$D$19</f>
        <v/>
      </c>
      <c r="E484" s="63">
        <f>Flights!$G$19&amp;"-"&amp;Flights!$H$19</f>
        <v/>
      </c>
      <c r="F484" s="63">
        <f>Flights!$K$19</f>
        <v/>
      </c>
      <c r="G484" s="63" t="inlineStr">
        <is>
          <t>T-7D</t>
        </is>
      </c>
      <c r="H484" s="63" t="inlineStr">
        <is>
          <t>Preparation</t>
        </is>
      </c>
      <c r="I484" s="63" t="inlineStr">
        <is>
          <t>Staffing</t>
        </is>
      </c>
      <c r="J484" s="63" t="inlineStr">
        <is>
          <t>Experienced catering officer assigned to this flight</t>
        </is>
      </c>
      <c r="K484" s="73" t="inlineStr">
        <is>
          <t>Record officer name in Result</t>
        </is>
      </c>
      <c r="L484" s="73" t="inlineStr">
        <is>
          <t>User brief (T-7 days)</t>
        </is>
      </c>
      <c r="M484" s="73" t="inlineStr"/>
      <c r="N484" s="73" t="inlineStr">
        <is>
          <t>Required</t>
        </is>
      </c>
      <c r="O484" s="73" t="inlineStr"/>
      <c r="P484" s="63" t="inlineStr">
        <is>
          <t>LHR</t>
        </is>
      </c>
      <c r="Q484" s="65">
        <f>Flights!$AC$19</f>
        <v/>
      </c>
      <c r="R484" s="65">
        <f>Q484+(IF(AND(INDEX(TZ_DSTS,MATCH(P484,TZ_STN,0))&lt;&gt;"",Q484&gt;=INDEX(TZ_DSTS,MATCH(P484,TZ_STN,0)),Q484&lt;INDEX(TZ_DSTE,MATCH(P484,TZ_STN,0))),INDEX(TZ_DST,MATCH(P484,TZ_STN,0)),INDEX(TZ_STD,MATCH(P484,TZ_STN,0))))/24</f>
        <v/>
      </c>
      <c r="S484" s="65" t="inlineStr"/>
      <c r="T484" s="66" t="n"/>
      <c r="U484" s="66" t="n"/>
      <c r="V484" s="66" t="n"/>
      <c r="W484" s="67" t="n"/>
      <c r="X484" s="66" t="n"/>
      <c r="Y484" s="66" t="n"/>
      <c r="Z484" s="66" t="n"/>
      <c r="AA484" s="66" t="n"/>
      <c r="AB484" s="66" t="n"/>
      <c r="AC484" s="66" t="n"/>
      <c r="AD484" s="72" t="n"/>
      <c r="AE484" s="66" t="n"/>
      <c r="AF484" s="67">
        <f>IF(AND(ISNUMBER(X484),ISNUMBER(Y484)),Y484-X484,"")</f>
        <v/>
      </c>
      <c r="AG484" s="68">
        <f>IF(ISNUMBER(AD484),AD484-(IF(AND(INDEX(TZ_DSTS,MATCH(P484,TZ_STN,0))&lt;&gt;"",(AD484-INDEX(TZ_STD,MATCH(P484,TZ_STN,0))/24)&gt;=INDEX(TZ_DSTS,MATCH(P484,TZ_STN,0)),(AD484-INDEX(TZ_STD,MATCH(P484,TZ_STN,0))/24)&lt;INDEX(TZ_DSTE,MATCH(P484,TZ_STN,0))),INDEX(TZ_DST,MATCH(P484,TZ_STN,0)),INDEX(TZ_STD,MATCH(P484,TZ_STN,0))))/24,"")</f>
        <v/>
      </c>
      <c r="AH484" s="71">
        <f>IF(N484="N/A – rule","N/A – RULE",IF(TRIM(U484)="N/A",IF(AT484=0,"INVALID – N/A not permitted for this mandatory check",IF(AND(TRIM(AC484)&lt;&gt;"",TRIM(AE484)&lt;&gt;"",TRIM(T484)&lt;&gt;""),"N/A – JUSTIFIED","INVALID – N/A needs justification, PIC and verifier")),IF(OR(TRIM(U484)="Pass",TRIM(U484)="Pass after CA"),IF(NOT(ISNUMBER(AD484)),"INVALID – completion time missing",IF(TRIM(T484)="","INVALID – PIC missing",IF(TRIM(Z484)="","INVALID – evidence missing",IF(TRIM(AE484)="","INVALID – verifier missing",IF(AND(AQ484=1,TRIM(W484)=""),"INVALID – batch ID missing",IF(AND(AR484=1,OR(NOT(ISNUMBER(X484)),NOT(ISNUMBER(Y484)))),"INVALID – expected/actual qty missing",IF(IF(AND(TRIM(U484)="Pass",ISNUMBER(AF484)),IF(AF484&lt;&gt;0,"INVALID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recorded/closed","")&lt;&gt;"",IF(AND(TRIM(U484)="Pass",ISNUMBER(AF484)),IF(AF484&lt;&gt;0,"INVALID – qty variance: use Fail or Pass after CA",""),"")&amp;IF(AND(TRIM(U484)="Pass",AB484="Open"),"INVALID – corrective action still open: use Fail, then Pass after CA","")&amp;IF(AND(TRIM(U484)="Pass after CA",OR(TRIM(AA484)="",AB484&lt;&gt;"Closed")),"INVALID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window"),IF(AG484&gt;Flights!$AA$19,"INVALID – completed after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f>
        <v/>
      </c>
      <c r="AI484" s="67">
        <f>IF(OR(AH484="N/A – RULE",AH484="N/A – JUSTIFIED"),0,1)</f>
        <v/>
      </c>
      <c r="AJ484" s="67">
        <f>IF(LEFT(AH484,8)="COMPLETE",1,0)</f>
        <v/>
      </c>
      <c r="AK484" s="67">
        <f>IF(AND(AI484=1,AJ484=0,AsOfUTC&gt;Q484),1,0)</f>
        <v/>
      </c>
      <c r="AL484" s="67">
        <f>IF(AND(AI484=1,OR(TRIM(U484)="Fail",AB484="Open",AND(ISNUMBER(AF484),AF484&lt;&gt;0,TRIM(U484)&lt;&gt;"Pass after CA"))),1,0)</f>
        <v/>
      </c>
      <c r="AM484" s="67">
        <f>IF(LEFT(AH484,7)="INVALID",1,0)</f>
        <v/>
      </c>
      <c r="AN484" s="67">
        <f>IF(AND(N484="Clarification required",AI484=1,AJ484=0),1,0)</f>
        <v/>
      </c>
      <c r="AO484" s="67">
        <f>IF(AK484=1,SUM(AK$5:AK484),"")</f>
        <v/>
      </c>
      <c r="AP484" s="67">
        <f>IF(AL484=1,SUM(AL$5:AL484),"")</f>
        <v/>
      </c>
      <c r="AQ484" s="67" t="n">
        <v>0</v>
      </c>
      <c r="AR484" s="67" t="n">
        <v>0</v>
      </c>
      <c r="AS484" s="67" t="n">
        <v>0</v>
      </c>
      <c r="AT484" s="67" t="n">
        <v>0</v>
      </c>
    </row>
    <row r="485" ht="40" customHeight="1">
      <c r="A485" s="63" t="inlineStr">
        <is>
          <t>F15-T7-05</t>
        </is>
      </c>
      <c r="B485" s="63" t="inlineStr">
        <is>
          <t>F15</t>
        </is>
      </c>
      <c r="C485" s="63">
        <f>Flights!$F$19</f>
        <v/>
      </c>
      <c r="D485" s="64">
        <f>Flights!$D$19</f>
        <v/>
      </c>
      <c r="E485" s="63">
        <f>Flights!$G$19&amp;"-"&amp;Flights!$H$19</f>
        <v/>
      </c>
      <c r="F485" s="63">
        <f>Flights!$K$19</f>
        <v/>
      </c>
      <c r="G485" s="63" t="inlineStr">
        <is>
          <t>T-7D</t>
        </is>
      </c>
      <c r="H485" s="63" t="inlineStr">
        <is>
          <t>Preparation</t>
        </is>
      </c>
      <c r="I485" s="63" t="inlineStr">
        <is>
          <t>ISOP</t>
        </is>
      </c>
      <c r="J485" s="63" t="inlineStr">
        <is>
          <t>All latest applicable ISOP revisions communicated to caterer</t>
        </is>
      </c>
      <c r="K485" s="73" t="inlineStr">
        <is>
          <t>List revision numbers in Result (see ISOP register)</t>
        </is>
      </c>
      <c r="L485" s="73" t="inlineStr">
        <is>
          <t>User brief (T-7 days)</t>
        </is>
      </c>
      <c r="M485" s="73" t="inlineStr"/>
      <c r="N485" s="73" t="inlineStr">
        <is>
          <t>Required</t>
        </is>
      </c>
      <c r="O485" s="73" t="inlineStr"/>
      <c r="P485" s="63" t="inlineStr">
        <is>
          <t>LHR</t>
        </is>
      </c>
      <c r="Q485" s="65">
        <f>Flights!$AC$19</f>
        <v/>
      </c>
      <c r="R485" s="65">
        <f>Q485+(IF(AND(INDEX(TZ_DSTS,MATCH(P485,TZ_STN,0))&lt;&gt;"",Q485&gt;=INDEX(TZ_DSTS,MATCH(P485,TZ_STN,0)),Q485&lt;INDEX(TZ_DSTE,MATCH(P485,TZ_STN,0))),INDEX(TZ_DST,MATCH(P485,TZ_STN,0)),INDEX(TZ_STD,MATCH(P485,TZ_STN,0))))/24</f>
        <v/>
      </c>
      <c r="S485" s="65" t="inlineStr"/>
      <c r="T485" s="66" t="n"/>
      <c r="U485" s="66" t="n"/>
      <c r="V485" s="66" t="n"/>
      <c r="W485" s="67" t="n"/>
      <c r="X485" s="66" t="n"/>
      <c r="Y485" s="66" t="n"/>
      <c r="Z485" s="66" t="n"/>
      <c r="AA485" s="66" t="n"/>
      <c r="AB485" s="66" t="n"/>
      <c r="AC485" s="66" t="n"/>
      <c r="AD485" s="72" t="n"/>
      <c r="AE485" s="66" t="n"/>
      <c r="AF485" s="67">
        <f>IF(AND(ISNUMBER(X485),ISNUMBER(Y485)),Y485-X485,"")</f>
        <v/>
      </c>
      <c r="AG485" s="68">
        <f>IF(ISNUMBER(AD485),AD485-(IF(AND(INDEX(TZ_DSTS,MATCH(P485,TZ_STN,0))&lt;&gt;"",(AD485-INDEX(TZ_STD,MATCH(P485,TZ_STN,0))/24)&gt;=INDEX(TZ_DSTS,MATCH(P485,TZ_STN,0)),(AD485-INDEX(TZ_STD,MATCH(P485,TZ_STN,0))/24)&lt;INDEX(TZ_DSTE,MATCH(P485,TZ_STN,0))),INDEX(TZ_DST,MATCH(P485,TZ_STN,0)),INDEX(TZ_STD,MATCH(P485,TZ_STN,0))))/24,"")</f>
        <v/>
      </c>
      <c r="AH485" s="71">
        <f>IF(N485="N/A – rule","N/A – RULE",IF(TRIM(U485)="N/A",IF(AT485=0,"INVALID – N/A not permitted for this mandatory check",IF(AND(TRIM(AC485)&lt;&gt;"",TRIM(AE485)&lt;&gt;"",TRIM(T485)&lt;&gt;""),"N/A – JUSTIFIED","INVALID – N/A needs justification, PIC and verifier")),IF(OR(TRIM(U485)="Pass",TRIM(U485)="Pass after CA"),IF(NOT(ISNUMBER(AD485)),"INVALID – completion time missing",IF(TRIM(T485)="","INVALID – PIC missing",IF(TRIM(Z485)="","INVALID – evidence missing",IF(TRIM(AE485)="","INVALID – verifier missing",IF(AND(AQ485=1,TRIM(W485)=""),"INVALID – batch ID missing",IF(AND(AR485=1,OR(NOT(ISNUMBER(X485)),NOT(ISNUMBER(Y485)))),"INVALID – expected/actual qty missing",IF(IF(AND(TRIM(U485)="Pass",ISNUMBER(AF485)),IF(AF485&lt;&gt;0,"INVALID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recorded/closed","")&lt;&gt;"",IF(AND(TRIM(U485)="Pass",ISNUMBER(AF485)),IF(AF485&lt;&gt;0,"INVALID – qty variance: use Fail or Pass after CA",""),"")&amp;IF(AND(TRIM(U485)="Pass",AB485="Open"),"INVALID – corrective action still open: use Fail, then Pass after CA","")&amp;IF(AND(TRIM(U485)="Pass after CA",OR(TRIM(AA485)="",AB485&lt;&gt;"Closed")),"INVALID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window"),IF(AG485&gt;Flights!$AA$19,"INVALID – completed after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f>
        <v/>
      </c>
      <c r="AI485" s="67">
        <f>IF(OR(AH485="N/A – RULE",AH485="N/A – JUSTIFIED"),0,1)</f>
        <v/>
      </c>
      <c r="AJ485" s="67">
        <f>IF(LEFT(AH485,8)="COMPLETE",1,0)</f>
        <v/>
      </c>
      <c r="AK485" s="67">
        <f>IF(AND(AI485=1,AJ485=0,AsOfUTC&gt;Q485),1,0)</f>
        <v/>
      </c>
      <c r="AL485" s="67">
        <f>IF(AND(AI485=1,OR(TRIM(U485)="Fail",AB485="Open",AND(ISNUMBER(AF485),AF485&lt;&gt;0,TRIM(U485)&lt;&gt;"Pass after CA"))),1,0)</f>
        <v/>
      </c>
      <c r="AM485" s="67">
        <f>IF(LEFT(AH485,7)="INVALID",1,0)</f>
        <v/>
      </c>
      <c r="AN485" s="67">
        <f>IF(AND(N485="Clarification required",AI485=1,AJ485=0),1,0)</f>
        <v/>
      </c>
      <c r="AO485" s="67">
        <f>IF(AK485=1,SUM(AK$5:AK485),"")</f>
        <v/>
      </c>
      <c r="AP485" s="67">
        <f>IF(AL485=1,SUM(AL$5:AL485),"")</f>
        <v/>
      </c>
      <c r="AQ485" s="67" t="n">
        <v>0</v>
      </c>
      <c r="AR485" s="67" t="n">
        <v>0</v>
      </c>
      <c r="AS485" s="67" t="n">
        <v>0</v>
      </c>
      <c r="AT485" s="67" t="n">
        <v>0</v>
      </c>
    </row>
    <row r="486" ht="40" customHeight="1">
      <c r="A486" s="63" t="inlineStr">
        <is>
          <t>F15-T7-06</t>
        </is>
      </c>
      <c r="B486" s="63" t="inlineStr">
        <is>
          <t>F15</t>
        </is>
      </c>
      <c r="C486" s="63">
        <f>Flights!$F$19</f>
        <v/>
      </c>
      <c r="D486" s="64">
        <f>Flights!$D$19</f>
        <v/>
      </c>
      <c r="E486" s="63">
        <f>Flights!$G$19&amp;"-"&amp;Flights!$H$19</f>
        <v/>
      </c>
      <c r="F486" s="63">
        <f>Flights!$K$19</f>
        <v/>
      </c>
      <c r="G486" s="63" t="inlineStr">
        <is>
          <t>T-7D</t>
        </is>
      </c>
      <c r="H486" s="63" t="inlineStr">
        <is>
          <t>Preparation</t>
        </is>
      </c>
      <c r="I486" s="63" t="inlineStr">
        <is>
          <t>ISOP</t>
        </is>
      </c>
      <c r="J486" s="63" t="inlineStr">
        <is>
          <t>Caterer acknowledgement of ISOP revisions recorded</t>
        </is>
      </c>
      <c r="K486" s="73" t="inlineStr">
        <is>
          <t>Record acknowledgement ref in Evidence</t>
        </is>
      </c>
      <c r="L486" s="73" t="inlineStr">
        <is>
          <t>User brief (T-7 days)</t>
        </is>
      </c>
      <c r="M486" s="73" t="inlineStr"/>
      <c r="N486" s="73" t="inlineStr">
        <is>
          <t>Required</t>
        </is>
      </c>
      <c r="O486" s="73" t="inlineStr"/>
      <c r="P486" s="63" t="inlineStr">
        <is>
          <t>LHR</t>
        </is>
      </c>
      <c r="Q486" s="65">
        <f>Flights!$AC$19</f>
        <v/>
      </c>
      <c r="R486" s="65">
        <f>Q486+(IF(AND(INDEX(TZ_DSTS,MATCH(P486,TZ_STN,0))&lt;&gt;"",Q486&gt;=INDEX(TZ_DSTS,MATCH(P486,TZ_STN,0)),Q486&lt;INDEX(TZ_DSTE,MATCH(P486,TZ_STN,0))),INDEX(TZ_DST,MATCH(P486,TZ_STN,0)),INDEX(TZ_STD,MATCH(P486,TZ_STN,0))))/24</f>
        <v/>
      </c>
      <c r="S486" s="65" t="inlineStr"/>
      <c r="T486" s="66" t="n"/>
      <c r="U486" s="66" t="n"/>
      <c r="V486" s="66" t="n"/>
      <c r="W486" s="67" t="n"/>
      <c r="X486" s="66" t="n"/>
      <c r="Y486" s="66" t="n"/>
      <c r="Z486" s="66" t="n"/>
      <c r="AA486" s="66" t="n"/>
      <c r="AB486" s="66" t="n"/>
      <c r="AC486" s="66" t="n"/>
      <c r="AD486" s="72" t="n"/>
      <c r="AE486" s="66" t="n"/>
      <c r="AF486" s="67">
        <f>IF(AND(ISNUMBER(X486),ISNUMBER(Y486)),Y486-X486,"")</f>
        <v/>
      </c>
      <c r="AG486" s="68">
        <f>IF(ISNUMBER(AD486),AD486-(IF(AND(INDEX(TZ_DSTS,MATCH(P486,TZ_STN,0))&lt;&gt;"",(AD486-INDEX(TZ_STD,MATCH(P486,TZ_STN,0))/24)&gt;=INDEX(TZ_DSTS,MATCH(P486,TZ_STN,0)),(AD486-INDEX(TZ_STD,MATCH(P486,TZ_STN,0))/24)&lt;INDEX(TZ_DSTE,MATCH(P486,TZ_STN,0))),INDEX(TZ_DST,MATCH(P486,TZ_STN,0)),INDEX(TZ_STD,MATCH(P486,TZ_STN,0))))/24,"")</f>
        <v/>
      </c>
      <c r="AH486" s="71">
        <f>IF(N486="N/A – rule","N/A – RULE",IF(TRIM(U486)="N/A",IF(AT486=0,"INVALID – N/A not permitted for this mandatory check",IF(AND(TRIM(AC486)&lt;&gt;"",TRIM(AE486)&lt;&gt;"",TRIM(T486)&lt;&gt;""),"N/A – JUSTIFIED","INVALID – N/A needs justification, PIC and verifier")),IF(OR(TRIM(U486)="Pass",TRIM(U486)="Pass after CA"),IF(NOT(ISNUMBER(AD486)),"INVALID – completion time missing",IF(TRIM(T486)="","INVALID – PIC missing",IF(TRIM(Z486)="","INVALID – evidence missing",IF(TRIM(AE486)="","INVALID – verifier missing",IF(AND(AQ486=1,TRIM(W486)=""),"INVALID – batch ID missing",IF(AND(AR486=1,OR(NOT(ISNUMBER(X486)),NOT(ISNUMBER(Y486)))),"INVALID – expected/actual qty missing",IF(IF(AND(TRIM(U486)="Pass",ISNUMBER(AF486)),IF(AF486&lt;&gt;0,"INVALID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recorded/closed","")&lt;&gt;"",IF(AND(TRIM(U486)="Pass",ISNUMBER(AF486)),IF(AF486&lt;&gt;0,"INVALID – qty variance: use Fail or Pass after CA",""),"")&amp;IF(AND(TRIM(U486)="Pass",AB486="Open"),"INVALID – corrective action still open: use Fail, then Pass after CA","")&amp;IF(AND(TRIM(U486)="Pass after CA",OR(TRIM(AA486)="",AB486&lt;&gt;"Closed")),"INVALID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window"),IF(AG486&gt;Flights!$AA$19,"INVALID – completed after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f>
        <v/>
      </c>
      <c r="AI486" s="67">
        <f>IF(OR(AH486="N/A – RULE",AH486="N/A – JUSTIFIED"),0,1)</f>
        <v/>
      </c>
      <c r="AJ486" s="67">
        <f>IF(LEFT(AH486,8)="COMPLETE",1,0)</f>
        <v/>
      </c>
      <c r="AK486" s="67">
        <f>IF(AND(AI486=1,AJ486=0,AsOfUTC&gt;Q486),1,0)</f>
        <v/>
      </c>
      <c r="AL486" s="67">
        <f>IF(AND(AI486=1,OR(TRIM(U486)="Fail",AB486="Open",AND(ISNUMBER(AF486),AF486&lt;&gt;0,TRIM(U486)&lt;&gt;"Pass after CA"))),1,0)</f>
        <v/>
      </c>
      <c r="AM486" s="67">
        <f>IF(LEFT(AH486,7)="INVALID",1,0)</f>
        <v/>
      </c>
      <c r="AN486" s="67">
        <f>IF(AND(N486="Clarification required",AI486=1,AJ486=0),1,0)</f>
        <v/>
      </c>
      <c r="AO486" s="67">
        <f>IF(AK486=1,SUM(AK$5:AK486),"")</f>
        <v/>
      </c>
      <c r="AP486" s="67">
        <f>IF(AL486=1,SUM(AL$5:AL486),"")</f>
        <v/>
      </c>
      <c r="AQ486" s="67" t="n">
        <v>0</v>
      </c>
      <c r="AR486" s="67" t="n">
        <v>0</v>
      </c>
      <c r="AS486" s="67" t="n">
        <v>0</v>
      </c>
      <c r="AT486" s="67" t="n">
        <v>0</v>
      </c>
    </row>
    <row r="487" ht="40" customHeight="1">
      <c r="A487" s="63" t="inlineStr">
        <is>
          <t>F15-T7-07</t>
        </is>
      </c>
      <c r="B487" s="63" t="inlineStr">
        <is>
          <t>F15</t>
        </is>
      </c>
      <c r="C487" s="63">
        <f>Flights!$F$19</f>
        <v/>
      </c>
      <c r="D487" s="64">
        <f>Flights!$D$19</f>
        <v/>
      </c>
      <c r="E487" s="63">
        <f>Flights!$G$19&amp;"-"&amp;Flights!$H$19</f>
        <v/>
      </c>
      <c r="F487" s="63">
        <f>Flights!$K$19</f>
        <v/>
      </c>
      <c r="G487" s="63" t="inlineStr">
        <is>
          <t>T-7D</t>
        </is>
      </c>
      <c r="H487" s="63" t="inlineStr">
        <is>
          <t>Preparation</t>
        </is>
      </c>
      <c r="I487" s="63" t="inlineStr">
        <is>
          <t>Documents</t>
        </is>
      </c>
      <c r="J487" s="63" t="inlineStr">
        <is>
          <t>Galley loading diagram (GLD) received, revision recorded &amp; attached</t>
        </is>
      </c>
      <c r="K487" s="73" t="inlineStr">
        <is>
          <t>Documents sheet row complete</t>
        </is>
      </c>
      <c r="L487" s="73" t="inlineStr">
        <is>
          <t>User brief (T-7 days)</t>
        </is>
      </c>
      <c r="M487" s="73" t="inlineStr"/>
      <c r="N487" s="73" t="inlineStr">
        <is>
          <t>Required</t>
        </is>
      </c>
      <c r="O487" s="73" t="inlineStr"/>
      <c r="P487" s="63" t="inlineStr">
        <is>
          <t>LHR</t>
        </is>
      </c>
      <c r="Q487" s="65">
        <f>Flights!$AC$19</f>
        <v/>
      </c>
      <c r="R487" s="65">
        <f>Q487+(IF(AND(INDEX(TZ_DSTS,MATCH(P487,TZ_STN,0))&lt;&gt;"",Q487&gt;=INDEX(TZ_DSTS,MATCH(P487,TZ_STN,0)),Q487&lt;INDEX(TZ_DSTE,MATCH(P487,TZ_STN,0))),INDEX(TZ_DST,MATCH(P487,TZ_STN,0)),INDEX(TZ_STD,MATCH(P487,TZ_STN,0))))/24</f>
        <v/>
      </c>
      <c r="S487" s="65" t="inlineStr"/>
      <c r="T487" s="66" t="n"/>
      <c r="U487" s="66" t="n"/>
      <c r="V487" s="66" t="n"/>
      <c r="W487" s="67" t="n"/>
      <c r="X487" s="66" t="n"/>
      <c r="Y487" s="66" t="n"/>
      <c r="Z487" s="66" t="n"/>
      <c r="AA487" s="66" t="n"/>
      <c r="AB487" s="66" t="n"/>
      <c r="AC487" s="66" t="n"/>
      <c r="AD487" s="72" t="n"/>
      <c r="AE487" s="66" t="n"/>
      <c r="AF487" s="67">
        <f>IF(AND(ISNUMBER(X487),ISNUMBER(Y487)),Y487-X487,"")</f>
        <v/>
      </c>
      <c r="AG487" s="68">
        <f>IF(ISNUMBER(AD487),AD487-(IF(AND(INDEX(TZ_DSTS,MATCH(P487,TZ_STN,0))&lt;&gt;"",(AD487-INDEX(TZ_STD,MATCH(P487,TZ_STN,0))/24)&gt;=INDEX(TZ_DSTS,MATCH(P487,TZ_STN,0)),(AD487-INDEX(TZ_STD,MATCH(P487,TZ_STN,0))/24)&lt;INDEX(TZ_DSTE,MATCH(P487,TZ_STN,0))),INDEX(TZ_DST,MATCH(P487,TZ_STN,0)),INDEX(TZ_STD,MATCH(P487,TZ_STN,0))))/24,"")</f>
        <v/>
      </c>
      <c r="AH487" s="71">
        <f>IF(N487="N/A – rule","N/A – RULE",IF(TRIM(U487)="N/A",IF(AT487=0,"INVALID – N/A not permitted for this mandatory check",IF(AND(TRIM(AC487)&lt;&gt;"",TRIM(AE487)&lt;&gt;"",TRIM(T487)&lt;&gt;""),"N/A – JUSTIFIED","INVALID – N/A needs justification, PIC and verifier")),IF(OR(TRIM(U487)="Pass",TRIM(U487)="Pass after CA"),IF(NOT(ISNUMBER(AD487)),"INVALID – completion time missing",IF(TRIM(T487)="","INVALID – PIC missing",IF(TRIM(Z487)="","INVALID – evidence missing",IF(TRIM(AE487)="","INVALID – verifier missing",IF(AND(AQ487=1,TRIM(W487)=""),"INVALID – batch ID missing",IF(AND(AR487=1,OR(NOT(ISNUMBER(X487)),NOT(ISNUMBER(Y487)))),"INVALID – expected/actual qty missing",IF(IF(AND(TRIM(U487)="Pass",ISNUMBER(AF487)),IF(AF487&lt;&gt;0,"INVALID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recorded/closed","")&lt;&gt;"",IF(AND(TRIM(U487)="Pass",ISNUMBER(AF487)),IF(AF487&lt;&gt;0,"INVALID – qty variance: use Fail or Pass after CA",""),"")&amp;IF(AND(TRIM(U487)="Pass",AB487="Open"),"INVALID – corrective action still open: use Fail, then Pass after CA","")&amp;IF(AND(TRIM(U487)="Pass after CA",OR(TRIM(AA487)="",AB487&lt;&gt;"Closed")),"INVALID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window"),IF(AG487&gt;Flights!$AA$19,"INVALID – completed after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f>
        <v/>
      </c>
      <c r="AI487" s="67">
        <f>IF(OR(AH487="N/A – RULE",AH487="N/A – JUSTIFIED"),0,1)</f>
        <v/>
      </c>
      <c r="AJ487" s="67">
        <f>IF(LEFT(AH487,8)="COMPLETE",1,0)</f>
        <v/>
      </c>
      <c r="AK487" s="67">
        <f>IF(AND(AI487=1,AJ487=0,AsOfUTC&gt;Q487),1,0)</f>
        <v/>
      </c>
      <c r="AL487" s="67">
        <f>IF(AND(AI487=1,OR(TRIM(U487)="Fail",AB487="Open",AND(ISNUMBER(AF487),AF487&lt;&gt;0,TRIM(U487)&lt;&gt;"Pass after CA"))),1,0)</f>
        <v/>
      </c>
      <c r="AM487" s="67">
        <f>IF(LEFT(AH487,7)="INVALID",1,0)</f>
        <v/>
      </c>
      <c r="AN487" s="67">
        <f>IF(AND(N487="Clarification required",AI487=1,AJ487=0),1,0)</f>
        <v/>
      </c>
      <c r="AO487" s="67">
        <f>IF(AK487=1,SUM(AK$5:AK487),"")</f>
        <v/>
      </c>
      <c r="AP487" s="67">
        <f>IF(AL487=1,SUM(AL$5:AL487),"")</f>
        <v/>
      </c>
      <c r="AQ487" s="67" t="n">
        <v>0</v>
      </c>
      <c r="AR487" s="67" t="n">
        <v>0</v>
      </c>
      <c r="AS487" s="67" t="n">
        <v>1</v>
      </c>
      <c r="AT487" s="67" t="n">
        <v>0</v>
      </c>
    </row>
    <row r="488" ht="40" customHeight="1">
      <c r="A488" s="63" t="inlineStr">
        <is>
          <t>F15-T7-08</t>
        </is>
      </c>
      <c r="B488" s="63" t="inlineStr">
        <is>
          <t>F15</t>
        </is>
      </c>
      <c r="C488" s="63">
        <f>Flights!$F$19</f>
        <v/>
      </c>
      <c r="D488" s="64">
        <f>Flights!$D$19</f>
        <v/>
      </c>
      <c r="E488" s="63">
        <f>Flights!$G$19&amp;"-"&amp;Flights!$H$19</f>
        <v/>
      </c>
      <c r="F488" s="63">
        <f>Flights!$K$19</f>
        <v/>
      </c>
      <c r="G488" s="63" t="inlineStr">
        <is>
          <t>T-7D</t>
        </is>
      </c>
      <c r="H488" s="63" t="inlineStr">
        <is>
          <t>Preparation</t>
        </is>
      </c>
      <c r="I488" s="63" t="inlineStr">
        <is>
          <t>Documents</t>
        </is>
      </c>
      <c r="J488" s="63" t="inlineStr">
        <is>
          <t>Menu checklist received, revision recorded &amp; attached</t>
        </is>
      </c>
      <c r="K488" s="73" t="inlineStr">
        <is>
          <t>Documents sheet row complete</t>
        </is>
      </c>
      <c r="L488" s="73" t="inlineStr">
        <is>
          <t>User brief (T-7 days)</t>
        </is>
      </c>
      <c r="M488" s="73" t="inlineStr"/>
      <c r="N488" s="73" t="inlineStr">
        <is>
          <t>Required</t>
        </is>
      </c>
      <c r="O488" s="73" t="inlineStr"/>
      <c r="P488" s="63" t="inlineStr">
        <is>
          <t>LHR</t>
        </is>
      </c>
      <c r="Q488" s="65">
        <f>Flights!$AC$19</f>
        <v/>
      </c>
      <c r="R488" s="65">
        <f>Q488+(IF(AND(INDEX(TZ_DSTS,MATCH(P488,TZ_STN,0))&lt;&gt;"",Q488&gt;=INDEX(TZ_DSTS,MATCH(P488,TZ_STN,0)),Q488&lt;INDEX(TZ_DSTE,MATCH(P488,TZ_STN,0))),INDEX(TZ_DST,MATCH(P488,TZ_STN,0)),INDEX(TZ_STD,MATCH(P488,TZ_STN,0))))/24</f>
        <v/>
      </c>
      <c r="S488" s="65" t="inlineStr"/>
      <c r="T488" s="66" t="n"/>
      <c r="U488" s="66" t="n"/>
      <c r="V488" s="66" t="n"/>
      <c r="W488" s="67" t="n"/>
      <c r="X488" s="66" t="n"/>
      <c r="Y488" s="66" t="n"/>
      <c r="Z488" s="66" t="n"/>
      <c r="AA488" s="66" t="n"/>
      <c r="AB488" s="66" t="n"/>
      <c r="AC488" s="66" t="n"/>
      <c r="AD488" s="72" t="n"/>
      <c r="AE488" s="66" t="n"/>
      <c r="AF488" s="67">
        <f>IF(AND(ISNUMBER(X488),ISNUMBER(Y488)),Y488-X488,"")</f>
        <v/>
      </c>
      <c r="AG488" s="68">
        <f>IF(ISNUMBER(AD488),AD488-(IF(AND(INDEX(TZ_DSTS,MATCH(P488,TZ_STN,0))&lt;&gt;"",(AD488-INDEX(TZ_STD,MATCH(P488,TZ_STN,0))/24)&gt;=INDEX(TZ_DSTS,MATCH(P488,TZ_STN,0)),(AD488-INDEX(TZ_STD,MATCH(P488,TZ_STN,0))/24)&lt;INDEX(TZ_DSTE,MATCH(P488,TZ_STN,0))),INDEX(TZ_DST,MATCH(P488,TZ_STN,0)),INDEX(TZ_STD,MATCH(P488,TZ_STN,0))))/24,"")</f>
        <v/>
      </c>
      <c r="AH488" s="71">
        <f>IF(N488="N/A – rule","N/A – RULE",IF(TRIM(U488)="N/A",IF(AT488=0,"INVALID – N/A not permitted for this mandatory check",IF(AND(TRIM(AC488)&lt;&gt;"",TRIM(AE488)&lt;&gt;"",TRIM(T488)&lt;&gt;""),"N/A – JUSTIFIED","INVALID – N/A needs justification, PIC and verifier")),IF(OR(TRIM(U488)="Pass",TRIM(U488)="Pass after CA"),IF(NOT(ISNUMBER(AD488)),"INVALID – completion time missing",IF(TRIM(T488)="","INVALID – PIC missing",IF(TRIM(Z488)="","INVALID – evidence missing",IF(TRIM(AE488)="","INVALID – verifier missing",IF(AND(AQ488=1,TRIM(W488)=""),"INVALID – batch ID missing",IF(AND(AR488=1,OR(NOT(ISNUMBER(X488)),NOT(ISNUMBER(Y488)))),"INVALID – expected/actual qty missing",IF(IF(AND(TRIM(U488)="Pass",ISNUMBER(AF488)),IF(AF488&lt;&gt;0,"INVALID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recorded/closed","")&lt;&gt;"",IF(AND(TRIM(U488)="Pass",ISNUMBER(AF488)),IF(AF488&lt;&gt;0,"INVALID – qty variance: use Fail or Pass after CA",""),"")&amp;IF(AND(TRIM(U488)="Pass",AB488="Open"),"INVALID – corrective action still open: use Fail, then Pass after CA","")&amp;IF(AND(TRIM(U488)="Pass after CA",OR(TRIM(AA488)="",AB488&lt;&gt;"Closed")),"INVALID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window"),IF(AG488&gt;Flights!$AA$19,"INVALID – completed after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f>
        <v/>
      </c>
      <c r="AI488" s="67">
        <f>IF(OR(AH488="N/A – RULE",AH488="N/A – JUSTIFIED"),0,1)</f>
        <v/>
      </c>
      <c r="AJ488" s="67">
        <f>IF(LEFT(AH488,8)="COMPLETE",1,0)</f>
        <v/>
      </c>
      <c r="AK488" s="67">
        <f>IF(AND(AI488=1,AJ488=0,AsOfUTC&gt;Q488),1,0)</f>
        <v/>
      </c>
      <c r="AL488" s="67">
        <f>IF(AND(AI488=1,OR(TRIM(U488)="Fail",AB488="Open",AND(ISNUMBER(AF488),AF488&lt;&gt;0,TRIM(U488)&lt;&gt;"Pass after CA"))),1,0)</f>
        <v/>
      </c>
      <c r="AM488" s="67">
        <f>IF(LEFT(AH488,7)="INVALID",1,0)</f>
        <v/>
      </c>
      <c r="AN488" s="67">
        <f>IF(AND(N488="Clarification required",AI488=1,AJ488=0),1,0)</f>
        <v/>
      </c>
      <c r="AO488" s="67">
        <f>IF(AK488=1,SUM(AK$5:AK488),"")</f>
        <v/>
      </c>
      <c r="AP488" s="67">
        <f>IF(AL488=1,SUM(AL$5:AL488),"")</f>
        <v/>
      </c>
      <c r="AQ488" s="67" t="n">
        <v>0</v>
      </c>
      <c r="AR488" s="67" t="n">
        <v>0</v>
      </c>
      <c r="AS488" s="67" t="n">
        <v>2</v>
      </c>
      <c r="AT488" s="67" t="n">
        <v>0</v>
      </c>
    </row>
    <row r="489" ht="40" customHeight="1">
      <c r="A489" s="63" t="inlineStr">
        <is>
          <t>F15-T7-09</t>
        </is>
      </c>
      <c r="B489" s="63" t="inlineStr">
        <is>
          <t>F15</t>
        </is>
      </c>
      <c r="C489" s="63">
        <f>Flights!$F$19</f>
        <v/>
      </c>
      <c r="D489" s="64">
        <f>Flights!$D$19</f>
        <v/>
      </c>
      <c r="E489" s="63">
        <f>Flights!$G$19&amp;"-"&amp;Flights!$H$19</f>
        <v/>
      </c>
      <c r="F489" s="63">
        <f>Flights!$K$19</f>
        <v/>
      </c>
      <c r="G489" s="63" t="inlineStr">
        <is>
          <t>T-7D</t>
        </is>
      </c>
      <c r="H489" s="63" t="inlineStr">
        <is>
          <t>Preparation</t>
        </is>
      </c>
      <c r="I489" s="63" t="inlineStr">
        <is>
          <t>Uplift plan</t>
        </is>
      </c>
      <c r="J489" s="63" t="inlineStr">
        <is>
          <t>Uplift plan confirmed with caterer vs STD Uplift Information</t>
        </is>
      </c>
      <c r="K489" s="73" t="inlineStr">
        <is>
          <t>Service: 2.5 Meal (Meal); meal uplift stn LHR (ref lists KUL/LHR)</t>
        </is>
      </c>
      <c r="L489" s="73" t="inlineStr">
        <is>
          <t>STD UPLIFT INFORMATION.xlsx &gt; CATERING UPLIFT STN!C9:G9</t>
        </is>
      </c>
      <c r="M489" s="73" t="inlineStr"/>
      <c r="N489" s="73" t="inlineStr">
        <is>
          <t>Required</t>
        </is>
      </c>
      <c r="O489" s="73" t="inlineStr"/>
      <c r="P489" s="63" t="inlineStr">
        <is>
          <t>LHR</t>
        </is>
      </c>
      <c r="Q489" s="65">
        <f>Flights!$AC$19</f>
        <v/>
      </c>
      <c r="R489" s="65">
        <f>Q489+(IF(AND(INDEX(TZ_DSTS,MATCH(P489,TZ_STN,0))&lt;&gt;"",Q489&gt;=INDEX(TZ_DSTS,MATCH(P489,TZ_STN,0)),Q489&lt;INDEX(TZ_DSTE,MATCH(P489,TZ_STN,0))),INDEX(TZ_DST,MATCH(P489,TZ_STN,0)),INDEX(TZ_STD,MATCH(P489,TZ_STN,0))))/24</f>
        <v/>
      </c>
      <c r="S489" s="65" t="inlineStr"/>
      <c r="T489" s="66" t="n"/>
      <c r="U489" s="66" t="n"/>
      <c r="V489" s="66" t="n"/>
      <c r="W489" s="67" t="n"/>
      <c r="X489" s="66" t="n"/>
      <c r="Y489" s="66" t="n"/>
      <c r="Z489" s="66" t="n"/>
      <c r="AA489" s="66" t="n"/>
      <c r="AB489" s="66" t="n"/>
      <c r="AC489" s="66" t="n"/>
      <c r="AD489" s="72" t="n"/>
      <c r="AE489" s="66" t="n"/>
      <c r="AF489" s="67">
        <f>IF(AND(ISNUMBER(X489),ISNUMBER(Y489)),Y489-X489,"")</f>
        <v/>
      </c>
      <c r="AG489" s="68">
        <f>IF(ISNUMBER(AD489),AD489-(IF(AND(INDEX(TZ_DSTS,MATCH(P489,TZ_STN,0))&lt;&gt;"",(AD489-INDEX(TZ_STD,MATCH(P489,TZ_STN,0))/24)&gt;=INDEX(TZ_DSTS,MATCH(P489,TZ_STN,0)),(AD489-INDEX(TZ_STD,MATCH(P489,TZ_STN,0))/24)&lt;INDEX(TZ_DSTE,MATCH(P489,TZ_STN,0))),INDEX(TZ_DST,MATCH(P489,TZ_STN,0)),INDEX(TZ_STD,MATCH(P489,TZ_STN,0))))/24,"")</f>
        <v/>
      </c>
      <c r="AH489" s="71">
        <f>IF(N489="N/A – rule","N/A – RULE",IF(TRIM(U489)="N/A",IF(AT489=0,"INVALID – N/A not permitted for this mandatory check",IF(AND(TRIM(AC489)&lt;&gt;"",TRIM(AE489)&lt;&gt;"",TRIM(T489)&lt;&gt;""),"N/A – JUSTIFIED","INVALID – N/A needs justification, PIC and verifier")),IF(OR(TRIM(U489)="Pass",TRIM(U489)="Pass after CA"),IF(NOT(ISNUMBER(AD489)),"INVALID – completion time missing",IF(TRIM(T489)="","INVALID – PIC missing",IF(TRIM(Z489)="","INVALID – evidence missing",IF(TRIM(AE489)="","INVALID – verifier missing",IF(AND(AQ489=1,TRIM(W489)=""),"INVALID – batch ID missing",IF(AND(AR489=1,OR(NOT(ISNUMBER(X489)),NOT(ISNUMBER(Y489)))),"INVALID – expected/actual qty missing",IF(IF(AND(TRIM(U489)="Pass",ISNUMBER(AF489)),IF(AF489&lt;&gt;0,"INVALID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recorded/closed","")&lt;&gt;"",IF(AND(TRIM(U489)="Pass",ISNUMBER(AF489)),IF(AF489&lt;&gt;0,"INVALID – qty variance: use Fail or Pass after CA",""),"")&amp;IF(AND(TRIM(U489)="Pass",AB489="Open"),"INVALID – corrective action still open: use Fail, then Pass after CA","")&amp;IF(AND(TRIM(U489)="Pass after CA",OR(TRIM(AA489)="",AB489&lt;&gt;"Closed")),"INVALID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window"),IF(AG489&gt;Flights!$AA$19,"INVALID – completed after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f>
        <v/>
      </c>
      <c r="AI489" s="67">
        <f>IF(OR(AH489="N/A – RULE",AH489="N/A – JUSTIFIED"),0,1)</f>
        <v/>
      </c>
      <c r="AJ489" s="67">
        <f>IF(LEFT(AH489,8)="COMPLETE",1,0)</f>
        <v/>
      </c>
      <c r="AK489" s="67">
        <f>IF(AND(AI489=1,AJ489=0,AsOfUTC&gt;Q489),1,0)</f>
        <v/>
      </c>
      <c r="AL489" s="67">
        <f>IF(AND(AI489=1,OR(TRIM(U489)="Fail",AB489="Open",AND(ISNUMBER(AF489),AF489&lt;&gt;0,TRIM(U489)&lt;&gt;"Pass after CA"))),1,0)</f>
        <v/>
      </c>
      <c r="AM489" s="67">
        <f>IF(LEFT(AH489,7)="INVALID",1,0)</f>
        <v/>
      </c>
      <c r="AN489" s="67">
        <f>IF(AND(N489="Clarification required",AI489=1,AJ489=0),1,0)</f>
        <v/>
      </c>
      <c r="AO489" s="67">
        <f>IF(AK489=1,SUM(AK$5:AK489),"")</f>
        <v/>
      </c>
      <c r="AP489" s="67">
        <f>IF(AL489=1,SUM(AL$5:AL489),"")</f>
        <v/>
      </c>
      <c r="AQ489" s="67" t="n">
        <v>0</v>
      </c>
      <c r="AR489" s="67" t="n">
        <v>0</v>
      </c>
      <c r="AS489" s="67" t="n">
        <v>0</v>
      </c>
      <c r="AT489" s="67" t="n">
        <v>0</v>
      </c>
    </row>
    <row r="490" ht="40" customHeight="1">
      <c r="A490" s="63" t="inlineStr">
        <is>
          <t>F15-T24-01</t>
        </is>
      </c>
      <c r="B490" s="63" t="inlineStr">
        <is>
          <t>F15</t>
        </is>
      </c>
      <c r="C490" s="63">
        <f>Flights!$F$19</f>
        <v/>
      </c>
      <c r="D490" s="64">
        <f>Flights!$D$19</f>
        <v/>
      </c>
      <c r="E490" s="63">
        <f>Flights!$G$19&amp;"-"&amp;Flights!$H$19</f>
        <v/>
      </c>
      <c r="F490" s="63">
        <f>Flights!$K$19</f>
        <v/>
      </c>
      <c r="G490" s="63" t="inlineStr">
        <is>
          <t>T-24H</t>
        </is>
      </c>
      <c r="H490" s="63" t="inlineStr">
        <is>
          <t>Preparation</t>
        </is>
      </c>
      <c r="I490" s="63" t="inlineStr">
        <is>
          <t>Meal</t>
        </is>
      </c>
      <c r="J490" s="63" t="inlineStr">
        <is>
          <t>Sensory test repeated on ACTUAL production batch for this flight</t>
        </is>
      </c>
      <c r="K490" s="73" t="inlineStr">
        <is>
          <t>Batch ID, result, CA and acceptance mandatory</t>
        </is>
      </c>
      <c r="L490" s="73" t="inlineStr">
        <is>
          <t>User brief (T-24 hours)</t>
        </is>
      </c>
      <c r="M490" s="73" t="inlineStr"/>
      <c r="N490" s="73" t="inlineStr">
        <is>
          <t>Required</t>
        </is>
      </c>
      <c r="O490" s="73" t="inlineStr"/>
      <c r="P490" s="63" t="inlineStr">
        <is>
          <t>LHR</t>
        </is>
      </c>
      <c r="Q490" s="65">
        <f>Flights!$AD$19</f>
        <v/>
      </c>
      <c r="R490" s="65">
        <f>Q490+(IF(AND(INDEX(TZ_DSTS,MATCH(P490,TZ_STN,0))&lt;&gt;"",Q490&gt;=INDEX(TZ_DSTS,MATCH(P490,TZ_STN,0)),Q490&lt;INDEX(TZ_DSTE,MATCH(P490,TZ_STN,0))),INDEX(TZ_DST,MATCH(P490,TZ_STN,0)),INDEX(TZ_STD,MATCH(P490,TZ_STN,0))))/24</f>
        <v/>
      </c>
      <c r="S490" s="65">
        <f>Q490-T24EarlyH/24</f>
        <v/>
      </c>
      <c r="T490" s="66" t="n"/>
      <c r="U490" s="66" t="n"/>
      <c r="V490" s="66" t="n"/>
      <c r="W490" s="66" t="n"/>
      <c r="X490" s="66" t="n"/>
      <c r="Y490" s="66" t="n"/>
      <c r="Z490" s="66" t="n"/>
      <c r="AA490" s="66" t="n"/>
      <c r="AB490" s="66" t="n"/>
      <c r="AC490" s="66" t="n"/>
      <c r="AD490" s="72" t="n"/>
      <c r="AE490" s="66" t="n"/>
      <c r="AF490" s="67">
        <f>IF(AND(ISNUMBER(X490),ISNUMBER(Y490)),Y490-X490,"")</f>
        <v/>
      </c>
      <c r="AG490" s="68">
        <f>IF(ISNUMBER(AD490),AD490-(IF(AND(INDEX(TZ_DSTS,MATCH(P490,TZ_STN,0))&lt;&gt;"",(AD490-INDEX(TZ_STD,MATCH(P490,TZ_STN,0))/24)&gt;=INDEX(TZ_DSTS,MATCH(P490,TZ_STN,0)),(AD490-INDEX(TZ_STD,MATCH(P490,TZ_STN,0))/24)&lt;INDEX(TZ_DSTE,MATCH(P490,TZ_STN,0))),INDEX(TZ_DST,MATCH(P490,TZ_STN,0)),INDEX(TZ_STD,MATCH(P490,TZ_STN,0))))/24,"")</f>
        <v/>
      </c>
      <c r="AH490" s="71">
        <f>IF(N490="N/A – rule","N/A – RULE",IF(TRIM(U490)="N/A",IF(AT490=0,"INVALID – N/A not permitted for this mandatory check",IF(AND(TRIM(AC490)&lt;&gt;"",TRIM(AE490)&lt;&gt;"",TRIM(T490)&lt;&gt;""),"N/A – JUSTIFIED","INVALID – N/A needs justification, PIC and verifier")),IF(OR(TRIM(U490)="Pass",TRIM(U490)="Pass after CA"),IF(NOT(ISNUMBER(AD490)),"INVALID – completion time missing",IF(TRIM(T490)="","INVALID – PIC missing",IF(TRIM(Z490)="","INVALID – evidence missing",IF(TRIM(AE490)="","INVALID – verifier missing",IF(AND(AQ490=1,TRIM(W490)=""),"INVALID – batch ID missing",IF(AND(AR490=1,OR(NOT(ISNUMBER(X490)),NOT(ISNUMBER(Y490)))),"INVALID – expected/actual qty missing",IF(IF(AND(TRIM(U490)="Pass",ISNUMBER(AF490)),IF(AF490&lt;&gt;0,"INVALID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recorded/closed","")&lt;&gt;"",IF(AND(TRIM(U490)="Pass",ISNUMBER(AF490)),IF(AF490&lt;&gt;0,"INVALID – qty variance: use Fail or Pass after CA",""),"")&amp;IF(AND(TRIM(U490)="Pass",AB490="Open"),"INVALID – corrective action still open: use Fail, then Pass after CA","")&amp;IF(AND(TRIM(U490)="Pass after CA",OR(TRIM(AA490)="",AB490&lt;&gt;"Closed")),"INVALID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window"),IF(AG490&gt;Flights!$AA$19,"INVALID – completed after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f>
        <v/>
      </c>
      <c r="AI490" s="67">
        <f>IF(OR(AH490="N/A – RULE",AH490="N/A – JUSTIFIED"),0,1)</f>
        <v/>
      </c>
      <c r="AJ490" s="67">
        <f>IF(LEFT(AH490,8)="COMPLETE",1,0)</f>
        <v/>
      </c>
      <c r="AK490" s="67">
        <f>IF(AND(AI490=1,AJ490=0,AsOfUTC&gt;Q490),1,0)</f>
        <v/>
      </c>
      <c r="AL490" s="67">
        <f>IF(AND(AI490=1,OR(TRIM(U490)="Fail",AB490="Open",AND(ISNUMBER(AF490),AF490&lt;&gt;0,TRIM(U490)&lt;&gt;"Pass after CA"))),1,0)</f>
        <v/>
      </c>
      <c r="AM490" s="67">
        <f>IF(LEFT(AH490,7)="INVALID",1,0)</f>
        <v/>
      </c>
      <c r="AN490" s="67">
        <f>IF(AND(N490="Clarification required",AI490=1,AJ490=0),1,0)</f>
        <v/>
      </c>
      <c r="AO490" s="67">
        <f>IF(AK490=1,SUM(AK$5:AK490),"")</f>
        <v/>
      </c>
      <c r="AP490" s="67">
        <f>IF(AL490=1,SUM(AL$5:AL490),"")</f>
        <v/>
      </c>
      <c r="AQ490" s="67" t="n">
        <v>1</v>
      </c>
      <c r="AR490" s="67" t="n">
        <v>0</v>
      </c>
      <c r="AS490" s="67" t="n">
        <v>0</v>
      </c>
      <c r="AT490" s="67" t="n">
        <v>0</v>
      </c>
    </row>
    <row r="491" ht="40" customHeight="1">
      <c r="A491" s="63" t="inlineStr">
        <is>
          <t>F15-T12-01</t>
        </is>
      </c>
      <c r="B491" s="63" t="inlineStr">
        <is>
          <t>F15</t>
        </is>
      </c>
      <c r="C491" s="63">
        <f>Flights!$F$19</f>
        <v/>
      </c>
      <c r="D491" s="64">
        <f>Flights!$D$19</f>
        <v/>
      </c>
      <c r="E491" s="63">
        <f>Flights!$G$19&amp;"-"&amp;Flights!$H$19</f>
        <v/>
      </c>
      <c r="F491" s="63">
        <f>Flights!$K$19</f>
        <v/>
      </c>
      <c r="G491" s="63" t="inlineStr">
        <is>
          <t>T-12H PREP</t>
        </is>
      </c>
      <c r="H491" s="63" t="inlineStr">
        <is>
          <t>Preparation</t>
        </is>
      </c>
      <c r="I491" s="63" t="inlineStr">
        <is>
          <t>Meal</t>
        </is>
      </c>
      <c r="J491" s="63" t="inlineStr">
        <is>
          <t>Meal quality vs menu checklist</t>
        </is>
      </c>
      <c r="K491" s="73" t="inlineStr"/>
      <c r="L491" s="73" t="inlineStr">
        <is>
          <t>User brief (T-12 hours)</t>
        </is>
      </c>
      <c r="M491" s="73" t="inlineStr"/>
      <c r="N491" s="73" t="inlineStr">
        <is>
          <t>Required</t>
        </is>
      </c>
      <c r="O491" s="73" t="inlineStr">
        <is>
          <t>Preparation check at caterer - does NOT confirm loading.</t>
        </is>
      </c>
      <c r="P491" s="63" t="inlineStr">
        <is>
          <t>LHR</t>
        </is>
      </c>
      <c r="Q491" s="65">
        <f>Flights!$AE$19</f>
        <v/>
      </c>
      <c r="R491" s="65">
        <f>Q491+(IF(AND(INDEX(TZ_DSTS,MATCH(P491,TZ_STN,0))&lt;&gt;"",Q491&gt;=INDEX(TZ_DSTS,MATCH(P491,TZ_STN,0)),Q491&lt;INDEX(TZ_DSTE,MATCH(P491,TZ_STN,0))),INDEX(TZ_DST,MATCH(P491,TZ_STN,0)),INDEX(TZ_STD,MATCH(P491,TZ_STN,0))))/24</f>
        <v/>
      </c>
      <c r="S491" s="65">
        <f>Q491-T12EarlyH/24</f>
        <v/>
      </c>
      <c r="T491" s="66" t="n"/>
      <c r="U491" s="66" t="n"/>
      <c r="V491" s="66" t="n"/>
      <c r="W491" s="67" t="n"/>
      <c r="X491" s="66" t="n"/>
      <c r="Y491" s="66" t="n"/>
      <c r="Z491" s="66" t="n"/>
      <c r="AA491" s="66" t="n"/>
      <c r="AB491" s="66" t="n"/>
      <c r="AC491" s="66" t="n"/>
      <c r="AD491" s="72" t="n"/>
      <c r="AE491" s="66" t="n"/>
      <c r="AF491" s="67">
        <f>IF(AND(ISNUMBER(X491),ISNUMBER(Y491)),Y491-X491,"")</f>
        <v/>
      </c>
      <c r="AG491" s="68">
        <f>IF(ISNUMBER(AD491),AD491-(IF(AND(INDEX(TZ_DSTS,MATCH(P491,TZ_STN,0))&lt;&gt;"",(AD491-INDEX(TZ_STD,MATCH(P491,TZ_STN,0))/24)&gt;=INDEX(TZ_DSTS,MATCH(P491,TZ_STN,0)),(AD491-INDEX(TZ_STD,MATCH(P491,TZ_STN,0))/24)&lt;INDEX(TZ_DSTE,MATCH(P491,TZ_STN,0))),INDEX(TZ_DST,MATCH(P491,TZ_STN,0)),INDEX(TZ_STD,MATCH(P491,TZ_STN,0))))/24,"")</f>
        <v/>
      </c>
      <c r="AH491" s="71">
        <f>IF(N491="N/A – rule","N/A – RULE",IF(TRIM(U491)="N/A",IF(AT491=0,"INVALID – N/A not permitted for this mandatory check",IF(AND(TRIM(AC491)&lt;&gt;"",TRIM(AE491)&lt;&gt;"",TRIM(T491)&lt;&gt;""),"N/A – JUSTIFIED","INVALID – N/A needs justification, PIC and verifier")),IF(OR(TRIM(U491)="Pass",TRIM(U491)="Pass after CA"),IF(NOT(ISNUMBER(AD491)),"INVALID – completion time missing",IF(TRIM(T491)="","INVALID – PIC missing",IF(TRIM(Z491)="","INVALID – evidence missing",IF(TRIM(AE491)="","INVALID – verifier missing",IF(AND(AQ491=1,TRIM(W491)=""),"INVALID – batch ID missing",IF(AND(AR491=1,OR(NOT(ISNUMBER(X491)),NOT(ISNUMBER(Y491)))),"INVALID – expected/actual qty missing",IF(IF(AND(TRIM(U491)="Pass",ISNUMBER(AF491)),IF(AF491&lt;&gt;0,"INVALID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recorded/closed","")&lt;&gt;"",IF(AND(TRIM(U491)="Pass",ISNUMBER(AF491)),IF(AF491&lt;&gt;0,"INVALID – qty variance: use Fail or Pass after CA",""),"")&amp;IF(AND(TRIM(U491)="Pass",AB491="Open"),"INVALID – corrective action still open: use Fail, then Pass after CA","")&amp;IF(AND(TRIM(U491)="Pass after CA",OR(TRIM(AA491)="",AB491&lt;&gt;"Closed")),"INVALID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window"),IF(AG491&gt;Flights!$AA$19,"INVALID – completed after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f>
        <v/>
      </c>
      <c r="AI491" s="67">
        <f>IF(OR(AH491="N/A – RULE",AH491="N/A – JUSTIFIED"),0,1)</f>
        <v/>
      </c>
      <c r="AJ491" s="67">
        <f>IF(LEFT(AH491,8)="COMPLETE",1,0)</f>
        <v/>
      </c>
      <c r="AK491" s="67">
        <f>IF(AND(AI491=1,AJ491=0,AsOfUTC&gt;Q491),1,0)</f>
        <v/>
      </c>
      <c r="AL491" s="67">
        <f>IF(AND(AI491=1,OR(TRIM(U491)="Fail",AB491="Open",AND(ISNUMBER(AF491),AF491&lt;&gt;0,TRIM(U491)&lt;&gt;"Pass after CA"))),1,0)</f>
        <v/>
      </c>
      <c r="AM491" s="67">
        <f>IF(LEFT(AH491,7)="INVALID",1,0)</f>
        <v/>
      </c>
      <c r="AN491" s="67">
        <f>IF(AND(N491="Clarification required",AI491=1,AJ491=0),1,0)</f>
        <v/>
      </c>
      <c r="AO491" s="67">
        <f>IF(AK491=1,SUM(AK$5:AK491),"")</f>
        <v/>
      </c>
      <c r="AP491" s="67">
        <f>IF(AL491=1,SUM(AL$5:AL491),"")</f>
        <v/>
      </c>
      <c r="AQ491" s="67" t="n">
        <v>0</v>
      </c>
      <c r="AR491" s="67" t="n">
        <v>0</v>
      </c>
      <c r="AS491" s="67" t="n">
        <v>0</v>
      </c>
      <c r="AT491" s="67" t="n">
        <v>0</v>
      </c>
    </row>
    <row r="492" ht="40" customHeight="1">
      <c r="A492" s="63" t="inlineStr">
        <is>
          <t>F15-T12-02</t>
        </is>
      </c>
      <c r="B492" s="63" t="inlineStr">
        <is>
          <t>F15</t>
        </is>
      </c>
      <c r="C492" s="63">
        <f>Flights!$F$19</f>
        <v/>
      </c>
      <c r="D492" s="64">
        <f>Flights!$D$19</f>
        <v/>
      </c>
      <c r="E492" s="63">
        <f>Flights!$G$19&amp;"-"&amp;Flights!$H$19</f>
        <v/>
      </c>
      <c r="F492" s="63">
        <f>Flights!$K$19</f>
        <v/>
      </c>
      <c r="G492" s="63" t="inlineStr">
        <is>
          <t>T-12H PREP</t>
        </is>
      </c>
      <c r="H492" s="63" t="inlineStr">
        <is>
          <t>Preparation</t>
        </is>
      </c>
      <c r="I492" s="63" t="inlineStr">
        <is>
          <t>Meal</t>
        </is>
      </c>
      <c r="J492" s="63" t="inlineStr">
        <is>
          <t>Meal quantities vs menu checklist</t>
        </is>
      </c>
      <c r="K492" s="73" t="inlineStr">
        <is>
          <t>Enter expected &amp; actual</t>
        </is>
      </c>
      <c r="L492" s="73" t="inlineStr">
        <is>
          <t>User brief (T-12 hours)</t>
        </is>
      </c>
      <c r="M492" s="73" t="inlineStr"/>
      <c r="N492" s="73" t="inlineStr">
        <is>
          <t>Required</t>
        </is>
      </c>
      <c r="O492" s="73" t="inlineStr">
        <is>
          <t>Preparation check at caterer - does NOT confirm loading.</t>
        </is>
      </c>
      <c r="P492" s="63" t="inlineStr">
        <is>
          <t>LHR</t>
        </is>
      </c>
      <c r="Q492" s="65">
        <f>Flights!$AE$19</f>
        <v/>
      </c>
      <c r="R492" s="65">
        <f>Q492+(IF(AND(INDEX(TZ_DSTS,MATCH(P492,TZ_STN,0))&lt;&gt;"",Q492&gt;=INDEX(TZ_DSTS,MATCH(P492,TZ_STN,0)),Q492&lt;INDEX(TZ_DSTE,MATCH(P492,TZ_STN,0))),INDEX(TZ_DST,MATCH(P492,TZ_STN,0)),INDEX(TZ_STD,MATCH(P492,TZ_STN,0))))/24</f>
        <v/>
      </c>
      <c r="S492" s="65">
        <f>Q492-T12EarlyH/24</f>
        <v/>
      </c>
      <c r="T492" s="66" t="n"/>
      <c r="U492" s="66" t="n"/>
      <c r="V492" s="66" t="n"/>
      <c r="W492" s="67" t="n"/>
      <c r="X492" s="66" t="n"/>
      <c r="Y492" s="66" t="n"/>
      <c r="Z492" s="66" t="n"/>
      <c r="AA492" s="66" t="n"/>
      <c r="AB492" s="66" t="n"/>
      <c r="AC492" s="66" t="n"/>
      <c r="AD492" s="72" t="n"/>
      <c r="AE492" s="66" t="n"/>
      <c r="AF492" s="67">
        <f>IF(AND(ISNUMBER(X492),ISNUMBER(Y492)),Y492-X492,"")</f>
        <v/>
      </c>
      <c r="AG492" s="68">
        <f>IF(ISNUMBER(AD492),AD492-(IF(AND(INDEX(TZ_DSTS,MATCH(P492,TZ_STN,0))&lt;&gt;"",(AD492-INDEX(TZ_STD,MATCH(P492,TZ_STN,0))/24)&gt;=INDEX(TZ_DSTS,MATCH(P492,TZ_STN,0)),(AD492-INDEX(TZ_STD,MATCH(P492,TZ_STN,0))/24)&lt;INDEX(TZ_DSTE,MATCH(P492,TZ_STN,0))),INDEX(TZ_DST,MATCH(P492,TZ_STN,0)),INDEX(TZ_STD,MATCH(P492,TZ_STN,0))))/24,"")</f>
        <v/>
      </c>
      <c r="AH492" s="71">
        <f>IF(N492="N/A – rule","N/A – RULE",IF(TRIM(U492)="N/A",IF(AT492=0,"INVALID – N/A not permitted for this mandatory check",IF(AND(TRIM(AC492)&lt;&gt;"",TRIM(AE492)&lt;&gt;"",TRIM(T492)&lt;&gt;""),"N/A – JUSTIFIED","INVALID – N/A needs justification, PIC and verifier")),IF(OR(TRIM(U492)="Pass",TRIM(U492)="Pass after CA"),IF(NOT(ISNUMBER(AD492)),"INVALID – completion time missing",IF(TRIM(T492)="","INVALID – PIC missing",IF(TRIM(Z492)="","INVALID – evidence missing",IF(TRIM(AE492)="","INVALID – verifier missing",IF(AND(AQ492=1,TRIM(W492)=""),"INVALID – batch ID missing",IF(AND(AR492=1,OR(NOT(ISNUMBER(X492)),NOT(ISNUMBER(Y492)))),"INVALID – expected/actual qty missing",IF(IF(AND(TRIM(U492)="Pass",ISNUMBER(AF492)),IF(AF492&lt;&gt;0,"INVALID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recorded/closed","")&lt;&gt;"",IF(AND(TRIM(U492)="Pass",ISNUMBER(AF492)),IF(AF492&lt;&gt;0,"INVALID – qty variance: use Fail or Pass after CA",""),"")&amp;IF(AND(TRIM(U492)="Pass",AB492="Open"),"INVALID – corrective action still open: use Fail, then Pass after CA","")&amp;IF(AND(TRIM(U492)="Pass after CA",OR(TRIM(AA492)="",AB492&lt;&gt;"Closed")),"INVALID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window"),IF(AG492&gt;Flights!$AA$19,"INVALID – completed after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f>
        <v/>
      </c>
      <c r="AI492" s="67">
        <f>IF(OR(AH492="N/A – RULE",AH492="N/A – JUSTIFIED"),0,1)</f>
        <v/>
      </c>
      <c r="AJ492" s="67">
        <f>IF(LEFT(AH492,8)="COMPLETE",1,0)</f>
        <v/>
      </c>
      <c r="AK492" s="67">
        <f>IF(AND(AI492=1,AJ492=0,AsOfUTC&gt;Q492),1,0)</f>
        <v/>
      </c>
      <c r="AL492" s="67">
        <f>IF(AND(AI492=1,OR(TRIM(U492)="Fail",AB492="Open",AND(ISNUMBER(AF492),AF492&lt;&gt;0,TRIM(U492)&lt;&gt;"Pass after CA"))),1,0)</f>
        <v/>
      </c>
      <c r="AM492" s="67">
        <f>IF(LEFT(AH492,7)="INVALID",1,0)</f>
        <v/>
      </c>
      <c r="AN492" s="67">
        <f>IF(AND(N492="Clarification required",AI492=1,AJ492=0),1,0)</f>
        <v/>
      </c>
      <c r="AO492" s="67">
        <f>IF(AK492=1,SUM(AK$5:AK492),"")</f>
        <v/>
      </c>
      <c r="AP492" s="67">
        <f>IF(AL492=1,SUM(AL$5:AL492),"")</f>
        <v/>
      </c>
      <c r="AQ492" s="67" t="n">
        <v>0</v>
      </c>
      <c r="AR492" s="67" t="n">
        <v>1</v>
      </c>
      <c r="AS492" s="67" t="n">
        <v>0</v>
      </c>
      <c r="AT492" s="67" t="n">
        <v>0</v>
      </c>
    </row>
    <row r="493" ht="40" customHeight="1">
      <c r="A493" s="63" t="inlineStr">
        <is>
          <t>F15-T12-03</t>
        </is>
      </c>
      <c r="B493" s="63" t="inlineStr">
        <is>
          <t>F15</t>
        </is>
      </c>
      <c r="C493" s="63">
        <f>Flights!$F$19</f>
        <v/>
      </c>
      <c r="D493" s="64">
        <f>Flights!$D$19</f>
        <v/>
      </c>
      <c r="E493" s="63">
        <f>Flights!$G$19&amp;"-"&amp;Flights!$H$19</f>
        <v/>
      </c>
      <c r="F493" s="63">
        <f>Flights!$K$19</f>
        <v/>
      </c>
      <c r="G493" s="63" t="inlineStr">
        <is>
          <t>T-12H PREP</t>
        </is>
      </c>
      <c r="H493" s="63" t="inlineStr">
        <is>
          <t>Preparation</t>
        </is>
      </c>
      <c r="I493" s="63" t="inlineStr">
        <is>
          <t>Equipment</t>
        </is>
      </c>
      <c r="J493" s="63" t="inlineStr">
        <is>
          <t>Equipment cleanliness vs GLD</t>
        </is>
      </c>
      <c r="K493" s="73" t="inlineStr"/>
      <c r="L493" s="73" t="inlineStr">
        <is>
          <t>User brief (T-12 hours)</t>
        </is>
      </c>
      <c r="M493" s="73" t="inlineStr"/>
      <c r="N493" s="73" t="inlineStr">
        <is>
          <t>Required</t>
        </is>
      </c>
      <c r="O493" s="73" t="inlineStr">
        <is>
          <t>Preparation check at caterer - does NOT confirm loading.</t>
        </is>
      </c>
      <c r="P493" s="63" t="inlineStr">
        <is>
          <t>LHR</t>
        </is>
      </c>
      <c r="Q493" s="65">
        <f>Flights!$AE$19</f>
        <v/>
      </c>
      <c r="R493" s="65">
        <f>Q493+(IF(AND(INDEX(TZ_DSTS,MATCH(P493,TZ_STN,0))&lt;&gt;"",Q493&gt;=INDEX(TZ_DSTS,MATCH(P493,TZ_STN,0)),Q493&lt;INDEX(TZ_DSTE,MATCH(P493,TZ_STN,0))),INDEX(TZ_DST,MATCH(P493,TZ_STN,0)),INDEX(TZ_STD,MATCH(P493,TZ_STN,0))))/24</f>
        <v/>
      </c>
      <c r="S493" s="65">
        <f>Q493-T12EarlyH/24</f>
        <v/>
      </c>
      <c r="T493" s="66" t="n"/>
      <c r="U493" s="66" t="n"/>
      <c r="V493" s="66" t="n"/>
      <c r="W493" s="67" t="n"/>
      <c r="X493" s="66" t="n"/>
      <c r="Y493" s="66" t="n"/>
      <c r="Z493" s="66" t="n"/>
      <c r="AA493" s="66" t="n"/>
      <c r="AB493" s="66" t="n"/>
      <c r="AC493" s="66" t="n"/>
      <c r="AD493" s="72" t="n"/>
      <c r="AE493" s="66" t="n"/>
      <c r="AF493" s="67">
        <f>IF(AND(ISNUMBER(X493),ISNUMBER(Y493)),Y493-X493,"")</f>
        <v/>
      </c>
      <c r="AG493" s="68">
        <f>IF(ISNUMBER(AD493),AD493-(IF(AND(INDEX(TZ_DSTS,MATCH(P493,TZ_STN,0))&lt;&gt;"",(AD493-INDEX(TZ_STD,MATCH(P493,TZ_STN,0))/24)&gt;=INDEX(TZ_DSTS,MATCH(P493,TZ_STN,0)),(AD493-INDEX(TZ_STD,MATCH(P493,TZ_STN,0))/24)&lt;INDEX(TZ_DSTE,MATCH(P493,TZ_STN,0))),INDEX(TZ_DST,MATCH(P493,TZ_STN,0)),INDEX(TZ_STD,MATCH(P493,TZ_STN,0))))/24,"")</f>
        <v/>
      </c>
      <c r="AH493" s="71">
        <f>IF(N493="N/A – rule","N/A – RULE",IF(TRIM(U493)="N/A",IF(AT493=0,"INVALID – N/A not permitted for this mandatory check",IF(AND(TRIM(AC493)&lt;&gt;"",TRIM(AE493)&lt;&gt;"",TRIM(T493)&lt;&gt;""),"N/A – JUSTIFIED","INVALID – N/A needs justification, PIC and verifier")),IF(OR(TRIM(U493)="Pass",TRIM(U493)="Pass after CA"),IF(NOT(ISNUMBER(AD493)),"INVALID – completion time missing",IF(TRIM(T493)="","INVALID – PIC missing",IF(TRIM(Z493)="","INVALID – evidence missing",IF(TRIM(AE493)="","INVALID – verifier missing",IF(AND(AQ493=1,TRIM(W493)=""),"INVALID – batch ID missing",IF(AND(AR493=1,OR(NOT(ISNUMBER(X493)),NOT(ISNUMBER(Y493)))),"INVALID – expected/actual qty missing",IF(IF(AND(TRIM(U493)="Pass",ISNUMBER(AF493)),IF(AF493&lt;&gt;0,"INVALID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recorded/closed","")&lt;&gt;"",IF(AND(TRIM(U493)="Pass",ISNUMBER(AF493)),IF(AF493&lt;&gt;0,"INVALID – qty variance: use Fail or Pass after CA",""),"")&amp;IF(AND(TRIM(U493)="Pass",AB493="Open"),"INVALID – corrective action still open: use Fail, then Pass after CA","")&amp;IF(AND(TRIM(U493)="Pass after CA",OR(TRIM(AA493)="",AB493&lt;&gt;"Closed")),"INVALID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window"),IF(AG493&gt;Flights!$AA$19,"INVALID – completed after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f>
        <v/>
      </c>
      <c r="AI493" s="67">
        <f>IF(OR(AH493="N/A – RULE",AH493="N/A – JUSTIFIED"),0,1)</f>
        <v/>
      </c>
      <c r="AJ493" s="67">
        <f>IF(LEFT(AH493,8)="COMPLETE",1,0)</f>
        <v/>
      </c>
      <c r="AK493" s="67">
        <f>IF(AND(AI493=1,AJ493=0,AsOfUTC&gt;Q493),1,0)</f>
        <v/>
      </c>
      <c r="AL493" s="67">
        <f>IF(AND(AI493=1,OR(TRIM(U493)="Fail",AB493="Open",AND(ISNUMBER(AF493),AF493&lt;&gt;0,TRIM(U493)&lt;&gt;"Pass after CA"))),1,0)</f>
        <v/>
      </c>
      <c r="AM493" s="67">
        <f>IF(LEFT(AH493,7)="INVALID",1,0)</f>
        <v/>
      </c>
      <c r="AN493" s="67">
        <f>IF(AND(N493="Clarification required",AI493=1,AJ493=0),1,0)</f>
        <v/>
      </c>
      <c r="AO493" s="67">
        <f>IF(AK493=1,SUM(AK$5:AK493),"")</f>
        <v/>
      </c>
      <c r="AP493" s="67">
        <f>IF(AL493=1,SUM(AL$5:AL493),"")</f>
        <v/>
      </c>
      <c r="AQ493" s="67" t="n">
        <v>0</v>
      </c>
      <c r="AR493" s="67" t="n">
        <v>0</v>
      </c>
      <c r="AS493" s="67" t="n">
        <v>0</v>
      </c>
      <c r="AT493" s="67" t="n">
        <v>0</v>
      </c>
    </row>
    <row r="494" ht="40" customHeight="1">
      <c r="A494" s="63" t="inlineStr">
        <is>
          <t>F15-T12-04</t>
        </is>
      </c>
      <c r="B494" s="63" t="inlineStr">
        <is>
          <t>F15</t>
        </is>
      </c>
      <c r="C494" s="63">
        <f>Flights!$F$19</f>
        <v/>
      </c>
      <c r="D494" s="64">
        <f>Flights!$D$19</f>
        <v/>
      </c>
      <c r="E494" s="63">
        <f>Flights!$G$19&amp;"-"&amp;Flights!$H$19</f>
        <v/>
      </c>
      <c r="F494" s="63">
        <f>Flights!$K$19</f>
        <v/>
      </c>
      <c r="G494" s="63" t="inlineStr">
        <is>
          <t>T-12H PREP</t>
        </is>
      </c>
      <c r="H494" s="63" t="inlineStr">
        <is>
          <t>Preparation</t>
        </is>
      </c>
      <c r="I494" s="63" t="inlineStr">
        <is>
          <t>Equipment</t>
        </is>
      </c>
      <c r="J494" s="63" t="inlineStr">
        <is>
          <t>Equipment presentation vs GLD</t>
        </is>
      </c>
      <c r="K494" s="73" t="inlineStr"/>
      <c r="L494" s="73" t="inlineStr">
        <is>
          <t>User brief (T-12 hours)</t>
        </is>
      </c>
      <c r="M494" s="73" t="inlineStr"/>
      <c r="N494" s="73" t="inlineStr">
        <is>
          <t>Required</t>
        </is>
      </c>
      <c r="O494" s="73" t="inlineStr">
        <is>
          <t>Preparation check at caterer - does NOT confirm loading.</t>
        </is>
      </c>
      <c r="P494" s="63" t="inlineStr">
        <is>
          <t>LHR</t>
        </is>
      </c>
      <c r="Q494" s="65">
        <f>Flights!$AE$19</f>
        <v/>
      </c>
      <c r="R494" s="65">
        <f>Q494+(IF(AND(INDEX(TZ_DSTS,MATCH(P494,TZ_STN,0))&lt;&gt;"",Q494&gt;=INDEX(TZ_DSTS,MATCH(P494,TZ_STN,0)),Q494&lt;INDEX(TZ_DSTE,MATCH(P494,TZ_STN,0))),INDEX(TZ_DST,MATCH(P494,TZ_STN,0)),INDEX(TZ_STD,MATCH(P494,TZ_STN,0))))/24</f>
        <v/>
      </c>
      <c r="S494" s="65">
        <f>Q494-T12EarlyH/24</f>
        <v/>
      </c>
      <c r="T494" s="66" t="n"/>
      <c r="U494" s="66" t="n"/>
      <c r="V494" s="66" t="n"/>
      <c r="W494" s="67" t="n"/>
      <c r="X494" s="66" t="n"/>
      <c r="Y494" s="66" t="n"/>
      <c r="Z494" s="66" t="n"/>
      <c r="AA494" s="66" t="n"/>
      <c r="AB494" s="66" t="n"/>
      <c r="AC494" s="66" t="n"/>
      <c r="AD494" s="72" t="n"/>
      <c r="AE494" s="66" t="n"/>
      <c r="AF494" s="67">
        <f>IF(AND(ISNUMBER(X494),ISNUMBER(Y494)),Y494-X494,"")</f>
        <v/>
      </c>
      <c r="AG494" s="68">
        <f>IF(ISNUMBER(AD494),AD494-(IF(AND(INDEX(TZ_DSTS,MATCH(P494,TZ_STN,0))&lt;&gt;"",(AD494-INDEX(TZ_STD,MATCH(P494,TZ_STN,0))/24)&gt;=INDEX(TZ_DSTS,MATCH(P494,TZ_STN,0)),(AD494-INDEX(TZ_STD,MATCH(P494,TZ_STN,0))/24)&lt;INDEX(TZ_DSTE,MATCH(P494,TZ_STN,0))),INDEX(TZ_DST,MATCH(P494,TZ_STN,0)),INDEX(TZ_STD,MATCH(P494,TZ_STN,0))))/24,"")</f>
        <v/>
      </c>
      <c r="AH494" s="71">
        <f>IF(N494="N/A – rule","N/A – RULE",IF(TRIM(U494)="N/A",IF(AT494=0,"INVALID – N/A not permitted for this mandatory check",IF(AND(TRIM(AC494)&lt;&gt;"",TRIM(AE494)&lt;&gt;"",TRIM(T494)&lt;&gt;""),"N/A – JUSTIFIED","INVALID – N/A needs justification, PIC and verifier")),IF(OR(TRIM(U494)="Pass",TRIM(U494)="Pass after CA"),IF(NOT(ISNUMBER(AD494)),"INVALID – completion time missing",IF(TRIM(T494)="","INVALID – PIC missing",IF(TRIM(Z494)="","INVALID – evidence missing",IF(TRIM(AE494)="","INVALID – verifier missing",IF(AND(AQ494=1,TRIM(W494)=""),"INVALID – batch ID missing",IF(AND(AR494=1,OR(NOT(ISNUMBER(X494)),NOT(ISNUMBER(Y494)))),"INVALID – expected/actual qty missing",IF(IF(AND(TRIM(U494)="Pass",ISNUMBER(AF494)),IF(AF494&lt;&gt;0,"INVALID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recorded/closed","")&lt;&gt;"",IF(AND(TRIM(U494)="Pass",ISNUMBER(AF494)),IF(AF494&lt;&gt;0,"INVALID – qty variance: use Fail or Pass after CA",""),"")&amp;IF(AND(TRIM(U494)="Pass",AB494="Open"),"INVALID – corrective action still open: use Fail, then Pass after CA","")&amp;IF(AND(TRIM(U494)="Pass after CA",OR(TRIM(AA494)="",AB494&lt;&gt;"Closed")),"INVALID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window"),IF(AG494&gt;Flights!$AA$19,"INVALID – completed after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f>
        <v/>
      </c>
      <c r="AI494" s="67">
        <f>IF(OR(AH494="N/A – RULE",AH494="N/A – JUSTIFIED"),0,1)</f>
        <v/>
      </c>
      <c r="AJ494" s="67">
        <f>IF(LEFT(AH494,8)="COMPLETE",1,0)</f>
        <v/>
      </c>
      <c r="AK494" s="67">
        <f>IF(AND(AI494=1,AJ494=0,AsOfUTC&gt;Q494),1,0)</f>
        <v/>
      </c>
      <c r="AL494" s="67">
        <f>IF(AND(AI494=1,OR(TRIM(U494)="Fail",AB494="Open",AND(ISNUMBER(AF494),AF494&lt;&gt;0,TRIM(U494)&lt;&gt;"Pass after CA"))),1,0)</f>
        <v/>
      </c>
      <c r="AM494" s="67">
        <f>IF(LEFT(AH494,7)="INVALID",1,0)</f>
        <v/>
      </c>
      <c r="AN494" s="67">
        <f>IF(AND(N494="Clarification required",AI494=1,AJ494=0),1,0)</f>
        <v/>
      </c>
      <c r="AO494" s="67">
        <f>IF(AK494=1,SUM(AK$5:AK494),"")</f>
        <v/>
      </c>
      <c r="AP494" s="67">
        <f>IF(AL494=1,SUM(AL$5:AL494),"")</f>
        <v/>
      </c>
      <c r="AQ494" s="67" t="n">
        <v>0</v>
      </c>
      <c r="AR494" s="67" t="n">
        <v>0</v>
      </c>
      <c r="AS494" s="67" t="n">
        <v>0</v>
      </c>
      <c r="AT494" s="67" t="n">
        <v>0</v>
      </c>
    </row>
    <row r="495" ht="40" customHeight="1">
      <c r="A495" s="63" t="inlineStr">
        <is>
          <t>F15-T12-05</t>
        </is>
      </c>
      <c r="B495" s="63" t="inlineStr">
        <is>
          <t>F15</t>
        </is>
      </c>
      <c r="C495" s="63">
        <f>Flights!$F$19</f>
        <v/>
      </c>
      <c r="D495" s="64">
        <f>Flights!$D$19</f>
        <v/>
      </c>
      <c r="E495" s="63">
        <f>Flights!$G$19&amp;"-"&amp;Flights!$H$19</f>
        <v/>
      </c>
      <c r="F495" s="63">
        <f>Flights!$K$19</f>
        <v/>
      </c>
      <c r="G495" s="63" t="inlineStr">
        <is>
          <t>T-12H PREP</t>
        </is>
      </c>
      <c r="H495" s="63" t="inlineStr">
        <is>
          <t>Preparation</t>
        </is>
      </c>
      <c r="I495" s="63" t="inlineStr">
        <is>
          <t>Equipment</t>
        </is>
      </c>
      <c r="J495" s="63" t="inlineStr">
        <is>
          <t>Equipment serviceability vs GLD</t>
        </is>
      </c>
      <c r="K495" s="73" t="inlineStr"/>
      <c r="L495" s="73" t="inlineStr">
        <is>
          <t>User brief (T-12 hours)</t>
        </is>
      </c>
      <c r="M495" s="73" t="inlineStr"/>
      <c r="N495" s="73" t="inlineStr">
        <is>
          <t>Required</t>
        </is>
      </c>
      <c r="O495" s="73" t="inlineStr">
        <is>
          <t>Preparation check at caterer - does NOT confirm loading.</t>
        </is>
      </c>
      <c r="P495" s="63" t="inlineStr">
        <is>
          <t>LHR</t>
        </is>
      </c>
      <c r="Q495" s="65">
        <f>Flights!$AE$19</f>
        <v/>
      </c>
      <c r="R495" s="65">
        <f>Q495+(IF(AND(INDEX(TZ_DSTS,MATCH(P495,TZ_STN,0))&lt;&gt;"",Q495&gt;=INDEX(TZ_DSTS,MATCH(P495,TZ_STN,0)),Q495&lt;INDEX(TZ_DSTE,MATCH(P495,TZ_STN,0))),INDEX(TZ_DST,MATCH(P495,TZ_STN,0)),INDEX(TZ_STD,MATCH(P495,TZ_STN,0))))/24</f>
        <v/>
      </c>
      <c r="S495" s="65">
        <f>Q495-T12EarlyH/24</f>
        <v/>
      </c>
      <c r="T495" s="66" t="n"/>
      <c r="U495" s="66" t="n"/>
      <c r="V495" s="66" t="n"/>
      <c r="W495" s="67" t="n"/>
      <c r="X495" s="66" t="n"/>
      <c r="Y495" s="66" t="n"/>
      <c r="Z495" s="66" t="n"/>
      <c r="AA495" s="66" t="n"/>
      <c r="AB495" s="66" t="n"/>
      <c r="AC495" s="66" t="n"/>
      <c r="AD495" s="72" t="n"/>
      <c r="AE495" s="66" t="n"/>
      <c r="AF495" s="67">
        <f>IF(AND(ISNUMBER(X495),ISNUMBER(Y495)),Y495-X495,"")</f>
        <v/>
      </c>
      <c r="AG495" s="68">
        <f>IF(ISNUMBER(AD495),AD495-(IF(AND(INDEX(TZ_DSTS,MATCH(P495,TZ_STN,0))&lt;&gt;"",(AD495-INDEX(TZ_STD,MATCH(P495,TZ_STN,0))/24)&gt;=INDEX(TZ_DSTS,MATCH(P495,TZ_STN,0)),(AD495-INDEX(TZ_STD,MATCH(P495,TZ_STN,0))/24)&lt;INDEX(TZ_DSTE,MATCH(P495,TZ_STN,0))),INDEX(TZ_DST,MATCH(P495,TZ_STN,0)),INDEX(TZ_STD,MATCH(P495,TZ_STN,0))))/24,"")</f>
        <v/>
      </c>
      <c r="AH495" s="71">
        <f>IF(N495="N/A – rule","N/A – RULE",IF(TRIM(U495)="N/A",IF(AT495=0,"INVALID – N/A not permitted for this mandatory check",IF(AND(TRIM(AC495)&lt;&gt;"",TRIM(AE495)&lt;&gt;"",TRIM(T495)&lt;&gt;""),"N/A – JUSTIFIED","INVALID – N/A needs justification, PIC and verifier")),IF(OR(TRIM(U495)="Pass",TRIM(U495)="Pass after CA"),IF(NOT(ISNUMBER(AD495)),"INVALID – completion time missing",IF(TRIM(T495)="","INVALID – PIC missing",IF(TRIM(Z495)="","INVALID – evidence missing",IF(TRIM(AE495)="","INVALID – verifier missing",IF(AND(AQ495=1,TRIM(W495)=""),"INVALID – batch ID missing",IF(AND(AR495=1,OR(NOT(ISNUMBER(X495)),NOT(ISNUMBER(Y495)))),"INVALID – expected/actual qty missing",IF(IF(AND(TRIM(U495)="Pass",ISNUMBER(AF495)),IF(AF495&lt;&gt;0,"INVALID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recorded/closed","")&lt;&gt;"",IF(AND(TRIM(U495)="Pass",ISNUMBER(AF495)),IF(AF495&lt;&gt;0,"INVALID – qty variance: use Fail or Pass after CA",""),"")&amp;IF(AND(TRIM(U495)="Pass",AB495="Open"),"INVALID – corrective action still open: use Fail, then Pass after CA","")&amp;IF(AND(TRIM(U495)="Pass after CA",OR(TRIM(AA495)="",AB495&lt;&gt;"Closed")),"INVALID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window"),IF(AG495&gt;Flights!$AA$19,"INVALID – completed after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f>
        <v/>
      </c>
      <c r="AI495" s="67">
        <f>IF(OR(AH495="N/A – RULE",AH495="N/A – JUSTIFIED"),0,1)</f>
        <v/>
      </c>
      <c r="AJ495" s="67">
        <f>IF(LEFT(AH495,8)="COMPLETE",1,0)</f>
        <v/>
      </c>
      <c r="AK495" s="67">
        <f>IF(AND(AI495=1,AJ495=0,AsOfUTC&gt;Q495),1,0)</f>
        <v/>
      </c>
      <c r="AL495" s="67">
        <f>IF(AND(AI495=1,OR(TRIM(U495)="Fail",AB495="Open",AND(ISNUMBER(AF495),AF495&lt;&gt;0,TRIM(U495)&lt;&gt;"Pass after CA"))),1,0)</f>
        <v/>
      </c>
      <c r="AM495" s="67">
        <f>IF(LEFT(AH495,7)="INVALID",1,0)</f>
        <v/>
      </c>
      <c r="AN495" s="67">
        <f>IF(AND(N495="Clarification required",AI495=1,AJ495=0),1,0)</f>
        <v/>
      </c>
      <c r="AO495" s="67">
        <f>IF(AK495=1,SUM(AK$5:AK495),"")</f>
        <v/>
      </c>
      <c r="AP495" s="67">
        <f>IF(AL495=1,SUM(AL$5:AL495),"")</f>
        <v/>
      </c>
      <c r="AQ495" s="67" t="n">
        <v>0</v>
      </c>
      <c r="AR495" s="67" t="n">
        <v>0</v>
      </c>
      <c r="AS495" s="67" t="n">
        <v>0</v>
      </c>
      <c r="AT495" s="67" t="n">
        <v>0</v>
      </c>
    </row>
    <row r="496" ht="141.5" customHeight="1">
      <c r="A496" s="63" t="inlineStr">
        <is>
          <t>F15-T12-06</t>
        </is>
      </c>
      <c r="B496" s="63" t="inlineStr">
        <is>
          <t>F15</t>
        </is>
      </c>
      <c r="C496" s="63">
        <f>Flights!$F$19</f>
        <v/>
      </c>
      <c r="D496" s="64">
        <f>Flights!$D$19</f>
        <v/>
      </c>
      <c r="E496" s="63">
        <f>Flights!$G$19&amp;"-"&amp;Flights!$H$19</f>
        <v/>
      </c>
      <c r="F496" s="63">
        <f>Flights!$K$19</f>
        <v/>
      </c>
      <c r="G496" s="63" t="inlineStr">
        <is>
          <t>T-12H PREP</t>
        </is>
      </c>
      <c r="H496" s="63" t="inlineStr">
        <is>
          <t>Preparation</t>
        </is>
      </c>
      <c r="I496" s="63" t="inlineStr">
        <is>
          <t>Equipment</t>
        </is>
      </c>
      <c r="J496" s="63" t="inlineStr">
        <is>
          <t>Equipment quantities vs GLD</t>
        </is>
      </c>
      <c r="K496"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496" s="73" t="inlineStr">
        <is>
          <t>User brief (T-12 hours)</t>
        </is>
      </c>
      <c r="M496" s="73" t="inlineStr"/>
      <c r="N496" s="73" t="inlineStr">
        <is>
          <t>Required</t>
        </is>
      </c>
      <c r="O496" s="73" t="inlineStr">
        <is>
          <t>Preparation check at caterer - does NOT confirm loading.</t>
        </is>
      </c>
      <c r="P496" s="63" t="inlineStr">
        <is>
          <t>LHR</t>
        </is>
      </c>
      <c r="Q496" s="65">
        <f>Flights!$AE$19</f>
        <v/>
      </c>
      <c r="R496" s="65">
        <f>Q496+(IF(AND(INDEX(TZ_DSTS,MATCH(P496,TZ_STN,0))&lt;&gt;"",Q496&gt;=INDEX(TZ_DSTS,MATCH(P496,TZ_STN,0)),Q496&lt;INDEX(TZ_DSTE,MATCH(P496,TZ_STN,0))),INDEX(TZ_DST,MATCH(P496,TZ_STN,0)),INDEX(TZ_STD,MATCH(P496,TZ_STN,0))))/24</f>
        <v/>
      </c>
      <c r="S496" s="65">
        <f>Q496-T12EarlyH/24</f>
        <v/>
      </c>
      <c r="T496" s="66" t="n"/>
      <c r="U496" s="66" t="n"/>
      <c r="V496" s="66" t="n"/>
      <c r="W496" s="67" t="n"/>
      <c r="X496" s="66" t="n"/>
      <c r="Y496" s="66" t="n"/>
      <c r="Z496" s="66" t="n"/>
      <c r="AA496" s="66" t="n"/>
      <c r="AB496" s="66" t="n"/>
      <c r="AC496" s="66" t="n"/>
      <c r="AD496" s="72" t="n"/>
      <c r="AE496" s="66" t="n"/>
      <c r="AF496" s="67">
        <f>IF(AND(ISNUMBER(X496),ISNUMBER(Y496)),Y496-X496,"")</f>
        <v/>
      </c>
      <c r="AG496" s="68">
        <f>IF(ISNUMBER(AD496),AD496-(IF(AND(INDEX(TZ_DSTS,MATCH(P496,TZ_STN,0))&lt;&gt;"",(AD496-INDEX(TZ_STD,MATCH(P496,TZ_STN,0))/24)&gt;=INDEX(TZ_DSTS,MATCH(P496,TZ_STN,0)),(AD496-INDEX(TZ_STD,MATCH(P496,TZ_STN,0))/24)&lt;INDEX(TZ_DSTE,MATCH(P496,TZ_STN,0))),INDEX(TZ_DST,MATCH(P496,TZ_STN,0)),INDEX(TZ_STD,MATCH(P496,TZ_STN,0))))/24,"")</f>
        <v/>
      </c>
      <c r="AH496" s="71">
        <f>IF(N496="N/A – rule","N/A – RULE",IF(TRIM(U496)="N/A",IF(AT496=0,"INVALID – N/A not permitted for this mandatory check",IF(AND(TRIM(AC496)&lt;&gt;"",TRIM(AE496)&lt;&gt;"",TRIM(T496)&lt;&gt;""),"N/A – JUSTIFIED","INVALID – N/A needs justification, PIC and verifier")),IF(OR(TRIM(U496)="Pass",TRIM(U496)="Pass after CA"),IF(NOT(ISNUMBER(AD496)),"INVALID – completion time missing",IF(TRIM(T496)="","INVALID – PIC missing",IF(TRIM(Z496)="","INVALID – evidence missing",IF(TRIM(AE496)="","INVALID – verifier missing",IF(AND(AQ496=1,TRIM(W496)=""),"INVALID – batch ID missing",IF(AND(AR496=1,OR(NOT(ISNUMBER(X496)),NOT(ISNUMBER(Y496)))),"INVALID – expected/actual qty missing",IF(IF(AND(TRIM(U496)="Pass",ISNUMBER(AF496)),IF(AF496&lt;&gt;0,"INVALID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recorded/closed","")&lt;&gt;"",IF(AND(TRIM(U496)="Pass",ISNUMBER(AF496)),IF(AF496&lt;&gt;0,"INVALID – qty variance: use Fail or Pass after CA",""),"")&amp;IF(AND(TRIM(U496)="Pass",AB496="Open"),"INVALID – corrective action still open: use Fail, then Pass after CA","")&amp;IF(AND(TRIM(U496)="Pass after CA",OR(TRIM(AA496)="",AB496&lt;&gt;"Closed")),"INVALID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window"),IF(AG496&gt;Flights!$AA$19,"INVALID – completed after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f>
        <v/>
      </c>
      <c r="AI496" s="67">
        <f>IF(OR(AH496="N/A – RULE",AH496="N/A – JUSTIFIED"),0,1)</f>
        <v/>
      </c>
      <c r="AJ496" s="67">
        <f>IF(LEFT(AH496,8)="COMPLETE",1,0)</f>
        <v/>
      </c>
      <c r="AK496" s="67">
        <f>IF(AND(AI496=1,AJ496=0,AsOfUTC&gt;Q496),1,0)</f>
        <v/>
      </c>
      <c r="AL496" s="67">
        <f>IF(AND(AI496=1,OR(TRIM(U496)="Fail",AB496="Open",AND(ISNUMBER(AF496),AF496&lt;&gt;0,TRIM(U496)&lt;&gt;"Pass after CA"))),1,0)</f>
        <v/>
      </c>
      <c r="AM496" s="67">
        <f>IF(LEFT(AH496,7)="INVALID",1,0)</f>
        <v/>
      </c>
      <c r="AN496" s="67">
        <f>IF(AND(N496="Clarification required",AI496=1,AJ496=0),1,0)</f>
        <v/>
      </c>
      <c r="AO496" s="67">
        <f>IF(AK496=1,SUM(AK$5:AK496),"")</f>
        <v/>
      </c>
      <c r="AP496" s="67">
        <f>IF(AL496=1,SUM(AL$5:AL496),"")</f>
        <v/>
      </c>
      <c r="AQ496" s="67" t="n">
        <v>0</v>
      </c>
      <c r="AR496" s="67" t="n">
        <v>1</v>
      </c>
      <c r="AS496" s="67" t="n">
        <v>0</v>
      </c>
      <c r="AT496" s="67" t="n">
        <v>0</v>
      </c>
    </row>
    <row r="497" ht="40" customHeight="1">
      <c r="A497" s="63" t="inlineStr">
        <is>
          <t>F15-T12-07</t>
        </is>
      </c>
      <c r="B497" s="63" t="inlineStr">
        <is>
          <t>F15</t>
        </is>
      </c>
      <c r="C497" s="63">
        <f>Flights!$F$19</f>
        <v/>
      </c>
      <c r="D497" s="64">
        <f>Flights!$D$19</f>
        <v/>
      </c>
      <c r="E497" s="63">
        <f>Flights!$G$19&amp;"-"&amp;Flights!$H$19</f>
        <v/>
      </c>
      <c r="F497" s="63">
        <f>Flights!$K$19</f>
        <v/>
      </c>
      <c r="G497" s="63" t="inlineStr">
        <is>
          <t>T-12H PREP</t>
        </is>
      </c>
      <c r="H497" s="63" t="inlineStr">
        <is>
          <t>Preparation</t>
        </is>
      </c>
      <c r="I497" s="63" t="inlineStr">
        <is>
          <t>Equipment</t>
        </is>
      </c>
      <c r="J497" s="63" t="inlineStr">
        <is>
          <t>Loading positions planned vs GLD</t>
        </is>
      </c>
      <c r="K497" s="73" t="inlineStr"/>
      <c r="L497" s="73" t="inlineStr">
        <is>
          <t>User brief (T-12 hours)</t>
        </is>
      </c>
      <c r="M497" s="73" t="inlineStr"/>
      <c r="N497" s="73" t="inlineStr">
        <is>
          <t>Required</t>
        </is>
      </c>
      <c r="O497" s="73" t="inlineStr">
        <is>
          <t>Preparation check at caterer - does NOT confirm loading.</t>
        </is>
      </c>
      <c r="P497" s="63" t="inlineStr">
        <is>
          <t>LHR</t>
        </is>
      </c>
      <c r="Q497" s="65">
        <f>Flights!$AE$19</f>
        <v/>
      </c>
      <c r="R497" s="65">
        <f>Q497+(IF(AND(INDEX(TZ_DSTS,MATCH(P497,TZ_STN,0))&lt;&gt;"",Q497&gt;=INDEX(TZ_DSTS,MATCH(P497,TZ_STN,0)),Q497&lt;INDEX(TZ_DSTE,MATCH(P497,TZ_STN,0))),INDEX(TZ_DST,MATCH(P497,TZ_STN,0)),INDEX(TZ_STD,MATCH(P497,TZ_STN,0))))/24</f>
        <v/>
      </c>
      <c r="S497" s="65">
        <f>Q497-T12EarlyH/24</f>
        <v/>
      </c>
      <c r="T497" s="66" t="n"/>
      <c r="U497" s="66" t="n"/>
      <c r="V497" s="66" t="n"/>
      <c r="W497" s="67" t="n"/>
      <c r="X497" s="66" t="n"/>
      <c r="Y497" s="66" t="n"/>
      <c r="Z497" s="66" t="n"/>
      <c r="AA497" s="66" t="n"/>
      <c r="AB497" s="66" t="n"/>
      <c r="AC497" s="66" t="n"/>
      <c r="AD497" s="72" t="n"/>
      <c r="AE497" s="66" t="n"/>
      <c r="AF497" s="67">
        <f>IF(AND(ISNUMBER(X497),ISNUMBER(Y497)),Y497-X497,"")</f>
        <v/>
      </c>
      <c r="AG497" s="68">
        <f>IF(ISNUMBER(AD497),AD497-(IF(AND(INDEX(TZ_DSTS,MATCH(P497,TZ_STN,0))&lt;&gt;"",(AD497-INDEX(TZ_STD,MATCH(P497,TZ_STN,0))/24)&gt;=INDEX(TZ_DSTS,MATCH(P497,TZ_STN,0)),(AD497-INDEX(TZ_STD,MATCH(P497,TZ_STN,0))/24)&lt;INDEX(TZ_DSTE,MATCH(P497,TZ_STN,0))),INDEX(TZ_DST,MATCH(P497,TZ_STN,0)),INDEX(TZ_STD,MATCH(P497,TZ_STN,0))))/24,"")</f>
        <v/>
      </c>
      <c r="AH497" s="71">
        <f>IF(N497="N/A – rule","N/A – RULE",IF(TRIM(U497)="N/A",IF(AT497=0,"INVALID – N/A not permitted for this mandatory check",IF(AND(TRIM(AC497)&lt;&gt;"",TRIM(AE497)&lt;&gt;"",TRIM(T497)&lt;&gt;""),"N/A – JUSTIFIED","INVALID – N/A needs justification, PIC and verifier")),IF(OR(TRIM(U497)="Pass",TRIM(U497)="Pass after CA"),IF(NOT(ISNUMBER(AD497)),"INVALID – completion time missing",IF(TRIM(T497)="","INVALID – PIC missing",IF(TRIM(Z497)="","INVALID – evidence missing",IF(TRIM(AE497)="","INVALID – verifier missing",IF(AND(AQ497=1,TRIM(W497)=""),"INVALID – batch ID missing",IF(AND(AR497=1,OR(NOT(ISNUMBER(X497)),NOT(ISNUMBER(Y497)))),"INVALID – expected/actual qty missing",IF(IF(AND(TRIM(U497)="Pass",ISNUMBER(AF497)),IF(AF497&lt;&gt;0,"INVALID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recorded/closed","")&lt;&gt;"",IF(AND(TRIM(U497)="Pass",ISNUMBER(AF497)),IF(AF497&lt;&gt;0,"INVALID – qty variance: use Fail or Pass after CA",""),"")&amp;IF(AND(TRIM(U497)="Pass",AB497="Open"),"INVALID – corrective action still open: use Fail, then Pass after CA","")&amp;IF(AND(TRIM(U497)="Pass after CA",OR(TRIM(AA497)="",AB497&lt;&gt;"Closed")),"INVALID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window"),IF(AG497&gt;Flights!$AA$19,"INVALID – completed after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f>
        <v/>
      </c>
      <c r="AI497" s="67">
        <f>IF(OR(AH497="N/A – RULE",AH497="N/A – JUSTIFIED"),0,1)</f>
        <v/>
      </c>
      <c r="AJ497" s="67">
        <f>IF(LEFT(AH497,8)="COMPLETE",1,0)</f>
        <v/>
      </c>
      <c r="AK497" s="67">
        <f>IF(AND(AI497=1,AJ497=0,AsOfUTC&gt;Q497),1,0)</f>
        <v/>
      </c>
      <c r="AL497" s="67">
        <f>IF(AND(AI497=1,OR(TRIM(U497)="Fail",AB497="Open",AND(ISNUMBER(AF497),AF497&lt;&gt;0,TRIM(U497)&lt;&gt;"Pass after CA"))),1,0)</f>
        <v/>
      </c>
      <c r="AM497" s="67">
        <f>IF(LEFT(AH497,7)="INVALID",1,0)</f>
        <v/>
      </c>
      <c r="AN497" s="67">
        <f>IF(AND(N497="Clarification required",AI497=1,AJ497=0),1,0)</f>
        <v/>
      </c>
      <c r="AO497" s="67">
        <f>IF(AK497=1,SUM(AK$5:AK497),"")</f>
        <v/>
      </c>
      <c r="AP497" s="67">
        <f>IF(AL497=1,SUM(AL$5:AL497),"")</f>
        <v/>
      </c>
      <c r="AQ497" s="67" t="n">
        <v>0</v>
      </c>
      <c r="AR497" s="67" t="n">
        <v>0</v>
      </c>
      <c r="AS497" s="67" t="n">
        <v>0</v>
      </c>
      <c r="AT497" s="67" t="n">
        <v>0</v>
      </c>
    </row>
    <row r="498" ht="54" customHeight="1">
      <c r="A498" s="63" t="inlineStr">
        <is>
          <t>F15-T12-08</t>
        </is>
      </c>
      <c r="B498" s="63" t="inlineStr">
        <is>
          <t>F15</t>
        </is>
      </c>
      <c r="C498" s="63">
        <f>Flights!$F$19</f>
        <v/>
      </c>
      <c r="D498" s="64">
        <f>Flights!$D$19</f>
        <v/>
      </c>
      <c r="E498" s="63">
        <f>Flights!$G$19&amp;"-"&amp;Flights!$H$19</f>
        <v/>
      </c>
      <c r="F498" s="63">
        <f>Flights!$K$19</f>
        <v/>
      </c>
      <c r="G498" s="63" t="inlineStr">
        <is>
          <t>T-12H PREP</t>
        </is>
      </c>
      <c r="H498" s="63" t="inlineStr">
        <is>
          <t>Preparation</t>
        </is>
      </c>
      <c r="I498" s="63" t="inlineStr">
        <is>
          <t>Amenities</t>
        </is>
      </c>
      <c r="J498" s="63" t="inlineStr">
        <is>
          <t>Toiletry kits - prepared</t>
        </is>
      </c>
      <c r="K498" s="73" t="inlineStr">
        <is>
          <t>Available for sector (ticked in reference)</t>
        </is>
      </c>
      <c r="L498" s="73" t="inlineStr">
        <is>
          <t>STD UPLIFT INFORMATION.xlsx &gt; AMENITIES!D12 / H12</t>
        </is>
      </c>
      <c r="M498" s="73" t="inlineStr">
        <is>
          <t>LHR</t>
        </is>
      </c>
      <c r="N498" s="73" t="inlineStr">
        <is>
          <t>Clarification required</t>
        </is>
      </c>
      <c r="O498" s="73" t="inlineStr">
        <is>
          <t>Reference does not state the cabin class for toiletry kits. Confirm whether EY receives them; if not, mark N/A with the confirmation as justification.</t>
        </is>
      </c>
      <c r="P498" s="63" t="inlineStr">
        <is>
          <t>LHR</t>
        </is>
      </c>
      <c r="Q498" s="65">
        <f>Flights!$AE$19</f>
        <v/>
      </c>
      <c r="R498" s="65">
        <f>Q498+(IF(AND(INDEX(TZ_DSTS,MATCH(P498,TZ_STN,0))&lt;&gt;"",Q498&gt;=INDEX(TZ_DSTS,MATCH(P498,TZ_STN,0)),Q498&lt;INDEX(TZ_DSTE,MATCH(P498,TZ_STN,0))),INDEX(TZ_DST,MATCH(P498,TZ_STN,0)),INDEX(TZ_STD,MATCH(P498,TZ_STN,0))))/24</f>
        <v/>
      </c>
      <c r="S498" s="65">
        <f>Q498-T12EarlyH/24</f>
        <v/>
      </c>
      <c r="T498" s="66" t="n"/>
      <c r="U498" s="66" t="n"/>
      <c r="V498" s="66" t="n"/>
      <c r="W498" s="67" t="n"/>
      <c r="X498" s="66" t="n"/>
      <c r="Y498" s="66" t="n"/>
      <c r="Z498" s="66" t="n"/>
      <c r="AA498" s="66" t="n"/>
      <c r="AB498" s="66" t="n"/>
      <c r="AC498" s="66" t="n"/>
      <c r="AD498" s="72" t="n"/>
      <c r="AE498" s="66" t="n"/>
      <c r="AF498" s="67">
        <f>IF(AND(ISNUMBER(X498),ISNUMBER(Y498)),Y498-X498,"")</f>
        <v/>
      </c>
      <c r="AG498" s="68">
        <f>IF(ISNUMBER(AD498),AD498-(IF(AND(INDEX(TZ_DSTS,MATCH(P498,TZ_STN,0))&lt;&gt;"",(AD498-INDEX(TZ_STD,MATCH(P498,TZ_STN,0))/24)&gt;=INDEX(TZ_DSTS,MATCH(P498,TZ_STN,0)),(AD498-INDEX(TZ_STD,MATCH(P498,TZ_STN,0))/24)&lt;INDEX(TZ_DSTE,MATCH(P498,TZ_STN,0))),INDEX(TZ_DST,MATCH(P498,TZ_STN,0)),INDEX(TZ_STD,MATCH(P498,TZ_STN,0))))/24,"")</f>
        <v/>
      </c>
      <c r="AH498" s="71">
        <f>IF(N498="N/A – rule","N/A – RULE",IF(TRIM(U498)="N/A",IF(AT498=0,"INVALID – N/A not permitted for this mandatory check",IF(AND(TRIM(AC498)&lt;&gt;"",TRIM(AE498)&lt;&gt;"",TRIM(T498)&lt;&gt;""),"N/A – JUSTIFIED","INVALID – N/A needs justification, PIC and verifier")),IF(OR(TRIM(U498)="Pass",TRIM(U498)="Pass after CA"),IF(NOT(ISNUMBER(AD498)),"INVALID – completion time missing",IF(TRIM(T498)="","INVALID – PIC missing",IF(TRIM(Z498)="","INVALID – evidence missing",IF(TRIM(AE498)="","INVALID – verifier missing",IF(AND(AQ498=1,TRIM(W498)=""),"INVALID – batch ID missing",IF(AND(AR498=1,OR(NOT(ISNUMBER(X498)),NOT(ISNUMBER(Y498)))),"INVALID – expected/actual qty missing",IF(IF(AND(TRIM(U498)="Pass",ISNUMBER(AF498)),IF(AF498&lt;&gt;0,"INVALID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recorded/closed","")&lt;&gt;"",IF(AND(TRIM(U498)="Pass",ISNUMBER(AF498)),IF(AF498&lt;&gt;0,"INVALID – qty variance: use Fail or Pass after CA",""),"")&amp;IF(AND(TRIM(U498)="Pass",AB498="Open"),"INVALID – corrective action still open: use Fail, then Pass after CA","")&amp;IF(AND(TRIM(U498)="Pass after CA",OR(TRIM(AA498)="",AB498&lt;&gt;"Closed")),"INVALID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window"),IF(AG498&gt;Flights!$AA$19,"INVALID – completed after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f>
        <v/>
      </c>
      <c r="AI498" s="67">
        <f>IF(OR(AH498="N/A – RULE",AH498="N/A – JUSTIFIED"),0,1)</f>
        <v/>
      </c>
      <c r="AJ498" s="67">
        <f>IF(LEFT(AH498,8)="COMPLETE",1,0)</f>
        <v/>
      </c>
      <c r="AK498" s="67">
        <f>IF(AND(AI498=1,AJ498=0,AsOfUTC&gt;Q498),1,0)</f>
        <v/>
      </c>
      <c r="AL498" s="67">
        <f>IF(AND(AI498=1,OR(TRIM(U498)="Fail",AB498="Open",AND(ISNUMBER(AF498),AF498&lt;&gt;0,TRIM(U498)&lt;&gt;"Pass after CA"))),1,0)</f>
        <v/>
      </c>
      <c r="AM498" s="67">
        <f>IF(LEFT(AH498,7)="INVALID",1,0)</f>
        <v/>
      </c>
      <c r="AN498" s="67">
        <f>IF(AND(N498="Clarification required",AI498=1,AJ498=0),1,0)</f>
        <v/>
      </c>
      <c r="AO498" s="67">
        <f>IF(AK498=1,SUM(AK$5:AK498),"")</f>
        <v/>
      </c>
      <c r="AP498" s="67">
        <f>IF(AL498=1,SUM(AL$5:AL498),"")</f>
        <v/>
      </c>
      <c r="AQ498" s="67" t="n">
        <v>0</v>
      </c>
      <c r="AR498" s="67" t="n">
        <v>0</v>
      </c>
      <c r="AS498" s="67" t="n">
        <v>0</v>
      </c>
      <c r="AT498" s="67" t="n">
        <v>1</v>
      </c>
    </row>
    <row r="499" ht="41.5" customHeight="1">
      <c r="A499" s="63" t="inlineStr">
        <is>
          <t>F15-T12-09</t>
        </is>
      </c>
      <c r="B499" s="63" t="inlineStr">
        <is>
          <t>F15</t>
        </is>
      </c>
      <c r="C499" s="63">
        <f>Flights!$F$19</f>
        <v/>
      </c>
      <c r="D499" s="64">
        <f>Flights!$D$19</f>
        <v/>
      </c>
      <c r="E499" s="63">
        <f>Flights!$G$19&amp;"-"&amp;Flights!$H$19</f>
        <v/>
      </c>
      <c r="F499" s="63">
        <f>Flights!$K$19</f>
        <v/>
      </c>
      <c r="G499" s="63" t="inlineStr">
        <is>
          <t>T-12H PREP</t>
        </is>
      </c>
      <c r="H499" s="63" t="inlineStr">
        <is>
          <t>Preparation</t>
        </is>
      </c>
      <c r="I499" s="63" t="inlineStr">
        <is>
          <t>Seat Linen</t>
        </is>
      </c>
      <c r="J499" s="63" t="inlineStr">
        <is>
          <t>Seat pillow (EY) - prepared</t>
        </is>
      </c>
      <c r="K499" s="73" t="inlineStr">
        <is>
          <t>Available 100% (ticked in reference)</t>
        </is>
      </c>
      <c r="L499" s="73" t="inlineStr">
        <is>
          <t>STD UPLIFT INFORMATION.xlsx &gt; SEAT LINEN!I7</t>
        </is>
      </c>
      <c r="M499" s="73" t="inlineStr">
        <is>
          <t>Not stated in reference</t>
        </is>
      </c>
      <c r="N499" s="73" t="inlineStr">
        <is>
          <t>Required</t>
        </is>
      </c>
      <c r="O499" s="73" t="inlineStr">
        <is>
          <t>Reference gives no uplift stn for this item: preparation checked at the meal uplift stn (LHR) - confirm with caterer.</t>
        </is>
      </c>
      <c r="P499" s="63" t="inlineStr">
        <is>
          <t>LHR</t>
        </is>
      </c>
      <c r="Q499" s="65">
        <f>Flights!$AE$19</f>
        <v/>
      </c>
      <c r="R499" s="65">
        <f>Q499+(IF(AND(INDEX(TZ_DSTS,MATCH(P499,TZ_STN,0))&lt;&gt;"",Q499&gt;=INDEX(TZ_DSTS,MATCH(P499,TZ_STN,0)),Q499&lt;INDEX(TZ_DSTE,MATCH(P499,TZ_STN,0))),INDEX(TZ_DST,MATCH(P499,TZ_STN,0)),INDEX(TZ_STD,MATCH(P499,TZ_STN,0))))/24</f>
        <v/>
      </c>
      <c r="S499" s="65">
        <f>Q499-T12EarlyH/24</f>
        <v/>
      </c>
      <c r="T499" s="66" t="n"/>
      <c r="U499" s="66" t="n"/>
      <c r="V499" s="66" t="n"/>
      <c r="W499" s="67" t="n"/>
      <c r="X499" s="66" t="n"/>
      <c r="Y499" s="66" t="n"/>
      <c r="Z499" s="66" t="n"/>
      <c r="AA499" s="66" t="n"/>
      <c r="AB499" s="66" t="n"/>
      <c r="AC499" s="66" t="n"/>
      <c r="AD499" s="72" t="n"/>
      <c r="AE499" s="66" t="n"/>
      <c r="AF499" s="67">
        <f>IF(AND(ISNUMBER(X499),ISNUMBER(Y499)),Y499-X499,"")</f>
        <v/>
      </c>
      <c r="AG499" s="68">
        <f>IF(ISNUMBER(AD499),AD499-(IF(AND(INDEX(TZ_DSTS,MATCH(P499,TZ_STN,0))&lt;&gt;"",(AD499-INDEX(TZ_STD,MATCH(P499,TZ_STN,0))/24)&gt;=INDEX(TZ_DSTS,MATCH(P499,TZ_STN,0)),(AD499-INDEX(TZ_STD,MATCH(P499,TZ_STN,0))/24)&lt;INDEX(TZ_DSTE,MATCH(P499,TZ_STN,0))),INDEX(TZ_DST,MATCH(P499,TZ_STN,0)),INDEX(TZ_STD,MATCH(P499,TZ_STN,0))))/24,"")</f>
        <v/>
      </c>
      <c r="AH499" s="71">
        <f>IF(N499="N/A – rule","N/A – RULE",IF(TRIM(U499)="N/A",IF(AT499=0,"INVALID – N/A not permitted for this mandatory check",IF(AND(TRIM(AC499)&lt;&gt;"",TRIM(AE499)&lt;&gt;"",TRIM(T499)&lt;&gt;""),"N/A – JUSTIFIED","INVALID – N/A needs justification, PIC and verifier")),IF(OR(TRIM(U499)="Pass",TRIM(U499)="Pass after CA"),IF(NOT(ISNUMBER(AD499)),"INVALID – completion time missing",IF(TRIM(T499)="","INVALID – PIC missing",IF(TRIM(Z499)="","INVALID – evidence missing",IF(TRIM(AE499)="","INVALID – verifier missing",IF(AND(AQ499=1,TRIM(W499)=""),"INVALID – batch ID missing",IF(AND(AR499=1,OR(NOT(ISNUMBER(X499)),NOT(ISNUMBER(Y499)))),"INVALID – expected/actual qty missing",IF(IF(AND(TRIM(U499)="Pass",ISNUMBER(AF499)),IF(AF499&lt;&gt;0,"INVALID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recorded/closed","")&lt;&gt;"",IF(AND(TRIM(U499)="Pass",ISNUMBER(AF499)),IF(AF499&lt;&gt;0,"INVALID – qty variance: use Fail or Pass after CA",""),"")&amp;IF(AND(TRIM(U499)="Pass",AB499="Open"),"INVALID – corrective action still open: use Fail, then Pass after CA","")&amp;IF(AND(TRIM(U499)="Pass after CA",OR(TRIM(AA499)="",AB499&lt;&gt;"Closed")),"INVALID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window"),IF(AG499&gt;Flights!$AA$19,"INVALID – completed after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f>
        <v/>
      </c>
      <c r="AI499" s="67">
        <f>IF(OR(AH499="N/A – RULE",AH499="N/A – JUSTIFIED"),0,1)</f>
        <v/>
      </c>
      <c r="AJ499" s="67">
        <f>IF(LEFT(AH499,8)="COMPLETE",1,0)</f>
        <v/>
      </c>
      <c r="AK499" s="67">
        <f>IF(AND(AI499=1,AJ499=0,AsOfUTC&gt;Q499),1,0)</f>
        <v/>
      </c>
      <c r="AL499" s="67">
        <f>IF(AND(AI499=1,OR(TRIM(U499)="Fail",AB499="Open",AND(ISNUMBER(AF499),AF499&lt;&gt;0,TRIM(U499)&lt;&gt;"Pass after CA"))),1,0)</f>
        <v/>
      </c>
      <c r="AM499" s="67">
        <f>IF(LEFT(AH499,7)="INVALID",1,0)</f>
        <v/>
      </c>
      <c r="AN499" s="67">
        <f>IF(AND(N499="Clarification required",AI499=1,AJ499=0),1,0)</f>
        <v/>
      </c>
      <c r="AO499" s="67">
        <f>IF(AK499=1,SUM(AK$5:AK499),"")</f>
        <v/>
      </c>
      <c r="AP499" s="67">
        <f>IF(AL499=1,SUM(AL$5:AL499),"")</f>
        <v/>
      </c>
      <c r="AQ499" s="67" t="n">
        <v>0</v>
      </c>
      <c r="AR499" s="67" t="n">
        <v>0</v>
      </c>
      <c r="AS499" s="67" t="n">
        <v>0</v>
      </c>
      <c r="AT499" s="67" t="n">
        <v>1</v>
      </c>
    </row>
    <row r="500" ht="91.5" customHeight="1">
      <c r="A500" s="63" t="inlineStr">
        <is>
          <t>F15-T12-10</t>
        </is>
      </c>
      <c r="B500" s="63" t="inlineStr">
        <is>
          <t>F15</t>
        </is>
      </c>
      <c r="C500" s="63">
        <f>Flights!$F$19</f>
        <v/>
      </c>
      <c r="D500" s="64">
        <f>Flights!$D$19</f>
        <v/>
      </c>
      <c r="E500" s="63">
        <f>Flights!$G$19&amp;"-"&amp;Flights!$H$19</f>
        <v/>
      </c>
      <c r="F500" s="63">
        <f>Flights!$K$19</f>
        <v/>
      </c>
      <c r="G500" s="63" t="inlineStr">
        <is>
          <t>T-12H PREP</t>
        </is>
      </c>
      <c r="H500" s="63" t="inlineStr">
        <is>
          <t>Preparation</t>
        </is>
      </c>
      <c r="I500" s="63" t="inlineStr">
        <is>
          <t>Seat Linen</t>
        </is>
      </c>
      <c r="J500" s="63" t="inlineStr">
        <is>
          <t>Blanket (EY) - prepared</t>
        </is>
      </c>
      <c r="K500" s="73" t="inlineStr">
        <is>
          <t>Available 100% (ticked in reference); qty 280 (A350 9M-MAH) / 260 (A359) - per tail</t>
        </is>
      </c>
      <c r="L500" s="73" t="inlineStr">
        <is>
          <t>STD UPLIFT INFORMATION.xlsx &gt; SEAT LINEN!J7</t>
        </is>
      </c>
      <c r="M500" s="73" t="inlineStr">
        <is>
          <t>Not stated in reference</t>
        </is>
      </c>
      <c r="N500" s="73" t="inlineStr">
        <is>
          <t>Required</t>
        </is>
      </c>
      <c r="O500" s="73" t="inlineStr">
        <is>
          <t>EY blanket: flight above 3 hours excl. Regional (SEAT LINEN!B74:C74); block 11.75 h. Qty per tail: A350 280 pcs (SEAT LINEN!B76:C76), A359 260 pcs (SEAT LINEN!B77:C77). Reference gives no uplift stn for this item: preparation checked at the meal uplift stn (LHR) - confirm with caterer.</t>
        </is>
      </c>
      <c r="P500" s="63" t="inlineStr">
        <is>
          <t>LHR</t>
        </is>
      </c>
      <c r="Q500" s="65">
        <f>Flights!$AE$19</f>
        <v/>
      </c>
      <c r="R500" s="65">
        <f>Q500+(IF(AND(INDEX(TZ_DSTS,MATCH(P500,TZ_STN,0))&lt;&gt;"",Q500&gt;=INDEX(TZ_DSTS,MATCH(P500,TZ_STN,0)),Q500&lt;INDEX(TZ_DSTE,MATCH(P500,TZ_STN,0))),INDEX(TZ_DST,MATCH(P500,TZ_STN,0)),INDEX(TZ_STD,MATCH(P500,TZ_STN,0))))/24</f>
        <v/>
      </c>
      <c r="S500" s="65">
        <f>Q500-T12EarlyH/24</f>
        <v/>
      </c>
      <c r="T500" s="66" t="n"/>
      <c r="U500" s="66" t="n"/>
      <c r="V500" s="66" t="n"/>
      <c r="W500" s="67" t="n"/>
      <c r="X500" s="74">
        <f>IF(TRIM(Flights!$N$19)="","",IF(ISNUMBER(SEARCH("MAH",Flights!$N$19)),280,260))</f>
        <v/>
      </c>
      <c r="Y500" s="66" t="n"/>
      <c r="Z500" s="66" t="n"/>
      <c r="AA500" s="66" t="n"/>
      <c r="AB500" s="66" t="n"/>
      <c r="AC500" s="66" t="n"/>
      <c r="AD500" s="72" t="n"/>
      <c r="AE500" s="66" t="n"/>
      <c r="AF500" s="67">
        <f>IF(AND(ISNUMBER(X500),ISNUMBER(Y500)),Y500-X500,"")</f>
        <v/>
      </c>
      <c r="AG500" s="68">
        <f>IF(ISNUMBER(AD500),AD500-(IF(AND(INDEX(TZ_DSTS,MATCH(P500,TZ_STN,0))&lt;&gt;"",(AD500-INDEX(TZ_STD,MATCH(P500,TZ_STN,0))/24)&gt;=INDEX(TZ_DSTS,MATCH(P500,TZ_STN,0)),(AD500-INDEX(TZ_STD,MATCH(P500,TZ_STN,0))/24)&lt;INDEX(TZ_DSTE,MATCH(P500,TZ_STN,0))),INDEX(TZ_DST,MATCH(P500,TZ_STN,0)),INDEX(TZ_STD,MATCH(P500,TZ_STN,0))))/24,"")</f>
        <v/>
      </c>
      <c r="AH500" s="71">
        <f>IF(N500="N/A – rule","N/A – RULE",IF(TRIM(U500)="N/A",IF(AT500=0,"INVALID – N/A not permitted for this mandatory check",IF(AND(TRIM(AC500)&lt;&gt;"",TRIM(AE500)&lt;&gt;"",TRIM(T500)&lt;&gt;""),"N/A – JUSTIFIED","INVALID – N/A needs justification, PIC and verifier")),IF(OR(TRIM(U500)="Pass",TRIM(U500)="Pass after CA"),IF(NOT(ISNUMBER(AD500)),"INVALID – completion time missing",IF(TRIM(T500)="","INVALID – PIC missing",IF(TRIM(Z500)="","INVALID – evidence missing",IF(TRIM(AE500)="","INVALID – verifier missing",IF(AND(AQ500=1,TRIM(W500)=""),"INVALID – batch ID missing",IF(AND(AR500=1,OR(NOT(ISNUMBER(X500)),NOT(ISNUMBER(Y500)))),"INVALID – expected/actual qty missing",IF(IF(AND(TRIM(U500)="Pass",ISNUMBER(AF500)),IF(AF500&lt;&gt;0,"INVALID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recorded/closed","")&lt;&gt;"",IF(AND(TRIM(U500)="Pass",ISNUMBER(AF500)),IF(AF500&lt;&gt;0,"INVALID – qty variance: use Fail or Pass after CA",""),"")&amp;IF(AND(TRIM(U500)="Pass",AB500="Open"),"INVALID – corrective action still open: use Fail, then Pass after CA","")&amp;IF(AND(TRIM(U500)="Pass after CA",OR(TRIM(AA500)="",AB500&lt;&gt;"Closed")),"INVALID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window"),IF(AG500&gt;Flights!$AA$19,"INVALID – completed after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f>
        <v/>
      </c>
      <c r="AI500" s="67">
        <f>IF(OR(AH500="N/A – RULE",AH500="N/A – JUSTIFIED"),0,1)</f>
        <v/>
      </c>
      <c r="AJ500" s="67">
        <f>IF(LEFT(AH500,8)="COMPLETE",1,0)</f>
        <v/>
      </c>
      <c r="AK500" s="67">
        <f>IF(AND(AI500=1,AJ500=0,AsOfUTC&gt;Q500),1,0)</f>
        <v/>
      </c>
      <c r="AL500" s="67">
        <f>IF(AND(AI500=1,OR(TRIM(U500)="Fail",AB500="Open",AND(ISNUMBER(AF500),AF500&lt;&gt;0,TRIM(U500)&lt;&gt;"Pass after CA"))),1,0)</f>
        <v/>
      </c>
      <c r="AM500" s="67">
        <f>IF(LEFT(AH500,7)="INVALID",1,0)</f>
        <v/>
      </c>
      <c r="AN500" s="67">
        <f>IF(AND(N500="Clarification required",AI500=1,AJ500=0),1,0)</f>
        <v/>
      </c>
      <c r="AO500" s="67">
        <f>IF(AK500=1,SUM(AK$5:AK500),"")</f>
        <v/>
      </c>
      <c r="AP500" s="67">
        <f>IF(AL500=1,SUM(AL$5:AL500),"")</f>
        <v/>
      </c>
      <c r="AQ500" s="67" t="n">
        <v>0</v>
      </c>
      <c r="AR500" s="67" t="n">
        <v>1</v>
      </c>
      <c r="AS500" s="67" t="n">
        <v>0</v>
      </c>
      <c r="AT500" s="67" t="n">
        <v>1</v>
      </c>
    </row>
    <row r="501" ht="40" customHeight="1">
      <c r="A501" s="63" t="inlineStr">
        <is>
          <t>F15-UPL-01</t>
        </is>
      </c>
      <c r="B501" s="63" t="inlineStr">
        <is>
          <t>F15</t>
        </is>
      </c>
      <c r="C501" s="63">
        <f>Flights!$F$19</f>
        <v/>
      </c>
      <c r="D501" s="64">
        <f>Flights!$D$19</f>
        <v/>
      </c>
      <c r="E501" s="63">
        <f>Flights!$G$19&amp;"-"&amp;Flights!$H$19</f>
        <v/>
      </c>
      <c r="F501" s="63">
        <f>Flights!$K$19</f>
        <v/>
      </c>
      <c r="G501" s="63" t="inlineStr">
        <is>
          <t>UPLIFT</t>
        </is>
      </c>
      <c r="H501" s="63" t="inlineStr">
        <is>
          <t>Physical uplift</t>
        </is>
      </c>
      <c r="I501" s="63" t="inlineStr">
        <is>
          <t>Meal</t>
        </is>
      </c>
      <c r="J501" s="63" t="inlineStr">
        <is>
          <t>Meals physically uplifted on board - quantity vs menu checklist</t>
        </is>
      </c>
      <c r="K501" s="73" t="inlineStr">
        <is>
          <t>Enter expected &amp; actual</t>
        </is>
      </c>
      <c r="L501" s="73" t="inlineStr">
        <is>
          <t>User brief (T-12 hours - physical uplift)</t>
        </is>
      </c>
      <c r="M501" s="73" t="inlineStr"/>
      <c r="N501" s="73" t="inlineStr">
        <is>
          <t>Required</t>
        </is>
      </c>
      <c r="O501" s="73" t="inlineStr">
        <is>
          <t>Confirm on board before departure; completion time must fall inside the uplift window.</t>
        </is>
      </c>
      <c r="P501" s="63" t="inlineStr">
        <is>
          <t>LHR</t>
        </is>
      </c>
      <c r="Q501" s="65">
        <f>Flights!$AF$19</f>
        <v/>
      </c>
      <c r="R501" s="65">
        <f>Q501+(IF(AND(INDEX(TZ_DSTS,MATCH(P501,TZ_STN,0))&lt;&gt;"",Q501&gt;=INDEX(TZ_DSTS,MATCH(P501,TZ_STN,0)),Q501&lt;INDEX(TZ_DSTE,MATCH(P501,TZ_STN,0))),INDEX(TZ_DST,MATCH(P501,TZ_STN,0)),INDEX(TZ_STD,MATCH(P501,TZ_STN,0))))/24</f>
        <v/>
      </c>
      <c r="S501" s="65">
        <f>Q501-UpliftWindowH/24</f>
        <v/>
      </c>
      <c r="T501" s="66" t="n"/>
      <c r="U501" s="66" t="n"/>
      <c r="V501" s="66" t="n"/>
      <c r="W501" s="67" t="n"/>
      <c r="X501" s="66" t="n"/>
      <c r="Y501" s="66" t="n"/>
      <c r="Z501" s="66" t="n"/>
      <c r="AA501" s="66" t="n"/>
      <c r="AB501" s="66" t="n"/>
      <c r="AC501" s="66" t="n"/>
      <c r="AD501" s="72" t="n"/>
      <c r="AE501" s="66" t="n"/>
      <c r="AF501" s="67">
        <f>IF(AND(ISNUMBER(X501),ISNUMBER(Y501)),Y501-X501,"")</f>
        <v/>
      </c>
      <c r="AG501" s="68">
        <f>IF(ISNUMBER(AD501),AD501-(IF(AND(INDEX(TZ_DSTS,MATCH(P501,TZ_STN,0))&lt;&gt;"",(AD501-INDEX(TZ_STD,MATCH(P501,TZ_STN,0))/24)&gt;=INDEX(TZ_DSTS,MATCH(P501,TZ_STN,0)),(AD501-INDEX(TZ_STD,MATCH(P501,TZ_STN,0))/24)&lt;INDEX(TZ_DSTE,MATCH(P501,TZ_STN,0))),INDEX(TZ_DST,MATCH(P501,TZ_STN,0)),INDEX(TZ_STD,MATCH(P501,TZ_STN,0))))/24,"")</f>
        <v/>
      </c>
      <c r="AH501" s="71">
        <f>IF(N501="N/A – rule","N/A – RULE",IF(TRIM(U501)="N/A",IF(AT501=0,"INVALID – N/A not permitted for this mandatory check",IF(AND(TRIM(AC501)&lt;&gt;"",TRIM(AE501)&lt;&gt;"",TRIM(T501)&lt;&gt;""),"N/A – JUSTIFIED","INVALID – N/A needs justification, PIC and verifier")),IF(OR(TRIM(U501)="Pass",TRIM(U501)="Pass after CA"),IF(NOT(ISNUMBER(AD501)),"INVALID – completion time missing",IF(TRIM(T501)="","INVALID – PIC missing",IF(TRIM(Z501)="","INVALID – evidence missing",IF(TRIM(AE501)="","INVALID – verifier missing",IF(AND(AQ501=1,TRIM(W501)=""),"INVALID – batch ID missing",IF(AND(AR501=1,OR(NOT(ISNUMBER(X501)),NOT(ISNUMBER(Y501)))),"INVALID – expected/actual qty missing",IF(IF(AND(TRIM(U501)="Pass",ISNUMBER(AF501)),IF(AF501&lt;&gt;0,"INVALID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recorded/closed","")&lt;&gt;"",IF(AND(TRIM(U501)="Pass",ISNUMBER(AF501)),IF(AF501&lt;&gt;0,"INVALID – qty variance: use Fail or Pass after CA",""),"")&amp;IF(AND(TRIM(U501)="Pass",AB501="Open"),"INVALID – corrective action still open: use Fail, then Pass after CA","")&amp;IF(AND(TRIM(U501)="Pass after CA",OR(TRIM(AA501)="",AB501&lt;&gt;"Closed")),"INVALID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window"),IF(AG501&gt;Flights!$AA$19,"INVALID – completed after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f>
        <v/>
      </c>
      <c r="AI501" s="67">
        <f>IF(OR(AH501="N/A – RULE",AH501="N/A – JUSTIFIED"),0,1)</f>
        <v/>
      </c>
      <c r="AJ501" s="67">
        <f>IF(LEFT(AH501,8)="COMPLETE",1,0)</f>
        <v/>
      </c>
      <c r="AK501" s="67">
        <f>IF(AND(AI501=1,AJ501=0,AsOfUTC&gt;Q501),1,0)</f>
        <v/>
      </c>
      <c r="AL501" s="67">
        <f>IF(AND(AI501=1,OR(TRIM(U501)="Fail",AB501="Open",AND(ISNUMBER(AF501),AF501&lt;&gt;0,TRIM(U501)&lt;&gt;"Pass after CA"))),1,0)</f>
        <v/>
      </c>
      <c r="AM501" s="67">
        <f>IF(LEFT(AH501,7)="INVALID",1,0)</f>
        <v/>
      </c>
      <c r="AN501" s="67">
        <f>IF(AND(N501="Clarification required",AI501=1,AJ501=0),1,0)</f>
        <v/>
      </c>
      <c r="AO501" s="67">
        <f>IF(AK501=1,SUM(AK$5:AK501),"")</f>
        <v/>
      </c>
      <c r="AP501" s="67">
        <f>IF(AL501=1,SUM(AL$5:AL501),"")</f>
        <v/>
      </c>
      <c r="AQ501" s="67" t="n">
        <v>0</v>
      </c>
      <c r="AR501" s="67" t="n">
        <v>1</v>
      </c>
      <c r="AS501" s="67" t="n">
        <v>0</v>
      </c>
      <c r="AT501" s="67" t="n">
        <v>0</v>
      </c>
    </row>
    <row r="502" ht="40" customHeight="1">
      <c r="A502" s="63" t="inlineStr">
        <is>
          <t>F15-UPL-02</t>
        </is>
      </c>
      <c r="B502" s="63" t="inlineStr">
        <is>
          <t>F15</t>
        </is>
      </c>
      <c r="C502" s="63">
        <f>Flights!$F$19</f>
        <v/>
      </c>
      <c r="D502" s="64">
        <f>Flights!$D$19</f>
        <v/>
      </c>
      <c r="E502" s="63">
        <f>Flights!$G$19&amp;"-"&amp;Flights!$H$19</f>
        <v/>
      </c>
      <c r="F502" s="63">
        <f>Flights!$K$19</f>
        <v/>
      </c>
      <c r="G502" s="63" t="inlineStr">
        <is>
          <t>UPLIFT</t>
        </is>
      </c>
      <c r="H502" s="63" t="inlineStr">
        <is>
          <t>Physical uplift</t>
        </is>
      </c>
      <c r="I502" s="63" t="inlineStr">
        <is>
          <t>Equipment</t>
        </is>
      </c>
      <c r="J502" s="63" t="inlineStr">
        <is>
          <t>Equipment physically loaded at GLD positions - quantity &amp; positions</t>
        </is>
      </c>
      <c r="K502" s="73" t="inlineStr">
        <is>
          <t>Enter expected &amp; actual</t>
        </is>
      </c>
      <c r="L502" s="73" t="inlineStr">
        <is>
          <t>User brief (T-12 hours - physical uplift)</t>
        </is>
      </c>
      <c r="M502" s="73" t="inlineStr"/>
      <c r="N502" s="73" t="inlineStr">
        <is>
          <t>Required</t>
        </is>
      </c>
      <c r="O502" s="73" t="inlineStr">
        <is>
          <t>Confirm on board before departure; completion time must fall inside the uplift window.</t>
        </is>
      </c>
      <c r="P502" s="63" t="inlineStr">
        <is>
          <t>LHR</t>
        </is>
      </c>
      <c r="Q502" s="65">
        <f>Flights!$AF$19</f>
        <v/>
      </c>
      <c r="R502" s="65">
        <f>Q502+(IF(AND(INDEX(TZ_DSTS,MATCH(P502,TZ_STN,0))&lt;&gt;"",Q502&gt;=INDEX(TZ_DSTS,MATCH(P502,TZ_STN,0)),Q502&lt;INDEX(TZ_DSTE,MATCH(P502,TZ_STN,0))),INDEX(TZ_DST,MATCH(P502,TZ_STN,0)),INDEX(TZ_STD,MATCH(P502,TZ_STN,0))))/24</f>
        <v/>
      </c>
      <c r="S502" s="65">
        <f>Q502-UpliftWindowH/24</f>
        <v/>
      </c>
      <c r="T502" s="66" t="n"/>
      <c r="U502" s="66" t="n"/>
      <c r="V502" s="66" t="n"/>
      <c r="W502" s="67" t="n"/>
      <c r="X502" s="66" t="n"/>
      <c r="Y502" s="66" t="n"/>
      <c r="Z502" s="66" t="n"/>
      <c r="AA502" s="66" t="n"/>
      <c r="AB502" s="66" t="n"/>
      <c r="AC502" s="66" t="n"/>
      <c r="AD502" s="72" t="n"/>
      <c r="AE502" s="66" t="n"/>
      <c r="AF502" s="67">
        <f>IF(AND(ISNUMBER(X502),ISNUMBER(Y502)),Y502-X502,"")</f>
        <v/>
      </c>
      <c r="AG502" s="68">
        <f>IF(ISNUMBER(AD502),AD502-(IF(AND(INDEX(TZ_DSTS,MATCH(P502,TZ_STN,0))&lt;&gt;"",(AD502-INDEX(TZ_STD,MATCH(P502,TZ_STN,0))/24)&gt;=INDEX(TZ_DSTS,MATCH(P502,TZ_STN,0)),(AD502-INDEX(TZ_STD,MATCH(P502,TZ_STN,0))/24)&lt;INDEX(TZ_DSTE,MATCH(P502,TZ_STN,0))),INDEX(TZ_DST,MATCH(P502,TZ_STN,0)),INDEX(TZ_STD,MATCH(P502,TZ_STN,0))))/24,"")</f>
        <v/>
      </c>
      <c r="AH502" s="71">
        <f>IF(N502="N/A – rule","N/A – RULE",IF(TRIM(U502)="N/A",IF(AT502=0,"INVALID – N/A not permitted for this mandatory check",IF(AND(TRIM(AC502)&lt;&gt;"",TRIM(AE502)&lt;&gt;"",TRIM(T502)&lt;&gt;""),"N/A – JUSTIFIED","INVALID – N/A needs justification, PIC and verifier")),IF(OR(TRIM(U502)="Pass",TRIM(U502)="Pass after CA"),IF(NOT(ISNUMBER(AD502)),"INVALID – completion time missing",IF(TRIM(T502)="","INVALID – PIC missing",IF(TRIM(Z502)="","INVALID – evidence missing",IF(TRIM(AE502)="","INVALID – verifier missing",IF(AND(AQ502=1,TRIM(W502)=""),"INVALID – batch ID missing",IF(AND(AR502=1,OR(NOT(ISNUMBER(X502)),NOT(ISNUMBER(Y502)))),"INVALID – expected/actual qty missing",IF(IF(AND(TRIM(U502)="Pass",ISNUMBER(AF502)),IF(AF502&lt;&gt;0,"INVALID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recorded/closed","")&lt;&gt;"",IF(AND(TRIM(U502)="Pass",ISNUMBER(AF502)),IF(AF502&lt;&gt;0,"INVALID – qty variance: use Fail or Pass after CA",""),"")&amp;IF(AND(TRIM(U502)="Pass",AB502="Open"),"INVALID – corrective action still open: use Fail, then Pass after CA","")&amp;IF(AND(TRIM(U502)="Pass after CA",OR(TRIM(AA502)="",AB502&lt;&gt;"Closed")),"INVALID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window"),IF(AG502&gt;Flights!$AA$19,"INVALID – completed after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f>
        <v/>
      </c>
      <c r="AI502" s="67">
        <f>IF(OR(AH502="N/A – RULE",AH502="N/A – JUSTIFIED"),0,1)</f>
        <v/>
      </c>
      <c r="AJ502" s="67">
        <f>IF(LEFT(AH502,8)="COMPLETE",1,0)</f>
        <v/>
      </c>
      <c r="AK502" s="67">
        <f>IF(AND(AI502=1,AJ502=0,AsOfUTC&gt;Q502),1,0)</f>
        <v/>
      </c>
      <c r="AL502" s="67">
        <f>IF(AND(AI502=1,OR(TRIM(U502)="Fail",AB502="Open",AND(ISNUMBER(AF502),AF502&lt;&gt;0,TRIM(U502)&lt;&gt;"Pass after CA"))),1,0)</f>
        <v/>
      </c>
      <c r="AM502" s="67">
        <f>IF(LEFT(AH502,7)="INVALID",1,0)</f>
        <v/>
      </c>
      <c r="AN502" s="67">
        <f>IF(AND(N502="Clarification required",AI502=1,AJ502=0),1,0)</f>
        <v/>
      </c>
      <c r="AO502" s="67">
        <f>IF(AK502=1,SUM(AK$5:AK502),"")</f>
        <v/>
      </c>
      <c r="AP502" s="67">
        <f>IF(AL502=1,SUM(AL$5:AL502),"")</f>
        <v/>
      </c>
      <c r="AQ502" s="67" t="n">
        <v>0</v>
      </c>
      <c r="AR502" s="67" t="n">
        <v>1</v>
      </c>
      <c r="AS502" s="67" t="n">
        <v>0</v>
      </c>
      <c r="AT502" s="67" t="n">
        <v>0</v>
      </c>
    </row>
    <row r="503" ht="54" customHeight="1">
      <c r="A503" s="63" t="inlineStr">
        <is>
          <t>F15-UPL-03</t>
        </is>
      </c>
      <c r="B503" s="63" t="inlineStr">
        <is>
          <t>F15</t>
        </is>
      </c>
      <c r="C503" s="63">
        <f>Flights!$F$19</f>
        <v/>
      </c>
      <c r="D503" s="64">
        <f>Flights!$D$19</f>
        <v/>
      </c>
      <c r="E503" s="63">
        <f>Flights!$G$19&amp;"-"&amp;Flights!$H$19</f>
        <v/>
      </c>
      <c r="F503" s="63">
        <f>Flights!$K$19</f>
        <v/>
      </c>
      <c r="G503" s="63" t="inlineStr">
        <is>
          <t>UPLIFT</t>
        </is>
      </c>
      <c r="H503" s="63" t="inlineStr">
        <is>
          <t>Physical uplift</t>
        </is>
      </c>
      <c r="I503" s="63" t="inlineStr">
        <is>
          <t>Amenities</t>
        </is>
      </c>
      <c r="J503" s="63" t="inlineStr">
        <is>
          <t>Toiletry kits - on board</t>
        </is>
      </c>
      <c r="K503" s="73" t="inlineStr">
        <is>
          <t>Available for sector (ticked in reference)</t>
        </is>
      </c>
      <c r="L503" s="73" t="inlineStr">
        <is>
          <t>STD UPLIFT INFORMATION.xlsx &gt; AMENITIES!D12 / H12</t>
        </is>
      </c>
      <c r="M503" s="73" t="inlineStr">
        <is>
          <t>LHR</t>
        </is>
      </c>
      <c r="N503" s="73" t="inlineStr">
        <is>
          <t>Clarification required</t>
        </is>
      </c>
      <c r="O503" s="73" t="inlineStr">
        <is>
          <t>Reference does not state the cabin class for toiletry kits. Confirm whether EY receives them; if not, mark N/A with the confirmation as justification.</t>
        </is>
      </c>
      <c r="P503" s="63" t="inlineStr">
        <is>
          <t>LHR</t>
        </is>
      </c>
      <c r="Q503" s="65">
        <f>Flights!$AF$19</f>
        <v/>
      </c>
      <c r="R503" s="65">
        <f>Q503+(IF(AND(INDEX(TZ_DSTS,MATCH(P503,TZ_STN,0))&lt;&gt;"",Q503&gt;=INDEX(TZ_DSTS,MATCH(P503,TZ_STN,0)),Q503&lt;INDEX(TZ_DSTE,MATCH(P503,TZ_STN,0))),INDEX(TZ_DST,MATCH(P503,TZ_STN,0)),INDEX(TZ_STD,MATCH(P503,TZ_STN,0))))/24</f>
        <v/>
      </c>
      <c r="S503" s="65">
        <f>Q503-UpliftWindowH/24</f>
        <v/>
      </c>
      <c r="T503" s="66" t="n"/>
      <c r="U503" s="66" t="n"/>
      <c r="V503" s="66" t="n"/>
      <c r="W503" s="67" t="n"/>
      <c r="X503" s="66" t="n"/>
      <c r="Y503" s="66" t="n"/>
      <c r="Z503" s="66" t="n"/>
      <c r="AA503" s="66" t="n"/>
      <c r="AB503" s="66" t="n"/>
      <c r="AC503" s="66" t="n"/>
      <c r="AD503" s="72" t="n"/>
      <c r="AE503" s="66" t="n"/>
      <c r="AF503" s="67">
        <f>IF(AND(ISNUMBER(X503),ISNUMBER(Y503)),Y503-X503,"")</f>
        <v/>
      </c>
      <c r="AG503" s="68">
        <f>IF(ISNUMBER(AD503),AD503-(IF(AND(INDEX(TZ_DSTS,MATCH(P503,TZ_STN,0))&lt;&gt;"",(AD503-INDEX(TZ_STD,MATCH(P503,TZ_STN,0))/24)&gt;=INDEX(TZ_DSTS,MATCH(P503,TZ_STN,0)),(AD503-INDEX(TZ_STD,MATCH(P503,TZ_STN,0))/24)&lt;INDEX(TZ_DSTE,MATCH(P503,TZ_STN,0))),INDEX(TZ_DST,MATCH(P503,TZ_STN,0)),INDEX(TZ_STD,MATCH(P503,TZ_STN,0))))/24,"")</f>
        <v/>
      </c>
      <c r="AH503" s="71">
        <f>IF(N503="N/A – rule","N/A – RULE",IF(TRIM(U503)="N/A",IF(AT503=0,"INVALID – N/A not permitted for this mandatory check",IF(AND(TRIM(AC503)&lt;&gt;"",TRIM(AE503)&lt;&gt;"",TRIM(T503)&lt;&gt;""),"N/A – JUSTIFIED","INVALID – N/A needs justification, PIC and verifier")),IF(OR(TRIM(U503)="Pass",TRIM(U503)="Pass after CA"),IF(NOT(ISNUMBER(AD503)),"INVALID – completion time missing",IF(TRIM(T503)="","INVALID – PIC missing",IF(TRIM(Z503)="","INVALID – evidence missing",IF(TRIM(AE503)="","INVALID – verifier missing",IF(AND(AQ503=1,TRIM(W503)=""),"INVALID – batch ID missing",IF(AND(AR503=1,OR(NOT(ISNUMBER(X503)),NOT(ISNUMBER(Y503)))),"INVALID – expected/actual qty missing",IF(IF(AND(TRIM(U503)="Pass",ISNUMBER(AF503)),IF(AF503&lt;&gt;0,"INVALID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recorded/closed","")&lt;&gt;"",IF(AND(TRIM(U503)="Pass",ISNUMBER(AF503)),IF(AF503&lt;&gt;0,"INVALID – qty variance: use Fail or Pass after CA",""),"")&amp;IF(AND(TRIM(U503)="Pass",AB503="Open"),"INVALID – corrective action still open: use Fail, then Pass after CA","")&amp;IF(AND(TRIM(U503)="Pass after CA",OR(TRIM(AA503)="",AB503&lt;&gt;"Closed")),"INVALID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window"),IF(AG503&gt;Flights!$AA$19,"INVALID – completed after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f>
        <v/>
      </c>
      <c r="AI503" s="67">
        <f>IF(OR(AH503="N/A – RULE",AH503="N/A – JUSTIFIED"),0,1)</f>
        <v/>
      </c>
      <c r="AJ503" s="67">
        <f>IF(LEFT(AH503,8)="COMPLETE",1,0)</f>
        <v/>
      </c>
      <c r="AK503" s="67">
        <f>IF(AND(AI503=1,AJ503=0,AsOfUTC&gt;Q503),1,0)</f>
        <v/>
      </c>
      <c r="AL503" s="67">
        <f>IF(AND(AI503=1,OR(TRIM(U503)="Fail",AB503="Open",AND(ISNUMBER(AF503),AF503&lt;&gt;0,TRIM(U503)&lt;&gt;"Pass after CA"))),1,0)</f>
        <v/>
      </c>
      <c r="AM503" s="67">
        <f>IF(LEFT(AH503,7)="INVALID",1,0)</f>
        <v/>
      </c>
      <c r="AN503" s="67">
        <f>IF(AND(N503="Clarification required",AI503=1,AJ503=0),1,0)</f>
        <v/>
      </c>
      <c r="AO503" s="67">
        <f>IF(AK503=1,SUM(AK$5:AK503),"")</f>
        <v/>
      </c>
      <c r="AP503" s="67">
        <f>IF(AL503=1,SUM(AL$5:AL503),"")</f>
        <v/>
      </c>
      <c r="AQ503" s="67" t="n">
        <v>0</v>
      </c>
      <c r="AR503" s="67" t="n">
        <v>0</v>
      </c>
      <c r="AS503" s="67" t="n">
        <v>0</v>
      </c>
      <c r="AT503" s="67" t="n">
        <v>1</v>
      </c>
    </row>
    <row r="504" ht="40" customHeight="1">
      <c r="A504" s="63" t="inlineStr">
        <is>
          <t>F15-UPL-04</t>
        </is>
      </c>
      <c r="B504" s="63" t="inlineStr">
        <is>
          <t>F15</t>
        </is>
      </c>
      <c r="C504" s="63">
        <f>Flights!$F$19</f>
        <v/>
      </c>
      <c r="D504" s="64">
        <f>Flights!$D$19</f>
        <v/>
      </c>
      <c r="E504" s="63">
        <f>Flights!$G$19&amp;"-"&amp;Flights!$H$19</f>
        <v/>
      </c>
      <c r="F504" s="63">
        <f>Flights!$K$19</f>
        <v/>
      </c>
      <c r="G504" s="63" t="inlineStr">
        <is>
          <t>UPLIFT</t>
        </is>
      </c>
      <c r="H504" s="63" t="inlineStr">
        <is>
          <t>Physical uplift</t>
        </is>
      </c>
      <c r="I504" s="63" t="inlineStr">
        <is>
          <t>Seat Linen</t>
        </is>
      </c>
      <c r="J504" s="63" t="inlineStr">
        <is>
          <t>Seat pillow (EY) - on board</t>
        </is>
      </c>
      <c r="K504" s="73" t="inlineStr">
        <is>
          <t>Available 100% (ticked in reference)</t>
        </is>
      </c>
      <c r="L504" s="73" t="inlineStr">
        <is>
          <t>STD UPLIFT INFORMATION.xlsx &gt; SEAT LINEN!I7</t>
        </is>
      </c>
      <c r="M504" s="73" t="inlineStr">
        <is>
          <t>Not stated in reference</t>
        </is>
      </c>
      <c r="N504" s="73" t="inlineStr">
        <is>
          <t>Required</t>
        </is>
      </c>
      <c r="O504" s="73" t="inlineStr"/>
      <c r="P504" s="63" t="inlineStr">
        <is>
          <t>LHR</t>
        </is>
      </c>
      <c r="Q504" s="65">
        <f>Flights!$AF$19</f>
        <v/>
      </c>
      <c r="R504" s="65">
        <f>Q504+(IF(AND(INDEX(TZ_DSTS,MATCH(P504,TZ_STN,0))&lt;&gt;"",Q504&gt;=INDEX(TZ_DSTS,MATCH(P504,TZ_STN,0)),Q504&lt;INDEX(TZ_DSTE,MATCH(P504,TZ_STN,0))),INDEX(TZ_DST,MATCH(P504,TZ_STN,0)),INDEX(TZ_STD,MATCH(P504,TZ_STN,0))))/24</f>
        <v/>
      </c>
      <c r="S504" s="65">
        <f>Q504-UpliftWindowH/24</f>
        <v/>
      </c>
      <c r="T504" s="66" t="n"/>
      <c r="U504" s="66" t="n"/>
      <c r="V504" s="66" t="n"/>
      <c r="W504" s="67" t="n"/>
      <c r="X504" s="66" t="n"/>
      <c r="Y504" s="66" t="n"/>
      <c r="Z504" s="66" t="n"/>
      <c r="AA504" s="66" t="n"/>
      <c r="AB504" s="66" t="n"/>
      <c r="AC504" s="66" t="n"/>
      <c r="AD504" s="72" t="n"/>
      <c r="AE504" s="66" t="n"/>
      <c r="AF504" s="67">
        <f>IF(AND(ISNUMBER(X504),ISNUMBER(Y504)),Y504-X504,"")</f>
        <v/>
      </c>
      <c r="AG504" s="68">
        <f>IF(ISNUMBER(AD504),AD504-(IF(AND(INDEX(TZ_DSTS,MATCH(P504,TZ_STN,0))&lt;&gt;"",(AD504-INDEX(TZ_STD,MATCH(P504,TZ_STN,0))/24)&gt;=INDEX(TZ_DSTS,MATCH(P504,TZ_STN,0)),(AD504-INDEX(TZ_STD,MATCH(P504,TZ_STN,0))/24)&lt;INDEX(TZ_DSTE,MATCH(P504,TZ_STN,0))),INDEX(TZ_DST,MATCH(P504,TZ_STN,0)),INDEX(TZ_STD,MATCH(P504,TZ_STN,0))))/24,"")</f>
        <v/>
      </c>
      <c r="AH504" s="71">
        <f>IF(N504="N/A – rule","N/A – RULE",IF(TRIM(U504)="N/A",IF(AT504=0,"INVALID – N/A not permitted for this mandatory check",IF(AND(TRIM(AC504)&lt;&gt;"",TRIM(AE504)&lt;&gt;"",TRIM(T504)&lt;&gt;""),"N/A – JUSTIFIED","INVALID – N/A needs justification, PIC and verifier")),IF(OR(TRIM(U504)="Pass",TRIM(U504)="Pass after CA"),IF(NOT(ISNUMBER(AD504)),"INVALID – completion time missing",IF(TRIM(T504)="","INVALID – PIC missing",IF(TRIM(Z504)="","INVALID – evidence missing",IF(TRIM(AE504)="","INVALID – verifier missing",IF(AND(AQ504=1,TRIM(W504)=""),"INVALID – batch ID missing",IF(AND(AR504=1,OR(NOT(ISNUMBER(X504)),NOT(ISNUMBER(Y504)))),"INVALID – expected/actual qty missing",IF(IF(AND(TRIM(U504)="Pass",ISNUMBER(AF504)),IF(AF504&lt;&gt;0,"INVALID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recorded/closed","")&lt;&gt;"",IF(AND(TRIM(U504)="Pass",ISNUMBER(AF504)),IF(AF504&lt;&gt;0,"INVALID – qty variance: use Fail or Pass after CA",""),"")&amp;IF(AND(TRIM(U504)="Pass",AB504="Open"),"INVALID – corrective action still open: use Fail, then Pass after CA","")&amp;IF(AND(TRIM(U504)="Pass after CA",OR(TRIM(AA504)="",AB504&lt;&gt;"Closed")),"INVALID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window"),IF(AG504&gt;Flights!$AA$19,"INVALID – completed after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f>
        <v/>
      </c>
      <c r="AI504" s="67">
        <f>IF(OR(AH504="N/A – RULE",AH504="N/A – JUSTIFIED"),0,1)</f>
        <v/>
      </c>
      <c r="AJ504" s="67">
        <f>IF(LEFT(AH504,8)="COMPLETE",1,0)</f>
        <v/>
      </c>
      <c r="AK504" s="67">
        <f>IF(AND(AI504=1,AJ504=0,AsOfUTC&gt;Q504),1,0)</f>
        <v/>
      </c>
      <c r="AL504" s="67">
        <f>IF(AND(AI504=1,OR(TRIM(U504)="Fail",AB504="Open",AND(ISNUMBER(AF504),AF504&lt;&gt;0,TRIM(U504)&lt;&gt;"Pass after CA"))),1,0)</f>
        <v/>
      </c>
      <c r="AM504" s="67">
        <f>IF(LEFT(AH504,7)="INVALID",1,0)</f>
        <v/>
      </c>
      <c r="AN504" s="67">
        <f>IF(AND(N504="Clarification required",AI504=1,AJ504=0),1,0)</f>
        <v/>
      </c>
      <c r="AO504" s="67">
        <f>IF(AK504=1,SUM(AK$5:AK504),"")</f>
        <v/>
      </c>
      <c r="AP504" s="67">
        <f>IF(AL504=1,SUM(AL$5:AL504),"")</f>
        <v/>
      </c>
      <c r="AQ504" s="67" t="n">
        <v>0</v>
      </c>
      <c r="AR504" s="67" t="n">
        <v>0</v>
      </c>
      <c r="AS504" s="67" t="n">
        <v>0</v>
      </c>
      <c r="AT504" s="67" t="n">
        <v>1</v>
      </c>
    </row>
    <row r="505" ht="54" customHeight="1">
      <c r="A505" s="63" t="inlineStr">
        <is>
          <t>F15-UPL-05</t>
        </is>
      </c>
      <c r="B505" s="63" t="inlineStr">
        <is>
          <t>F15</t>
        </is>
      </c>
      <c r="C505" s="63">
        <f>Flights!$F$19</f>
        <v/>
      </c>
      <c r="D505" s="64">
        <f>Flights!$D$19</f>
        <v/>
      </c>
      <c r="E505" s="63">
        <f>Flights!$G$19&amp;"-"&amp;Flights!$H$19</f>
        <v/>
      </c>
      <c r="F505" s="63">
        <f>Flights!$K$19</f>
        <v/>
      </c>
      <c r="G505" s="63" t="inlineStr">
        <is>
          <t>UPLIFT</t>
        </is>
      </c>
      <c r="H505" s="63" t="inlineStr">
        <is>
          <t>Physical uplift</t>
        </is>
      </c>
      <c r="I505" s="63" t="inlineStr">
        <is>
          <t>Seat Linen</t>
        </is>
      </c>
      <c r="J505" s="63" t="inlineStr">
        <is>
          <t>Blanket (EY) - on board</t>
        </is>
      </c>
      <c r="K505" s="73" t="inlineStr">
        <is>
          <t>Available 100% (ticked in reference); qty 280 (A350 9M-MAH) / 260 (A359) - per tail</t>
        </is>
      </c>
      <c r="L505" s="73" t="inlineStr">
        <is>
          <t>STD UPLIFT INFORMATION.xlsx &gt; SEAT LINEN!J7</t>
        </is>
      </c>
      <c r="M505" s="73" t="inlineStr">
        <is>
          <t>Not stated in reference</t>
        </is>
      </c>
      <c r="N505" s="73" t="inlineStr">
        <is>
          <t>Required</t>
        </is>
      </c>
      <c r="O505" s="73" t="inlineStr">
        <is>
          <t>EY blanket: flight above 3 hours excl. Regional (SEAT LINEN!B74:C74); block 11.75 h. Qty per tail: A350 280 pcs (SEAT LINEN!B76:C76), A359 260 pcs (SEAT LINEN!B77:C77).</t>
        </is>
      </c>
      <c r="P505" s="63" t="inlineStr">
        <is>
          <t>LHR</t>
        </is>
      </c>
      <c r="Q505" s="65">
        <f>Flights!$AF$19</f>
        <v/>
      </c>
      <c r="R505" s="65">
        <f>Q505+(IF(AND(INDEX(TZ_DSTS,MATCH(P505,TZ_STN,0))&lt;&gt;"",Q505&gt;=INDEX(TZ_DSTS,MATCH(P505,TZ_STN,0)),Q505&lt;INDEX(TZ_DSTE,MATCH(P505,TZ_STN,0))),INDEX(TZ_DST,MATCH(P505,TZ_STN,0)),INDEX(TZ_STD,MATCH(P505,TZ_STN,0))))/24</f>
        <v/>
      </c>
      <c r="S505" s="65">
        <f>Q505-UpliftWindowH/24</f>
        <v/>
      </c>
      <c r="T505" s="66" t="n"/>
      <c r="U505" s="66" t="n"/>
      <c r="V505" s="66" t="n"/>
      <c r="W505" s="67" t="n"/>
      <c r="X505" s="74">
        <f>IF(TRIM(Flights!$N$19)="","",IF(ISNUMBER(SEARCH("MAH",Flights!$N$19)),280,260))</f>
        <v/>
      </c>
      <c r="Y505" s="66" t="n"/>
      <c r="Z505" s="66" t="n"/>
      <c r="AA505" s="66" t="n"/>
      <c r="AB505" s="66" t="n"/>
      <c r="AC505" s="66" t="n"/>
      <c r="AD505" s="72" t="n"/>
      <c r="AE505" s="66" t="n"/>
      <c r="AF505" s="67">
        <f>IF(AND(ISNUMBER(X505),ISNUMBER(Y505)),Y505-X505,"")</f>
        <v/>
      </c>
      <c r="AG505" s="68">
        <f>IF(ISNUMBER(AD505),AD505-(IF(AND(INDEX(TZ_DSTS,MATCH(P505,TZ_STN,0))&lt;&gt;"",(AD505-INDEX(TZ_STD,MATCH(P505,TZ_STN,0))/24)&gt;=INDEX(TZ_DSTS,MATCH(P505,TZ_STN,0)),(AD505-INDEX(TZ_STD,MATCH(P505,TZ_STN,0))/24)&lt;INDEX(TZ_DSTE,MATCH(P505,TZ_STN,0))),INDEX(TZ_DST,MATCH(P505,TZ_STN,0)),INDEX(TZ_STD,MATCH(P505,TZ_STN,0))))/24,"")</f>
        <v/>
      </c>
      <c r="AH505" s="71">
        <f>IF(N505="N/A – rule","N/A – RULE",IF(TRIM(U505)="N/A",IF(AT505=0,"INVALID – N/A not permitted for this mandatory check",IF(AND(TRIM(AC505)&lt;&gt;"",TRIM(AE505)&lt;&gt;"",TRIM(T505)&lt;&gt;""),"N/A – JUSTIFIED","INVALID – N/A needs justification, PIC and verifier")),IF(OR(TRIM(U505)="Pass",TRIM(U505)="Pass after CA"),IF(NOT(ISNUMBER(AD505)),"INVALID – completion time missing",IF(TRIM(T505)="","INVALID – PIC missing",IF(TRIM(Z505)="","INVALID – evidence missing",IF(TRIM(AE505)="","INVALID – verifier missing",IF(AND(AQ505=1,TRIM(W505)=""),"INVALID – batch ID missing",IF(AND(AR505=1,OR(NOT(ISNUMBER(X505)),NOT(ISNUMBER(Y505)))),"INVALID – expected/actual qty missing",IF(IF(AND(TRIM(U505)="Pass",ISNUMBER(AF505)),IF(AF505&lt;&gt;0,"INVALID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recorded/closed","")&lt;&gt;"",IF(AND(TRIM(U505)="Pass",ISNUMBER(AF505)),IF(AF505&lt;&gt;0,"INVALID – qty variance: use Fail or Pass after CA",""),"")&amp;IF(AND(TRIM(U505)="Pass",AB505="Open"),"INVALID – corrective action still open: use Fail, then Pass after CA","")&amp;IF(AND(TRIM(U505)="Pass after CA",OR(TRIM(AA505)="",AB505&lt;&gt;"Closed")),"INVALID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window"),IF(AG505&gt;Flights!$AA$19,"INVALID – completed after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f>
        <v/>
      </c>
      <c r="AI505" s="67">
        <f>IF(OR(AH505="N/A – RULE",AH505="N/A – JUSTIFIED"),0,1)</f>
        <v/>
      </c>
      <c r="AJ505" s="67">
        <f>IF(LEFT(AH505,8)="COMPLETE",1,0)</f>
        <v/>
      </c>
      <c r="AK505" s="67">
        <f>IF(AND(AI505=1,AJ505=0,AsOfUTC&gt;Q505),1,0)</f>
        <v/>
      </c>
      <c r="AL505" s="67">
        <f>IF(AND(AI505=1,OR(TRIM(U505)="Fail",AB505="Open",AND(ISNUMBER(AF505),AF505&lt;&gt;0,TRIM(U505)&lt;&gt;"Pass after CA"))),1,0)</f>
        <v/>
      </c>
      <c r="AM505" s="67">
        <f>IF(LEFT(AH505,7)="INVALID",1,0)</f>
        <v/>
      </c>
      <c r="AN505" s="67">
        <f>IF(AND(N505="Clarification required",AI505=1,AJ505=0),1,0)</f>
        <v/>
      </c>
      <c r="AO505" s="67">
        <f>IF(AK505=1,SUM(AK$5:AK505),"")</f>
        <v/>
      </c>
      <c r="AP505" s="67">
        <f>IF(AL505=1,SUM(AL$5:AL505),"")</f>
        <v/>
      </c>
      <c r="AQ505" s="67" t="n">
        <v>0</v>
      </c>
      <c r="AR505" s="67" t="n">
        <v>1</v>
      </c>
      <c r="AS505" s="67" t="n">
        <v>0</v>
      </c>
      <c r="AT505" s="67" t="n">
        <v>1</v>
      </c>
    </row>
    <row r="506" ht="40" customHeight="1">
      <c r="A506" s="63" t="inlineStr">
        <is>
          <t>F16-T7-01</t>
        </is>
      </c>
      <c r="B506" s="63" t="inlineStr">
        <is>
          <t>F16</t>
        </is>
      </c>
      <c r="C506" s="63">
        <f>Flights!$F$20</f>
        <v/>
      </c>
      <c r="D506" s="64">
        <f>Flights!$D$20</f>
        <v/>
      </c>
      <c r="E506" s="63">
        <f>Flights!$G$20&amp;"-"&amp;Flights!$H$20</f>
        <v/>
      </c>
      <c r="F506" s="63">
        <f>Flights!$K$20</f>
        <v/>
      </c>
      <c r="G506" s="63" t="inlineStr">
        <is>
          <t>T-7D</t>
        </is>
      </c>
      <c r="H506" s="63" t="inlineStr">
        <is>
          <t>Preparation</t>
        </is>
      </c>
      <c r="I506" s="63" t="inlineStr">
        <is>
          <t>Meal</t>
        </is>
      </c>
      <c r="J506" s="63" t="inlineStr">
        <is>
          <t>Meal sensory testing completed for this flight's menu cycle (assessed class)</t>
        </is>
      </c>
      <c r="K506" s="73" t="inlineStr">
        <is>
          <t>Record panel result / score in Result</t>
        </is>
      </c>
      <c r="L506" s="73" t="inlineStr">
        <is>
          <t>User brief (T-7 days)</t>
        </is>
      </c>
      <c r="M506" s="73" t="inlineStr"/>
      <c r="N506" s="73" t="inlineStr">
        <is>
          <t>Required</t>
        </is>
      </c>
      <c r="O506" s="73" t="inlineStr"/>
      <c r="P506" s="63" t="inlineStr">
        <is>
          <t>KUL</t>
        </is>
      </c>
      <c r="Q506" s="65">
        <f>Flights!$AC$20</f>
        <v/>
      </c>
      <c r="R506" s="65">
        <f>Q506+(IF(AND(INDEX(TZ_DSTS,MATCH(P506,TZ_STN,0))&lt;&gt;"",Q506&gt;=INDEX(TZ_DSTS,MATCH(P506,TZ_STN,0)),Q506&lt;INDEX(TZ_DSTE,MATCH(P506,TZ_STN,0))),INDEX(TZ_DST,MATCH(P506,TZ_STN,0)),INDEX(TZ_STD,MATCH(P506,TZ_STN,0))))/24</f>
        <v/>
      </c>
      <c r="S506" s="65" t="inlineStr"/>
      <c r="T506" s="66" t="n"/>
      <c r="U506" s="66" t="n"/>
      <c r="V506" s="66" t="n"/>
      <c r="W506" s="67" t="n"/>
      <c r="X506" s="66" t="n"/>
      <c r="Y506" s="66" t="n"/>
      <c r="Z506" s="66" t="n"/>
      <c r="AA506" s="66" t="n"/>
      <c r="AB506" s="66" t="n"/>
      <c r="AC506" s="66" t="n"/>
      <c r="AD506" s="72" t="n"/>
      <c r="AE506" s="66" t="n"/>
      <c r="AF506" s="67">
        <f>IF(AND(ISNUMBER(X506),ISNUMBER(Y506)),Y506-X506,"")</f>
        <v/>
      </c>
      <c r="AG506" s="68">
        <f>IF(ISNUMBER(AD506),AD506-(IF(AND(INDEX(TZ_DSTS,MATCH(P506,TZ_STN,0))&lt;&gt;"",(AD506-INDEX(TZ_STD,MATCH(P506,TZ_STN,0))/24)&gt;=INDEX(TZ_DSTS,MATCH(P506,TZ_STN,0)),(AD506-INDEX(TZ_STD,MATCH(P506,TZ_STN,0))/24)&lt;INDEX(TZ_DSTE,MATCH(P506,TZ_STN,0))),INDEX(TZ_DST,MATCH(P506,TZ_STN,0)),INDEX(TZ_STD,MATCH(P506,TZ_STN,0))))/24,"")</f>
        <v/>
      </c>
      <c r="AH506" s="71">
        <f>IF(N506="N/A – rule","N/A – RULE",IF(TRIM(U506)="N/A",IF(AT506=0,"INVALID – N/A not permitted for this mandatory check",IF(AND(TRIM(AC506)&lt;&gt;"",TRIM(AE506)&lt;&gt;"",TRIM(T506)&lt;&gt;""),"N/A – JUSTIFIED","INVALID – N/A needs justification, PIC and verifier")),IF(OR(TRIM(U506)="Pass",TRIM(U506)="Pass after CA"),IF(NOT(ISNUMBER(AD506)),"INVALID – completion time missing",IF(TRIM(T506)="","INVALID – PIC missing",IF(TRIM(Z506)="","INVALID – evidence missing",IF(TRIM(AE506)="","INVALID – verifier missing",IF(AND(AQ506=1,TRIM(W506)=""),"INVALID – batch ID missing",IF(AND(AR506=1,OR(NOT(ISNUMBER(X506)),NOT(ISNUMBER(Y506)))),"INVALID – expected/actual qty missing",IF(IF(AND(TRIM(U506)="Pass",ISNUMBER(AF506)),IF(AF506&lt;&gt;0,"INVALID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recorded/closed","")&lt;&gt;"",IF(AND(TRIM(U506)="Pass",ISNUMBER(AF506)),IF(AF506&lt;&gt;0,"INVALID – qty variance: use Fail or Pass after CA",""),"")&amp;IF(AND(TRIM(U506)="Pass",AB506="Open"),"INVALID – corrective action still open: use Fail, then Pass after CA","")&amp;IF(AND(TRIM(U506)="Pass after CA",OR(TRIM(AA506)="",AB506&lt;&gt;"Closed")),"INVALID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window"),IF(AG506&gt;Flights!$AA$20,"INVALID – completed after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f>
        <v/>
      </c>
      <c r="AI506" s="67">
        <f>IF(OR(AH506="N/A – RULE",AH506="N/A – JUSTIFIED"),0,1)</f>
        <v/>
      </c>
      <c r="AJ506" s="67">
        <f>IF(LEFT(AH506,8)="COMPLETE",1,0)</f>
        <v/>
      </c>
      <c r="AK506" s="67">
        <f>IF(AND(AI506=1,AJ506=0,AsOfUTC&gt;Q506),1,0)</f>
        <v/>
      </c>
      <c r="AL506" s="67">
        <f>IF(AND(AI506=1,OR(TRIM(U506)="Fail",AB506="Open",AND(ISNUMBER(AF506),AF506&lt;&gt;0,TRIM(U506)&lt;&gt;"Pass after CA"))),1,0)</f>
        <v/>
      </c>
      <c r="AM506" s="67">
        <f>IF(LEFT(AH506,7)="INVALID",1,0)</f>
        <v/>
      </c>
      <c r="AN506" s="67">
        <f>IF(AND(N506="Clarification required",AI506=1,AJ506=0),1,0)</f>
        <v/>
      </c>
      <c r="AO506" s="67">
        <f>IF(AK506=1,SUM(AK$5:AK506),"")</f>
        <v/>
      </c>
      <c r="AP506" s="67">
        <f>IF(AL506=1,SUM(AL$5:AL506),"")</f>
        <v/>
      </c>
      <c r="AQ506" s="67" t="n">
        <v>0</v>
      </c>
      <c r="AR506" s="67" t="n">
        <v>0</v>
      </c>
      <c r="AS506" s="67" t="n">
        <v>0</v>
      </c>
      <c r="AT506" s="67" t="n">
        <v>0</v>
      </c>
    </row>
    <row r="507" ht="40" customHeight="1">
      <c r="A507" s="63" t="inlineStr">
        <is>
          <t>F16-T7-02</t>
        </is>
      </c>
      <c r="B507" s="63" t="inlineStr">
        <is>
          <t>F16</t>
        </is>
      </c>
      <c r="C507" s="63">
        <f>Flights!$F$20</f>
        <v/>
      </c>
      <c r="D507" s="64">
        <f>Flights!$D$20</f>
        <v/>
      </c>
      <c r="E507" s="63">
        <f>Flights!$G$20&amp;"-"&amp;Flights!$H$20</f>
        <v/>
      </c>
      <c r="F507" s="63">
        <f>Flights!$K$20</f>
        <v/>
      </c>
      <c r="G507" s="63" t="inlineStr">
        <is>
          <t>T-7D</t>
        </is>
      </c>
      <c r="H507" s="63" t="inlineStr">
        <is>
          <t>Preparation</t>
        </is>
      </c>
      <c r="I507" s="63" t="inlineStr">
        <is>
          <t>Menu</t>
        </is>
      </c>
      <c r="J507" s="63" t="inlineStr">
        <is>
          <t>Printed menu cards confirmed (content, cycle, language, quantity)</t>
        </is>
      </c>
      <c r="K507" s="73" t="inlineStr">
        <is>
          <t>Menu card matches approved menu for this flight</t>
        </is>
      </c>
      <c r="L507" s="73" t="inlineStr">
        <is>
          <t>User brief (T-7 days)</t>
        </is>
      </c>
      <c r="M507" s="73" t="inlineStr"/>
      <c r="N507" s="73" t="inlineStr">
        <is>
          <t>Required</t>
        </is>
      </c>
      <c r="O507" s="73" t="inlineStr"/>
      <c r="P507" s="63" t="inlineStr">
        <is>
          <t>KUL</t>
        </is>
      </c>
      <c r="Q507" s="65">
        <f>Flights!$AC$20</f>
        <v/>
      </c>
      <c r="R507" s="65">
        <f>Q507+(IF(AND(INDEX(TZ_DSTS,MATCH(P507,TZ_STN,0))&lt;&gt;"",Q507&gt;=INDEX(TZ_DSTS,MATCH(P507,TZ_STN,0)),Q507&lt;INDEX(TZ_DSTE,MATCH(P507,TZ_STN,0))),INDEX(TZ_DST,MATCH(P507,TZ_STN,0)),INDEX(TZ_STD,MATCH(P507,TZ_STN,0))))/24</f>
        <v/>
      </c>
      <c r="S507" s="65" t="inlineStr"/>
      <c r="T507" s="66" t="n"/>
      <c r="U507" s="66" t="n"/>
      <c r="V507" s="66" t="n"/>
      <c r="W507" s="67" t="n"/>
      <c r="X507" s="66" t="n"/>
      <c r="Y507" s="66" t="n"/>
      <c r="Z507" s="66" t="n"/>
      <c r="AA507" s="66" t="n"/>
      <c r="AB507" s="66" t="n"/>
      <c r="AC507" s="66" t="n"/>
      <c r="AD507" s="72" t="n"/>
      <c r="AE507" s="66" t="n"/>
      <c r="AF507" s="67">
        <f>IF(AND(ISNUMBER(X507),ISNUMBER(Y507)),Y507-X507,"")</f>
        <v/>
      </c>
      <c r="AG507" s="68">
        <f>IF(ISNUMBER(AD507),AD507-(IF(AND(INDEX(TZ_DSTS,MATCH(P507,TZ_STN,0))&lt;&gt;"",(AD507-INDEX(TZ_STD,MATCH(P507,TZ_STN,0))/24)&gt;=INDEX(TZ_DSTS,MATCH(P507,TZ_STN,0)),(AD507-INDEX(TZ_STD,MATCH(P507,TZ_STN,0))/24)&lt;INDEX(TZ_DSTE,MATCH(P507,TZ_STN,0))),INDEX(TZ_DST,MATCH(P507,TZ_STN,0)),INDEX(TZ_STD,MATCH(P507,TZ_STN,0))))/24,"")</f>
        <v/>
      </c>
      <c r="AH507" s="71">
        <f>IF(N507="N/A – rule","N/A – RULE",IF(TRIM(U507)="N/A",IF(AT507=0,"INVALID – N/A not permitted for this mandatory check",IF(AND(TRIM(AC507)&lt;&gt;"",TRIM(AE507)&lt;&gt;"",TRIM(T507)&lt;&gt;""),"N/A – JUSTIFIED","INVALID – N/A needs justification, PIC and verifier")),IF(OR(TRIM(U507)="Pass",TRIM(U507)="Pass after CA"),IF(NOT(ISNUMBER(AD507)),"INVALID – completion time missing",IF(TRIM(T507)="","INVALID – PIC missing",IF(TRIM(Z507)="","INVALID – evidence missing",IF(TRIM(AE507)="","INVALID – verifier missing",IF(AND(AQ507=1,TRIM(W507)=""),"INVALID – batch ID missing",IF(AND(AR507=1,OR(NOT(ISNUMBER(X507)),NOT(ISNUMBER(Y507)))),"INVALID – expected/actual qty missing",IF(IF(AND(TRIM(U507)="Pass",ISNUMBER(AF507)),IF(AF507&lt;&gt;0,"INVALID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recorded/closed","")&lt;&gt;"",IF(AND(TRIM(U507)="Pass",ISNUMBER(AF507)),IF(AF507&lt;&gt;0,"INVALID – qty variance: use Fail or Pass after CA",""),"")&amp;IF(AND(TRIM(U507)="Pass",AB507="Open"),"INVALID – corrective action still open: use Fail, then Pass after CA","")&amp;IF(AND(TRIM(U507)="Pass after CA",OR(TRIM(AA507)="",AB507&lt;&gt;"Closed")),"INVALID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window"),IF(AG507&gt;Flights!$AA$20,"INVALID – completed after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f>
        <v/>
      </c>
      <c r="AI507" s="67">
        <f>IF(OR(AH507="N/A – RULE",AH507="N/A – JUSTIFIED"),0,1)</f>
        <v/>
      </c>
      <c r="AJ507" s="67">
        <f>IF(LEFT(AH507,8)="COMPLETE",1,0)</f>
        <v/>
      </c>
      <c r="AK507" s="67">
        <f>IF(AND(AI507=1,AJ507=0,AsOfUTC&gt;Q507),1,0)</f>
        <v/>
      </c>
      <c r="AL507" s="67">
        <f>IF(AND(AI507=1,OR(TRIM(U507)="Fail",AB507="Open",AND(ISNUMBER(AF507),AF507&lt;&gt;0,TRIM(U507)&lt;&gt;"Pass after CA"))),1,0)</f>
        <v/>
      </c>
      <c r="AM507" s="67">
        <f>IF(LEFT(AH507,7)="INVALID",1,0)</f>
        <v/>
      </c>
      <c r="AN507" s="67">
        <f>IF(AND(N507="Clarification required",AI507=1,AJ507=0),1,0)</f>
        <v/>
      </c>
      <c r="AO507" s="67">
        <f>IF(AK507=1,SUM(AK$5:AK507),"")</f>
        <v/>
      </c>
      <c r="AP507" s="67">
        <f>IF(AL507=1,SUM(AL$5:AL507),"")</f>
        <v/>
      </c>
      <c r="AQ507" s="67" t="n">
        <v>0</v>
      </c>
      <c r="AR507" s="67" t="n">
        <v>0</v>
      </c>
      <c r="AS507" s="67" t="n">
        <v>0</v>
      </c>
      <c r="AT507" s="67" t="n">
        <v>1</v>
      </c>
    </row>
    <row r="508" ht="41.5" customHeight="1">
      <c r="A508" s="63" t="inlineStr">
        <is>
          <t>F16-T7-03</t>
        </is>
      </c>
      <c r="B508" s="63" t="inlineStr">
        <is>
          <t>F16</t>
        </is>
      </c>
      <c r="C508" s="63">
        <f>Flights!$F$20</f>
        <v/>
      </c>
      <c r="D508" s="64">
        <f>Flights!$D$20</f>
        <v/>
      </c>
      <c r="E508" s="63">
        <f>Flights!$G$20&amp;"-"&amp;Flights!$H$20</f>
        <v/>
      </c>
      <c r="F508" s="63">
        <f>Flights!$K$20</f>
        <v/>
      </c>
      <c r="G508" s="63" t="inlineStr">
        <is>
          <t>T-7D</t>
        </is>
      </c>
      <c r="H508" s="63" t="inlineStr">
        <is>
          <t>Preparation</t>
        </is>
      </c>
      <c r="I508" s="63" t="inlineStr">
        <is>
          <t>IFE</t>
        </is>
      </c>
      <c r="J508" s="63" t="inlineStr">
        <is>
          <t>Digital menu in IFE confirmed (A339 only)</t>
        </is>
      </c>
      <c r="K508" s="73" t="inlineStr">
        <is>
          <t>Applies when fleet = A339</t>
        </is>
      </c>
      <c r="L508" s="73" t="inlineStr">
        <is>
          <t>User brief (T-7 days)</t>
        </is>
      </c>
      <c r="M508" s="73" t="inlineStr"/>
      <c r="N508" s="73">
        <f>IF(TRIM(Flights!$L$20)="A339","Required","N/A – rule")</f>
        <v/>
      </c>
      <c r="O508" s="73" t="inlineStr">
        <is>
          <t>Digital IFE menu applies to A339 only (user brief). Applicability follows the Fleet cell on Flights.</t>
        </is>
      </c>
      <c r="P508" s="63" t="inlineStr">
        <is>
          <t>KUL</t>
        </is>
      </c>
      <c r="Q508" s="65">
        <f>Flights!$AC$20</f>
        <v/>
      </c>
      <c r="R508" s="65">
        <f>Q508+(IF(AND(INDEX(TZ_DSTS,MATCH(P508,TZ_STN,0))&lt;&gt;"",Q508&gt;=INDEX(TZ_DSTS,MATCH(P508,TZ_STN,0)),Q508&lt;INDEX(TZ_DSTE,MATCH(P508,TZ_STN,0))),INDEX(TZ_DST,MATCH(P508,TZ_STN,0)),INDEX(TZ_STD,MATCH(P508,TZ_STN,0))))/24</f>
        <v/>
      </c>
      <c r="S508" s="65" t="inlineStr"/>
      <c r="T508" s="66" t="n"/>
      <c r="U508" s="66" t="n"/>
      <c r="V508" s="66" t="n"/>
      <c r="W508" s="67" t="n"/>
      <c r="X508" s="66" t="n"/>
      <c r="Y508" s="66" t="n"/>
      <c r="Z508" s="66" t="n"/>
      <c r="AA508" s="66" t="n"/>
      <c r="AB508" s="66" t="n"/>
      <c r="AC508" s="66" t="n"/>
      <c r="AD508" s="72" t="n"/>
      <c r="AE508" s="66" t="n"/>
      <c r="AF508" s="67">
        <f>IF(AND(ISNUMBER(X508),ISNUMBER(Y508)),Y508-X508,"")</f>
        <v/>
      </c>
      <c r="AG508" s="68">
        <f>IF(ISNUMBER(AD508),AD508-(IF(AND(INDEX(TZ_DSTS,MATCH(P508,TZ_STN,0))&lt;&gt;"",(AD508-INDEX(TZ_STD,MATCH(P508,TZ_STN,0))/24)&gt;=INDEX(TZ_DSTS,MATCH(P508,TZ_STN,0)),(AD508-INDEX(TZ_STD,MATCH(P508,TZ_STN,0))/24)&lt;INDEX(TZ_DSTE,MATCH(P508,TZ_STN,0))),INDEX(TZ_DST,MATCH(P508,TZ_STN,0)),INDEX(TZ_STD,MATCH(P508,TZ_STN,0))))/24,"")</f>
        <v/>
      </c>
      <c r="AH508" s="71">
        <f>IF(N508="N/A – rule","N/A – RULE",IF(TRIM(U508)="N/A",IF(AT508=0,"INVALID – N/A not permitted for this mandatory check",IF(AND(TRIM(AC508)&lt;&gt;"",TRIM(AE508)&lt;&gt;"",TRIM(T508)&lt;&gt;""),"N/A – JUSTIFIED","INVALID – N/A needs justification, PIC and verifier")),IF(OR(TRIM(U508)="Pass",TRIM(U508)="Pass after CA"),IF(NOT(ISNUMBER(AD508)),"INVALID – completion time missing",IF(TRIM(T508)="","INVALID – PIC missing",IF(TRIM(Z508)="","INVALID – evidence missing",IF(TRIM(AE508)="","INVALID – verifier missing",IF(AND(AQ508=1,TRIM(W508)=""),"INVALID – batch ID missing",IF(AND(AR508=1,OR(NOT(ISNUMBER(X508)),NOT(ISNUMBER(Y508)))),"INVALID – expected/actual qty missing",IF(IF(AND(TRIM(U508)="Pass",ISNUMBER(AF508)),IF(AF508&lt;&gt;0,"INVALID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recorded/closed","")&lt;&gt;"",IF(AND(TRIM(U508)="Pass",ISNUMBER(AF508)),IF(AF508&lt;&gt;0,"INVALID – qty variance: use Fail or Pass after CA",""),"")&amp;IF(AND(TRIM(U508)="Pass",AB508="Open"),"INVALID – corrective action still open: use Fail, then Pass after CA","")&amp;IF(AND(TRIM(U508)="Pass after CA",OR(TRIM(AA508)="",AB508&lt;&gt;"Closed")),"INVALID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window"),IF(AG508&gt;Flights!$AA$20,"INVALID – completed after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f>
        <v/>
      </c>
      <c r="AI508" s="67">
        <f>IF(OR(AH508="N/A – RULE",AH508="N/A – JUSTIFIED"),0,1)</f>
        <v/>
      </c>
      <c r="AJ508" s="67">
        <f>IF(LEFT(AH508,8)="COMPLETE",1,0)</f>
        <v/>
      </c>
      <c r="AK508" s="67">
        <f>IF(AND(AI508=1,AJ508=0,AsOfUTC&gt;Q508),1,0)</f>
        <v/>
      </c>
      <c r="AL508" s="67">
        <f>IF(AND(AI508=1,OR(TRIM(U508)="Fail",AB508="Open",AND(ISNUMBER(AF508),AF508&lt;&gt;0,TRIM(U508)&lt;&gt;"Pass after CA"))),1,0)</f>
        <v/>
      </c>
      <c r="AM508" s="67">
        <f>IF(LEFT(AH508,7)="INVALID",1,0)</f>
        <v/>
      </c>
      <c r="AN508" s="67">
        <f>IF(AND(N508="Clarification required",AI508=1,AJ508=0),1,0)</f>
        <v/>
      </c>
      <c r="AO508" s="67">
        <f>IF(AK508=1,SUM(AK$5:AK508),"")</f>
        <v/>
      </c>
      <c r="AP508" s="67">
        <f>IF(AL508=1,SUM(AL$5:AL508),"")</f>
        <v/>
      </c>
      <c r="AQ508" s="67" t="n">
        <v>0</v>
      </c>
      <c r="AR508" s="67" t="n">
        <v>0</v>
      </c>
      <c r="AS508" s="67" t="n">
        <v>0</v>
      </c>
      <c r="AT508" s="67" t="n">
        <v>0</v>
      </c>
    </row>
    <row r="509" ht="40" customHeight="1">
      <c r="A509" s="63" t="inlineStr">
        <is>
          <t>F16-T7-04</t>
        </is>
      </c>
      <c r="B509" s="63" t="inlineStr">
        <is>
          <t>F16</t>
        </is>
      </c>
      <c r="C509" s="63">
        <f>Flights!$F$20</f>
        <v/>
      </c>
      <c r="D509" s="64">
        <f>Flights!$D$20</f>
        <v/>
      </c>
      <c r="E509" s="63">
        <f>Flights!$G$20&amp;"-"&amp;Flights!$H$20</f>
        <v/>
      </c>
      <c r="F509" s="63">
        <f>Flights!$K$20</f>
        <v/>
      </c>
      <c r="G509" s="63" t="inlineStr">
        <is>
          <t>T-7D</t>
        </is>
      </c>
      <c r="H509" s="63" t="inlineStr">
        <is>
          <t>Preparation</t>
        </is>
      </c>
      <c r="I509" s="63" t="inlineStr">
        <is>
          <t>Staffing</t>
        </is>
      </c>
      <c r="J509" s="63" t="inlineStr">
        <is>
          <t>Experienced catering officer assigned to this flight</t>
        </is>
      </c>
      <c r="K509" s="73" t="inlineStr">
        <is>
          <t>Record officer name in Result</t>
        </is>
      </c>
      <c r="L509" s="73" t="inlineStr">
        <is>
          <t>User brief (T-7 days)</t>
        </is>
      </c>
      <c r="M509" s="73" t="inlineStr"/>
      <c r="N509" s="73" t="inlineStr">
        <is>
          <t>Required</t>
        </is>
      </c>
      <c r="O509" s="73" t="inlineStr"/>
      <c r="P509" s="63" t="inlineStr">
        <is>
          <t>KUL</t>
        </is>
      </c>
      <c r="Q509" s="65">
        <f>Flights!$AC$20</f>
        <v/>
      </c>
      <c r="R509" s="65">
        <f>Q509+(IF(AND(INDEX(TZ_DSTS,MATCH(P509,TZ_STN,0))&lt;&gt;"",Q509&gt;=INDEX(TZ_DSTS,MATCH(P509,TZ_STN,0)),Q509&lt;INDEX(TZ_DSTE,MATCH(P509,TZ_STN,0))),INDEX(TZ_DST,MATCH(P509,TZ_STN,0)),INDEX(TZ_STD,MATCH(P509,TZ_STN,0))))/24</f>
        <v/>
      </c>
      <c r="S509" s="65" t="inlineStr"/>
      <c r="T509" s="66" t="n"/>
      <c r="U509" s="66" t="n"/>
      <c r="V509" s="66" t="n"/>
      <c r="W509" s="67" t="n"/>
      <c r="X509" s="66" t="n"/>
      <c r="Y509" s="66" t="n"/>
      <c r="Z509" s="66" t="n"/>
      <c r="AA509" s="66" t="n"/>
      <c r="AB509" s="66" t="n"/>
      <c r="AC509" s="66" t="n"/>
      <c r="AD509" s="72" t="n"/>
      <c r="AE509" s="66" t="n"/>
      <c r="AF509" s="67">
        <f>IF(AND(ISNUMBER(X509),ISNUMBER(Y509)),Y509-X509,"")</f>
        <v/>
      </c>
      <c r="AG509" s="68">
        <f>IF(ISNUMBER(AD509),AD509-(IF(AND(INDEX(TZ_DSTS,MATCH(P509,TZ_STN,0))&lt;&gt;"",(AD509-INDEX(TZ_STD,MATCH(P509,TZ_STN,0))/24)&gt;=INDEX(TZ_DSTS,MATCH(P509,TZ_STN,0)),(AD509-INDEX(TZ_STD,MATCH(P509,TZ_STN,0))/24)&lt;INDEX(TZ_DSTE,MATCH(P509,TZ_STN,0))),INDEX(TZ_DST,MATCH(P509,TZ_STN,0)),INDEX(TZ_STD,MATCH(P509,TZ_STN,0))))/24,"")</f>
        <v/>
      </c>
      <c r="AH509" s="71">
        <f>IF(N509="N/A – rule","N/A – RULE",IF(TRIM(U509)="N/A",IF(AT509=0,"INVALID – N/A not permitted for this mandatory check",IF(AND(TRIM(AC509)&lt;&gt;"",TRIM(AE509)&lt;&gt;"",TRIM(T509)&lt;&gt;""),"N/A – JUSTIFIED","INVALID – N/A needs justification, PIC and verifier")),IF(OR(TRIM(U509)="Pass",TRIM(U509)="Pass after CA"),IF(NOT(ISNUMBER(AD509)),"INVALID – completion time missing",IF(TRIM(T509)="","INVALID – PIC missing",IF(TRIM(Z509)="","INVALID – evidence missing",IF(TRIM(AE509)="","INVALID – verifier missing",IF(AND(AQ509=1,TRIM(W509)=""),"INVALID – batch ID missing",IF(AND(AR509=1,OR(NOT(ISNUMBER(X509)),NOT(ISNUMBER(Y509)))),"INVALID – expected/actual qty missing",IF(IF(AND(TRIM(U509)="Pass",ISNUMBER(AF509)),IF(AF509&lt;&gt;0,"INVALID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recorded/closed","")&lt;&gt;"",IF(AND(TRIM(U509)="Pass",ISNUMBER(AF509)),IF(AF509&lt;&gt;0,"INVALID – qty variance: use Fail or Pass after CA",""),"")&amp;IF(AND(TRIM(U509)="Pass",AB509="Open"),"INVALID – corrective action still open: use Fail, then Pass after CA","")&amp;IF(AND(TRIM(U509)="Pass after CA",OR(TRIM(AA509)="",AB509&lt;&gt;"Closed")),"INVALID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window"),IF(AG509&gt;Flights!$AA$20,"INVALID – completed after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f>
        <v/>
      </c>
      <c r="AI509" s="67">
        <f>IF(OR(AH509="N/A – RULE",AH509="N/A – JUSTIFIED"),0,1)</f>
        <v/>
      </c>
      <c r="AJ509" s="67">
        <f>IF(LEFT(AH509,8)="COMPLETE",1,0)</f>
        <v/>
      </c>
      <c r="AK509" s="67">
        <f>IF(AND(AI509=1,AJ509=0,AsOfUTC&gt;Q509),1,0)</f>
        <v/>
      </c>
      <c r="AL509" s="67">
        <f>IF(AND(AI509=1,OR(TRIM(U509)="Fail",AB509="Open",AND(ISNUMBER(AF509),AF509&lt;&gt;0,TRIM(U509)&lt;&gt;"Pass after CA"))),1,0)</f>
        <v/>
      </c>
      <c r="AM509" s="67">
        <f>IF(LEFT(AH509,7)="INVALID",1,0)</f>
        <v/>
      </c>
      <c r="AN509" s="67">
        <f>IF(AND(N509="Clarification required",AI509=1,AJ509=0),1,0)</f>
        <v/>
      </c>
      <c r="AO509" s="67">
        <f>IF(AK509=1,SUM(AK$5:AK509),"")</f>
        <v/>
      </c>
      <c r="AP509" s="67">
        <f>IF(AL509=1,SUM(AL$5:AL509),"")</f>
        <v/>
      </c>
      <c r="AQ509" s="67" t="n">
        <v>0</v>
      </c>
      <c r="AR509" s="67" t="n">
        <v>0</v>
      </c>
      <c r="AS509" s="67" t="n">
        <v>0</v>
      </c>
      <c r="AT509" s="67" t="n">
        <v>0</v>
      </c>
    </row>
    <row r="510" ht="40" customHeight="1">
      <c r="A510" s="63" t="inlineStr">
        <is>
          <t>F16-T7-05</t>
        </is>
      </c>
      <c r="B510" s="63" t="inlineStr">
        <is>
          <t>F16</t>
        </is>
      </c>
      <c r="C510" s="63">
        <f>Flights!$F$20</f>
        <v/>
      </c>
      <c r="D510" s="64">
        <f>Flights!$D$20</f>
        <v/>
      </c>
      <c r="E510" s="63">
        <f>Flights!$G$20&amp;"-"&amp;Flights!$H$20</f>
        <v/>
      </c>
      <c r="F510" s="63">
        <f>Flights!$K$20</f>
        <v/>
      </c>
      <c r="G510" s="63" t="inlineStr">
        <is>
          <t>T-7D</t>
        </is>
      </c>
      <c r="H510" s="63" t="inlineStr">
        <is>
          <t>Preparation</t>
        </is>
      </c>
      <c r="I510" s="63" t="inlineStr">
        <is>
          <t>ISOP</t>
        </is>
      </c>
      <c r="J510" s="63" t="inlineStr">
        <is>
          <t>All latest applicable ISOP revisions communicated to caterer</t>
        </is>
      </c>
      <c r="K510" s="73" t="inlineStr">
        <is>
          <t>List revision numbers in Result (see ISOP register)</t>
        </is>
      </c>
      <c r="L510" s="73" t="inlineStr">
        <is>
          <t>User brief (T-7 days)</t>
        </is>
      </c>
      <c r="M510" s="73" t="inlineStr"/>
      <c r="N510" s="73" t="inlineStr">
        <is>
          <t>Required</t>
        </is>
      </c>
      <c r="O510" s="73" t="inlineStr"/>
      <c r="P510" s="63" t="inlineStr">
        <is>
          <t>KUL</t>
        </is>
      </c>
      <c r="Q510" s="65">
        <f>Flights!$AC$20</f>
        <v/>
      </c>
      <c r="R510" s="65">
        <f>Q510+(IF(AND(INDEX(TZ_DSTS,MATCH(P510,TZ_STN,0))&lt;&gt;"",Q510&gt;=INDEX(TZ_DSTS,MATCH(P510,TZ_STN,0)),Q510&lt;INDEX(TZ_DSTE,MATCH(P510,TZ_STN,0))),INDEX(TZ_DST,MATCH(P510,TZ_STN,0)),INDEX(TZ_STD,MATCH(P510,TZ_STN,0))))/24</f>
        <v/>
      </c>
      <c r="S510" s="65" t="inlineStr"/>
      <c r="T510" s="66" t="n"/>
      <c r="U510" s="66" t="n"/>
      <c r="V510" s="66" t="n"/>
      <c r="W510" s="67" t="n"/>
      <c r="X510" s="66" t="n"/>
      <c r="Y510" s="66" t="n"/>
      <c r="Z510" s="66" t="n"/>
      <c r="AA510" s="66" t="n"/>
      <c r="AB510" s="66" t="n"/>
      <c r="AC510" s="66" t="n"/>
      <c r="AD510" s="72" t="n"/>
      <c r="AE510" s="66" t="n"/>
      <c r="AF510" s="67">
        <f>IF(AND(ISNUMBER(X510),ISNUMBER(Y510)),Y510-X510,"")</f>
        <v/>
      </c>
      <c r="AG510" s="68">
        <f>IF(ISNUMBER(AD510),AD510-(IF(AND(INDEX(TZ_DSTS,MATCH(P510,TZ_STN,0))&lt;&gt;"",(AD510-INDEX(TZ_STD,MATCH(P510,TZ_STN,0))/24)&gt;=INDEX(TZ_DSTS,MATCH(P510,TZ_STN,0)),(AD510-INDEX(TZ_STD,MATCH(P510,TZ_STN,0))/24)&lt;INDEX(TZ_DSTE,MATCH(P510,TZ_STN,0))),INDEX(TZ_DST,MATCH(P510,TZ_STN,0)),INDEX(TZ_STD,MATCH(P510,TZ_STN,0))))/24,"")</f>
        <v/>
      </c>
      <c r="AH510" s="71">
        <f>IF(N510="N/A – rule","N/A – RULE",IF(TRIM(U510)="N/A",IF(AT510=0,"INVALID – N/A not permitted for this mandatory check",IF(AND(TRIM(AC510)&lt;&gt;"",TRIM(AE510)&lt;&gt;"",TRIM(T510)&lt;&gt;""),"N/A – JUSTIFIED","INVALID – N/A needs justification, PIC and verifier")),IF(OR(TRIM(U510)="Pass",TRIM(U510)="Pass after CA"),IF(NOT(ISNUMBER(AD510)),"INVALID – completion time missing",IF(TRIM(T510)="","INVALID – PIC missing",IF(TRIM(Z510)="","INVALID – evidence missing",IF(TRIM(AE510)="","INVALID – verifier missing",IF(AND(AQ510=1,TRIM(W510)=""),"INVALID – batch ID missing",IF(AND(AR510=1,OR(NOT(ISNUMBER(X510)),NOT(ISNUMBER(Y510)))),"INVALID – expected/actual qty missing",IF(IF(AND(TRIM(U510)="Pass",ISNUMBER(AF510)),IF(AF510&lt;&gt;0,"INVALID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recorded/closed","")&lt;&gt;"",IF(AND(TRIM(U510)="Pass",ISNUMBER(AF510)),IF(AF510&lt;&gt;0,"INVALID – qty variance: use Fail or Pass after CA",""),"")&amp;IF(AND(TRIM(U510)="Pass",AB510="Open"),"INVALID – corrective action still open: use Fail, then Pass after CA","")&amp;IF(AND(TRIM(U510)="Pass after CA",OR(TRIM(AA510)="",AB510&lt;&gt;"Closed")),"INVALID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window"),IF(AG510&gt;Flights!$AA$20,"INVALID – completed after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f>
        <v/>
      </c>
      <c r="AI510" s="67">
        <f>IF(OR(AH510="N/A – RULE",AH510="N/A – JUSTIFIED"),0,1)</f>
        <v/>
      </c>
      <c r="AJ510" s="67">
        <f>IF(LEFT(AH510,8)="COMPLETE",1,0)</f>
        <v/>
      </c>
      <c r="AK510" s="67">
        <f>IF(AND(AI510=1,AJ510=0,AsOfUTC&gt;Q510),1,0)</f>
        <v/>
      </c>
      <c r="AL510" s="67">
        <f>IF(AND(AI510=1,OR(TRIM(U510)="Fail",AB510="Open",AND(ISNUMBER(AF510),AF510&lt;&gt;0,TRIM(U510)&lt;&gt;"Pass after CA"))),1,0)</f>
        <v/>
      </c>
      <c r="AM510" s="67">
        <f>IF(LEFT(AH510,7)="INVALID",1,0)</f>
        <v/>
      </c>
      <c r="AN510" s="67">
        <f>IF(AND(N510="Clarification required",AI510=1,AJ510=0),1,0)</f>
        <v/>
      </c>
      <c r="AO510" s="67">
        <f>IF(AK510=1,SUM(AK$5:AK510),"")</f>
        <v/>
      </c>
      <c r="AP510" s="67">
        <f>IF(AL510=1,SUM(AL$5:AL510),"")</f>
        <v/>
      </c>
      <c r="AQ510" s="67" t="n">
        <v>0</v>
      </c>
      <c r="AR510" s="67" t="n">
        <v>0</v>
      </c>
      <c r="AS510" s="67" t="n">
        <v>0</v>
      </c>
      <c r="AT510" s="67" t="n">
        <v>0</v>
      </c>
    </row>
    <row r="511" ht="40" customHeight="1">
      <c r="A511" s="63" t="inlineStr">
        <is>
          <t>F16-T7-06</t>
        </is>
      </c>
      <c r="B511" s="63" t="inlineStr">
        <is>
          <t>F16</t>
        </is>
      </c>
      <c r="C511" s="63">
        <f>Flights!$F$20</f>
        <v/>
      </c>
      <c r="D511" s="64">
        <f>Flights!$D$20</f>
        <v/>
      </c>
      <c r="E511" s="63">
        <f>Flights!$G$20&amp;"-"&amp;Flights!$H$20</f>
        <v/>
      </c>
      <c r="F511" s="63">
        <f>Flights!$K$20</f>
        <v/>
      </c>
      <c r="G511" s="63" t="inlineStr">
        <is>
          <t>T-7D</t>
        </is>
      </c>
      <c r="H511" s="63" t="inlineStr">
        <is>
          <t>Preparation</t>
        </is>
      </c>
      <c r="I511" s="63" t="inlineStr">
        <is>
          <t>ISOP</t>
        </is>
      </c>
      <c r="J511" s="63" t="inlineStr">
        <is>
          <t>Caterer acknowledgement of ISOP revisions recorded</t>
        </is>
      </c>
      <c r="K511" s="73" t="inlineStr">
        <is>
          <t>Record acknowledgement ref in Evidence</t>
        </is>
      </c>
      <c r="L511" s="73" t="inlineStr">
        <is>
          <t>User brief (T-7 days)</t>
        </is>
      </c>
      <c r="M511" s="73" t="inlineStr"/>
      <c r="N511" s="73" t="inlineStr">
        <is>
          <t>Required</t>
        </is>
      </c>
      <c r="O511" s="73" t="inlineStr"/>
      <c r="P511" s="63" t="inlineStr">
        <is>
          <t>KUL</t>
        </is>
      </c>
      <c r="Q511" s="65">
        <f>Flights!$AC$20</f>
        <v/>
      </c>
      <c r="R511" s="65">
        <f>Q511+(IF(AND(INDEX(TZ_DSTS,MATCH(P511,TZ_STN,0))&lt;&gt;"",Q511&gt;=INDEX(TZ_DSTS,MATCH(P511,TZ_STN,0)),Q511&lt;INDEX(TZ_DSTE,MATCH(P511,TZ_STN,0))),INDEX(TZ_DST,MATCH(P511,TZ_STN,0)),INDEX(TZ_STD,MATCH(P511,TZ_STN,0))))/24</f>
        <v/>
      </c>
      <c r="S511" s="65" t="inlineStr"/>
      <c r="T511" s="66" t="n"/>
      <c r="U511" s="66" t="n"/>
      <c r="V511" s="66" t="n"/>
      <c r="W511" s="67" t="n"/>
      <c r="X511" s="66" t="n"/>
      <c r="Y511" s="66" t="n"/>
      <c r="Z511" s="66" t="n"/>
      <c r="AA511" s="66" t="n"/>
      <c r="AB511" s="66" t="n"/>
      <c r="AC511" s="66" t="n"/>
      <c r="AD511" s="72" t="n"/>
      <c r="AE511" s="66" t="n"/>
      <c r="AF511" s="67">
        <f>IF(AND(ISNUMBER(X511),ISNUMBER(Y511)),Y511-X511,"")</f>
        <v/>
      </c>
      <c r="AG511" s="68">
        <f>IF(ISNUMBER(AD511),AD511-(IF(AND(INDEX(TZ_DSTS,MATCH(P511,TZ_STN,0))&lt;&gt;"",(AD511-INDEX(TZ_STD,MATCH(P511,TZ_STN,0))/24)&gt;=INDEX(TZ_DSTS,MATCH(P511,TZ_STN,0)),(AD511-INDEX(TZ_STD,MATCH(P511,TZ_STN,0))/24)&lt;INDEX(TZ_DSTE,MATCH(P511,TZ_STN,0))),INDEX(TZ_DST,MATCH(P511,TZ_STN,0)),INDEX(TZ_STD,MATCH(P511,TZ_STN,0))))/24,"")</f>
        <v/>
      </c>
      <c r="AH511" s="71">
        <f>IF(N511="N/A – rule","N/A – RULE",IF(TRIM(U511)="N/A",IF(AT511=0,"INVALID – N/A not permitted for this mandatory check",IF(AND(TRIM(AC511)&lt;&gt;"",TRIM(AE511)&lt;&gt;"",TRIM(T511)&lt;&gt;""),"N/A – JUSTIFIED","INVALID – N/A needs justification, PIC and verifier")),IF(OR(TRIM(U511)="Pass",TRIM(U511)="Pass after CA"),IF(NOT(ISNUMBER(AD511)),"INVALID – completion time missing",IF(TRIM(T511)="","INVALID – PIC missing",IF(TRIM(Z511)="","INVALID – evidence missing",IF(TRIM(AE511)="","INVALID – verifier missing",IF(AND(AQ511=1,TRIM(W511)=""),"INVALID – batch ID missing",IF(AND(AR511=1,OR(NOT(ISNUMBER(X511)),NOT(ISNUMBER(Y511)))),"INVALID – expected/actual qty missing",IF(IF(AND(TRIM(U511)="Pass",ISNUMBER(AF511)),IF(AF511&lt;&gt;0,"INVALID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recorded/closed","")&lt;&gt;"",IF(AND(TRIM(U511)="Pass",ISNUMBER(AF511)),IF(AF511&lt;&gt;0,"INVALID – qty variance: use Fail or Pass after CA",""),"")&amp;IF(AND(TRIM(U511)="Pass",AB511="Open"),"INVALID – corrective action still open: use Fail, then Pass after CA","")&amp;IF(AND(TRIM(U511)="Pass after CA",OR(TRIM(AA511)="",AB511&lt;&gt;"Closed")),"INVALID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window"),IF(AG511&gt;Flights!$AA$20,"INVALID – completed after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f>
        <v/>
      </c>
      <c r="AI511" s="67">
        <f>IF(OR(AH511="N/A – RULE",AH511="N/A – JUSTIFIED"),0,1)</f>
        <v/>
      </c>
      <c r="AJ511" s="67">
        <f>IF(LEFT(AH511,8)="COMPLETE",1,0)</f>
        <v/>
      </c>
      <c r="AK511" s="67">
        <f>IF(AND(AI511=1,AJ511=0,AsOfUTC&gt;Q511),1,0)</f>
        <v/>
      </c>
      <c r="AL511" s="67">
        <f>IF(AND(AI511=1,OR(TRIM(U511)="Fail",AB511="Open",AND(ISNUMBER(AF511),AF511&lt;&gt;0,TRIM(U511)&lt;&gt;"Pass after CA"))),1,0)</f>
        <v/>
      </c>
      <c r="AM511" s="67">
        <f>IF(LEFT(AH511,7)="INVALID",1,0)</f>
        <v/>
      </c>
      <c r="AN511" s="67">
        <f>IF(AND(N511="Clarification required",AI511=1,AJ511=0),1,0)</f>
        <v/>
      </c>
      <c r="AO511" s="67">
        <f>IF(AK511=1,SUM(AK$5:AK511),"")</f>
        <v/>
      </c>
      <c r="AP511" s="67">
        <f>IF(AL511=1,SUM(AL$5:AL511),"")</f>
        <v/>
      </c>
      <c r="AQ511" s="67" t="n">
        <v>0</v>
      </c>
      <c r="AR511" s="67" t="n">
        <v>0</v>
      </c>
      <c r="AS511" s="67" t="n">
        <v>0</v>
      </c>
      <c r="AT511" s="67" t="n">
        <v>0</v>
      </c>
    </row>
    <row r="512" ht="40" customHeight="1">
      <c r="A512" s="63" t="inlineStr">
        <is>
          <t>F16-T7-07</t>
        </is>
      </c>
      <c r="B512" s="63" t="inlineStr">
        <is>
          <t>F16</t>
        </is>
      </c>
      <c r="C512" s="63">
        <f>Flights!$F$20</f>
        <v/>
      </c>
      <c r="D512" s="64">
        <f>Flights!$D$20</f>
        <v/>
      </c>
      <c r="E512" s="63">
        <f>Flights!$G$20&amp;"-"&amp;Flights!$H$20</f>
        <v/>
      </c>
      <c r="F512" s="63">
        <f>Flights!$K$20</f>
        <v/>
      </c>
      <c r="G512" s="63" t="inlineStr">
        <is>
          <t>T-7D</t>
        </is>
      </c>
      <c r="H512" s="63" t="inlineStr">
        <is>
          <t>Preparation</t>
        </is>
      </c>
      <c r="I512" s="63" t="inlineStr">
        <is>
          <t>Documents</t>
        </is>
      </c>
      <c r="J512" s="63" t="inlineStr">
        <is>
          <t>Galley loading diagram (GLD) received, revision recorded &amp; attached</t>
        </is>
      </c>
      <c r="K512" s="73" t="inlineStr">
        <is>
          <t>Documents sheet row complete</t>
        </is>
      </c>
      <c r="L512" s="73" t="inlineStr">
        <is>
          <t>User brief (T-7 days)</t>
        </is>
      </c>
      <c r="M512" s="73" t="inlineStr"/>
      <c r="N512" s="73" t="inlineStr">
        <is>
          <t>Required</t>
        </is>
      </c>
      <c r="O512" s="73" t="inlineStr"/>
      <c r="P512" s="63" t="inlineStr">
        <is>
          <t>KUL</t>
        </is>
      </c>
      <c r="Q512" s="65">
        <f>Flights!$AC$20</f>
        <v/>
      </c>
      <c r="R512" s="65">
        <f>Q512+(IF(AND(INDEX(TZ_DSTS,MATCH(P512,TZ_STN,0))&lt;&gt;"",Q512&gt;=INDEX(TZ_DSTS,MATCH(P512,TZ_STN,0)),Q512&lt;INDEX(TZ_DSTE,MATCH(P512,TZ_STN,0))),INDEX(TZ_DST,MATCH(P512,TZ_STN,0)),INDEX(TZ_STD,MATCH(P512,TZ_STN,0))))/24</f>
        <v/>
      </c>
      <c r="S512" s="65" t="inlineStr"/>
      <c r="T512" s="66" t="n"/>
      <c r="U512" s="66" t="n"/>
      <c r="V512" s="66" t="n"/>
      <c r="W512" s="67" t="n"/>
      <c r="X512" s="66" t="n"/>
      <c r="Y512" s="66" t="n"/>
      <c r="Z512" s="66" t="n"/>
      <c r="AA512" s="66" t="n"/>
      <c r="AB512" s="66" t="n"/>
      <c r="AC512" s="66" t="n"/>
      <c r="AD512" s="72" t="n"/>
      <c r="AE512" s="66" t="n"/>
      <c r="AF512" s="67">
        <f>IF(AND(ISNUMBER(X512),ISNUMBER(Y512)),Y512-X512,"")</f>
        <v/>
      </c>
      <c r="AG512" s="68">
        <f>IF(ISNUMBER(AD512),AD512-(IF(AND(INDEX(TZ_DSTS,MATCH(P512,TZ_STN,0))&lt;&gt;"",(AD512-INDEX(TZ_STD,MATCH(P512,TZ_STN,0))/24)&gt;=INDEX(TZ_DSTS,MATCH(P512,TZ_STN,0)),(AD512-INDEX(TZ_STD,MATCH(P512,TZ_STN,0))/24)&lt;INDEX(TZ_DSTE,MATCH(P512,TZ_STN,0))),INDEX(TZ_DST,MATCH(P512,TZ_STN,0)),INDEX(TZ_STD,MATCH(P512,TZ_STN,0))))/24,"")</f>
        <v/>
      </c>
      <c r="AH512" s="71">
        <f>IF(N512="N/A – rule","N/A – RULE",IF(TRIM(U512)="N/A",IF(AT512=0,"INVALID – N/A not permitted for this mandatory check",IF(AND(TRIM(AC512)&lt;&gt;"",TRIM(AE512)&lt;&gt;"",TRIM(T512)&lt;&gt;""),"N/A – JUSTIFIED","INVALID – N/A needs justification, PIC and verifier")),IF(OR(TRIM(U512)="Pass",TRIM(U512)="Pass after CA"),IF(NOT(ISNUMBER(AD512)),"INVALID – completion time missing",IF(TRIM(T512)="","INVALID – PIC missing",IF(TRIM(Z512)="","INVALID – evidence missing",IF(TRIM(AE512)="","INVALID – verifier missing",IF(AND(AQ512=1,TRIM(W512)=""),"INVALID – batch ID missing",IF(AND(AR512=1,OR(NOT(ISNUMBER(X512)),NOT(ISNUMBER(Y512)))),"INVALID – expected/actual qty missing",IF(IF(AND(TRIM(U512)="Pass",ISNUMBER(AF512)),IF(AF512&lt;&gt;0,"INVALID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recorded/closed","")&lt;&gt;"",IF(AND(TRIM(U512)="Pass",ISNUMBER(AF512)),IF(AF512&lt;&gt;0,"INVALID – qty variance: use Fail or Pass after CA",""),"")&amp;IF(AND(TRIM(U512)="Pass",AB512="Open"),"INVALID – corrective action still open: use Fail, then Pass after CA","")&amp;IF(AND(TRIM(U512)="Pass after CA",OR(TRIM(AA512)="",AB512&lt;&gt;"Closed")),"INVALID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window"),IF(AG512&gt;Flights!$AA$20,"INVALID – completed after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f>
        <v/>
      </c>
      <c r="AI512" s="67">
        <f>IF(OR(AH512="N/A – RULE",AH512="N/A – JUSTIFIED"),0,1)</f>
        <v/>
      </c>
      <c r="AJ512" s="67">
        <f>IF(LEFT(AH512,8)="COMPLETE",1,0)</f>
        <v/>
      </c>
      <c r="AK512" s="67">
        <f>IF(AND(AI512=1,AJ512=0,AsOfUTC&gt;Q512),1,0)</f>
        <v/>
      </c>
      <c r="AL512" s="67">
        <f>IF(AND(AI512=1,OR(TRIM(U512)="Fail",AB512="Open",AND(ISNUMBER(AF512),AF512&lt;&gt;0,TRIM(U512)&lt;&gt;"Pass after CA"))),1,0)</f>
        <v/>
      </c>
      <c r="AM512" s="67">
        <f>IF(LEFT(AH512,7)="INVALID",1,0)</f>
        <v/>
      </c>
      <c r="AN512" s="67">
        <f>IF(AND(N512="Clarification required",AI512=1,AJ512=0),1,0)</f>
        <v/>
      </c>
      <c r="AO512" s="67">
        <f>IF(AK512=1,SUM(AK$5:AK512),"")</f>
        <v/>
      </c>
      <c r="AP512" s="67">
        <f>IF(AL512=1,SUM(AL$5:AL512),"")</f>
        <v/>
      </c>
      <c r="AQ512" s="67" t="n">
        <v>0</v>
      </c>
      <c r="AR512" s="67" t="n">
        <v>0</v>
      </c>
      <c r="AS512" s="67" t="n">
        <v>1</v>
      </c>
      <c r="AT512" s="67" t="n">
        <v>0</v>
      </c>
    </row>
    <row r="513" ht="40" customHeight="1">
      <c r="A513" s="63" t="inlineStr">
        <is>
          <t>F16-T7-08</t>
        </is>
      </c>
      <c r="B513" s="63" t="inlineStr">
        <is>
          <t>F16</t>
        </is>
      </c>
      <c r="C513" s="63">
        <f>Flights!$F$20</f>
        <v/>
      </c>
      <c r="D513" s="64">
        <f>Flights!$D$20</f>
        <v/>
      </c>
      <c r="E513" s="63">
        <f>Flights!$G$20&amp;"-"&amp;Flights!$H$20</f>
        <v/>
      </c>
      <c r="F513" s="63">
        <f>Flights!$K$20</f>
        <v/>
      </c>
      <c r="G513" s="63" t="inlineStr">
        <is>
          <t>T-7D</t>
        </is>
      </c>
      <c r="H513" s="63" t="inlineStr">
        <is>
          <t>Preparation</t>
        </is>
      </c>
      <c r="I513" s="63" t="inlineStr">
        <is>
          <t>Documents</t>
        </is>
      </c>
      <c r="J513" s="63" t="inlineStr">
        <is>
          <t>Menu checklist received, revision recorded &amp; attached</t>
        </is>
      </c>
      <c r="K513" s="73" t="inlineStr">
        <is>
          <t>Documents sheet row complete</t>
        </is>
      </c>
      <c r="L513" s="73" t="inlineStr">
        <is>
          <t>User brief (T-7 days)</t>
        </is>
      </c>
      <c r="M513" s="73" t="inlineStr"/>
      <c r="N513" s="73" t="inlineStr">
        <is>
          <t>Required</t>
        </is>
      </c>
      <c r="O513" s="73" t="inlineStr"/>
      <c r="P513" s="63" t="inlineStr">
        <is>
          <t>KUL</t>
        </is>
      </c>
      <c r="Q513" s="65">
        <f>Flights!$AC$20</f>
        <v/>
      </c>
      <c r="R513" s="65">
        <f>Q513+(IF(AND(INDEX(TZ_DSTS,MATCH(P513,TZ_STN,0))&lt;&gt;"",Q513&gt;=INDEX(TZ_DSTS,MATCH(P513,TZ_STN,0)),Q513&lt;INDEX(TZ_DSTE,MATCH(P513,TZ_STN,0))),INDEX(TZ_DST,MATCH(P513,TZ_STN,0)),INDEX(TZ_STD,MATCH(P513,TZ_STN,0))))/24</f>
        <v/>
      </c>
      <c r="S513" s="65" t="inlineStr"/>
      <c r="T513" s="66" t="n"/>
      <c r="U513" s="66" t="n"/>
      <c r="V513" s="66" t="n"/>
      <c r="W513" s="67" t="n"/>
      <c r="X513" s="66" t="n"/>
      <c r="Y513" s="66" t="n"/>
      <c r="Z513" s="66" t="n"/>
      <c r="AA513" s="66" t="n"/>
      <c r="AB513" s="66" t="n"/>
      <c r="AC513" s="66" t="n"/>
      <c r="AD513" s="72" t="n"/>
      <c r="AE513" s="66" t="n"/>
      <c r="AF513" s="67">
        <f>IF(AND(ISNUMBER(X513),ISNUMBER(Y513)),Y513-X513,"")</f>
        <v/>
      </c>
      <c r="AG513" s="68">
        <f>IF(ISNUMBER(AD513),AD513-(IF(AND(INDEX(TZ_DSTS,MATCH(P513,TZ_STN,0))&lt;&gt;"",(AD513-INDEX(TZ_STD,MATCH(P513,TZ_STN,0))/24)&gt;=INDEX(TZ_DSTS,MATCH(P513,TZ_STN,0)),(AD513-INDEX(TZ_STD,MATCH(P513,TZ_STN,0))/24)&lt;INDEX(TZ_DSTE,MATCH(P513,TZ_STN,0))),INDEX(TZ_DST,MATCH(P513,TZ_STN,0)),INDEX(TZ_STD,MATCH(P513,TZ_STN,0))))/24,"")</f>
        <v/>
      </c>
      <c r="AH513" s="71">
        <f>IF(N513="N/A – rule","N/A – RULE",IF(TRIM(U513)="N/A",IF(AT513=0,"INVALID – N/A not permitted for this mandatory check",IF(AND(TRIM(AC513)&lt;&gt;"",TRIM(AE513)&lt;&gt;"",TRIM(T513)&lt;&gt;""),"N/A – JUSTIFIED","INVALID – N/A needs justification, PIC and verifier")),IF(OR(TRIM(U513)="Pass",TRIM(U513)="Pass after CA"),IF(NOT(ISNUMBER(AD513)),"INVALID – completion time missing",IF(TRIM(T513)="","INVALID – PIC missing",IF(TRIM(Z513)="","INVALID – evidence missing",IF(TRIM(AE513)="","INVALID – verifier missing",IF(AND(AQ513=1,TRIM(W513)=""),"INVALID – batch ID missing",IF(AND(AR513=1,OR(NOT(ISNUMBER(X513)),NOT(ISNUMBER(Y513)))),"INVALID – expected/actual qty missing",IF(IF(AND(TRIM(U513)="Pass",ISNUMBER(AF513)),IF(AF513&lt;&gt;0,"INVALID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recorded/closed","")&lt;&gt;"",IF(AND(TRIM(U513)="Pass",ISNUMBER(AF513)),IF(AF513&lt;&gt;0,"INVALID – qty variance: use Fail or Pass after CA",""),"")&amp;IF(AND(TRIM(U513)="Pass",AB513="Open"),"INVALID – corrective action still open: use Fail, then Pass after CA","")&amp;IF(AND(TRIM(U513)="Pass after CA",OR(TRIM(AA513)="",AB513&lt;&gt;"Closed")),"INVALID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window"),IF(AG513&gt;Flights!$AA$20,"INVALID – completed after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f>
        <v/>
      </c>
      <c r="AI513" s="67">
        <f>IF(OR(AH513="N/A – RULE",AH513="N/A – JUSTIFIED"),0,1)</f>
        <v/>
      </c>
      <c r="AJ513" s="67">
        <f>IF(LEFT(AH513,8)="COMPLETE",1,0)</f>
        <v/>
      </c>
      <c r="AK513" s="67">
        <f>IF(AND(AI513=1,AJ513=0,AsOfUTC&gt;Q513),1,0)</f>
        <v/>
      </c>
      <c r="AL513" s="67">
        <f>IF(AND(AI513=1,OR(TRIM(U513)="Fail",AB513="Open",AND(ISNUMBER(AF513),AF513&lt;&gt;0,TRIM(U513)&lt;&gt;"Pass after CA"))),1,0)</f>
        <v/>
      </c>
      <c r="AM513" s="67">
        <f>IF(LEFT(AH513,7)="INVALID",1,0)</f>
        <v/>
      </c>
      <c r="AN513" s="67">
        <f>IF(AND(N513="Clarification required",AI513=1,AJ513=0),1,0)</f>
        <v/>
      </c>
      <c r="AO513" s="67">
        <f>IF(AK513=1,SUM(AK$5:AK513),"")</f>
        <v/>
      </c>
      <c r="AP513" s="67">
        <f>IF(AL513=1,SUM(AL$5:AL513),"")</f>
        <v/>
      </c>
      <c r="AQ513" s="67" t="n">
        <v>0</v>
      </c>
      <c r="AR513" s="67" t="n">
        <v>0</v>
      </c>
      <c r="AS513" s="67" t="n">
        <v>2</v>
      </c>
      <c r="AT513" s="67" t="n">
        <v>0</v>
      </c>
    </row>
    <row r="514" ht="40" customHeight="1">
      <c r="A514" s="63" t="inlineStr">
        <is>
          <t>F16-T7-09</t>
        </is>
      </c>
      <c r="B514" s="63" t="inlineStr">
        <is>
          <t>F16</t>
        </is>
      </c>
      <c r="C514" s="63">
        <f>Flights!$F$20</f>
        <v/>
      </c>
      <c r="D514" s="64">
        <f>Flights!$D$20</f>
        <v/>
      </c>
      <c r="E514" s="63">
        <f>Flights!$G$20&amp;"-"&amp;Flights!$H$20</f>
        <v/>
      </c>
      <c r="F514" s="63">
        <f>Flights!$K$20</f>
        <v/>
      </c>
      <c r="G514" s="63" t="inlineStr">
        <is>
          <t>T-7D</t>
        </is>
      </c>
      <c r="H514" s="63" t="inlineStr">
        <is>
          <t>Preparation</t>
        </is>
      </c>
      <c r="I514" s="63" t="inlineStr">
        <is>
          <t>Uplift plan</t>
        </is>
      </c>
      <c r="J514" s="63" t="inlineStr">
        <is>
          <t>Uplift plan confirmed with caterer vs STD Uplift Information</t>
        </is>
      </c>
      <c r="K514" s="73" t="inlineStr">
        <is>
          <t>Service: 1 Meal + DAT(Noodles Svc) (Meal); meal uplift stn KUL (ref lists KUL/HKG)</t>
        </is>
      </c>
      <c r="L514" s="73" t="inlineStr">
        <is>
          <t>STD UPLIFT INFORMATION.xlsx &gt; CATERING UPLIFT STN!C34:G34</t>
        </is>
      </c>
      <c r="M514" s="73" t="inlineStr"/>
      <c r="N514" s="73" t="inlineStr">
        <is>
          <t>Required</t>
        </is>
      </c>
      <c r="O514" s="73" t="inlineStr"/>
      <c r="P514" s="63" t="inlineStr">
        <is>
          <t>KUL</t>
        </is>
      </c>
      <c r="Q514" s="65">
        <f>Flights!$AC$20</f>
        <v/>
      </c>
      <c r="R514" s="65">
        <f>Q514+(IF(AND(INDEX(TZ_DSTS,MATCH(P514,TZ_STN,0))&lt;&gt;"",Q514&gt;=INDEX(TZ_DSTS,MATCH(P514,TZ_STN,0)),Q514&lt;INDEX(TZ_DSTE,MATCH(P514,TZ_STN,0))),INDEX(TZ_DST,MATCH(P514,TZ_STN,0)),INDEX(TZ_STD,MATCH(P514,TZ_STN,0))))/24</f>
        <v/>
      </c>
      <c r="S514" s="65" t="inlineStr"/>
      <c r="T514" s="66" t="n"/>
      <c r="U514" s="66" t="n"/>
      <c r="V514" s="66" t="n"/>
      <c r="W514" s="67" t="n"/>
      <c r="X514" s="66" t="n"/>
      <c r="Y514" s="66" t="n"/>
      <c r="Z514" s="66" t="n"/>
      <c r="AA514" s="66" t="n"/>
      <c r="AB514" s="66" t="n"/>
      <c r="AC514" s="66" t="n"/>
      <c r="AD514" s="72" t="n"/>
      <c r="AE514" s="66" t="n"/>
      <c r="AF514" s="67">
        <f>IF(AND(ISNUMBER(X514),ISNUMBER(Y514)),Y514-X514,"")</f>
        <v/>
      </c>
      <c r="AG514" s="68">
        <f>IF(ISNUMBER(AD514),AD514-(IF(AND(INDEX(TZ_DSTS,MATCH(P514,TZ_STN,0))&lt;&gt;"",(AD514-INDEX(TZ_STD,MATCH(P514,TZ_STN,0))/24)&gt;=INDEX(TZ_DSTS,MATCH(P514,TZ_STN,0)),(AD514-INDEX(TZ_STD,MATCH(P514,TZ_STN,0))/24)&lt;INDEX(TZ_DSTE,MATCH(P514,TZ_STN,0))),INDEX(TZ_DST,MATCH(P514,TZ_STN,0)),INDEX(TZ_STD,MATCH(P514,TZ_STN,0))))/24,"")</f>
        <v/>
      </c>
      <c r="AH514" s="71">
        <f>IF(N514="N/A – rule","N/A – RULE",IF(TRIM(U514)="N/A",IF(AT514=0,"INVALID – N/A not permitted for this mandatory check",IF(AND(TRIM(AC514)&lt;&gt;"",TRIM(AE514)&lt;&gt;"",TRIM(T514)&lt;&gt;""),"N/A – JUSTIFIED","INVALID – N/A needs justification, PIC and verifier")),IF(OR(TRIM(U514)="Pass",TRIM(U514)="Pass after CA"),IF(NOT(ISNUMBER(AD514)),"INVALID – completion time missing",IF(TRIM(T514)="","INVALID – PIC missing",IF(TRIM(Z514)="","INVALID – evidence missing",IF(TRIM(AE514)="","INVALID – verifier missing",IF(AND(AQ514=1,TRIM(W514)=""),"INVALID – batch ID missing",IF(AND(AR514=1,OR(NOT(ISNUMBER(X514)),NOT(ISNUMBER(Y514)))),"INVALID – expected/actual qty missing",IF(IF(AND(TRIM(U514)="Pass",ISNUMBER(AF514)),IF(AF514&lt;&gt;0,"INVALID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recorded/closed","")&lt;&gt;"",IF(AND(TRIM(U514)="Pass",ISNUMBER(AF514)),IF(AF514&lt;&gt;0,"INVALID – qty variance: use Fail or Pass after CA",""),"")&amp;IF(AND(TRIM(U514)="Pass",AB514="Open"),"INVALID – corrective action still open: use Fail, then Pass after CA","")&amp;IF(AND(TRIM(U514)="Pass after CA",OR(TRIM(AA514)="",AB514&lt;&gt;"Closed")),"INVALID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window"),IF(AG514&gt;Flights!$AA$20,"INVALID – completed after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f>
        <v/>
      </c>
      <c r="AI514" s="67">
        <f>IF(OR(AH514="N/A – RULE",AH514="N/A – JUSTIFIED"),0,1)</f>
        <v/>
      </c>
      <c r="AJ514" s="67">
        <f>IF(LEFT(AH514,8)="COMPLETE",1,0)</f>
        <v/>
      </c>
      <c r="AK514" s="67">
        <f>IF(AND(AI514=1,AJ514=0,AsOfUTC&gt;Q514),1,0)</f>
        <v/>
      </c>
      <c r="AL514" s="67">
        <f>IF(AND(AI514=1,OR(TRIM(U514)="Fail",AB514="Open",AND(ISNUMBER(AF514),AF514&lt;&gt;0,TRIM(U514)&lt;&gt;"Pass after CA"))),1,0)</f>
        <v/>
      </c>
      <c r="AM514" s="67">
        <f>IF(LEFT(AH514,7)="INVALID",1,0)</f>
        <v/>
      </c>
      <c r="AN514" s="67">
        <f>IF(AND(N514="Clarification required",AI514=1,AJ514=0),1,0)</f>
        <v/>
      </c>
      <c r="AO514" s="67">
        <f>IF(AK514=1,SUM(AK$5:AK514),"")</f>
        <v/>
      </c>
      <c r="AP514" s="67">
        <f>IF(AL514=1,SUM(AL$5:AL514),"")</f>
        <v/>
      </c>
      <c r="AQ514" s="67" t="n">
        <v>0</v>
      </c>
      <c r="AR514" s="67" t="n">
        <v>0</v>
      </c>
      <c r="AS514" s="67" t="n">
        <v>0</v>
      </c>
      <c r="AT514" s="67" t="n">
        <v>0</v>
      </c>
    </row>
    <row r="515" ht="40" customHeight="1">
      <c r="A515" s="63" t="inlineStr">
        <is>
          <t>F16-T24-01</t>
        </is>
      </c>
      <c r="B515" s="63" t="inlineStr">
        <is>
          <t>F16</t>
        </is>
      </c>
      <c r="C515" s="63">
        <f>Flights!$F$20</f>
        <v/>
      </c>
      <c r="D515" s="64">
        <f>Flights!$D$20</f>
        <v/>
      </c>
      <c r="E515" s="63">
        <f>Flights!$G$20&amp;"-"&amp;Flights!$H$20</f>
        <v/>
      </c>
      <c r="F515" s="63">
        <f>Flights!$K$20</f>
        <v/>
      </c>
      <c r="G515" s="63" t="inlineStr">
        <is>
          <t>T-24H</t>
        </is>
      </c>
      <c r="H515" s="63" t="inlineStr">
        <is>
          <t>Preparation</t>
        </is>
      </c>
      <c r="I515" s="63" t="inlineStr">
        <is>
          <t>Meal</t>
        </is>
      </c>
      <c r="J515" s="63" t="inlineStr">
        <is>
          <t>Sensory test repeated on ACTUAL production batch for this flight</t>
        </is>
      </c>
      <c r="K515" s="73" t="inlineStr">
        <is>
          <t>Batch ID, result, CA and acceptance mandatory</t>
        </is>
      </c>
      <c r="L515" s="73" t="inlineStr">
        <is>
          <t>User brief (T-24 hours)</t>
        </is>
      </c>
      <c r="M515" s="73" t="inlineStr"/>
      <c r="N515" s="73" t="inlineStr">
        <is>
          <t>Required</t>
        </is>
      </c>
      <c r="O515" s="73" t="inlineStr"/>
      <c r="P515" s="63" t="inlineStr">
        <is>
          <t>KUL</t>
        </is>
      </c>
      <c r="Q515" s="65">
        <f>Flights!$AD$20</f>
        <v/>
      </c>
      <c r="R515" s="65">
        <f>Q515+(IF(AND(INDEX(TZ_DSTS,MATCH(P515,TZ_STN,0))&lt;&gt;"",Q515&gt;=INDEX(TZ_DSTS,MATCH(P515,TZ_STN,0)),Q515&lt;INDEX(TZ_DSTE,MATCH(P515,TZ_STN,0))),INDEX(TZ_DST,MATCH(P515,TZ_STN,0)),INDEX(TZ_STD,MATCH(P515,TZ_STN,0))))/24</f>
        <v/>
      </c>
      <c r="S515" s="65">
        <f>Q515-T24EarlyH/24</f>
        <v/>
      </c>
      <c r="T515" s="66" t="n"/>
      <c r="U515" s="66" t="n"/>
      <c r="V515" s="66" t="n"/>
      <c r="W515" s="66" t="n"/>
      <c r="X515" s="66" t="n"/>
      <c r="Y515" s="66" t="n"/>
      <c r="Z515" s="66" t="n"/>
      <c r="AA515" s="66" t="n"/>
      <c r="AB515" s="66" t="n"/>
      <c r="AC515" s="66" t="n"/>
      <c r="AD515" s="72" t="n"/>
      <c r="AE515" s="66" t="n"/>
      <c r="AF515" s="67">
        <f>IF(AND(ISNUMBER(X515),ISNUMBER(Y515)),Y515-X515,"")</f>
        <v/>
      </c>
      <c r="AG515" s="68">
        <f>IF(ISNUMBER(AD515),AD515-(IF(AND(INDEX(TZ_DSTS,MATCH(P515,TZ_STN,0))&lt;&gt;"",(AD515-INDEX(TZ_STD,MATCH(P515,TZ_STN,0))/24)&gt;=INDEX(TZ_DSTS,MATCH(P515,TZ_STN,0)),(AD515-INDEX(TZ_STD,MATCH(P515,TZ_STN,0))/24)&lt;INDEX(TZ_DSTE,MATCH(P515,TZ_STN,0))),INDEX(TZ_DST,MATCH(P515,TZ_STN,0)),INDEX(TZ_STD,MATCH(P515,TZ_STN,0))))/24,"")</f>
        <v/>
      </c>
      <c r="AH515" s="71">
        <f>IF(N515="N/A – rule","N/A – RULE",IF(TRIM(U515)="N/A",IF(AT515=0,"INVALID – N/A not permitted for this mandatory check",IF(AND(TRIM(AC515)&lt;&gt;"",TRIM(AE515)&lt;&gt;"",TRIM(T515)&lt;&gt;""),"N/A – JUSTIFIED","INVALID – N/A needs justification, PIC and verifier")),IF(OR(TRIM(U515)="Pass",TRIM(U515)="Pass after CA"),IF(NOT(ISNUMBER(AD515)),"INVALID – completion time missing",IF(TRIM(T515)="","INVALID – PIC missing",IF(TRIM(Z515)="","INVALID – evidence missing",IF(TRIM(AE515)="","INVALID – verifier missing",IF(AND(AQ515=1,TRIM(W515)=""),"INVALID – batch ID missing",IF(AND(AR515=1,OR(NOT(ISNUMBER(X515)),NOT(ISNUMBER(Y515)))),"INVALID – expected/actual qty missing",IF(IF(AND(TRIM(U515)="Pass",ISNUMBER(AF515)),IF(AF515&lt;&gt;0,"INVALID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recorded/closed","")&lt;&gt;"",IF(AND(TRIM(U515)="Pass",ISNUMBER(AF515)),IF(AF515&lt;&gt;0,"INVALID – qty variance: use Fail or Pass after CA",""),"")&amp;IF(AND(TRIM(U515)="Pass",AB515="Open"),"INVALID – corrective action still open: use Fail, then Pass after CA","")&amp;IF(AND(TRIM(U515)="Pass after CA",OR(TRIM(AA515)="",AB515&lt;&gt;"Closed")),"INVALID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window"),IF(AG515&gt;Flights!$AA$20,"INVALID – completed after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f>
        <v/>
      </c>
      <c r="AI515" s="67">
        <f>IF(OR(AH515="N/A – RULE",AH515="N/A – JUSTIFIED"),0,1)</f>
        <v/>
      </c>
      <c r="AJ515" s="67">
        <f>IF(LEFT(AH515,8)="COMPLETE",1,0)</f>
        <v/>
      </c>
      <c r="AK515" s="67">
        <f>IF(AND(AI515=1,AJ515=0,AsOfUTC&gt;Q515),1,0)</f>
        <v/>
      </c>
      <c r="AL515" s="67">
        <f>IF(AND(AI515=1,OR(TRIM(U515)="Fail",AB515="Open",AND(ISNUMBER(AF515),AF515&lt;&gt;0,TRIM(U515)&lt;&gt;"Pass after CA"))),1,0)</f>
        <v/>
      </c>
      <c r="AM515" s="67">
        <f>IF(LEFT(AH515,7)="INVALID",1,0)</f>
        <v/>
      </c>
      <c r="AN515" s="67">
        <f>IF(AND(N515="Clarification required",AI515=1,AJ515=0),1,0)</f>
        <v/>
      </c>
      <c r="AO515" s="67">
        <f>IF(AK515=1,SUM(AK$5:AK515),"")</f>
        <v/>
      </c>
      <c r="AP515" s="67">
        <f>IF(AL515=1,SUM(AL$5:AL515),"")</f>
        <v/>
      </c>
      <c r="AQ515" s="67" t="n">
        <v>1</v>
      </c>
      <c r="AR515" s="67" t="n">
        <v>0</v>
      </c>
      <c r="AS515" s="67" t="n">
        <v>0</v>
      </c>
      <c r="AT515" s="67" t="n">
        <v>0</v>
      </c>
    </row>
    <row r="516" ht="40" customHeight="1">
      <c r="A516" s="63" t="inlineStr">
        <is>
          <t>F16-T12-01</t>
        </is>
      </c>
      <c r="B516" s="63" t="inlineStr">
        <is>
          <t>F16</t>
        </is>
      </c>
      <c r="C516" s="63">
        <f>Flights!$F$20</f>
        <v/>
      </c>
      <c r="D516" s="64">
        <f>Flights!$D$20</f>
        <v/>
      </c>
      <c r="E516" s="63">
        <f>Flights!$G$20&amp;"-"&amp;Flights!$H$20</f>
        <v/>
      </c>
      <c r="F516" s="63">
        <f>Flights!$K$20</f>
        <v/>
      </c>
      <c r="G516" s="63" t="inlineStr">
        <is>
          <t>T-12H PREP</t>
        </is>
      </c>
      <c r="H516" s="63" t="inlineStr">
        <is>
          <t>Preparation</t>
        </is>
      </c>
      <c r="I516" s="63" t="inlineStr">
        <is>
          <t>Meal</t>
        </is>
      </c>
      <c r="J516" s="63" t="inlineStr">
        <is>
          <t>Meal quality vs menu checklist</t>
        </is>
      </c>
      <c r="K516" s="73" t="inlineStr"/>
      <c r="L516" s="73" t="inlineStr">
        <is>
          <t>User brief (T-12 hours)</t>
        </is>
      </c>
      <c r="M516" s="73" t="inlineStr"/>
      <c r="N516" s="73" t="inlineStr">
        <is>
          <t>Required</t>
        </is>
      </c>
      <c r="O516" s="73" t="inlineStr">
        <is>
          <t>Preparation check at caterer - does NOT confirm loading.</t>
        </is>
      </c>
      <c r="P516" s="63" t="inlineStr">
        <is>
          <t>KUL</t>
        </is>
      </c>
      <c r="Q516" s="65">
        <f>Flights!$AE$20</f>
        <v/>
      </c>
      <c r="R516" s="65">
        <f>Q516+(IF(AND(INDEX(TZ_DSTS,MATCH(P516,TZ_STN,0))&lt;&gt;"",Q516&gt;=INDEX(TZ_DSTS,MATCH(P516,TZ_STN,0)),Q516&lt;INDEX(TZ_DSTE,MATCH(P516,TZ_STN,0))),INDEX(TZ_DST,MATCH(P516,TZ_STN,0)),INDEX(TZ_STD,MATCH(P516,TZ_STN,0))))/24</f>
        <v/>
      </c>
      <c r="S516" s="65">
        <f>Q516-T12EarlyH/24</f>
        <v/>
      </c>
      <c r="T516" s="66" t="n"/>
      <c r="U516" s="66" t="n"/>
      <c r="V516" s="66" t="n"/>
      <c r="W516" s="67" t="n"/>
      <c r="X516" s="66" t="n"/>
      <c r="Y516" s="66" t="n"/>
      <c r="Z516" s="66" t="n"/>
      <c r="AA516" s="66" t="n"/>
      <c r="AB516" s="66" t="n"/>
      <c r="AC516" s="66" t="n"/>
      <c r="AD516" s="72" t="n"/>
      <c r="AE516" s="66" t="n"/>
      <c r="AF516" s="67">
        <f>IF(AND(ISNUMBER(X516),ISNUMBER(Y516)),Y516-X516,"")</f>
        <v/>
      </c>
      <c r="AG516" s="68">
        <f>IF(ISNUMBER(AD516),AD516-(IF(AND(INDEX(TZ_DSTS,MATCH(P516,TZ_STN,0))&lt;&gt;"",(AD516-INDEX(TZ_STD,MATCH(P516,TZ_STN,0))/24)&gt;=INDEX(TZ_DSTS,MATCH(P516,TZ_STN,0)),(AD516-INDEX(TZ_STD,MATCH(P516,TZ_STN,0))/24)&lt;INDEX(TZ_DSTE,MATCH(P516,TZ_STN,0))),INDEX(TZ_DST,MATCH(P516,TZ_STN,0)),INDEX(TZ_STD,MATCH(P516,TZ_STN,0))))/24,"")</f>
        <v/>
      </c>
      <c r="AH516" s="71">
        <f>IF(N516="N/A – rule","N/A – RULE",IF(TRIM(U516)="N/A",IF(AT516=0,"INVALID – N/A not permitted for this mandatory check",IF(AND(TRIM(AC516)&lt;&gt;"",TRIM(AE516)&lt;&gt;"",TRIM(T516)&lt;&gt;""),"N/A – JUSTIFIED","INVALID – N/A needs justification, PIC and verifier")),IF(OR(TRIM(U516)="Pass",TRIM(U516)="Pass after CA"),IF(NOT(ISNUMBER(AD516)),"INVALID – completion time missing",IF(TRIM(T516)="","INVALID – PIC missing",IF(TRIM(Z516)="","INVALID – evidence missing",IF(TRIM(AE516)="","INVALID – verifier missing",IF(AND(AQ516=1,TRIM(W516)=""),"INVALID – batch ID missing",IF(AND(AR516=1,OR(NOT(ISNUMBER(X516)),NOT(ISNUMBER(Y516)))),"INVALID – expected/actual qty missing",IF(IF(AND(TRIM(U516)="Pass",ISNUMBER(AF516)),IF(AF516&lt;&gt;0,"INVALID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recorded/closed","")&lt;&gt;"",IF(AND(TRIM(U516)="Pass",ISNUMBER(AF516)),IF(AF516&lt;&gt;0,"INVALID – qty variance: use Fail or Pass after CA",""),"")&amp;IF(AND(TRIM(U516)="Pass",AB516="Open"),"INVALID – corrective action still open: use Fail, then Pass after CA","")&amp;IF(AND(TRIM(U516)="Pass after CA",OR(TRIM(AA516)="",AB516&lt;&gt;"Closed")),"INVALID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window"),IF(AG516&gt;Flights!$AA$20,"INVALID – completed after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f>
        <v/>
      </c>
      <c r="AI516" s="67">
        <f>IF(OR(AH516="N/A – RULE",AH516="N/A – JUSTIFIED"),0,1)</f>
        <v/>
      </c>
      <c r="AJ516" s="67">
        <f>IF(LEFT(AH516,8)="COMPLETE",1,0)</f>
        <v/>
      </c>
      <c r="AK516" s="67">
        <f>IF(AND(AI516=1,AJ516=0,AsOfUTC&gt;Q516),1,0)</f>
        <v/>
      </c>
      <c r="AL516" s="67">
        <f>IF(AND(AI516=1,OR(TRIM(U516)="Fail",AB516="Open",AND(ISNUMBER(AF516),AF516&lt;&gt;0,TRIM(U516)&lt;&gt;"Pass after CA"))),1,0)</f>
        <v/>
      </c>
      <c r="AM516" s="67">
        <f>IF(LEFT(AH516,7)="INVALID",1,0)</f>
        <v/>
      </c>
      <c r="AN516" s="67">
        <f>IF(AND(N516="Clarification required",AI516=1,AJ516=0),1,0)</f>
        <v/>
      </c>
      <c r="AO516" s="67">
        <f>IF(AK516=1,SUM(AK$5:AK516),"")</f>
        <v/>
      </c>
      <c r="AP516" s="67">
        <f>IF(AL516=1,SUM(AL$5:AL516),"")</f>
        <v/>
      </c>
      <c r="AQ516" s="67" t="n">
        <v>0</v>
      </c>
      <c r="AR516" s="67" t="n">
        <v>0</v>
      </c>
      <c r="AS516" s="67" t="n">
        <v>0</v>
      </c>
      <c r="AT516" s="67" t="n">
        <v>0</v>
      </c>
    </row>
    <row r="517" ht="40" customHeight="1">
      <c r="A517" s="63" t="inlineStr">
        <is>
          <t>F16-T12-02</t>
        </is>
      </c>
      <c r="B517" s="63" t="inlineStr">
        <is>
          <t>F16</t>
        </is>
      </c>
      <c r="C517" s="63">
        <f>Flights!$F$20</f>
        <v/>
      </c>
      <c r="D517" s="64">
        <f>Flights!$D$20</f>
        <v/>
      </c>
      <c r="E517" s="63">
        <f>Flights!$G$20&amp;"-"&amp;Flights!$H$20</f>
        <v/>
      </c>
      <c r="F517" s="63">
        <f>Flights!$K$20</f>
        <v/>
      </c>
      <c r="G517" s="63" t="inlineStr">
        <is>
          <t>T-12H PREP</t>
        </is>
      </c>
      <c r="H517" s="63" t="inlineStr">
        <is>
          <t>Preparation</t>
        </is>
      </c>
      <c r="I517" s="63" t="inlineStr">
        <is>
          <t>Meal</t>
        </is>
      </c>
      <c r="J517" s="63" t="inlineStr">
        <is>
          <t>Meal quantities vs menu checklist</t>
        </is>
      </c>
      <c r="K517" s="73" t="inlineStr">
        <is>
          <t>Enter expected &amp; actual</t>
        </is>
      </c>
      <c r="L517" s="73" t="inlineStr">
        <is>
          <t>User brief (T-12 hours)</t>
        </is>
      </c>
      <c r="M517" s="73" t="inlineStr"/>
      <c r="N517" s="73" t="inlineStr">
        <is>
          <t>Required</t>
        </is>
      </c>
      <c r="O517" s="73" t="inlineStr">
        <is>
          <t>Preparation check at caterer - does NOT confirm loading.</t>
        </is>
      </c>
      <c r="P517" s="63" t="inlineStr">
        <is>
          <t>KUL</t>
        </is>
      </c>
      <c r="Q517" s="65">
        <f>Flights!$AE$20</f>
        <v/>
      </c>
      <c r="R517" s="65">
        <f>Q517+(IF(AND(INDEX(TZ_DSTS,MATCH(P517,TZ_STN,0))&lt;&gt;"",Q517&gt;=INDEX(TZ_DSTS,MATCH(P517,TZ_STN,0)),Q517&lt;INDEX(TZ_DSTE,MATCH(P517,TZ_STN,0))),INDEX(TZ_DST,MATCH(P517,TZ_STN,0)),INDEX(TZ_STD,MATCH(P517,TZ_STN,0))))/24</f>
        <v/>
      </c>
      <c r="S517" s="65">
        <f>Q517-T12EarlyH/24</f>
        <v/>
      </c>
      <c r="T517" s="66" t="n"/>
      <c r="U517" s="66" t="n"/>
      <c r="V517" s="66" t="n"/>
      <c r="W517" s="67" t="n"/>
      <c r="X517" s="66" t="n"/>
      <c r="Y517" s="66" t="n"/>
      <c r="Z517" s="66" t="n"/>
      <c r="AA517" s="66" t="n"/>
      <c r="AB517" s="66" t="n"/>
      <c r="AC517" s="66" t="n"/>
      <c r="AD517" s="72" t="n"/>
      <c r="AE517" s="66" t="n"/>
      <c r="AF517" s="67">
        <f>IF(AND(ISNUMBER(X517),ISNUMBER(Y517)),Y517-X517,"")</f>
        <v/>
      </c>
      <c r="AG517" s="68">
        <f>IF(ISNUMBER(AD517),AD517-(IF(AND(INDEX(TZ_DSTS,MATCH(P517,TZ_STN,0))&lt;&gt;"",(AD517-INDEX(TZ_STD,MATCH(P517,TZ_STN,0))/24)&gt;=INDEX(TZ_DSTS,MATCH(P517,TZ_STN,0)),(AD517-INDEX(TZ_STD,MATCH(P517,TZ_STN,0))/24)&lt;INDEX(TZ_DSTE,MATCH(P517,TZ_STN,0))),INDEX(TZ_DST,MATCH(P517,TZ_STN,0)),INDEX(TZ_STD,MATCH(P517,TZ_STN,0))))/24,"")</f>
        <v/>
      </c>
      <c r="AH517" s="71">
        <f>IF(N517="N/A – rule","N/A – RULE",IF(TRIM(U517)="N/A",IF(AT517=0,"INVALID – N/A not permitted for this mandatory check",IF(AND(TRIM(AC517)&lt;&gt;"",TRIM(AE517)&lt;&gt;"",TRIM(T517)&lt;&gt;""),"N/A – JUSTIFIED","INVALID – N/A needs justification, PIC and verifier")),IF(OR(TRIM(U517)="Pass",TRIM(U517)="Pass after CA"),IF(NOT(ISNUMBER(AD517)),"INVALID – completion time missing",IF(TRIM(T517)="","INVALID – PIC missing",IF(TRIM(Z517)="","INVALID – evidence missing",IF(TRIM(AE517)="","INVALID – verifier missing",IF(AND(AQ517=1,TRIM(W517)=""),"INVALID – batch ID missing",IF(AND(AR517=1,OR(NOT(ISNUMBER(X517)),NOT(ISNUMBER(Y517)))),"INVALID – expected/actual qty missing",IF(IF(AND(TRIM(U517)="Pass",ISNUMBER(AF517)),IF(AF517&lt;&gt;0,"INVALID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recorded/closed","")&lt;&gt;"",IF(AND(TRIM(U517)="Pass",ISNUMBER(AF517)),IF(AF517&lt;&gt;0,"INVALID – qty variance: use Fail or Pass after CA",""),"")&amp;IF(AND(TRIM(U517)="Pass",AB517="Open"),"INVALID – corrective action still open: use Fail, then Pass after CA","")&amp;IF(AND(TRIM(U517)="Pass after CA",OR(TRIM(AA517)="",AB517&lt;&gt;"Closed")),"INVALID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window"),IF(AG517&gt;Flights!$AA$20,"INVALID – completed after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f>
        <v/>
      </c>
      <c r="AI517" s="67">
        <f>IF(OR(AH517="N/A – RULE",AH517="N/A – JUSTIFIED"),0,1)</f>
        <v/>
      </c>
      <c r="AJ517" s="67">
        <f>IF(LEFT(AH517,8)="COMPLETE",1,0)</f>
        <v/>
      </c>
      <c r="AK517" s="67">
        <f>IF(AND(AI517=1,AJ517=0,AsOfUTC&gt;Q517),1,0)</f>
        <v/>
      </c>
      <c r="AL517" s="67">
        <f>IF(AND(AI517=1,OR(TRIM(U517)="Fail",AB517="Open",AND(ISNUMBER(AF517),AF517&lt;&gt;0,TRIM(U517)&lt;&gt;"Pass after CA"))),1,0)</f>
        <v/>
      </c>
      <c r="AM517" s="67">
        <f>IF(LEFT(AH517,7)="INVALID",1,0)</f>
        <v/>
      </c>
      <c r="AN517" s="67">
        <f>IF(AND(N517="Clarification required",AI517=1,AJ517=0),1,0)</f>
        <v/>
      </c>
      <c r="AO517" s="67">
        <f>IF(AK517=1,SUM(AK$5:AK517),"")</f>
        <v/>
      </c>
      <c r="AP517" s="67">
        <f>IF(AL517=1,SUM(AL$5:AL517),"")</f>
        <v/>
      </c>
      <c r="AQ517" s="67" t="n">
        <v>0</v>
      </c>
      <c r="AR517" s="67" t="n">
        <v>1</v>
      </c>
      <c r="AS517" s="67" t="n">
        <v>0</v>
      </c>
      <c r="AT517" s="67" t="n">
        <v>0</v>
      </c>
    </row>
    <row r="518" ht="40" customHeight="1">
      <c r="A518" s="63" t="inlineStr">
        <is>
          <t>F16-T12-03</t>
        </is>
      </c>
      <c r="B518" s="63" t="inlineStr">
        <is>
          <t>F16</t>
        </is>
      </c>
      <c r="C518" s="63">
        <f>Flights!$F$20</f>
        <v/>
      </c>
      <c r="D518" s="64">
        <f>Flights!$D$20</f>
        <v/>
      </c>
      <c r="E518" s="63">
        <f>Flights!$G$20&amp;"-"&amp;Flights!$H$20</f>
        <v/>
      </c>
      <c r="F518" s="63">
        <f>Flights!$K$20</f>
        <v/>
      </c>
      <c r="G518" s="63" t="inlineStr">
        <is>
          <t>T-12H PREP</t>
        </is>
      </c>
      <c r="H518" s="63" t="inlineStr">
        <is>
          <t>Preparation</t>
        </is>
      </c>
      <c r="I518" s="63" t="inlineStr">
        <is>
          <t>Equipment</t>
        </is>
      </c>
      <c r="J518" s="63" t="inlineStr">
        <is>
          <t>Equipment cleanliness vs GLD</t>
        </is>
      </c>
      <c r="K518" s="73" t="inlineStr"/>
      <c r="L518" s="73" t="inlineStr">
        <is>
          <t>User brief (T-12 hours)</t>
        </is>
      </c>
      <c r="M518" s="73" t="inlineStr"/>
      <c r="N518" s="73" t="inlineStr">
        <is>
          <t>Required</t>
        </is>
      </c>
      <c r="O518" s="73" t="inlineStr">
        <is>
          <t>Preparation check at caterer - does NOT confirm loading.</t>
        </is>
      </c>
      <c r="P518" s="63" t="inlineStr">
        <is>
          <t>KUL</t>
        </is>
      </c>
      <c r="Q518" s="65">
        <f>Flights!$AE$20</f>
        <v/>
      </c>
      <c r="R518" s="65">
        <f>Q518+(IF(AND(INDEX(TZ_DSTS,MATCH(P518,TZ_STN,0))&lt;&gt;"",Q518&gt;=INDEX(TZ_DSTS,MATCH(P518,TZ_STN,0)),Q518&lt;INDEX(TZ_DSTE,MATCH(P518,TZ_STN,0))),INDEX(TZ_DST,MATCH(P518,TZ_STN,0)),INDEX(TZ_STD,MATCH(P518,TZ_STN,0))))/24</f>
        <v/>
      </c>
      <c r="S518" s="65">
        <f>Q518-T12EarlyH/24</f>
        <v/>
      </c>
      <c r="T518" s="66" t="n"/>
      <c r="U518" s="66" t="n"/>
      <c r="V518" s="66" t="n"/>
      <c r="W518" s="67" t="n"/>
      <c r="X518" s="66" t="n"/>
      <c r="Y518" s="66" t="n"/>
      <c r="Z518" s="66" t="n"/>
      <c r="AA518" s="66" t="n"/>
      <c r="AB518" s="66" t="n"/>
      <c r="AC518" s="66" t="n"/>
      <c r="AD518" s="72" t="n"/>
      <c r="AE518" s="66" t="n"/>
      <c r="AF518" s="67">
        <f>IF(AND(ISNUMBER(X518),ISNUMBER(Y518)),Y518-X518,"")</f>
        <v/>
      </c>
      <c r="AG518" s="68">
        <f>IF(ISNUMBER(AD518),AD518-(IF(AND(INDEX(TZ_DSTS,MATCH(P518,TZ_STN,0))&lt;&gt;"",(AD518-INDEX(TZ_STD,MATCH(P518,TZ_STN,0))/24)&gt;=INDEX(TZ_DSTS,MATCH(P518,TZ_STN,0)),(AD518-INDEX(TZ_STD,MATCH(P518,TZ_STN,0))/24)&lt;INDEX(TZ_DSTE,MATCH(P518,TZ_STN,0))),INDEX(TZ_DST,MATCH(P518,TZ_STN,0)),INDEX(TZ_STD,MATCH(P518,TZ_STN,0))))/24,"")</f>
        <v/>
      </c>
      <c r="AH518" s="71">
        <f>IF(N518="N/A – rule","N/A – RULE",IF(TRIM(U518)="N/A",IF(AT518=0,"INVALID – N/A not permitted for this mandatory check",IF(AND(TRIM(AC518)&lt;&gt;"",TRIM(AE518)&lt;&gt;"",TRIM(T518)&lt;&gt;""),"N/A – JUSTIFIED","INVALID – N/A needs justification, PIC and verifier")),IF(OR(TRIM(U518)="Pass",TRIM(U518)="Pass after CA"),IF(NOT(ISNUMBER(AD518)),"INVALID – completion time missing",IF(TRIM(T518)="","INVALID – PIC missing",IF(TRIM(Z518)="","INVALID – evidence missing",IF(TRIM(AE518)="","INVALID – verifier missing",IF(AND(AQ518=1,TRIM(W518)=""),"INVALID – batch ID missing",IF(AND(AR518=1,OR(NOT(ISNUMBER(X518)),NOT(ISNUMBER(Y518)))),"INVALID – expected/actual qty missing",IF(IF(AND(TRIM(U518)="Pass",ISNUMBER(AF518)),IF(AF518&lt;&gt;0,"INVALID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recorded/closed","")&lt;&gt;"",IF(AND(TRIM(U518)="Pass",ISNUMBER(AF518)),IF(AF518&lt;&gt;0,"INVALID – qty variance: use Fail or Pass after CA",""),"")&amp;IF(AND(TRIM(U518)="Pass",AB518="Open"),"INVALID – corrective action still open: use Fail, then Pass after CA","")&amp;IF(AND(TRIM(U518)="Pass after CA",OR(TRIM(AA518)="",AB518&lt;&gt;"Closed")),"INVALID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window"),IF(AG518&gt;Flights!$AA$20,"INVALID – completed after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f>
        <v/>
      </c>
      <c r="AI518" s="67">
        <f>IF(OR(AH518="N/A – RULE",AH518="N/A – JUSTIFIED"),0,1)</f>
        <v/>
      </c>
      <c r="AJ518" s="67">
        <f>IF(LEFT(AH518,8)="COMPLETE",1,0)</f>
        <v/>
      </c>
      <c r="AK518" s="67">
        <f>IF(AND(AI518=1,AJ518=0,AsOfUTC&gt;Q518),1,0)</f>
        <v/>
      </c>
      <c r="AL518" s="67">
        <f>IF(AND(AI518=1,OR(TRIM(U518)="Fail",AB518="Open",AND(ISNUMBER(AF518),AF518&lt;&gt;0,TRIM(U518)&lt;&gt;"Pass after CA"))),1,0)</f>
        <v/>
      </c>
      <c r="AM518" s="67">
        <f>IF(LEFT(AH518,7)="INVALID",1,0)</f>
        <v/>
      </c>
      <c r="AN518" s="67">
        <f>IF(AND(N518="Clarification required",AI518=1,AJ518=0),1,0)</f>
        <v/>
      </c>
      <c r="AO518" s="67">
        <f>IF(AK518=1,SUM(AK$5:AK518),"")</f>
        <v/>
      </c>
      <c r="AP518" s="67">
        <f>IF(AL518=1,SUM(AL$5:AL518),"")</f>
        <v/>
      </c>
      <c r="AQ518" s="67" t="n">
        <v>0</v>
      </c>
      <c r="AR518" s="67" t="n">
        <v>0</v>
      </c>
      <c r="AS518" s="67" t="n">
        <v>0</v>
      </c>
      <c r="AT518" s="67" t="n">
        <v>0</v>
      </c>
    </row>
    <row r="519" ht="40" customHeight="1">
      <c r="A519" s="63" t="inlineStr">
        <is>
          <t>F16-T12-04</t>
        </is>
      </c>
      <c r="B519" s="63" t="inlineStr">
        <is>
          <t>F16</t>
        </is>
      </c>
      <c r="C519" s="63">
        <f>Flights!$F$20</f>
        <v/>
      </c>
      <c r="D519" s="64">
        <f>Flights!$D$20</f>
        <v/>
      </c>
      <c r="E519" s="63">
        <f>Flights!$G$20&amp;"-"&amp;Flights!$H$20</f>
        <v/>
      </c>
      <c r="F519" s="63">
        <f>Flights!$K$20</f>
        <v/>
      </c>
      <c r="G519" s="63" t="inlineStr">
        <is>
          <t>T-12H PREP</t>
        </is>
      </c>
      <c r="H519" s="63" t="inlineStr">
        <is>
          <t>Preparation</t>
        </is>
      </c>
      <c r="I519" s="63" t="inlineStr">
        <is>
          <t>Equipment</t>
        </is>
      </c>
      <c r="J519" s="63" t="inlineStr">
        <is>
          <t>Equipment presentation vs GLD</t>
        </is>
      </c>
      <c r="K519" s="73" t="inlineStr"/>
      <c r="L519" s="73" t="inlineStr">
        <is>
          <t>User brief (T-12 hours)</t>
        </is>
      </c>
      <c r="M519" s="73" t="inlineStr"/>
      <c r="N519" s="73" t="inlineStr">
        <is>
          <t>Required</t>
        </is>
      </c>
      <c r="O519" s="73" t="inlineStr">
        <is>
          <t>Preparation check at caterer - does NOT confirm loading.</t>
        </is>
      </c>
      <c r="P519" s="63" t="inlineStr">
        <is>
          <t>KUL</t>
        </is>
      </c>
      <c r="Q519" s="65">
        <f>Flights!$AE$20</f>
        <v/>
      </c>
      <c r="R519" s="65">
        <f>Q519+(IF(AND(INDEX(TZ_DSTS,MATCH(P519,TZ_STN,0))&lt;&gt;"",Q519&gt;=INDEX(TZ_DSTS,MATCH(P519,TZ_STN,0)),Q519&lt;INDEX(TZ_DSTE,MATCH(P519,TZ_STN,0))),INDEX(TZ_DST,MATCH(P519,TZ_STN,0)),INDEX(TZ_STD,MATCH(P519,TZ_STN,0))))/24</f>
        <v/>
      </c>
      <c r="S519" s="65">
        <f>Q519-T12EarlyH/24</f>
        <v/>
      </c>
      <c r="T519" s="66" t="n"/>
      <c r="U519" s="66" t="n"/>
      <c r="V519" s="66" t="n"/>
      <c r="W519" s="67" t="n"/>
      <c r="X519" s="66" t="n"/>
      <c r="Y519" s="66" t="n"/>
      <c r="Z519" s="66" t="n"/>
      <c r="AA519" s="66" t="n"/>
      <c r="AB519" s="66" t="n"/>
      <c r="AC519" s="66" t="n"/>
      <c r="AD519" s="72" t="n"/>
      <c r="AE519" s="66" t="n"/>
      <c r="AF519" s="67">
        <f>IF(AND(ISNUMBER(X519),ISNUMBER(Y519)),Y519-X519,"")</f>
        <v/>
      </c>
      <c r="AG519" s="68">
        <f>IF(ISNUMBER(AD519),AD519-(IF(AND(INDEX(TZ_DSTS,MATCH(P519,TZ_STN,0))&lt;&gt;"",(AD519-INDEX(TZ_STD,MATCH(P519,TZ_STN,0))/24)&gt;=INDEX(TZ_DSTS,MATCH(P519,TZ_STN,0)),(AD519-INDEX(TZ_STD,MATCH(P519,TZ_STN,0))/24)&lt;INDEX(TZ_DSTE,MATCH(P519,TZ_STN,0))),INDEX(TZ_DST,MATCH(P519,TZ_STN,0)),INDEX(TZ_STD,MATCH(P519,TZ_STN,0))))/24,"")</f>
        <v/>
      </c>
      <c r="AH519" s="71">
        <f>IF(N519="N/A – rule","N/A – RULE",IF(TRIM(U519)="N/A",IF(AT519=0,"INVALID – N/A not permitted for this mandatory check",IF(AND(TRIM(AC519)&lt;&gt;"",TRIM(AE519)&lt;&gt;"",TRIM(T519)&lt;&gt;""),"N/A – JUSTIFIED","INVALID – N/A needs justification, PIC and verifier")),IF(OR(TRIM(U519)="Pass",TRIM(U519)="Pass after CA"),IF(NOT(ISNUMBER(AD519)),"INVALID – completion time missing",IF(TRIM(T519)="","INVALID – PIC missing",IF(TRIM(Z519)="","INVALID – evidence missing",IF(TRIM(AE519)="","INVALID – verifier missing",IF(AND(AQ519=1,TRIM(W519)=""),"INVALID – batch ID missing",IF(AND(AR519=1,OR(NOT(ISNUMBER(X519)),NOT(ISNUMBER(Y519)))),"INVALID – expected/actual qty missing",IF(IF(AND(TRIM(U519)="Pass",ISNUMBER(AF519)),IF(AF519&lt;&gt;0,"INVALID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recorded/closed","")&lt;&gt;"",IF(AND(TRIM(U519)="Pass",ISNUMBER(AF519)),IF(AF519&lt;&gt;0,"INVALID – qty variance: use Fail or Pass after CA",""),"")&amp;IF(AND(TRIM(U519)="Pass",AB519="Open"),"INVALID – corrective action still open: use Fail, then Pass after CA","")&amp;IF(AND(TRIM(U519)="Pass after CA",OR(TRIM(AA519)="",AB519&lt;&gt;"Closed")),"INVALID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window"),IF(AG519&gt;Flights!$AA$20,"INVALID – completed after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f>
        <v/>
      </c>
      <c r="AI519" s="67">
        <f>IF(OR(AH519="N/A – RULE",AH519="N/A – JUSTIFIED"),0,1)</f>
        <v/>
      </c>
      <c r="AJ519" s="67">
        <f>IF(LEFT(AH519,8)="COMPLETE",1,0)</f>
        <v/>
      </c>
      <c r="AK519" s="67">
        <f>IF(AND(AI519=1,AJ519=0,AsOfUTC&gt;Q519),1,0)</f>
        <v/>
      </c>
      <c r="AL519" s="67">
        <f>IF(AND(AI519=1,OR(TRIM(U519)="Fail",AB519="Open",AND(ISNUMBER(AF519),AF519&lt;&gt;0,TRIM(U519)&lt;&gt;"Pass after CA"))),1,0)</f>
        <v/>
      </c>
      <c r="AM519" s="67">
        <f>IF(LEFT(AH519,7)="INVALID",1,0)</f>
        <v/>
      </c>
      <c r="AN519" s="67">
        <f>IF(AND(N519="Clarification required",AI519=1,AJ519=0),1,0)</f>
        <v/>
      </c>
      <c r="AO519" s="67">
        <f>IF(AK519=1,SUM(AK$5:AK519),"")</f>
        <v/>
      </c>
      <c r="AP519" s="67">
        <f>IF(AL519=1,SUM(AL$5:AL519),"")</f>
        <v/>
      </c>
      <c r="AQ519" s="67" t="n">
        <v>0</v>
      </c>
      <c r="AR519" s="67" t="n">
        <v>0</v>
      </c>
      <c r="AS519" s="67" t="n">
        <v>0</v>
      </c>
      <c r="AT519" s="67" t="n">
        <v>0</v>
      </c>
    </row>
    <row r="520" ht="40" customHeight="1">
      <c r="A520" s="63" t="inlineStr">
        <is>
          <t>F16-T12-05</t>
        </is>
      </c>
      <c r="B520" s="63" t="inlineStr">
        <is>
          <t>F16</t>
        </is>
      </c>
      <c r="C520" s="63">
        <f>Flights!$F$20</f>
        <v/>
      </c>
      <c r="D520" s="64">
        <f>Flights!$D$20</f>
        <v/>
      </c>
      <c r="E520" s="63">
        <f>Flights!$G$20&amp;"-"&amp;Flights!$H$20</f>
        <v/>
      </c>
      <c r="F520" s="63">
        <f>Flights!$K$20</f>
        <v/>
      </c>
      <c r="G520" s="63" t="inlineStr">
        <is>
          <t>T-12H PREP</t>
        </is>
      </c>
      <c r="H520" s="63" t="inlineStr">
        <is>
          <t>Preparation</t>
        </is>
      </c>
      <c r="I520" s="63" t="inlineStr">
        <is>
          <t>Equipment</t>
        </is>
      </c>
      <c r="J520" s="63" t="inlineStr">
        <is>
          <t>Equipment serviceability vs GLD</t>
        </is>
      </c>
      <c r="K520" s="73" t="inlineStr"/>
      <c r="L520" s="73" t="inlineStr">
        <is>
          <t>User brief (T-12 hours)</t>
        </is>
      </c>
      <c r="M520" s="73" t="inlineStr"/>
      <c r="N520" s="73" t="inlineStr">
        <is>
          <t>Required</t>
        </is>
      </c>
      <c r="O520" s="73" t="inlineStr">
        <is>
          <t>Preparation check at caterer - does NOT confirm loading.</t>
        </is>
      </c>
      <c r="P520" s="63" t="inlineStr">
        <is>
          <t>KUL</t>
        </is>
      </c>
      <c r="Q520" s="65">
        <f>Flights!$AE$20</f>
        <v/>
      </c>
      <c r="R520" s="65">
        <f>Q520+(IF(AND(INDEX(TZ_DSTS,MATCH(P520,TZ_STN,0))&lt;&gt;"",Q520&gt;=INDEX(TZ_DSTS,MATCH(P520,TZ_STN,0)),Q520&lt;INDEX(TZ_DSTE,MATCH(P520,TZ_STN,0))),INDEX(TZ_DST,MATCH(P520,TZ_STN,0)),INDEX(TZ_STD,MATCH(P520,TZ_STN,0))))/24</f>
        <v/>
      </c>
      <c r="S520" s="65">
        <f>Q520-T12EarlyH/24</f>
        <v/>
      </c>
      <c r="T520" s="66" t="n"/>
      <c r="U520" s="66" t="n"/>
      <c r="V520" s="66" t="n"/>
      <c r="W520" s="67" t="n"/>
      <c r="X520" s="66" t="n"/>
      <c r="Y520" s="66" t="n"/>
      <c r="Z520" s="66" t="n"/>
      <c r="AA520" s="66" t="n"/>
      <c r="AB520" s="66" t="n"/>
      <c r="AC520" s="66" t="n"/>
      <c r="AD520" s="72" t="n"/>
      <c r="AE520" s="66" t="n"/>
      <c r="AF520" s="67">
        <f>IF(AND(ISNUMBER(X520),ISNUMBER(Y520)),Y520-X520,"")</f>
        <v/>
      </c>
      <c r="AG520" s="68">
        <f>IF(ISNUMBER(AD520),AD520-(IF(AND(INDEX(TZ_DSTS,MATCH(P520,TZ_STN,0))&lt;&gt;"",(AD520-INDEX(TZ_STD,MATCH(P520,TZ_STN,0))/24)&gt;=INDEX(TZ_DSTS,MATCH(P520,TZ_STN,0)),(AD520-INDEX(TZ_STD,MATCH(P520,TZ_STN,0))/24)&lt;INDEX(TZ_DSTE,MATCH(P520,TZ_STN,0))),INDEX(TZ_DST,MATCH(P520,TZ_STN,0)),INDEX(TZ_STD,MATCH(P520,TZ_STN,0))))/24,"")</f>
        <v/>
      </c>
      <c r="AH520" s="71">
        <f>IF(N520="N/A – rule","N/A – RULE",IF(TRIM(U520)="N/A",IF(AT520=0,"INVALID – N/A not permitted for this mandatory check",IF(AND(TRIM(AC520)&lt;&gt;"",TRIM(AE520)&lt;&gt;"",TRIM(T520)&lt;&gt;""),"N/A – JUSTIFIED","INVALID – N/A needs justification, PIC and verifier")),IF(OR(TRIM(U520)="Pass",TRIM(U520)="Pass after CA"),IF(NOT(ISNUMBER(AD520)),"INVALID – completion time missing",IF(TRIM(T520)="","INVALID – PIC missing",IF(TRIM(Z520)="","INVALID – evidence missing",IF(TRIM(AE520)="","INVALID – verifier missing",IF(AND(AQ520=1,TRIM(W520)=""),"INVALID – batch ID missing",IF(AND(AR520=1,OR(NOT(ISNUMBER(X520)),NOT(ISNUMBER(Y520)))),"INVALID – expected/actual qty missing",IF(IF(AND(TRIM(U520)="Pass",ISNUMBER(AF520)),IF(AF520&lt;&gt;0,"INVALID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recorded/closed","")&lt;&gt;"",IF(AND(TRIM(U520)="Pass",ISNUMBER(AF520)),IF(AF520&lt;&gt;0,"INVALID – qty variance: use Fail or Pass after CA",""),"")&amp;IF(AND(TRIM(U520)="Pass",AB520="Open"),"INVALID – corrective action still open: use Fail, then Pass after CA","")&amp;IF(AND(TRIM(U520)="Pass after CA",OR(TRIM(AA520)="",AB520&lt;&gt;"Closed")),"INVALID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window"),IF(AG520&gt;Flights!$AA$20,"INVALID – completed after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f>
        <v/>
      </c>
      <c r="AI520" s="67">
        <f>IF(OR(AH520="N/A – RULE",AH520="N/A – JUSTIFIED"),0,1)</f>
        <v/>
      </c>
      <c r="AJ520" s="67">
        <f>IF(LEFT(AH520,8)="COMPLETE",1,0)</f>
        <v/>
      </c>
      <c r="AK520" s="67">
        <f>IF(AND(AI520=1,AJ520=0,AsOfUTC&gt;Q520),1,0)</f>
        <v/>
      </c>
      <c r="AL520" s="67">
        <f>IF(AND(AI520=1,OR(TRIM(U520)="Fail",AB520="Open",AND(ISNUMBER(AF520),AF520&lt;&gt;0,TRIM(U520)&lt;&gt;"Pass after CA"))),1,0)</f>
        <v/>
      </c>
      <c r="AM520" s="67">
        <f>IF(LEFT(AH520,7)="INVALID",1,0)</f>
        <v/>
      </c>
      <c r="AN520" s="67">
        <f>IF(AND(N520="Clarification required",AI520=1,AJ520=0),1,0)</f>
        <v/>
      </c>
      <c r="AO520" s="67">
        <f>IF(AK520=1,SUM(AK$5:AK520),"")</f>
        <v/>
      </c>
      <c r="AP520" s="67">
        <f>IF(AL520=1,SUM(AL$5:AL520),"")</f>
        <v/>
      </c>
      <c r="AQ520" s="67" t="n">
        <v>0</v>
      </c>
      <c r="AR520" s="67" t="n">
        <v>0</v>
      </c>
      <c r="AS520" s="67" t="n">
        <v>0</v>
      </c>
      <c r="AT520" s="67" t="n">
        <v>0</v>
      </c>
    </row>
    <row r="521" ht="79" customHeight="1">
      <c r="A521" s="63" t="inlineStr">
        <is>
          <t>F16-T12-06</t>
        </is>
      </c>
      <c r="B521" s="63" t="inlineStr">
        <is>
          <t>F16</t>
        </is>
      </c>
      <c r="C521" s="63">
        <f>Flights!$F$20</f>
        <v/>
      </c>
      <c r="D521" s="64">
        <f>Flights!$D$20</f>
        <v/>
      </c>
      <c r="E521" s="63">
        <f>Flights!$G$20&amp;"-"&amp;Flights!$H$20</f>
        <v/>
      </c>
      <c r="F521" s="63">
        <f>Flights!$K$20</f>
        <v/>
      </c>
      <c r="G521" s="63" t="inlineStr">
        <is>
          <t>T-12H PREP</t>
        </is>
      </c>
      <c r="H521" s="63" t="inlineStr">
        <is>
          <t>Preparation</t>
        </is>
      </c>
      <c r="I521" s="63" t="inlineStr">
        <is>
          <t>Equipment</t>
        </is>
      </c>
      <c r="J521" s="63" t="inlineStr">
        <is>
          <t>Equipment quantities vs GLD</t>
        </is>
      </c>
      <c r="K521" s="73" t="inlineStr">
        <is>
          <t>Enter expected &amp; actual. Aircraft galley data: B737-8 (B7M8): carts 10.5, SU 25, ovens 6, warming ovens -, fridges -, water heaters 3, beverage makers -, espresso -, folding trolleys -, headsets - (AIRCRAFT TYPE!C16:R16)</t>
        </is>
      </c>
      <c r="L521" s="73" t="inlineStr">
        <is>
          <t>User brief (T-12 hours)</t>
        </is>
      </c>
      <c r="M521" s="73" t="inlineStr"/>
      <c r="N521" s="73" t="inlineStr">
        <is>
          <t>Required</t>
        </is>
      </c>
      <c r="O521" s="73" t="inlineStr">
        <is>
          <t>Preparation check at caterer - does NOT confirm loading.</t>
        </is>
      </c>
      <c r="P521" s="63" t="inlineStr">
        <is>
          <t>KUL</t>
        </is>
      </c>
      <c r="Q521" s="65">
        <f>Flights!$AE$20</f>
        <v/>
      </c>
      <c r="R521" s="65">
        <f>Q521+(IF(AND(INDEX(TZ_DSTS,MATCH(P521,TZ_STN,0))&lt;&gt;"",Q521&gt;=INDEX(TZ_DSTS,MATCH(P521,TZ_STN,0)),Q521&lt;INDEX(TZ_DSTE,MATCH(P521,TZ_STN,0))),INDEX(TZ_DST,MATCH(P521,TZ_STN,0)),INDEX(TZ_STD,MATCH(P521,TZ_STN,0))))/24</f>
        <v/>
      </c>
      <c r="S521" s="65">
        <f>Q521-T12EarlyH/24</f>
        <v/>
      </c>
      <c r="T521" s="66" t="n"/>
      <c r="U521" s="66" t="n"/>
      <c r="V521" s="66" t="n"/>
      <c r="W521" s="67" t="n"/>
      <c r="X521" s="66" t="n"/>
      <c r="Y521" s="66" t="n"/>
      <c r="Z521" s="66" t="n"/>
      <c r="AA521" s="66" t="n"/>
      <c r="AB521" s="66" t="n"/>
      <c r="AC521" s="66" t="n"/>
      <c r="AD521" s="72" t="n"/>
      <c r="AE521" s="66" t="n"/>
      <c r="AF521" s="67">
        <f>IF(AND(ISNUMBER(X521),ISNUMBER(Y521)),Y521-X521,"")</f>
        <v/>
      </c>
      <c r="AG521" s="68">
        <f>IF(ISNUMBER(AD521),AD521-(IF(AND(INDEX(TZ_DSTS,MATCH(P521,TZ_STN,0))&lt;&gt;"",(AD521-INDEX(TZ_STD,MATCH(P521,TZ_STN,0))/24)&gt;=INDEX(TZ_DSTS,MATCH(P521,TZ_STN,0)),(AD521-INDEX(TZ_STD,MATCH(P521,TZ_STN,0))/24)&lt;INDEX(TZ_DSTE,MATCH(P521,TZ_STN,0))),INDEX(TZ_DST,MATCH(P521,TZ_STN,0)),INDEX(TZ_STD,MATCH(P521,TZ_STN,0))))/24,"")</f>
        <v/>
      </c>
      <c r="AH521" s="71">
        <f>IF(N521="N/A – rule","N/A – RULE",IF(TRIM(U521)="N/A",IF(AT521=0,"INVALID – N/A not permitted for this mandatory check",IF(AND(TRIM(AC521)&lt;&gt;"",TRIM(AE521)&lt;&gt;"",TRIM(T521)&lt;&gt;""),"N/A – JUSTIFIED","INVALID – N/A needs justification, PIC and verifier")),IF(OR(TRIM(U521)="Pass",TRIM(U521)="Pass after CA"),IF(NOT(ISNUMBER(AD521)),"INVALID – completion time missing",IF(TRIM(T521)="","INVALID – PIC missing",IF(TRIM(Z521)="","INVALID – evidence missing",IF(TRIM(AE521)="","INVALID – verifier missing",IF(AND(AQ521=1,TRIM(W521)=""),"INVALID – batch ID missing",IF(AND(AR521=1,OR(NOT(ISNUMBER(X521)),NOT(ISNUMBER(Y521)))),"INVALID – expected/actual qty missing",IF(IF(AND(TRIM(U521)="Pass",ISNUMBER(AF521)),IF(AF521&lt;&gt;0,"INVALID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recorded/closed","")&lt;&gt;"",IF(AND(TRIM(U521)="Pass",ISNUMBER(AF521)),IF(AF521&lt;&gt;0,"INVALID – qty variance: use Fail or Pass after CA",""),"")&amp;IF(AND(TRIM(U521)="Pass",AB521="Open"),"INVALID – corrective action still open: use Fail, then Pass after CA","")&amp;IF(AND(TRIM(U521)="Pass after CA",OR(TRIM(AA521)="",AB521&lt;&gt;"Closed")),"INVALID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window"),IF(AG521&gt;Flights!$AA$20,"INVALID – completed after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f>
        <v/>
      </c>
      <c r="AI521" s="67">
        <f>IF(OR(AH521="N/A – RULE",AH521="N/A – JUSTIFIED"),0,1)</f>
        <v/>
      </c>
      <c r="AJ521" s="67">
        <f>IF(LEFT(AH521,8)="COMPLETE",1,0)</f>
        <v/>
      </c>
      <c r="AK521" s="67">
        <f>IF(AND(AI521=1,AJ521=0,AsOfUTC&gt;Q521),1,0)</f>
        <v/>
      </c>
      <c r="AL521" s="67">
        <f>IF(AND(AI521=1,OR(TRIM(U521)="Fail",AB521="Open",AND(ISNUMBER(AF521),AF521&lt;&gt;0,TRIM(U521)&lt;&gt;"Pass after CA"))),1,0)</f>
        <v/>
      </c>
      <c r="AM521" s="67">
        <f>IF(LEFT(AH521,7)="INVALID",1,0)</f>
        <v/>
      </c>
      <c r="AN521" s="67">
        <f>IF(AND(N521="Clarification required",AI521=1,AJ521=0),1,0)</f>
        <v/>
      </c>
      <c r="AO521" s="67">
        <f>IF(AK521=1,SUM(AK$5:AK521),"")</f>
        <v/>
      </c>
      <c r="AP521" s="67">
        <f>IF(AL521=1,SUM(AL$5:AL521),"")</f>
        <v/>
      </c>
      <c r="AQ521" s="67" t="n">
        <v>0</v>
      </c>
      <c r="AR521" s="67" t="n">
        <v>1</v>
      </c>
      <c r="AS521" s="67" t="n">
        <v>0</v>
      </c>
      <c r="AT521" s="67" t="n">
        <v>0</v>
      </c>
    </row>
    <row r="522" ht="40" customHeight="1">
      <c r="A522" s="63" t="inlineStr">
        <is>
          <t>F16-T12-07</t>
        </is>
      </c>
      <c r="B522" s="63" t="inlineStr">
        <is>
          <t>F16</t>
        </is>
      </c>
      <c r="C522" s="63">
        <f>Flights!$F$20</f>
        <v/>
      </c>
      <c r="D522" s="64">
        <f>Flights!$D$20</f>
        <v/>
      </c>
      <c r="E522" s="63">
        <f>Flights!$G$20&amp;"-"&amp;Flights!$H$20</f>
        <v/>
      </c>
      <c r="F522" s="63">
        <f>Flights!$K$20</f>
        <v/>
      </c>
      <c r="G522" s="63" t="inlineStr">
        <is>
          <t>T-12H PREP</t>
        </is>
      </c>
      <c r="H522" s="63" t="inlineStr">
        <is>
          <t>Preparation</t>
        </is>
      </c>
      <c r="I522" s="63" t="inlineStr">
        <is>
          <t>Equipment</t>
        </is>
      </c>
      <c r="J522" s="63" t="inlineStr">
        <is>
          <t>Loading positions planned vs GLD</t>
        </is>
      </c>
      <c r="K522" s="73" t="inlineStr"/>
      <c r="L522" s="73" t="inlineStr">
        <is>
          <t>User brief (T-12 hours)</t>
        </is>
      </c>
      <c r="M522" s="73" t="inlineStr"/>
      <c r="N522" s="73" t="inlineStr">
        <is>
          <t>Required</t>
        </is>
      </c>
      <c r="O522" s="73" t="inlineStr">
        <is>
          <t>Preparation check at caterer - does NOT confirm loading.</t>
        </is>
      </c>
      <c r="P522" s="63" t="inlineStr">
        <is>
          <t>KUL</t>
        </is>
      </c>
      <c r="Q522" s="65">
        <f>Flights!$AE$20</f>
        <v/>
      </c>
      <c r="R522" s="65">
        <f>Q522+(IF(AND(INDEX(TZ_DSTS,MATCH(P522,TZ_STN,0))&lt;&gt;"",Q522&gt;=INDEX(TZ_DSTS,MATCH(P522,TZ_STN,0)),Q522&lt;INDEX(TZ_DSTE,MATCH(P522,TZ_STN,0))),INDEX(TZ_DST,MATCH(P522,TZ_STN,0)),INDEX(TZ_STD,MATCH(P522,TZ_STN,0))))/24</f>
        <v/>
      </c>
      <c r="S522" s="65">
        <f>Q522-T12EarlyH/24</f>
        <v/>
      </c>
      <c r="T522" s="66" t="n"/>
      <c r="U522" s="66" t="n"/>
      <c r="V522" s="66" t="n"/>
      <c r="W522" s="67" t="n"/>
      <c r="X522" s="66" t="n"/>
      <c r="Y522" s="66" t="n"/>
      <c r="Z522" s="66" t="n"/>
      <c r="AA522" s="66" t="n"/>
      <c r="AB522" s="66" t="n"/>
      <c r="AC522" s="66" t="n"/>
      <c r="AD522" s="72" t="n"/>
      <c r="AE522" s="66" t="n"/>
      <c r="AF522" s="67">
        <f>IF(AND(ISNUMBER(X522),ISNUMBER(Y522)),Y522-X522,"")</f>
        <v/>
      </c>
      <c r="AG522" s="68">
        <f>IF(ISNUMBER(AD522),AD522-(IF(AND(INDEX(TZ_DSTS,MATCH(P522,TZ_STN,0))&lt;&gt;"",(AD522-INDEX(TZ_STD,MATCH(P522,TZ_STN,0))/24)&gt;=INDEX(TZ_DSTS,MATCH(P522,TZ_STN,0)),(AD522-INDEX(TZ_STD,MATCH(P522,TZ_STN,0))/24)&lt;INDEX(TZ_DSTE,MATCH(P522,TZ_STN,0))),INDEX(TZ_DST,MATCH(P522,TZ_STN,0)),INDEX(TZ_STD,MATCH(P522,TZ_STN,0))))/24,"")</f>
        <v/>
      </c>
      <c r="AH522" s="71">
        <f>IF(N522="N/A – rule","N/A – RULE",IF(TRIM(U522)="N/A",IF(AT522=0,"INVALID – N/A not permitted for this mandatory check",IF(AND(TRIM(AC522)&lt;&gt;"",TRIM(AE522)&lt;&gt;"",TRIM(T522)&lt;&gt;""),"N/A – JUSTIFIED","INVALID – N/A needs justification, PIC and verifier")),IF(OR(TRIM(U522)="Pass",TRIM(U522)="Pass after CA"),IF(NOT(ISNUMBER(AD522)),"INVALID – completion time missing",IF(TRIM(T522)="","INVALID – PIC missing",IF(TRIM(Z522)="","INVALID – evidence missing",IF(TRIM(AE522)="","INVALID – verifier missing",IF(AND(AQ522=1,TRIM(W522)=""),"INVALID – batch ID missing",IF(AND(AR522=1,OR(NOT(ISNUMBER(X522)),NOT(ISNUMBER(Y522)))),"INVALID – expected/actual qty missing",IF(IF(AND(TRIM(U522)="Pass",ISNUMBER(AF522)),IF(AF522&lt;&gt;0,"INVALID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recorded/closed","")&lt;&gt;"",IF(AND(TRIM(U522)="Pass",ISNUMBER(AF522)),IF(AF522&lt;&gt;0,"INVALID – qty variance: use Fail or Pass after CA",""),"")&amp;IF(AND(TRIM(U522)="Pass",AB522="Open"),"INVALID – corrective action still open: use Fail, then Pass after CA","")&amp;IF(AND(TRIM(U522)="Pass after CA",OR(TRIM(AA522)="",AB522&lt;&gt;"Closed")),"INVALID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window"),IF(AG522&gt;Flights!$AA$20,"INVALID – completed after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f>
        <v/>
      </c>
      <c r="AI522" s="67">
        <f>IF(OR(AH522="N/A – RULE",AH522="N/A – JUSTIFIED"),0,1)</f>
        <v/>
      </c>
      <c r="AJ522" s="67">
        <f>IF(LEFT(AH522,8)="COMPLETE",1,0)</f>
        <v/>
      </c>
      <c r="AK522" s="67">
        <f>IF(AND(AI522=1,AJ522=0,AsOfUTC&gt;Q522),1,0)</f>
        <v/>
      </c>
      <c r="AL522" s="67">
        <f>IF(AND(AI522=1,OR(TRIM(U522)="Fail",AB522="Open",AND(ISNUMBER(AF522),AF522&lt;&gt;0,TRIM(U522)&lt;&gt;"Pass after CA"))),1,0)</f>
        <v/>
      </c>
      <c r="AM522" s="67">
        <f>IF(LEFT(AH522,7)="INVALID",1,0)</f>
        <v/>
      </c>
      <c r="AN522" s="67">
        <f>IF(AND(N522="Clarification required",AI522=1,AJ522=0),1,0)</f>
        <v/>
      </c>
      <c r="AO522" s="67">
        <f>IF(AK522=1,SUM(AK$5:AK522),"")</f>
        <v/>
      </c>
      <c r="AP522" s="67">
        <f>IF(AL522=1,SUM(AL$5:AL522),"")</f>
        <v/>
      </c>
      <c r="AQ522" s="67" t="n">
        <v>0</v>
      </c>
      <c r="AR522" s="67" t="n">
        <v>0</v>
      </c>
      <c r="AS522" s="67" t="n">
        <v>0</v>
      </c>
      <c r="AT522" s="67" t="n">
        <v>0</v>
      </c>
    </row>
    <row r="523" ht="41.5" customHeight="1">
      <c r="A523" s="63" t="inlineStr">
        <is>
          <t>F16-T12-08</t>
        </is>
      </c>
      <c r="B523" s="63" t="inlineStr">
        <is>
          <t>F16</t>
        </is>
      </c>
      <c r="C523" s="63">
        <f>Flights!$F$20</f>
        <v/>
      </c>
      <c r="D523" s="64">
        <f>Flights!$D$20</f>
        <v/>
      </c>
      <c r="E523" s="63">
        <f>Flights!$G$20&amp;"-"&amp;Flights!$H$20</f>
        <v/>
      </c>
      <c r="F523" s="63">
        <f>Flights!$K$20</f>
        <v/>
      </c>
      <c r="G523" s="63" t="inlineStr">
        <is>
          <t>T-12H PREP</t>
        </is>
      </c>
      <c r="H523" s="63" t="inlineStr">
        <is>
          <t>Preparation</t>
        </is>
      </c>
      <c r="I523" s="63" t="inlineStr">
        <is>
          <t>Seat Linen</t>
        </is>
      </c>
      <c r="J523" s="63" t="inlineStr">
        <is>
          <t>Seat pillow (EY) - prepared</t>
        </is>
      </c>
      <c r="K523" s="73" t="inlineStr">
        <is>
          <t>Available 100% (ticked in reference)</t>
        </is>
      </c>
      <c r="L523" s="73" t="inlineStr">
        <is>
          <t>STD UPLIFT INFORMATION.xlsx &gt; SEAT LINEN!I30</t>
        </is>
      </c>
      <c r="M523" s="73" t="inlineStr">
        <is>
          <t>Not stated in reference</t>
        </is>
      </c>
      <c r="N523" s="73" t="inlineStr">
        <is>
          <t>Required</t>
        </is>
      </c>
      <c r="O523" s="73" t="inlineStr">
        <is>
          <t>Reference gives no uplift stn for this item: preparation checked at the meal uplift stn (KUL) - confirm with caterer.</t>
        </is>
      </c>
      <c r="P523" s="63" t="inlineStr">
        <is>
          <t>KUL</t>
        </is>
      </c>
      <c r="Q523" s="65">
        <f>Flights!$AE$20</f>
        <v/>
      </c>
      <c r="R523" s="65">
        <f>Q523+(IF(AND(INDEX(TZ_DSTS,MATCH(P523,TZ_STN,0))&lt;&gt;"",Q523&gt;=INDEX(TZ_DSTS,MATCH(P523,TZ_STN,0)),Q523&lt;INDEX(TZ_DSTE,MATCH(P523,TZ_STN,0))),INDEX(TZ_DST,MATCH(P523,TZ_STN,0)),INDEX(TZ_STD,MATCH(P523,TZ_STN,0))))/24</f>
        <v/>
      </c>
      <c r="S523" s="65">
        <f>Q523-T12EarlyH/24</f>
        <v/>
      </c>
      <c r="T523" s="66" t="n"/>
      <c r="U523" s="66" t="n"/>
      <c r="V523" s="66" t="n"/>
      <c r="W523" s="67" t="n"/>
      <c r="X523" s="66" t="n"/>
      <c r="Y523" s="66" t="n"/>
      <c r="Z523" s="66" t="n"/>
      <c r="AA523" s="66" t="n"/>
      <c r="AB523" s="66" t="n"/>
      <c r="AC523" s="66" t="n"/>
      <c r="AD523" s="72" t="n"/>
      <c r="AE523" s="66" t="n"/>
      <c r="AF523" s="67">
        <f>IF(AND(ISNUMBER(X523),ISNUMBER(Y523)),Y523-X523,"")</f>
        <v/>
      </c>
      <c r="AG523" s="68">
        <f>IF(ISNUMBER(AD523),AD523-(IF(AND(INDEX(TZ_DSTS,MATCH(P523,TZ_STN,0))&lt;&gt;"",(AD523-INDEX(TZ_STD,MATCH(P523,TZ_STN,0))/24)&gt;=INDEX(TZ_DSTS,MATCH(P523,TZ_STN,0)),(AD523-INDEX(TZ_STD,MATCH(P523,TZ_STN,0))/24)&lt;INDEX(TZ_DSTE,MATCH(P523,TZ_STN,0))),INDEX(TZ_DST,MATCH(P523,TZ_STN,0)),INDEX(TZ_STD,MATCH(P523,TZ_STN,0))))/24,"")</f>
        <v/>
      </c>
      <c r="AH523" s="71">
        <f>IF(N523="N/A – rule","N/A – RULE",IF(TRIM(U523)="N/A",IF(AT523=0,"INVALID – N/A not permitted for this mandatory check",IF(AND(TRIM(AC523)&lt;&gt;"",TRIM(AE523)&lt;&gt;"",TRIM(T523)&lt;&gt;""),"N/A – JUSTIFIED","INVALID – N/A needs justification, PIC and verifier")),IF(OR(TRIM(U523)="Pass",TRIM(U523)="Pass after CA"),IF(NOT(ISNUMBER(AD523)),"INVALID – completion time missing",IF(TRIM(T523)="","INVALID – PIC missing",IF(TRIM(Z523)="","INVALID – evidence missing",IF(TRIM(AE523)="","INVALID – verifier missing",IF(AND(AQ523=1,TRIM(W523)=""),"INVALID – batch ID missing",IF(AND(AR523=1,OR(NOT(ISNUMBER(X523)),NOT(ISNUMBER(Y523)))),"INVALID – expected/actual qty missing",IF(IF(AND(TRIM(U523)="Pass",ISNUMBER(AF523)),IF(AF523&lt;&gt;0,"INVALID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recorded/closed","")&lt;&gt;"",IF(AND(TRIM(U523)="Pass",ISNUMBER(AF523)),IF(AF523&lt;&gt;0,"INVALID – qty variance: use Fail or Pass after CA",""),"")&amp;IF(AND(TRIM(U523)="Pass",AB523="Open"),"INVALID – corrective action still open: use Fail, then Pass after CA","")&amp;IF(AND(TRIM(U523)="Pass after CA",OR(TRIM(AA523)="",AB523&lt;&gt;"Closed")),"INVALID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window"),IF(AG523&gt;Flights!$AA$20,"INVALID – completed after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f>
        <v/>
      </c>
      <c r="AI523" s="67">
        <f>IF(OR(AH523="N/A – RULE",AH523="N/A – JUSTIFIED"),0,1)</f>
        <v/>
      </c>
      <c r="AJ523" s="67">
        <f>IF(LEFT(AH523,8)="COMPLETE",1,0)</f>
        <v/>
      </c>
      <c r="AK523" s="67">
        <f>IF(AND(AI523=1,AJ523=0,AsOfUTC&gt;Q523),1,0)</f>
        <v/>
      </c>
      <c r="AL523" s="67">
        <f>IF(AND(AI523=1,OR(TRIM(U523)="Fail",AB523="Open",AND(ISNUMBER(AF523),AF523&lt;&gt;0,TRIM(U523)&lt;&gt;"Pass after CA"))),1,0)</f>
        <v/>
      </c>
      <c r="AM523" s="67">
        <f>IF(LEFT(AH523,7)="INVALID",1,0)</f>
        <v/>
      </c>
      <c r="AN523" s="67">
        <f>IF(AND(N523="Clarification required",AI523=1,AJ523=0),1,0)</f>
        <v/>
      </c>
      <c r="AO523" s="67">
        <f>IF(AK523=1,SUM(AK$5:AK523),"")</f>
        <v/>
      </c>
      <c r="AP523" s="67">
        <f>IF(AL523=1,SUM(AL$5:AL523),"")</f>
        <v/>
      </c>
      <c r="AQ523" s="67" t="n">
        <v>0</v>
      </c>
      <c r="AR523" s="67" t="n">
        <v>0</v>
      </c>
      <c r="AS523" s="67" t="n">
        <v>0</v>
      </c>
      <c r="AT523" s="67" t="n">
        <v>1</v>
      </c>
    </row>
    <row r="524" ht="116.5" customHeight="1">
      <c r="A524" s="63" t="inlineStr">
        <is>
          <t>F16-T12-09</t>
        </is>
      </c>
      <c r="B524" s="63" t="inlineStr">
        <is>
          <t>F16</t>
        </is>
      </c>
      <c r="C524" s="63">
        <f>Flights!$F$20</f>
        <v/>
      </c>
      <c r="D524" s="64">
        <f>Flights!$D$20</f>
        <v/>
      </c>
      <c r="E524" s="63">
        <f>Flights!$G$20&amp;"-"&amp;Flights!$H$20</f>
        <v/>
      </c>
      <c r="F524" s="63">
        <f>Flights!$K$20</f>
        <v/>
      </c>
      <c r="G524" s="63" t="inlineStr">
        <is>
          <t>T-12H PREP</t>
        </is>
      </c>
      <c r="H524" s="63" t="inlineStr">
        <is>
          <t>Preparation</t>
        </is>
      </c>
      <c r="I524" s="63" t="inlineStr">
        <is>
          <t>Seat Linen</t>
        </is>
      </c>
      <c r="J524" s="63" t="inlineStr">
        <is>
          <t>Blanket (EY) - prepared</t>
        </is>
      </c>
      <c r="K524" s="73" t="inlineStr">
        <is>
          <t>Available 100% (ticked in reference)</t>
        </is>
      </c>
      <c r="L524" s="73" t="inlineStr">
        <is>
          <t>STD UPLIFT INFORMATION.xlsx &gt; SEAT LINEN!J30</t>
        </is>
      </c>
      <c r="M524" s="73" t="inlineStr">
        <is>
          <t>Not stated in reference</t>
        </is>
      </c>
      <c r="N524" s="73" t="inlineStr">
        <is>
          <t>Clarification required</t>
        </is>
      </c>
      <c r="O524" s="73" t="inlineStr">
        <is>
          <t>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is>
      </c>
      <c r="P524" s="63" t="inlineStr">
        <is>
          <t>KUL</t>
        </is>
      </c>
      <c r="Q524" s="65">
        <f>Flights!$AE$20</f>
        <v/>
      </c>
      <c r="R524" s="65">
        <f>Q524+(IF(AND(INDEX(TZ_DSTS,MATCH(P524,TZ_STN,0))&lt;&gt;"",Q524&gt;=INDEX(TZ_DSTS,MATCH(P524,TZ_STN,0)),Q524&lt;INDEX(TZ_DSTE,MATCH(P524,TZ_STN,0))),INDEX(TZ_DST,MATCH(P524,TZ_STN,0)),INDEX(TZ_STD,MATCH(P524,TZ_STN,0))))/24</f>
        <v/>
      </c>
      <c r="S524" s="65">
        <f>Q524-T12EarlyH/24</f>
        <v/>
      </c>
      <c r="T524" s="66" t="n"/>
      <c r="U524" s="66" t="n"/>
      <c r="V524" s="66" t="n"/>
      <c r="W524" s="67" t="n"/>
      <c r="X524" s="66" t="n"/>
      <c r="Y524" s="66" t="n"/>
      <c r="Z524" s="66" t="n"/>
      <c r="AA524" s="66" t="n"/>
      <c r="AB524" s="66" t="n"/>
      <c r="AC524" s="66" t="n"/>
      <c r="AD524" s="72" t="n"/>
      <c r="AE524" s="66" t="n"/>
      <c r="AF524" s="67">
        <f>IF(AND(ISNUMBER(X524),ISNUMBER(Y524)),Y524-X524,"")</f>
        <v/>
      </c>
      <c r="AG524" s="68">
        <f>IF(ISNUMBER(AD524),AD524-(IF(AND(INDEX(TZ_DSTS,MATCH(P524,TZ_STN,0))&lt;&gt;"",(AD524-INDEX(TZ_STD,MATCH(P524,TZ_STN,0))/24)&gt;=INDEX(TZ_DSTS,MATCH(P524,TZ_STN,0)),(AD524-INDEX(TZ_STD,MATCH(P524,TZ_STN,0))/24)&lt;INDEX(TZ_DSTE,MATCH(P524,TZ_STN,0))),INDEX(TZ_DST,MATCH(P524,TZ_STN,0)),INDEX(TZ_STD,MATCH(P524,TZ_STN,0))))/24,"")</f>
        <v/>
      </c>
      <c r="AH524" s="71">
        <f>IF(N524="N/A – rule","N/A – RULE",IF(TRIM(U524)="N/A",IF(AT524=0,"INVALID – N/A not permitted for this mandatory check",IF(AND(TRIM(AC524)&lt;&gt;"",TRIM(AE524)&lt;&gt;"",TRIM(T524)&lt;&gt;""),"N/A – JUSTIFIED","INVALID – N/A needs justification, PIC and verifier")),IF(OR(TRIM(U524)="Pass",TRIM(U524)="Pass after CA"),IF(NOT(ISNUMBER(AD524)),"INVALID – completion time missing",IF(TRIM(T524)="","INVALID – PIC missing",IF(TRIM(Z524)="","INVALID – evidence missing",IF(TRIM(AE524)="","INVALID – verifier missing",IF(AND(AQ524=1,TRIM(W524)=""),"INVALID – batch ID missing",IF(AND(AR524=1,OR(NOT(ISNUMBER(X524)),NOT(ISNUMBER(Y524)))),"INVALID – expected/actual qty missing",IF(IF(AND(TRIM(U524)="Pass",ISNUMBER(AF524)),IF(AF524&lt;&gt;0,"INVALID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recorded/closed","")&lt;&gt;"",IF(AND(TRIM(U524)="Pass",ISNUMBER(AF524)),IF(AF524&lt;&gt;0,"INVALID – qty variance: use Fail or Pass after CA",""),"")&amp;IF(AND(TRIM(U524)="Pass",AB524="Open"),"INVALID – corrective action still open: use Fail, then Pass after CA","")&amp;IF(AND(TRIM(U524)="Pass after CA",OR(TRIM(AA524)="",AB524&lt;&gt;"Closed")),"INVALID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window"),IF(AG524&gt;Flights!$AA$20,"INVALID – completed after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f>
        <v/>
      </c>
      <c r="AI524" s="67">
        <f>IF(OR(AH524="N/A – RULE",AH524="N/A – JUSTIFIED"),0,1)</f>
        <v/>
      </c>
      <c r="AJ524" s="67">
        <f>IF(LEFT(AH524,8)="COMPLETE",1,0)</f>
        <v/>
      </c>
      <c r="AK524" s="67">
        <f>IF(AND(AI524=1,AJ524=0,AsOfUTC&gt;Q524),1,0)</f>
        <v/>
      </c>
      <c r="AL524" s="67">
        <f>IF(AND(AI524=1,OR(TRIM(U524)="Fail",AB524="Open",AND(ISNUMBER(AF524),AF524&lt;&gt;0,TRIM(U524)&lt;&gt;"Pass after CA"))),1,0)</f>
        <v/>
      </c>
      <c r="AM524" s="67">
        <f>IF(LEFT(AH524,7)="INVALID",1,0)</f>
        <v/>
      </c>
      <c r="AN524" s="67">
        <f>IF(AND(N524="Clarification required",AI524=1,AJ524=0),1,0)</f>
        <v/>
      </c>
      <c r="AO524" s="67">
        <f>IF(AK524=1,SUM(AK$5:AK524),"")</f>
        <v/>
      </c>
      <c r="AP524" s="67">
        <f>IF(AL524=1,SUM(AL$5:AL524),"")</f>
        <v/>
      </c>
      <c r="AQ524" s="67" t="n">
        <v>0</v>
      </c>
      <c r="AR524" s="67" t="n">
        <v>0</v>
      </c>
      <c r="AS524" s="67" t="n">
        <v>0</v>
      </c>
      <c r="AT524" s="67" t="n">
        <v>1</v>
      </c>
    </row>
    <row r="525" ht="54" customHeight="1">
      <c r="A525" s="63" t="inlineStr">
        <is>
          <t>F16-T12-10</t>
        </is>
      </c>
      <c r="B525" s="63" t="inlineStr">
        <is>
          <t>F16</t>
        </is>
      </c>
      <c r="C525" s="63">
        <f>Flights!$F$20</f>
        <v/>
      </c>
      <c r="D525" s="64">
        <f>Flights!$D$20</f>
        <v/>
      </c>
      <c r="E525" s="63">
        <f>Flights!$G$20&amp;"-"&amp;Flights!$H$20</f>
        <v/>
      </c>
      <c r="F525" s="63">
        <f>Flights!$K$20</f>
        <v/>
      </c>
      <c r="G525" s="63" t="inlineStr">
        <is>
          <t>T-12H PREP</t>
        </is>
      </c>
      <c r="H525" s="63" t="inlineStr">
        <is>
          <t>Preparation</t>
        </is>
      </c>
      <c r="I525" s="63" t="inlineStr">
        <is>
          <t>Sales Cart</t>
        </is>
      </c>
      <c r="J525" s="63" t="inlineStr">
        <is>
          <t>Sales cart (caterer MCAT) - prepared</t>
        </is>
      </c>
      <c r="K525" s="73" t="inlineStr">
        <is>
          <t>Location 210A (B7M8)</t>
        </is>
      </c>
      <c r="L525" s="73" t="inlineStr">
        <is>
          <t>STD UPLIFT INFORMATION.xlsx &gt; SALES CART!F21:F35 / C28 / M7:M37 / C40</t>
        </is>
      </c>
      <c r="M525" s="73" t="inlineStr">
        <is>
          <t>Not stated in reference</t>
        </is>
      </c>
      <c r="N525" s="73" t="inlineStr">
        <is>
          <t>Required</t>
        </is>
      </c>
      <c r="O525" s="73" t="inlineStr">
        <is>
          <t>Block 4.08 h &gt;= 4 h (note SALES CART!C40). Reference gives no uplift stn for this item: preparation checked at the meal uplift stn (KUL) - confirm with caterer.</t>
        </is>
      </c>
      <c r="P525" s="63" t="inlineStr">
        <is>
          <t>KUL</t>
        </is>
      </c>
      <c r="Q525" s="65">
        <f>Flights!$AE$20</f>
        <v/>
      </c>
      <c r="R525" s="65">
        <f>Q525+(IF(AND(INDEX(TZ_DSTS,MATCH(P525,TZ_STN,0))&lt;&gt;"",Q525&gt;=INDEX(TZ_DSTS,MATCH(P525,TZ_STN,0)),Q525&lt;INDEX(TZ_DSTE,MATCH(P525,TZ_STN,0))),INDEX(TZ_DST,MATCH(P525,TZ_STN,0)),INDEX(TZ_STD,MATCH(P525,TZ_STN,0))))/24</f>
        <v/>
      </c>
      <c r="S525" s="65">
        <f>Q525-T12EarlyH/24</f>
        <v/>
      </c>
      <c r="T525" s="66" t="n"/>
      <c r="U525" s="66" t="n"/>
      <c r="V525" s="66" t="n"/>
      <c r="W525" s="67" t="n"/>
      <c r="X525" s="66" t="n"/>
      <c r="Y525" s="66" t="n"/>
      <c r="Z525" s="66" t="n"/>
      <c r="AA525" s="66" t="n"/>
      <c r="AB525" s="66" t="n"/>
      <c r="AC525" s="66" t="n"/>
      <c r="AD525" s="72" t="n"/>
      <c r="AE525" s="66" t="n"/>
      <c r="AF525" s="67">
        <f>IF(AND(ISNUMBER(X525),ISNUMBER(Y525)),Y525-X525,"")</f>
        <v/>
      </c>
      <c r="AG525" s="68">
        <f>IF(ISNUMBER(AD525),AD525-(IF(AND(INDEX(TZ_DSTS,MATCH(P525,TZ_STN,0))&lt;&gt;"",(AD525-INDEX(TZ_STD,MATCH(P525,TZ_STN,0))/24)&gt;=INDEX(TZ_DSTS,MATCH(P525,TZ_STN,0)),(AD525-INDEX(TZ_STD,MATCH(P525,TZ_STN,0))/24)&lt;INDEX(TZ_DSTE,MATCH(P525,TZ_STN,0))),INDEX(TZ_DST,MATCH(P525,TZ_STN,0)),INDEX(TZ_STD,MATCH(P525,TZ_STN,0))))/24,"")</f>
        <v/>
      </c>
      <c r="AH525" s="71">
        <f>IF(N525="N/A – rule","N/A – RULE",IF(TRIM(U525)="N/A",IF(AT525=0,"INVALID – N/A not permitted for this mandatory check",IF(AND(TRIM(AC525)&lt;&gt;"",TRIM(AE525)&lt;&gt;"",TRIM(T525)&lt;&gt;""),"N/A – JUSTIFIED","INVALID – N/A needs justification, PIC and verifier")),IF(OR(TRIM(U525)="Pass",TRIM(U525)="Pass after CA"),IF(NOT(ISNUMBER(AD525)),"INVALID – completion time missing",IF(TRIM(T525)="","INVALID – PIC missing",IF(TRIM(Z525)="","INVALID – evidence missing",IF(TRIM(AE525)="","INVALID – verifier missing",IF(AND(AQ525=1,TRIM(W525)=""),"INVALID – batch ID missing",IF(AND(AR525=1,OR(NOT(ISNUMBER(X525)),NOT(ISNUMBER(Y525)))),"INVALID – expected/actual qty missing",IF(IF(AND(TRIM(U525)="Pass",ISNUMBER(AF525)),IF(AF525&lt;&gt;0,"INVALID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recorded/closed","")&lt;&gt;"",IF(AND(TRIM(U525)="Pass",ISNUMBER(AF525)),IF(AF525&lt;&gt;0,"INVALID – qty variance: use Fail or Pass after CA",""),"")&amp;IF(AND(TRIM(U525)="Pass",AB525="Open"),"INVALID – corrective action still open: use Fail, then Pass after CA","")&amp;IF(AND(TRIM(U525)="Pass after CA",OR(TRIM(AA525)="",AB525&lt;&gt;"Closed")),"INVALID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window"),IF(AG525&gt;Flights!$AA$20,"INVALID – completed after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f>
        <v/>
      </c>
      <c r="AI525" s="67">
        <f>IF(OR(AH525="N/A – RULE",AH525="N/A – JUSTIFIED"),0,1)</f>
        <v/>
      </c>
      <c r="AJ525" s="67">
        <f>IF(LEFT(AH525,8)="COMPLETE",1,0)</f>
        <v/>
      </c>
      <c r="AK525" s="67">
        <f>IF(AND(AI525=1,AJ525=0,AsOfUTC&gt;Q525),1,0)</f>
        <v/>
      </c>
      <c r="AL525" s="67">
        <f>IF(AND(AI525=1,OR(TRIM(U525)="Fail",AB525="Open",AND(ISNUMBER(AF525),AF525&lt;&gt;0,TRIM(U525)&lt;&gt;"Pass after CA"))),1,0)</f>
        <v/>
      </c>
      <c r="AM525" s="67">
        <f>IF(LEFT(AH525,7)="INVALID",1,0)</f>
        <v/>
      </c>
      <c r="AN525" s="67">
        <f>IF(AND(N525="Clarification required",AI525=1,AJ525=0),1,0)</f>
        <v/>
      </c>
      <c r="AO525" s="67">
        <f>IF(AK525=1,SUM(AK$5:AK525),"")</f>
        <v/>
      </c>
      <c r="AP525" s="67">
        <f>IF(AL525=1,SUM(AL$5:AL525),"")</f>
        <v/>
      </c>
      <c r="AQ525" s="67" t="n">
        <v>0</v>
      </c>
      <c r="AR525" s="67" t="n">
        <v>0</v>
      </c>
      <c r="AS525" s="67" t="n">
        <v>0</v>
      </c>
      <c r="AT525" s="67" t="n">
        <v>1</v>
      </c>
    </row>
    <row r="526" ht="40" customHeight="1">
      <c r="A526" s="63" t="inlineStr">
        <is>
          <t>F16-UPL-01</t>
        </is>
      </c>
      <c r="B526" s="63" t="inlineStr">
        <is>
          <t>F16</t>
        </is>
      </c>
      <c r="C526" s="63">
        <f>Flights!$F$20</f>
        <v/>
      </c>
      <c r="D526" s="64">
        <f>Flights!$D$20</f>
        <v/>
      </c>
      <c r="E526" s="63">
        <f>Flights!$G$20&amp;"-"&amp;Flights!$H$20</f>
        <v/>
      </c>
      <c r="F526" s="63">
        <f>Flights!$K$20</f>
        <v/>
      </c>
      <c r="G526" s="63" t="inlineStr">
        <is>
          <t>UPLIFT</t>
        </is>
      </c>
      <c r="H526" s="63" t="inlineStr">
        <is>
          <t>Physical uplift</t>
        </is>
      </c>
      <c r="I526" s="63" t="inlineStr">
        <is>
          <t>Meal</t>
        </is>
      </c>
      <c r="J526" s="63" t="inlineStr">
        <is>
          <t>Meals physically uplifted on board - quantity vs menu checklist</t>
        </is>
      </c>
      <c r="K526" s="73" t="inlineStr">
        <is>
          <t>Enter expected &amp; actual</t>
        </is>
      </c>
      <c r="L526" s="73" t="inlineStr">
        <is>
          <t>User brief (T-12 hours - physical uplift)</t>
        </is>
      </c>
      <c r="M526" s="73" t="inlineStr"/>
      <c r="N526" s="73" t="inlineStr">
        <is>
          <t>Required</t>
        </is>
      </c>
      <c r="O526" s="73" t="inlineStr">
        <is>
          <t>Confirm on board before departure; completion time must fall inside the uplift window.</t>
        </is>
      </c>
      <c r="P526" s="63" t="inlineStr">
        <is>
          <t>KUL</t>
        </is>
      </c>
      <c r="Q526" s="65">
        <f>Flights!$AF$20</f>
        <v/>
      </c>
      <c r="R526" s="65">
        <f>Q526+(IF(AND(INDEX(TZ_DSTS,MATCH(P526,TZ_STN,0))&lt;&gt;"",Q526&gt;=INDEX(TZ_DSTS,MATCH(P526,TZ_STN,0)),Q526&lt;INDEX(TZ_DSTE,MATCH(P526,TZ_STN,0))),INDEX(TZ_DST,MATCH(P526,TZ_STN,0)),INDEX(TZ_STD,MATCH(P526,TZ_STN,0))))/24</f>
        <v/>
      </c>
      <c r="S526" s="65">
        <f>Q526-UpliftWindowH/24</f>
        <v/>
      </c>
      <c r="T526" s="66" t="n"/>
      <c r="U526" s="66" t="n"/>
      <c r="V526" s="66" t="n"/>
      <c r="W526" s="67" t="n"/>
      <c r="X526" s="66" t="n"/>
      <c r="Y526" s="66" t="n"/>
      <c r="Z526" s="66" t="n"/>
      <c r="AA526" s="66" t="n"/>
      <c r="AB526" s="66" t="n"/>
      <c r="AC526" s="66" t="n"/>
      <c r="AD526" s="72" t="n"/>
      <c r="AE526" s="66" t="n"/>
      <c r="AF526" s="67">
        <f>IF(AND(ISNUMBER(X526),ISNUMBER(Y526)),Y526-X526,"")</f>
        <v/>
      </c>
      <c r="AG526" s="68">
        <f>IF(ISNUMBER(AD526),AD526-(IF(AND(INDEX(TZ_DSTS,MATCH(P526,TZ_STN,0))&lt;&gt;"",(AD526-INDEX(TZ_STD,MATCH(P526,TZ_STN,0))/24)&gt;=INDEX(TZ_DSTS,MATCH(P526,TZ_STN,0)),(AD526-INDEX(TZ_STD,MATCH(P526,TZ_STN,0))/24)&lt;INDEX(TZ_DSTE,MATCH(P526,TZ_STN,0))),INDEX(TZ_DST,MATCH(P526,TZ_STN,0)),INDEX(TZ_STD,MATCH(P526,TZ_STN,0))))/24,"")</f>
        <v/>
      </c>
      <c r="AH526" s="71">
        <f>IF(N526="N/A – rule","N/A – RULE",IF(TRIM(U526)="N/A",IF(AT526=0,"INVALID – N/A not permitted for this mandatory check",IF(AND(TRIM(AC526)&lt;&gt;"",TRIM(AE526)&lt;&gt;"",TRIM(T526)&lt;&gt;""),"N/A – JUSTIFIED","INVALID – N/A needs justification, PIC and verifier")),IF(OR(TRIM(U526)="Pass",TRIM(U526)="Pass after CA"),IF(NOT(ISNUMBER(AD526)),"INVALID – completion time missing",IF(TRIM(T526)="","INVALID – PIC missing",IF(TRIM(Z526)="","INVALID – evidence missing",IF(TRIM(AE526)="","INVALID – verifier missing",IF(AND(AQ526=1,TRIM(W526)=""),"INVALID – batch ID missing",IF(AND(AR526=1,OR(NOT(ISNUMBER(X526)),NOT(ISNUMBER(Y526)))),"INVALID – expected/actual qty missing",IF(IF(AND(TRIM(U526)="Pass",ISNUMBER(AF526)),IF(AF526&lt;&gt;0,"INVALID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recorded/closed","")&lt;&gt;"",IF(AND(TRIM(U526)="Pass",ISNUMBER(AF526)),IF(AF526&lt;&gt;0,"INVALID – qty variance: use Fail or Pass after CA",""),"")&amp;IF(AND(TRIM(U526)="Pass",AB526="Open"),"INVALID – corrective action still open: use Fail, then Pass after CA","")&amp;IF(AND(TRIM(U526)="Pass after CA",OR(TRIM(AA526)="",AB526&lt;&gt;"Closed")),"INVALID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window"),IF(AG526&gt;Flights!$AA$20,"INVALID – completed after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f>
        <v/>
      </c>
      <c r="AI526" s="67">
        <f>IF(OR(AH526="N/A – RULE",AH526="N/A – JUSTIFIED"),0,1)</f>
        <v/>
      </c>
      <c r="AJ526" s="67">
        <f>IF(LEFT(AH526,8)="COMPLETE",1,0)</f>
        <v/>
      </c>
      <c r="AK526" s="67">
        <f>IF(AND(AI526=1,AJ526=0,AsOfUTC&gt;Q526),1,0)</f>
        <v/>
      </c>
      <c r="AL526" s="67">
        <f>IF(AND(AI526=1,OR(TRIM(U526)="Fail",AB526="Open",AND(ISNUMBER(AF526),AF526&lt;&gt;0,TRIM(U526)&lt;&gt;"Pass after CA"))),1,0)</f>
        <v/>
      </c>
      <c r="AM526" s="67">
        <f>IF(LEFT(AH526,7)="INVALID",1,0)</f>
        <v/>
      </c>
      <c r="AN526" s="67">
        <f>IF(AND(N526="Clarification required",AI526=1,AJ526=0),1,0)</f>
        <v/>
      </c>
      <c r="AO526" s="67">
        <f>IF(AK526=1,SUM(AK$5:AK526),"")</f>
        <v/>
      </c>
      <c r="AP526" s="67">
        <f>IF(AL526=1,SUM(AL$5:AL526),"")</f>
        <v/>
      </c>
      <c r="AQ526" s="67" t="n">
        <v>0</v>
      </c>
      <c r="AR526" s="67" t="n">
        <v>1</v>
      </c>
      <c r="AS526" s="67" t="n">
        <v>0</v>
      </c>
      <c r="AT526" s="67" t="n">
        <v>0</v>
      </c>
    </row>
    <row r="527" ht="40" customHeight="1">
      <c r="A527" s="63" t="inlineStr">
        <is>
          <t>F16-UPL-02</t>
        </is>
      </c>
      <c r="B527" s="63" t="inlineStr">
        <is>
          <t>F16</t>
        </is>
      </c>
      <c r="C527" s="63">
        <f>Flights!$F$20</f>
        <v/>
      </c>
      <c r="D527" s="64">
        <f>Flights!$D$20</f>
        <v/>
      </c>
      <c r="E527" s="63">
        <f>Flights!$G$20&amp;"-"&amp;Flights!$H$20</f>
        <v/>
      </c>
      <c r="F527" s="63">
        <f>Flights!$K$20</f>
        <v/>
      </c>
      <c r="G527" s="63" t="inlineStr">
        <is>
          <t>UPLIFT</t>
        </is>
      </c>
      <c r="H527" s="63" t="inlineStr">
        <is>
          <t>Physical uplift</t>
        </is>
      </c>
      <c r="I527" s="63" t="inlineStr">
        <is>
          <t>Equipment</t>
        </is>
      </c>
      <c r="J527" s="63" t="inlineStr">
        <is>
          <t>Equipment physically loaded at GLD positions - quantity &amp; positions</t>
        </is>
      </c>
      <c r="K527" s="73" t="inlineStr">
        <is>
          <t>Enter expected &amp; actual</t>
        </is>
      </c>
      <c r="L527" s="73" t="inlineStr">
        <is>
          <t>User brief (T-12 hours - physical uplift)</t>
        </is>
      </c>
      <c r="M527" s="73" t="inlineStr"/>
      <c r="N527" s="73" t="inlineStr">
        <is>
          <t>Required</t>
        </is>
      </c>
      <c r="O527" s="73" t="inlineStr">
        <is>
          <t>Confirm on board before departure; completion time must fall inside the uplift window.</t>
        </is>
      </c>
      <c r="P527" s="63" t="inlineStr">
        <is>
          <t>KUL</t>
        </is>
      </c>
      <c r="Q527" s="65">
        <f>Flights!$AF$20</f>
        <v/>
      </c>
      <c r="R527" s="65">
        <f>Q527+(IF(AND(INDEX(TZ_DSTS,MATCH(P527,TZ_STN,0))&lt;&gt;"",Q527&gt;=INDEX(TZ_DSTS,MATCH(P527,TZ_STN,0)),Q527&lt;INDEX(TZ_DSTE,MATCH(P527,TZ_STN,0))),INDEX(TZ_DST,MATCH(P527,TZ_STN,0)),INDEX(TZ_STD,MATCH(P527,TZ_STN,0))))/24</f>
        <v/>
      </c>
      <c r="S527" s="65">
        <f>Q527-UpliftWindowH/24</f>
        <v/>
      </c>
      <c r="T527" s="66" t="n"/>
      <c r="U527" s="66" t="n"/>
      <c r="V527" s="66" t="n"/>
      <c r="W527" s="67" t="n"/>
      <c r="X527" s="66" t="n"/>
      <c r="Y527" s="66" t="n"/>
      <c r="Z527" s="66" t="n"/>
      <c r="AA527" s="66" t="n"/>
      <c r="AB527" s="66" t="n"/>
      <c r="AC527" s="66" t="n"/>
      <c r="AD527" s="72" t="n"/>
      <c r="AE527" s="66" t="n"/>
      <c r="AF527" s="67">
        <f>IF(AND(ISNUMBER(X527),ISNUMBER(Y527)),Y527-X527,"")</f>
        <v/>
      </c>
      <c r="AG527" s="68">
        <f>IF(ISNUMBER(AD527),AD527-(IF(AND(INDEX(TZ_DSTS,MATCH(P527,TZ_STN,0))&lt;&gt;"",(AD527-INDEX(TZ_STD,MATCH(P527,TZ_STN,0))/24)&gt;=INDEX(TZ_DSTS,MATCH(P527,TZ_STN,0)),(AD527-INDEX(TZ_STD,MATCH(P527,TZ_STN,0))/24)&lt;INDEX(TZ_DSTE,MATCH(P527,TZ_STN,0))),INDEX(TZ_DST,MATCH(P527,TZ_STN,0)),INDEX(TZ_STD,MATCH(P527,TZ_STN,0))))/24,"")</f>
        <v/>
      </c>
      <c r="AH527" s="71">
        <f>IF(N527="N/A – rule","N/A – RULE",IF(TRIM(U527)="N/A",IF(AT527=0,"INVALID – N/A not permitted for this mandatory check",IF(AND(TRIM(AC527)&lt;&gt;"",TRIM(AE527)&lt;&gt;"",TRIM(T527)&lt;&gt;""),"N/A – JUSTIFIED","INVALID – N/A needs justification, PIC and verifier")),IF(OR(TRIM(U527)="Pass",TRIM(U527)="Pass after CA"),IF(NOT(ISNUMBER(AD527)),"INVALID – completion time missing",IF(TRIM(T527)="","INVALID – PIC missing",IF(TRIM(Z527)="","INVALID – evidence missing",IF(TRIM(AE527)="","INVALID – verifier missing",IF(AND(AQ527=1,TRIM(W527)=""),"INVALID – batch ID missing",IF(AND(AR527=1,OR(NOT(ISNUMBER(X527)),NOT(ISNUMBER(Y527)))),"INVALID – expected/actual qty missing",IF(IF(AND(TRIM(U527)="Pass",ISNUMBER(AF527)),IF(AF527&lt;&gt;0,"INVALID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recorded/closed","")&lt;&gt;"",IF(AND(TRIM(U527)="Pass",ISNUMBER(AF527)),IF(AF527&lt;&gt;0,"INVALID – qty variance: use Fail or Pass after CA",""),"")&amp;IF(AND(TRIM(U527)="Pass",AB527="Open"),"INVALID – corrective action still open: use Fail, then Pass after CA","")&amp;IF(AND(TRIM(U527)="Pass after CA",OR(TRIM(AA527)="",AB527&lt;&gt;"Closed")),"INVALID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window"),IF(AG527&gt;Flights!$AA$20,"INVALID – completed after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f>
        <v/>
      </c>
      <c r="AI527" s="67">
        <f>IF(OR(AH527="N/A – RULE",AH527="N/A – JUSTIFIED"),0,1)</f>
        <v/>
      </c>
      <c r="AJ527" s="67">
        <f>IF(LEFT(AH527,8)="COMPLETE",1,0)</f>
        <v/>
      </c>
      <c r="AK527" s="67">
        <f>IF(AND(AI527=1,AJ527=0,AsOfUTC&gt;Q527),1,0)</f>
        <v/>
      </c>
      <c r="AL527" s="67">
        <f>IF(AND(AI527=1,OR(TRIM(U527)="Fail",AB527="Open",AND(ISNUMBER(AF527),AF527&lt;&gt;0,TRIM(U527)&lt;&gt;"Pass after CA"))),1,0)</f>
        <v/>
      </c>
      <c r="AM527" s="67">
        <f>IF(LEFT(AH527,7)="INVALID",1,0)</f>
        <v/>
      </c>
      <c r="AN527" s="67">
        <f>IF(AND(N527="Clarification required",AI527=1,AJ527=0),1,0)</f>
        <v/>
      </c>
      <c r="AO527" s="67">
        <f>IF(AK527=1,SUM(AK$5:AK527),"")</f>
        <v/>
      </c>
      <c r="AP527" s="67">
        <f>IF(AL527=1,SUM(AL$5:AL527),"")</f>
        <v/>
      </c>
      <c r="AQ527" s="67" t="n">
        <v>0</v>
      </c>
      <c r="AR527" s="67" t="n">
        <v>1</v>
      </c>
      <c r="AS527" s="67" t="n">
        <v>0</v>
      </c>
      <c r="AT527" s="67" t="n">
        <v>0</v>
      </c>
    </row>
    <row r="528" ht="40" customHeight="1">
      <c r="A528" s="63" t="inlineStr">
        <is>
          <t>F16-UPL-03</t>
        </is>
      </c>
      <c r="B528" s="63" t="inlineStr">
        <is>
          <t>F16</t>
        </is>
      </c>
      <c r="C528" s="63">
        <f>Flights!$F$20</f>
        <v/>
      </c>
      <c r="D528" s="64">
        <f>Flights!$D$20</f>
        <v/>
      </c>
      <c r="E528" s="63">
        <f>Flights!$G$20&amp;"-"&amp;Flights!$H$20</f>
        <v/>
      </c>
      <c r="F528" s="63">
        <f>Flights!$K$20</f>
        <v/>
      </c>
      <c r="G528" s="63" t="inlineStr">
        <is>
          <t>UPLIFT</t>
        </is>
      </c>
      <c r="H528" s="63" t="inlineStr">
        <is>
          <t>Physical uplift</t>
        </is>
      </c>
      <c r="I528" s="63" t="inlineStr">
        <is>
          <t>Seat Linen</t>
        </is>
      </c>
      <c r="J528" s="63" t="inlineStr">
        <is>
          <t>Seat pillow (EY) - on board</t>
        </is>
      </c>
      <c r="K528" s="73" t="inlineStr">
        <is>
          <t>Available 100% (ticked in reference)</t>
        </is>
      </c>
      <c r="L528" s="73" t="inlineStr">
        <is>
          <t>STD UPLIFT INFORMATION.xlsx &gt; SEAT LINEN!I30</t>
        </is>
      </c>
      <c r="M528" s="73" t="inlineStr">
        <is>
          <t>Not stated in reference</t>
        </is>
      </c>
      <c r="N528" s="73" t="inlineStr">
        <is>
          <t>Required</t>
        </is>
      </c>
      <c r="O528" s="73" t="inlineStr"/>
      <c r="P528" s="63" t="inlineStr">
        <is>
          <t>KUL</t>
        </is>
      </c>
      <c r="Q528" s="65">
        <f>Flights!$AF$20</f>
        <v/>
      </c>
      <c r="R528" s="65">
        <f>Q528+(IF(AND(INDEX(TZ_DSTS,MATCH(P528,TZ_STN,0))&lt;&gt;"",Q528&gt;=INDEX(TZ_DSTS,MATCH(P528,TZ_STN,0)),Q528&lt;INDEX(TZ_DSTE,MATCH(P528,TZ_STN,0))),INDEX(TZ_DST,MATCH(P528,TZ_STN,0)),INDEX(TZ_STD,MATCH(P528,TZ_STN,0))))/24</f>
        <v/>
      </c>
      <c r="S528" s="65">
        <f>Q528-UpliftWindowH/24</f>
        <v/>
      </c>
      <c r="T528" s="66" t="n"/>
      <c r="U528" s="66" t="n"/>
      <c r="V528" s="66" t="n"/>
      <c r="W528" s="67" t="n"/>
      <c r="X528" s="66" t="n"/>
      <c r="Y528" s="66" t="n"/>
      <c r="Z528" s="66" t="n"/>
      <c r="AA528" s="66" t="n"/>
      <c r="AB528" s="66" t="n"/>
      <c r="AC528" s="66" t="n"/>
      <c r="AD528" s="72" t="n"/>
      <c r="AE528" s="66" t="n"/>
      <c r="AF528" s="67">
        <f>IF(AND(ISNUMBER(X528),ISNUMBER(Y528)),Y528-X528,"")</f>
        <v/>
      </c>
      <c r="AG528" s="68">
        <f>IF(ISNUMBER(AD528),AD528-(IF(AND(INDEX(TZ_DSTS,MATCH(P528,TZ_STN,0))&lt;&gt;"",(AD528-INDEX(TZ_STD,MATCH(P528,TZ_STN,0))/24)&gt;=INDEX(TZ_DSTS,MATCH(P528,TZ_STN,0)),(AD528-INDEX(TZ_STD,MATCH(P528,TZ_STN,0))/24)&lt;INDEX(TZ_DSTE,MATCH(P528,TZ_STN,0))),INDEX(TZ_DST,MATCH(P528,TZ_STN,0)),INDEX(TZ_STD,MATCH(P528,TZ_STN,0))))/24,"")</f>
        <v/>
      </c>
      <c r="AH528" s="71">
        <f>IF(N528="N/A – rule","N/A – RULE",IF(TRIM(U528)="N/A",IF(AT528=0,"INVALID – N/A not permitted for this mandatory check",IF(AND(TRIM(AC528)&lt;&gt;"",TRIM(AE528)&lt;&gt;"",TRIM(T528)&lt;&gt;""),"N/A – JUSTIFIED","INVALID – N/A needs justification, PIC and verifier")),IF(OR(TRIM(U528)="Pass",TRIM(U528)="Pass after CA"),IF(NOT(ISNUMBER(AD528)),"INVALID – completion time missing",IF(TRIM(T528)="","INVALID – PIC missing",IF(TRIM(Z528)="","INVALID – evidence missing",IF(TRIM(AE528)="","INVALID – verifier missing",IF(AND(AQ528=1,TRIM(W528)=""),"INVALID – batch ID missing",IF(AND(AR528=1,OR(NOT(ISNUMBER(X528)),NOT(ISNUMBER(Y528)))),"INVALID – expected/actual qty missing",IF(IF(AND(TRIM(U528)="Pass",ISNUMBER(AF528)),IF(AF528&lt;&gt;0,"INVALID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recorded/closed","")&lt;&gt;"",IF(AND(TRIM(U528)="Pass",ISNUMBER(AF528)),IF(AF528&lt;&gt;0,"INVALID – qty variance: use Fail or Pass after CA",""),"")&amp;IF(AND(TRIM(U528)="Pass",AB528="Open"),"INVALID – corrective action still open: use Fail, then Pass after CA","")&amp;IF(AND(TRIM(U528)="Pass after CA",OR(TRIM(AA528)="",AB528&lt;&gt;"Closed")),"INVALID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window"),IF(AG528&gt;Flights!$AA$20,"INVALID – completed after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f>
        <v/>
      </c>
      <c r="AI528" s="67">
        <f>IF(OR(AH528="N/A – RULE",AH528="N/A – JUSTIFIED"),0,1)</f>
        <v/>
      </c>
      <c r="AJ528" s="67">
        <f>IF(LEFT(AH528,8)="COMPLETE",1,0)</f>
        <v/>
      </c>
      <c r="AK528" s="67">
        <f>IF(AND(AI528=1,AJ528=0,AsOfUTC&gt;Q528),1,0)</f>
        <v/>
      </c>
      <c r="AL528" s="67">
        <f>IF(AND(AI528=1,OR(TRIM(U528)="Fail",AB528="Open",AND(ISNUMBER(AF528),AF528&lt;&gt;0,TRIM(U528)&lt;&gt;"Pass after CA"))),1,0)</f>
        <v/>
      </c>
      <c r="AM528" s="67">
        <f>IF(LEFT(AH528,7)="INVALID",1,0)</f>
        <v/>
      </c>
      <c r="AN528" s="67">
        <f>IF(AND(N528="Clarification required",AI528=1,AJ528=0),1,0)</f>
        <v/>
      </c>
      <c r="AO528" s="67">
        <f>IF(AK528=1,SUM(AK$5:AK528),"")</f>
        <v/>
      </c>
      <c r="AP528" s="67">
        <f>IF(AL528=1,SUM(AL$5:AL528),"")</f>
        <v/>
      </c>
      <c r="AQ528" s="67" t="n">
        <v>0</v>
      </c>
      <c r="AR528" s="67" t="n">
        <v>0</v>
      </c>
      <c r="AS528" s="67" t="n">
        <v>0</v>
      </c>
      <c r="AT528" s="67" t="n">
        <v>1</v>
      </c>
    </row>
    <row r="529" ht="91.5" customHeight="1">
      <c r="A529" s="63" t="inlineStr">
        <is>
          <t>F16-UPL-04</t>
        </is>
      </c>
      <c r="B529" s="63" t="inlineStr">
        <is>
          <t>F16</t>
        </is>
      </c>
      <c r="C529" s="63">
        <f>Flights!$F$20</f>
        <v/>
      </c>
      <c r="D529" s="64">
        <f>Flights!$D$20</f>
        <v/>
      </c>
      <c r="E529" s="63">
        <f>Flights!$G$20&amp;"-"&amp;Flights!$H$20</f>
        <v/>
      </c>
      <c r="F529" s="63">
        <f>Flights!$K$20</f>
        <v/>
      </c>
      <c r="G529" s="63" t="inlineStr">
        <is>
          <t>UPLIFT</t>
        </is>
      </c>
      <c r="H529" s="63" t="inlineStr">
        <is>
          <t>Physical uplift</t>
        </is>
      </c>
      <c r="I529" s="63" t="inlineStr">
        <is>
          <t>Seat Linen</t>
        </is>
      </c>
      <c r="J529" s="63" t="inlineStr">
        <is>
          <t>Blanket (EY) - on board</t>
        </is>
      </c>
      <c r="K529" s="73" t="inlineStr">
        <is>
          <t>Available 100% (ticked in reference)</t>
        </is>
      </c>
      <c r="L529" s="73" t="inlineStr">
        <is>
          <t>STD UPLIFT INFORMATION.xlsx &gt; SEAT LINEN!J30</t>
        </is>
      </c>
      <c r="M529" s="73" t="inlineStr">
        <is>
          <t>Not stated in reference</t>
        </is>
      </c>
      <c r="N529" s="73" t="inlineStr">
        <is>
          <t>Clarification required</t>
        </is>
      </c>
      <c r="O529" s="73" t="inlineStr">
        <is>
          <t>EY blanket: flight above 3 hours excl. Regional (SEAT LINEN!B74:C74); block 4.08 h. Matrix shows _/ for this ORIENTAL sector but B74 excludes 'Regional sectors' without defining them - confirm whether this sector counts as Regional. Quantity for this aircraft not stated in reference.</t>
        </is>
      </c>
      <c r="P529" s="63" t="inlineStr">
        <is>
          <t>KUL</t>
        </is>
      </c>
      <c r="Q529" s="65">
        <f>Flights!$AF$20</f>
        <v/>
      </c>
      <c r="R529" s="65">
        <f>Q529+(IF(AND(INDEX(TZ_DSTS,MATCH(P529,TZ_STN,0))&lt;&gt;"",Q529&gt;=INDEX(TZ_DSTS,MATCH(P529,TZ_STN,0)),Q529&lt;INDEX(TZ_DSTE,MATCH(P529,TZ_STN,0))),INDEX(TZ_DST,MATCH(P529,TZ_STN,0)),INDEX(TZ_STD,MATCH(P529,TZ_STN,0))))/24</f>
        <v/>
      </c>
      <c r="S529" s="65">
        <f>Q529-UpliftWindowH/24</f>
        <v/>
      </c>
      <c r="T529" s="66" t="n"/>
      <c r="U529" s="66" t="n"/>
      <c r="V529" s="66" t="n"/>
      <c r="W529" s="67" t="n"/>
      <c r="X529" s="66" t="n"/>
      <c r="Y529" s="66" t="n"/>
      <c r="Z529" s="66" t="n"/>
      <c r="AA529" s="66" t="n"/>
      <c r="AB529" s="66" t="n"/>
      <c r="AC529" s="66" t="n"/>
      <c r="AD529" s="72" t="n"/>
      <c r="AE529" s="66" t="n"/>
      <c r="AF529" s="67">
        <f>IF(AND(ISNUMBER(X529),ISNUMBER(Y529)),Y529-X529,"")</f>
        <v/>
      </c>
      <c r="AG529" s="68">
        <f>IF(ISNUMBER(AD529),AD529-(IF(AND(INDEX(TZ_DSTS,MATCH(P529,TZ_STN,0))&lt;&gt;"",(AD529-INDEX(TZ_STD,MATCH(P529,TZ_STN,0))/24)&gt;=INDEX(TZ_DSTS,MATCH(P529,TZ_STN,0)),(AD529-INDEX(TZ_STD,MATCH(P529,TZ_STN,0))/24)&lt;INDEX(TZ_DSTE,MATCH(P529,TZ_STN,0))),INDEX(TZ_DST,MATCH(P529,TZ_STN,0)),INDEX(TZ_STD,MATCH(P529,TZ_STN,0))))/24,"")</f>
        <v/>
      </c>
      <c r="AH529" s="71">
        <f>IF(N529="N/A – rule","N/A – RULE",IF(TRIM(U529)="N/A",IF(AT529=0,"INVALID – N/A not permitted for this mandatory check",IF(AND(TRIM(AC529)&lt;&gt;"",TRIM(AE529)&lt;&gt;"",TRIM(T529)&lt;&gt;""),"N/A – JUSTIFIED","INVALID – N/A needs justification, PIC and verifier")),IF(OR(TRIM(U529)="Pass",TRIM(U529)="Pass after CA"),IF(NOT(ISNUMBER(AD529)),"INVALID – completion time missing",IF(TRIM(T529)="","INVALID – PIC missing",IF(TRIM(Z529)="","INVALID – evidence missing",IF(TRIM(AE529)="","INVALID – verifier missing",IF(AND(AQ529=1,TRIM(W529)=""),"INVALID – batch ID missing",IF(AND(AR529=1,OR(NOT(ISNUMBER(X529)),NOT(ISNUMBER(Y529)))),"INVALID – expected/actual qty missing",IF(IF(AND(TRIM(U529)="Pass",ISNUMBER(AF529)),IF(AF529&lt;&gt;0,"INVALID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recorded/closed","")&lt;&gt;"",IF(AND(TRIM(U529)="Pass",ISNUMBER(AF529)),IF(AF529&lt;&gt;0,"INVALID – qty variance: use Fail or Pass after CA",""),"")&amp;IF(AND(TRIM(U529)="Pass",AB529="Open"),"INVALID – corrective action still open: use Fail, then Pass after CA","")&amp;IF(AND(TRIM(U529)="Pass after CA",OR(TRIM(AA529)="",AB529&lt;&gt;"Closed")),"INVALID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window"),IF(AG529&gt;Flights!$AA$20,"INVALID – completed after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f>
        <v/>
      </c>
      <c r="AI529" s="67">
        <f>IF(OR(AH529="N/A – RULE",AH529="N/A – JUSTIFIED"),0,1)</f>
        <v/>
      </c>
      <c r="AJ529" s="67">
        <f>IF(LEFT(AH529,8)="COMPLETE",1,0)</f>
        <v/>
      </c>
      <c r="AK529" s="67">
        <f>IF(AND(AI529=1,AJ529=0,AsOfUTC&gt;Q529),1,0)</f>
        <v/>
      </c>
      <c r="AL529" s="67">
        <f>IF(AND(AI529=1,OR(TRIM(U529)="Fail",AB529="Open",AND(ISNUMBER(AF529),AF529&lt;&gt;0,TRIM(U529)&lt;&gt;"Pass after CA"))),1,0)</f>
        <v/>
      </c>
      <c r="AM529" s="67">
        <f>IF(LEFT(AH529,7)="INVALID",1,0)</f>
        <v/>
      </c>
      <c r="AN529" s="67">
        <f>IF(AND(N529="Clarification required",AI529=1,AJ529=0),1,0)</f>
        <v/>
      </c>
      <c r="AO529" s="67">
        <f>IF(AK529=1,SUM(AK$5:AK529),"")</f>
        <v/>
      </c>
      <c r="AP529" s="67">
        <f>IF(AL529=1,SUM(AL$5:AL529),"")</f>
        <v/>
      </c>
      <c r="AQ529" s="67" t="n">
        <v>0</v>
      </c>
      <c r="AR529" s="67" t="n">
        <v>0</v>
      </c>
      <c r="AS529" s="67" t="n">
        <v>0</v>
      </c>
      <c r="AT529" s="67" t="n">
        <v>1</v>
      </c>
    </row>
    <row r="530" ht="41.5" customHeight="1">
      <c r="A530" s="63" t="inlineStr">
        <is>
          <t>F16-UPL-05</t>
        </is>
      </c>
      <c r="B530" s="63" t="inlineStr">
        <is>
          <t>F16</t>
        </is>
      </c>
      <c r="C530" s="63">
        <f>Flights!$F$20</f>
        <v/>
      </c>
      <c r="D530" s="64">
        <f>Flights!$D$20</f>
        <v/>
      </c>
      <c r="E530" s="63">
        <f>Flights!$G$20&amp;"-"&amp;Flights!$H$20</f>
        <v/>
      </c>
      <c r="F530" s="63">
        <f>Flights!$K$20</f>
        <v/>
      </c>
      <c r="G530" s="63" t="inlineStr">
        <is>
          <t>UPLIFT</t>
        </is>
      </c>
      <c r="H530" s="63" t="inlineStr">
        <is>
          <t>Physical uplift</t>
        </is>
      </c>
      <c r="I530" s="63" t="inlineStr">
        <is>
          <t>Sales Cart</t>
        </is>
      </c>
      <c r="J530" s="63" t="inlineStr">
        <is>
          <t>Sales cart (caterer MCAT) - on board</t>
        </is>
      </c>
      <c r="K530" s="73" t="inlineStr">
        <is>
          <t>Location 210A (B7M8)</t>
        </is>
      </c>
      <c r="L530" s="73" t="inlineStr">
        <is>
          <t>STD UPLIFT INFORMATION.xlsx &gt; SALES CART!F21:F35 / C28 / M7:M37 / C40</t>
        </is>
      </c>
      <c r="M530" s="73" t="inlineStr">
        <is>
          <t>Not stated in reference</t>
        </is>
      </c>
      <c r="N530" s="73" t="inlineStr">
        <is>
          <t>Required</t>
        </is>
      </c>
      <c r="O530" s="73" t="inlineStr">
        <is>
          <t>Block 4.08 h &gt;= 4 h (note SALES CART!C40).</t>
        </is>
      </c>
      <c r="P530" s="63" t="inlineStr">
        <is>
          <t>KUL</t>
        </is>
      </c>
      <c r="Q530" s="65">
        <f>Flights!$AF$20</f>
        <v/>
      </c>
      <c r="R530" s="65">
        <f>Q530+(IF(AND(INDEX(TZ_DSTS,MATCH(P530,TZ_STN,0))&lt;&gt;"",Q530&gt;=INDEX(TZ_DSTS,MATCH(P530,TZ_STN,0)),Q530&lt;INDEX(TZ_DSTE,MATCH(P530,TZ_STN,0))),INDEX(TZ_DST,MATCH(P530,TZ_STN,0)),INDEX(TZ_STD,MATCH(P530,TZ_STN,0))))/24</f>
        <v/>
      </c>
      <c r="S530" s="65">
        <f>Q530-UpliftWindowH/24</f>
        <v/>
      </c>
      <c r="T530" s="66" t="n"/>
      <c r="U530" s="66" t="n"/>
      <c r="V530" s="66" t="n"/>
      <c r="W530" s="67" t="n"/>
      <c r="X530" s="66" t="n"/>
      <c r="Y530" s="66" t="n"/>
      <c r="Z530" s="66" t="n"/>
      <c r="AA530" s="66" t="n"/>
      <c r="AB530" s="66" t="n"/>
      <c r="AC530" s="66" t="n"/>
      <c r="AD530" s="72" t="n"/>
      <c r="AE530" s="66" t="n"/>
      <c r="AF530" s="67">
        <f>IF(AND(ISNUMBER(X530),ISNUMBER(Y530)),Y530-X530,"")</f>
        <v/>
      </c>
      <c r="AG530" s="68">
        <f>IF(ISNUMBER(AD530),AD530-(IF(AND(INDEX(TZ_DSTS,MATCH(P530,TZ_STN,0))&lt;&gt;"",(AD530-INDEX(TZ_STD,MATCH(P530,TZ_STN,0))/24)&gt;=INDEX(TZ_DSTS,MATCH(P530,TZ_STN,0)),(AD530-INDEX(TZ_STD,MATCH(P530,TZ_STN,0))/24)&lt;INDEX(TZ_DSTE,MATCH(P530,TZ_STN,0))),INDEX(TZ_DST,MATCH(P530,TZ_STN,0)),INDEX(TZ_STD,MATCH(P530,TZ_STN,0))))/24,"")</f>
        <v/>
      </c>
      <c r="AH530" s="71">
        <f>IF(N530="N/A – rule","N/A – RULE",IF(TRIM(U530)="N/A",IF(AT530=0,"INVALID – N/A not permitted for this mandatory check",IF(AND(TRIM(AC530)&lt;&gt;"",TRIM(AE530)&lt;&gt;"",TRIM(T530)&lt;&gt;""),"N/A – JUSTIFIED","INVALID – N/A needs justification, PIC and verifier")),IF(OR(TRIM(U530)="Pass",TRIM(U530)="Pass after CA"),IF(NOT(ISNUMBER(AD530)),"INVALID – completion time missing",IF(TRIM(T530)="","INVALID – PIC missing",IF(TRIM(Z530)="","INVALID – evidence missing",IF(TRIM(AE530)="","INVALID – verifier missing",IF(AND(AQ530=1,TRIM(W530)=""),"INVALID – batch ID missing",IF(AND(AR530=1,OR(NOT(ISNUMBER(X530)),NOT(ISNUMBER(Y530)))),"INVALID – expected/actual qty missing",IF(IF(AND(TRIM(U530)="Pass",ISNUMBER(AF530)),IF(AF530&lt;&gt;0,"INVALID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recorded/closed","")&lt;&gt;"",IF(AND(TRIM(U530)="Pass",ISNUMBER(AF530)),IF(AF530&lt;&gt;0,"INVALID – qty variance: use Fail or Pass after CA",""),"")&amp;IF(AND(TRIM(U530)="Pass",AB530="Open"),"INVALID – corrective action still open: use Fail, then Pass after CA","")&amp;IF(AND(TRIM(U530)="Pass after CA",OR(TRIM(AA530)="",AB530&lt;&gt;"Closed")),"INVALID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window"),IF(AG530&gt;Flights!$AA$20,"INVALID – completed after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f>
        <v/>
      </c>
      <c r="AI530" s="67">
        <f>IF(OR(AH530="N/A – RULE",AH530="N/A – JUSTIFIED"),0,1)</f>
        <v/>
      </c>
      <c r="AJ530" s="67">
        <f>IF(LEFT(AH530,8)="COMPLETE",1,0)</f>
        <v/>
      </c>
      <c r="AK530" s="67">
        <f>IF(AND(AI530=1,AJ530=0,AsOfUTC&gt;Q530),1,0)</f>
        <v/>
      </c>
      <c r="AL530" s="67">
        <f>IF(AND(AI530=1,OR(TRIM(U530)="Fail",AB530="Open",AND(ISNUMBER(AF530),AF530&lt;&gt;0,TRIM(U530)&lt;&gt;"Pass after CA"))),1,0)</f>
        <v/>
      </c>
      <c r="AM530" s="67">
        <f>IF(LEFT(AH530,7)="INVALID",1,0)</f>
        <v/>
      </c>
      <c r="AN530" s="67">
        <f>IF(AND(N530="Clarification required",AI530=1,AJ530=0),1,0)</f>
        <v/>
      </c>
      <c r="AO530" s="67">
        <f>IF(AK530=1,SUM(AK$5:AK530),"")</f>
        <v/>
      </c>
      <c r="AP530" s="67">
        <f>IF(AL530=1,SUM(AL$5:AL530),"")</f>
        <v/>
      </c>
      <c r="AQ530" s="67" t="n">
        <v>0</v>
      </c>
      <c r="AR530" s="67" t="n">
        <v>0</v>
      </c>
      <c r="AS530" s="67" t="n">
        <v>0</v>
      </c>
      <c r="AT530" s="67" t="n">
        <v>1</v>
      </c>
    </row>
    <row r="531" ht="40" customHeight="1">
      <c r="A531" s="63" t="inlineStr">
        <is>
          <t>F17-T7-01</t>
        </is>
      </c>
      <c r="B531" s="63" t="inlineStr">
        <is>
          <t>F17</t>
        </is>
      </c>
      <c r="C531" s="63">
        <f>Flights!$F$21</f>
        <v/>
      </c>
      <c r="D531" s="64">
        <f>Flights!$D$21</f>
        <v/>
      </c>
      <c r="E531" s="63">
        <f>Flights!$G$21&amp;"-"&amp;Flights!$H$21</f>
        <v/>
      </c>
      <c r="F531" s="63">
        <f>Flights!$K$21</f>
        <v/>
      </c>
      <c r="G531" s="63" t="inlineStr">
        <is>
          <t>T-7D</t>
        </is>
      </c>
      <c r="H531" s="63" t="inlineStr">
        <is>
          <t>Preparation</t>
        </is>
      </c>
      <c r="I531" s="63" t="inlineStr">
        <is>
          <t>Meal</t>
        </is>
      </c>
      <c r="J531" s="63" t="inlineStr">
        <is>
          <t>Meal sensory testing completed for this flight's menu cycle (assessed class)</t>
        </is>
      </c>
      <c r="K531" s="73" t="inlineStr">
        <is>
          <t>Record panel result / score in Result</t>
        </is>
      </c>
      <c r="L531" s="73" t="inlineStr">
        <is>
          <t>User brief (T-7 days)</t>
        </is>
      </c>
      <c r="M531" s="73" t="inlineStr"/>
      <c r="N531" s="73" t="inlineStr">
        <is>
          <t>Required</t>
        </is>
      </c>
      <c r="O531" s="73" t="inlineStr"/>
      <c r="P531" s="63" t="inlineStr">
        <is>
          <t>HKG</t>
        </is>
      </c>
      <c r="Q531" s="65">
        <f>Flights!$AC$21</f>
        <v/>
      </c>
      <c r="R531" s="65">
        <f>Q531+(IF(AND(INDEX(TZ_DSTS,MATCH(P531,TZ_STN,0))&lt;&gt;"",Q531&gt;=INDEX(TZ_DSTS,MATCH(P531,TZ_STN,0)),Q531&lt;INDEX(TZ_DSTE,MATCH(P531,TZ_STN,0))),INDEX(TZ_DST,MATCH(P531,TZ_STN,0)),INDEX(TZ_STD,MATCH(P531,TZ_STN,0))))/24</f>
        <v/>
      </c>
      <c r="S531" s="65" t="inlineStr"/>
      <c r="T531" s="66" t="n"/>
      <c r="U531" s="66" t="n"/>
      <c r="V531" s="66" t="n"/>
      <c r="W531" s="67" t="n"/>
      <c r="X531" s="66" t="n"/>
      <c r="Y531" s="66" t="n"/>
      <c r="Z531" s="66" t="n"/>
      <c r="AA531" s="66" t="n"/>
      <c r="AB531" s="66" t="n"/>
      <c r="AC531" s="66" t="n"/>
      <c r="AD531" s="72" t="n"/>
      <c r="AE531" s="66" t="n"/>
      <c r="AF531" s="67">
        <f>IF(AND(ISNUMBER(X531),ISNUMBER(Y531)),Y531-X531,"")</f>
        <v/>
      </c>
      <c r="AG531" s="68">
        <f>IF(ISNUMBER(AD531),AD531-(IF(AND(INDEX(TZ_DSTS,MATCH(P531,TZ_STN,0))&lt;&gt;"",(AD531-INDEX(TZ_STD,MATCH(P531,TZ_STN,0))/24)&gt;=INDEX(TZ_DSTS,MATCH(P531,TZ_STN,0)),(AD531-INDEX(TZ_STD,MATCH(P531,TZ_STN,0))/24)&lt;INDEX(TZ_DSTE,MATCH(P531,TZ_STN,0))),INDEX(TZ_DST,MATCH(P531,TZ_STN,0)),INDEX(TZ_STD,MATCH(P531,TZ_STN,0))))/24,"")</f>
        <v/>
      </c>
      <c r="AH531" s="71">
        <f>IF(N531="N/A – rule","N/A – RULE",IF(TRIM(U531)="N/A",IF(AT531=0,"INVALID – N/A not permitted for this mandatory check",IF(AND(TRIM(AC531)&lt;&gt;"",TRIM(AE531)&lt;&gt;"",TRIM(T531)&lt;&gt;""),"N/A – JUSTIFIED","INVALID – N/A needs justification, PIC and verifier")),IF(OR(TRIM(U531)="Pass",TRIM(U531)="Pass after CA"),IF(NOT(ISNUMBER(AD531)),"INVALID – completion time missing",IF(TRIM(T531)="","INVALID – PIC missing",IF(TRIM(Z531)="","INVALID – evidence missing",IF(TRIM(AE531)="","INVALID – verifier missing",IF(AND(AQ531=1,TRIM(W531)=""),"INVALID – batch ID missing",IF(AND(AR531=1,OR(NOT(ISNUMBER(X531)),NOT(ISNUMBER(Y531)))),"INVALID – expected/actual qty missing",IF(IF(AND(TRIM(U531)="Pass",ISNUMBER(AF531)),IF(AF531&lt;&gt;0,"INVALID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recorded/closed","")&lt;&gt;"",IF(AND(TRIM(U531)="Pass",ISNUMBER(AF531)),IF(AF531&lt;&gt;0,"INVALID – qty variance: use Fail or Pass after CA",""),"")&amp;IF(AND(TRIM(U531)="Pass",AB531="Open"),"INVALID – corrective action still open: use Fail, then Pass after CA","")&amp;IF(AND(TRIM(U531)="Pass after CA",OR(TRIM(AA531)="",AB531&lt;&gt;"Closed")),"INVALID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window"),IF(AG531&gt;Flights!$AA$21,"INVALID – completed after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f>
        <v/>
      </c>
      <c r="AI531" s="67">
        <f>IF(OR(AH531="N/A – RULE",AH531="N/A – JUSTIFIED"),0,1)</f>
        <v/>
      </c>
      <c r="AJ531" s="67">
        <f>IF(LEFT(AH531,8)="COMPLETE",1,0)</f>
        <v/>
      </c>
      <c r="AK531" s="67">
        <f>IF(AND(AI531=1,AJ531=0,AsOfUTC&gt;Q531),1,0)</f>
        <v/>
      </c>
      <c r="AL531" s="67">
        <f>IF(AND(AI531=1,OR(TRIM(U531)="Fail",AB531="Open",AND(ISNUMBER(AF531),AF531&lt;&gt;0,TRIM(U531)&lt;&gt;"Pass after CA"))),1,0)</f>
        <v/>
      </c>
      <c r="AM531" s="67">
        <f>IF(LEFT(AH531,7)="INVALID",1,0)</f>
        <v/>
      </c>
      <c r="AN531" s="67">
        <f>IF(AND(N531="Clarification required",AI531=1,AJ531=0),1,0)</f>
        <v/>
      </c>
      <c r="AO531" s="67">
        <f>IF(AK531=1,SUM(AK$5:AK531),"")</f>
        <v/>
      </c>
      <c r="AP531" s="67">
        <f>IF(AL531=1,SUM(AL$5:AL531),"")</f>
        <v/>
      </c>
      <c r="AQ531" s="67" t="n">
        <v>0</v>
      </c>
      <c r="AR531" s="67" t="n">
        <v>0</v>
      </c>
      <c r="AS531" s="67" t="n">
        <v>0</v>
      </c>
      <c r="AT531" s="67" t="n">
        <v>0</v>
      </c>
    </row>
    <row r="532" ht="40" customHeight="1">
      <c r="A532" s="63" t="inlineStr">
        <is>
          <t>F17-T7-02</t>
        </is>
      </c>
      <c r="B532" s="63" t="inlineStr">
        <is>
          <t>F17</t>
        </is>
      </c>
      <c r="C532" s="63">
        <f>Flights!$F$21</f>
        <v/>
      </c>
      <c r="D532" s="64">
        <f>Flights!$D$21</f>
        <v/>
      </c>
      <c r="E532" s="63">
        <f>Flights!$G$21&amp;"-"&amp;Flights!$H$21</f>
        <v/>
      </c>
      <c r="F532" s="63">
        <f>Flights!$K$21</f>
        <v/>
      </c>
      <c r="G532" s="63" t="inlineStr">
        <is>
          <t>T-7D</t>
        </is>
      </c>
      <c r="H532" s="63" t="inlineStr">
        <is>
          <t>Preparation</t>
        </is>
      </c>
      <c r="I532" s="63" t="inlineStr">
        <is>
          <t>Menu</t>
        </is>
      </c>
      <c r="J532" s="63" t="inlineStr">
        <is>
          <t>Printed menu cards confirmed (content, cycle, language, quantity)</t>
        </is>
      </c>
      <c r="K532" s="73" t="inlineStr">
        <is>
          <t>Menu card matches approved menu for this flight</t>
        </is>
      </c>
      <c r="L532" s="73" t="inlineStr">
        <is>
          <t>User brief (T-7 days)</t>
        </is>
      </c>
      <c r="M532" s="73" t="inlineStr"/>
      <c r="N532" s="73" t="inlineStr">
        <is>
          <t>Required</t>
        </is>
      </c>
      <c r="O532" s="73" t="inlineStr"/>
      <c r="P532" s="63" t="inlineStr">
        <is>
          <t>HKG</t>
        </is>
      </c>
      <c r="Q532" s="65">
        <f>Flights!$AC$21</f>
        <v/>
      </c>
      <c r="R532" s="65">
        <f>Q532+(IF(AND(INDEX(TZ_DSTS,MATCH(P532,TZ_STN,0))&lt;&gt;"",Q532&gt;=INDEX(TZ_DSTS,MATCH(P532,TZ_STN,0)),Q532&lt;INDEX(TZ_DSTE,MATCH(P532,TZ_STN,0))),INDEX(TZ_DST,MATCH(P532,TZ_STN,0)),INDEX(TZ_STD,MATCH(P532,TZ_STN,0))))/24</f>
        <v/>
      </c>
      <c r="S532" s="65" t="inlineStr"/>
      <c r="T532" s="66" t="n"/>
      <c r="U532" s="66" t="n"/>
      <c r="V532" s="66" t="n"/>
      <c r="W532" s="67" t="n"/>
      <c r="X532" s="66" t="n"/>
      <c r="Y532" s="66" t="n"/>
      <c r="Z532" s="66" t="n"/>
      <c r="AA532" s="66" t="n"/>
      <c r="AB532" s="66" t="n"/>
      <c r="AC532" s="66" t="n"/>
      <c r="AD532" s="72" t="n"/>
      <c r="AE532" s="66" t="n"/>
      <c r="AF532" s="67">
        <f>IF(AND(ISNUMBER(X532),ISNUMBER(Y532)),Y532-X532,"")</f>
        <v/>
      </c>
      <c r="AG532" s="68">
        <f>IF(ISNUMBER(AD532),AD532-(IF(AND(INDEX(TZ_DSTS,MATCH(P532,TZ_STN,0))&lt;&gt;"",(AD532-INDEX(TZ_STD,MATCH(P532,TZ_STN,0))/24)&gt;=INDEX(TZ_DSTS,MATCH(P532,TZ_STN,0)),(AD532-INDEX(TZ_STD,MATCH(P532,TZ_STN,0))/24)&lt;INDEX(TZ_DSTE,MATCH(P532,TZ_STN,0))),INDEX(TZ_DST,MATCH(P532,TZ_STN,0)),INDEX(TZ_STD,MATCH(P532,TZ_STN,0))))/24,"")</f>
        <v/>
      </c>
      <c r="AH532" s="71">
        <f>IF(N532="N/A – rule","N/A – RULE",IF(TRIM(U532)="N/A",IF(AT532=0,"INVALID – N/A not permitted for this mandatory check",IF(AND(TRIM(AC532)&lt;&gt;"",TRIM(AE532)&lt;&gt;"",TRIM(T532)&lt;&gt;""),"N/A – JUSTIFIED","INVALID – N/A needs justification, PIC and verifier")),IF(OR(TRIM(U532)="Pass",TRIM(U532)="Pass after CA"),IF(NOT(ISNUMBER(AD532)),"INVALID – completion time missing",IF(TRIM(T532)="","INVALID – PIC missing",IF(TRIM(Z532)="","INVALID – evidence missing",IF(TRIM(AE532)="","INVALID – verifier missing",IF(AND(AQ532=1,TRIM(W532)=""),"INVALID – batch ID missing",IF(AND(AR532=1,OR(NOT(ISNUMBER(X532)),NOT(ISNUMBER(Y532)))),"INVALID – expected/actual qty missing",IF(IF(AND(TRIM(U532)="Pass",ISNUMBER(AF532)),IF(AF532&lt;&gt;0,"INVALID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recorded/closed","")&lt;&gt;"",IF(AND(TRIM(U532)="Pass",ISNUMBER(AF532)),IF(AF532&lt;&gt;0,"INVALID – qty variance: use Fail or Pass after CA",""),"")&amp;IF(AND(TRIM(U532)="Pass",AB532="Open"),"INVALID – corrective action still open: use Fail, then Pass after CA","")&amp;IF(AND(TRIM(U532)="Pass after CA",OR(TRIM(AA532)="",AB532&lt;&gt;"Closed")),"INVALID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window"),IF(AG532&gt;Flights!$AA$21,"INVALID – completed after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f>
        <v/>
      </c>
      <c r="AI532" s="67">
        <f>IF(OR(AH532="N/A – RULE",AH532="N/A – JUSTIFIED"),0,1)</f>
        <v/>
      </c>
      <c r="AJ532" s="67">
        <f>IF(LEFT(AH532,8)="COMPLETE",1,0)</f>
        <v/>
      </c>
      <c r="AK532" s="67">
        <f>IF(AND(AI532=1,AJ532=0,AsOfUTC&gt;Q532),1,0)</f>
        <v/>
      </c>
      <c r="AL532" s="67">
        <f>IF(AND(AI532=1,OR(TRIM(U532)="Fail",AB532="Open",AND(ISNUMBER(AF532),AF532&lt;&gt;0,TRIM(U532)&lt;&gt;"Pass after CA"))),1,0)</f>
        <v/>
      </c>
      <c r="AM532" s="67">
        <f>IF(LEFT(AH532,7)="INVALID",1,0)</f>
        <v/>
      </c>
      <c r="AN532" s="67">
        <f>IF(AND(N532="Clarification required",AI532=1,AJ532=0),1,0)</f>
        <v/>
      </c>
      <c r="AO532" s="67">
        <f>IF(AK532=1,SUM(AK$5:AK532),"")</f>
        <v/>
      </c>
      <c r="AP532" s="67">
        <f>IF(AL532=1,SUM(AL$5:AL532),"")</f>
        <v/>
      </c>
      <c r="AQ532" s="67" t="n">
        <v>0</v>
      </c>
      <c r="AR532" s="67" t="n">
        <v>0</v>
      </c>
      <c r="AS532" s="67" t="n">
        <v>0</v>
      </c>
      <c r="AT532" s="67" t="n">
        <v>1</v>
      </c>
    </row>
    <row r="533" ht="41.5" customHeight="1">
      <c r="A533" s="63" t="inlineStr">
        <is>
          <t>F17-T7-03</t>
        </is>
      </c>
      <c r="B533" s="63" t="inlineStr">
        <is>
          <t>F17</t>
        </is>
      </c>
      <c r="C533" s="63">
        <f>Flights!$F$21</f>
        <v/>
      </c>
      <c r="D533" s="64">
        <f>Flights!$D$21</f>
        <v/>
      </c>
      <c r="E533" s="63">
        <f>Flights!$G$21&amp;"-"&amp;Flights!$H$21</f>
        <v/>
      </c>
      <c r="F533" s="63">
        <f>Flights!$K$21</f>
        <v/>
      </c>
      <c r="G533" s="63" t="inlineStr">
        <is>
          <t>T-7D</t>
        </is>
      </c>
      <c r="H533" s="63" t="inlineStr">
        <is>
          <t>Preparation</t>
        </is>
      </c>
      <c r="I533" s="63" t="inlineStr">
        <is>
          <t>IFE</t>
        </is>
      </c>
      <c r="J533" s="63" t="inlineStr">
        <is>
          <t>Digital menu in IFE confirmed (A339 only)</t>
        </is>
      </c>
      <c r="K533" s="73" t="inlineStr">
        <is>
          <t>Applies when fleet = A339</t>
        </is>
      </c>
      <c r="L533" s="73" t="inlineStr">
        <is>
          <t>User brief (T-7 days)</t>
        </is>
      </c>
      <c r="M533" s="73" t="inlineStr"/>
      <c r="N533" s="73">
        <f>IF(TRIM(Flights!$L$21)="A339","Required","N/A – rule")</f>
        <v/>
      </c>
      <c r="O533" s="73" t="inlineStr">
        <is>
          <t>Digital IFE menu applies to A339 only (user brief). Applicability follows the Fleet cell on Flights.</t>
        </is>
      </c>
      <c r="P533" s="63" t="inlineStr">
        <is>
          <t>HKG</t>
        </is>
      </c>
      <c r="Q533" s="65">
        <f>Flights!$AC$21</f>
        <v/>
      </c>
      <c r="R533" s="65">
        <f>Q533+(IF(AND(INDEX(TZ_DSTS,MATCH(P533,TZ_STN,0))&lt;&gt;"",Q533&gt;=INDEX(TZ_DSTS,MATCH(P533,TZ_STN,0)),Q533&lt;INDEX(TZ_DSTE,MATCH(P533,TZ_STN,0))),INDEX(TZ_DST,MATCH(P533,TZ_STN,0)),INDEX(TZ_STD,MATCH(P533,TZ_STN,0))))/24</f>
        <v/>
      </c>
      <c r="S533" s="65" t="inlineStr"/>
      <c r="T533" s="66" t="n"/>
      <c r="U533" s="66" t="n"/>
      <c r="V533" s="66" t="n"/>
      <c r="W533" s="67" t="n"/>
      <c r="X533" s="66" t="n"/>
      <c r="Y533" s="66" t="n"/>
      <c r="Z533" s="66" t="n"/>
      <c r="AA533" s="66" t="n"/>
      <c r="AB533" s="66" t="n"/>
      <c r="AC533" s="66" t="n"/>
      <c r="AD533" s="72" t="n"/>
      <c r="AE533" s="66" t="n"/>
      <c r="AF533" s="67">
        <f>IF(AND(ISNUMBER(X533),ISNUMBER(Y533)),Y533-X533,"")</f>
        <v/>
      </c>
      <c r="AG533" s="68">
        <f>IF(ISNUMBER(AD533),AD533-(IF(AND(INDEX(TZ_DSTS,MATCH(P533,TZ_STN,0))&lt;&gt;"",(AD533-INDEX(TZ_STD,MATCH(P533,TZ_STN,0))/24)&gt;=INDEX(TZ_DSTS,MATCH(P533,TZ_STN,0)),(AD533-INDEX(TZ_STD,MATCH(P533,TZ_STN,0))/24)&lt;INDEX(TZ_DSTE,MATCH(P533,TZ_STN,0))),INDEX(TZ_DST,MATCH(P533,TZ_STN,0)),INDEX(TZ_STD,MATCH(P533,TZ_STN,0))))/24,"")</f>
        <v/>
      </c>
      <c r="AH533" s="71">
        <f>IF(N533="N/A – rule","N/A – RULE",IF(TRIM(U533)="N/A",IF(AT533=0,"INVALID – N/A not permitted for this mandatory check",IF(AND(TRIM(AC533)&lt;&gt;"",TRIM(AE533)&lt;&gt;"",TRIM(T533)&lt;&gt;""),"N/A – JUSTIFIED","INVALID – N/A needs justification, PIC and verifier")),IF(OR(TRIM(U533)="Pass",TRIM(U533)="Pass after CA"),IF(NOT(ISNUMBER(AD533)),"INVALID – completion time missing",IF(TRIM(T533)="","INVALID – PIC missing",IF(TRIM(Z533)="","INVALID – evidence missing",IF(TRIM(AE533)="","INVALID – verifier missing",IF(AND(AQ533=1,TRIM(W533)=""),"INVALID – batch ID missing",IF(AND(AR533=1,OR(NOT(ISNUMBER(X533)),NOT(ISNUMBER(Y533)))),"INVALID – expected/actual qty missing",IF(IF(AND(TRIM(U533)="Pass",ISNUMBER(AF533)),IF(AF533&lt;&gt;0,"INVALID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recorded/closed","")&lt;&gt;"",IF(AND(TRIM(U533)="Pass",ISNUMBER(AF533)),IF(AF533&lt;&gt;0,"INVALID – qty variance: use Fail or Pass after CA",""),"")&amp;IF(AND(TRIM(U533)="Pass",AB533="Open"),"INVALID – corrective action still open: use Fail, then Pass after CA","")&amp;IF(AND(TRIM(U533)="Pass after CA",OR(TRIM(AA533)="",AB533&lt;&gt;"Closed")),"INVALID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window"),IF(AG533&gt;Flights!$AA$21,"INVALID – completed after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f>
        <v/>
      </c>
      <c r="AI533" s="67">
        <f>IF(OR(AH533="N/A – RULE",AH533="N/A – JUSTIFIED"),0,1)</f>
        <v/>
      </c>
      <c r="AJ533" s="67">
        <f>IF(LEFT(AH533,8)="COMPLETE",1,0)</f>
        <v/>
      </c>
      <c r="AK533" s="67">
        <f>IF(AND(AI533=1,AJ533=0,AsOfUTC&gt;Q533),1,0)</f>
        <v/>
      </c>
      <c r="AL533" s="67">
        <f>IF(AND(AI533=1,OR(TRIM(U533)="Fail",AB533="Open",AND(ISNUMBER(AF533),AF533&lt;&gt;0,TRIM(U533)&lt;&gt;"Pass after CA"))),1,0)</f>
        <v/>
      </c>
      <c r="AM533" s="67">
        <f>IF(LEFT(AH533,7)="INVALID",1,0)</f>
        <v/>
      </c>
      <c r="AN533" s="67">
        <f>IF(AND(N533="Clarification required",AI533=1,AJ533=0),1,0)</f>
        <v/>
      </c>
      <c r="AO533" s="67">
        <f>IF(AK533=1,SUM(AK$5:AK533),"")</f>
        <v/>
      </c>
      <c r="AP533" s="67">
        <f>IF(AL533=1,SUM(AL$5:AL533),"")</f>
        <v/>
      </c>
      <c r="AQ533" s="67" t="n">
        <v>0</v>
      </c>
      <c r="AR533" s="67" t="n">
        <v>0</v>
      </c>
      <c r="AS533" s="67" t="n">
        <v>0</v>
      </c>
      <c r="AT533" s="67" t="n">
        <v>0</v>
      </c>
    </row>
    <row r="534" ht="40" customHeight="1">
      <c r="A534" s="63" t="inlineStr">
        <is>
          <t>F17-T7-04</t>
        </is>
      </c>
      <c r="B534" s="63" t="inlineStr">
        <is>
          <t>F17</t>
        </is>
      </c>
      <c r="C534" s="63">
        <f>Flights!$F$21</f>
        <v/>
      </c>
      <c r="D534" s="64">
        <f>Flights!$D$21</f>
        <v/>
      </c>
      <c r="E534" s="63">
        <f>Flights!$G$21&amp;"-"&amp;Flights!$H$21</f>
        <v/>
      </c>
      <c r="F534" s="63">
        <f>Flights!$K$21</f>
        <v/>
      </c>
      <c r="G534" s="63" t="inlineStr">
        <is>
          <t>T-7D</t>
        </is>
      </c>
      <c r="H534" s="63" t="inlineStr">
        <is>
          <t>Preparation</t>
        </is>
      </c>
      <c r="I534" s="63" t="inlineStr">
        <is>
          <t>Staffing</t>
        </is>
      </c>
      <c r="J534" s="63" t="inlineStr">
        <is>
          <t>Experienced catering officer assigned to this flight</t>
        </is>
      </c>
      <c r="K534" s="73" t="inlineStr">
        <is>
          <t>Record officer name in Result</t>
        </is>
      </c>
      <c r="L534" s="73" t="inlineStr">
        <is>
          <t>User brief (T-7 days)</t>
        </is>
      </c>
      <c r="M534" s="73" t="inlineStr"/>
      <c r="N534" s="73" t="inlineStr">
        <is>
          <t>Required</t>
        </is>
      </c>
      <c r="O534" s="73" t="inlineStr"/>
      <c r="P534" s="63" t="inlineStr">
        <is>
          <t>HKG</t>
        </is>
      </c>
      <c r="Q534" s="65">
        <f>Flights!$AC$21</f>
        <v/>
      </c>
      <c r="R534" s="65">
        <f>Q534+(IF(AND(INDEX(TZ_DSTS,MATCH(P534,TZ_STN,0))&lt;&gt;"",Q534&gt;=INDEX(TZ_DSTS,MATCH(P534,TZ_STN,0)),Q534&lt;INDEX(TZ_DSTE,MATCH(P534,TZ_STN,0))),INDEX(TZ_DST,MATCH(P534,TZ_STN,0)),INDEX(TZ_STD,MATCH(P534,TZ_STN,0))))/24</f>
        <v/>
      </c>
      <c r="S534" s="65" t="inlineStr"/>
      <c r="T534" s="66" t="n"/>
      <c r="U534" s="66" t="n"/>
      <c r="V534" s="66" t="n"/>
      <c r="W534" s="67" t="n"/>
      <c r="X534" s="66" t="n"/>
      <c r="Y534" s="66" t="n"/>
      <c r="Z534" s="66" t="n"/>
      <c r="AA534" s="66" t="n"/>
      <c r="AB534" s="66" t="n"/>
      <c r="AC534" s="66" t="n"/>
      <c r="AD534" s="72" t="n"/>
      <c r="AE534" s="66" t="n"/>
      <c r="AF534" s="67">
        <f>IF(AND(ISNUMBER(X534),ISNUMBER(Y534)),Y534-X534,"")</f>
        <v/>
      </c>
      <c r="AG534" s="68">
        <f>IF(ISNUMBER(AD534),AD534-(IF(AND(INDEX(TZ_DSTS,MATCH(P534,TZ_STN,0))&lt;&gt;"",(AD534-INDEX(TZ_STD,MATCH(P534,TZ_STN,0))/24)&gt;=INDEX(TZ_DSTS,MATCH(P534,TZ_STN,0)),(AD534-INDEX(TZ_STD,MATCH(P534,TZ_STN,0))/24)&lt;INDEX(TZ_DSTE,MATCH(P534,TZ_STN,0))),INDEX(TZ_DST,MATCH(P534,TZ_STN,0)),INDEX(TZ_STD,MATCH(P534,TZ_STN,0))))/24,"")</f>
        <v/>
      </c>
      <c r="AH534" s="71">
        <f>IF(N534="N/A – rule","N/A – RULE",IF(TRIM(U534)="N/A",IF(AT534=0,"INVALID – N/A not permitted for this mandatory check",IF(AND(TRIM(AC534)&lt;&gt;"",TRIM(AE534)&lt;&gt;"",TRIM(T534)&lt;&gt;""),"N/A – JUSTIFIED","INVALID – N/A needs justification, PIC and verifier")),IF(OR(TRIM(U534)="Pass",TRIM(U534)="Pass after CA"),IF(NOT(ISNUMBER(AD534)),"INVALID – completion time missing",IF(TRIM(T534)="","INVALID – PIC missing",IF(TRIM(Z534)="","INVALID – evidence missing",IF(TRIM(AE534)="","INVALID – verifier missing",IF(AND(AQ534=1,TRIM(W534)=""),"INVALID – batch ID missing",IF(AND(AR534=1,OR(NOT(ISNUMBER(X534)),NOT(ISNUMBER(Y534)))),"INVALID – expected/actual qty missing",IF(IF(AND(TRIM(U534)="Pass",ISNUMBER(AF534)),IF(AF534&lt;&gt;0,"INVALID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recorded/closed","")&lt;&gt;"",IF(AND(TRIM(U534)="Pass",ISNUMBER(AF534)),IF(AF534&lt;&gt;0,"INVALID – qty variance: use Fail or Pass after CA",""),"")&amp;IF(AND(TRIM(U534)="Pass",AB534="Open"),"INVALID – corrective action still open: use Fail, then Pass after CA","")&amp;IF(AND(TRIM(U534)="Pass after CA",OR(TRIM(AA534)="",AB534&lt;&gt;"Closed")),"INVALID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window"),IF(AG534&gt;Flights!$AA$21,"INVALID – completed after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f>
        <v/>
      </c>
      <c r="AI534" s="67">
        <f>IF(OR(AH534="N/A – RULE",AH534="N/A – JUSTIFIED"),0,1)</f>
        <v/>
      </c>
      <c r="AJ534" s="67">
        <f>IF(LEFT(AH534,8)="COMPLETE",1,0)</f>
        <v/>
      </c>
      <c r="AK534" s="67">
        <f>IF(AND(AI534=1,AJ534=0,AsOfUTC&gt;Q534),1,0)</f>
        <v/>
      </c>
      <c r="AL534" s="67">
        <f>IF(AND(AI534=1,OR(TRIM(U534)="Fail",AB534="Open",AND(ISNUMBER(AF534),AF534&lt;&gt;0,TRIM(U534)&lt;&gt;"Pass after CA"))),1,0)</f>
        <v/>
      </c>
      <c r="AM534" s="67">
        <f>IF(LEFT(AH534,7)="INVALID",1,0)</f>
        <v/>
      </c>
      <c r="AN534" s="67">
        <f>IF(AND(N534="Clarification required",AI534=1,AJ534=0),1,0)</f>
        <v/>
      </c>
      <c r="AO534" s="67">
        <f>IF(AK534=1,SUM(AK$5:AK534),"")</f>
        <v/>
      </c>
      <c r="AP534" s="67">
        <f>IF(AL534=1,SUM(AL$5:AL534),"")</f>
        <v/>
      </c>
      <c r="AQ534" s="67" t="n">
        <v>0</v>
      </c>
      <c r="AR534" s="67" t="n">
        <v>0</v>
      </c>
      <c r="AS534" s="67" t="n">
        <v>0</v>
      </c>
      <c r="AT534" s="67" t="n">
        <v>0</v>
      </c>
    </row>
    <row r="535" ht="40" customHeight="1">
      <c r="A535" s="63" t="inlineStr">
        <is>
          <t>F17-T7-05</t>
        </is>
      </c>
      <c r="B535" s="63" t="inlineStr">
        <is>
          <t>F17</t>
        </is>
      </c>
      <c r="C535" s="63">
        <f>Flights!$F$21</f>
        <v/>
      </c>
      <c r="D535" s="64">
        <f>Flights!$D$21</f>
        <v/>
      </c>
      <c r="E535" s="63">
        <f>Flights!$G$21&amp;"-"&amp;Flights!$H$21</f>
        <v/>
      </c>
      <c r="F535" s="63">
        <f>Flights!$K$21</f>
        <v/>
      </c>
      <c r="G535" s="63" t="inlineStr">
        <is>
          <t>T-7D</t>
        </is>
      </c>
      <c r="H535" s="63" t="inlineStr">
        <is>
          <t>Preparation</t>
        </is>
      </c>
      <c r="I535" s="63" t="inlineStr">
        <is>
          <t>ISOP</t>
        </is>
      </c>
      <c r="J535" s="63" t="inlineStr">
        <is>
          <t>All latest applicable ISOP revisions communicated to caterer</t>
        </is>
      </c>
      <c r="K535" s="73" t="inlineStr">
        <is>
          <t>List revision numbers in Result (see ISOP register)</t>
        </is>
      </c>
      <c r="L535" s="73" t="inlineStr">
        <is>
          <t>User brief (T-7 days)</t>
        </is>
      </c>
      <c r="M535" s="73" t="inlineStr"/>
      <c r="N535" s="73" t="inlineStr">
        <is>
          <t>Required</t>
        </is>
      </c>
      <c r="O535" s="73" t="inlineStr"/>
      <c r="P535" s="63" t="inlineStr">
        <is>
          <t>HKG</t>
        </is>
      </c>
      <c r="Q535" s="65">
        <f>Flights!$AC$21</f>
        <v/>
      </c>
      <c r="R535" s="65">
        <f>Q535+(IF(AND(INDEX(TZ_DSTS,MATCH(P535,TZ_STN,0))&lt;&gt;"",Q535&gt;=INDEX(TZ_DSTS,MATCH(P535,TZ_STN,0)),Q535&lt;INDEX(TZ_DSTE,MATCH(P535,TZ_STN,0))),INDEX(TZ_DST,MATCH(P535,TZ_STN,0)),INDEX(TZ_STD,MATCH(P535,TZ_STN,0))))/24</f>
        <v/>
      </c>
      <c r="S535" s="65" t="inlineStr"/>
      <c r="T535" s="66" t="n"/>
      <c r="U535" s="66" t="n"/>
      <c r="V535" s="66" t="n"/>
      <c r="W535" s="67" t="n"/>
      <c r="X535" s="66" t="n"/>
      <c r="Y535" s="66" t="n"/>
      <c r="Z535" s="66" t="n"/>
      <c r="AA535" s="66" t="n"/>
      <c r="AB535" s="66" t="n"/>
      <c r="AC535" s="66" t="n"/>
      <c r="AD535" s="72" t="n"/>
      <c r="AE535" s="66" t="n"/>
      <c r="AF535" s="67">
        <f>IF(AND(ISNUMBER(X535),ISNUMBER(Y535)),Y535-X535,"")</f>
        <v/>
      </c>
      <c r="AG535" s="68">
        <f>IF(ISNUMBER(AD535),AD535-(IF(AND(INDEX(TZ_DSTS,MATCH(P535,TZ_STN,0))&lt;&gt;"",(AD535-INDEX(TZ_STD,MATCH(P535,TZ_STN,0))/24)&gt;=INDEX(TZ_DSTS,MATCH(P535,TZ_STN,0)),(AD535-INDEX(TZ_STD,MATCH(P535,TZ_STN,0))/24)&lt;INDEX(TZ_DSTE,MATCH(P535,TZ_STN,0))),INDEX(TZ_DST,MATCH(P535,TZ_STN,0)),INDEX(TZ_STD,MATCH(P535,TZ_STN,0))))/24,"")</f>
        <v/>
      </c>
      <c r="AH535" s="71">
        <f>IF(N535="N/A – rule","N/A – RULE",IF(TRIM(U535)="N/A",IF(AT535=0,"INVALID – N/A not permitted for this mandatory check",IF(AND(TRIM(AC535)&lt;&gt;"",TRIM(AE535)&lt;&gt;"",TRIM(T535)&lt;&gt;""),"N/A – JUSTIFIED","INVALID – N/A needs justification, PIC and verifier")),IF(OR(TRIM(U535)="Pass",TRIM(U535)="Pass after CA"),IF(NOT(ISNUMBER(AD535)),"INVALID – completion time missing",IF(TRIM(T535)="","INVALID – PIC missing",IF(TRIM(Z535)="","INVALID – evidence missing",IF(TRIM(AE535)="","INVALID – verifier missing",IF(AND(AQ535=1,TRIM(W535)=""),"INVALID – batch ID missing",IF(AND(AR535=1,OR(NOT(ISNUMBER(X535)),NOT(ISNUMBER(Y535)))),"INVALID – expected/actual qty missing",IF(IF(AND(TRIM(U535)="Pass",ISNUMBER(AF535)),IF(AF535&lt;&gt;0,"INVALID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recorded/closed","")&lt;&gt;"",IF(AND(TRIM(U535)="Pass",ISNUMBER(AF535)),IF(AF535&lt;&gt;0,"INVALID – qty variance: use Fail or Pass after CA",""),"")&amp;IF(AND(TRIM(U535)="Pass",AB535="Open"),"INVALID – corrective action still open: use Fail, then Pass after CA","")&amp;IF(AND(TRIM(U535)="Pass after CA",OR(TRIM(AA535)="",AB535&lt;&gt;"Closed")),"INVALID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window"),IF(AG535&gt;Flights!$AA$21,"INVALID – completed after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f>
        <v/>
      </c>
      <c r="AI535" s="67">
        <f>IF(OR(AH535="N/A – RULE",AH535="N/A – JUSTIFIED"),0,1)</f>
        <v/>
      </c>
      <c r="AJ535" s="67">
        <f>IF(LEFT(AH535,8)="COMPLETE",1,0)</f>
        <v/>
      </c>
      <c r="AK535" s="67">
        <f>IF(AND(AI535=1,AJ535=0,AsOfUTC&gt;Q535),1,0)</f>
        <v/>
      </c>
      <c r="AL535" s="67">
        <f>IF(AND(AI535=1,OR(TRIM(U535)="Fail",AB535="Open",AND(ISNUMBER(AF535),AF535&lt;&gt;0,TRIM(U535)&lt;&gt;"Pass after CA"))),1,0)</f>
        <v/>
      </c>
      <c r="AM535" s="67">
        <f>IF(LEFT(AH535,7)="INVALID",1,0)</f>
        <v/>
      </c>
      <c r="AN535" s="67">
        <f>IF(AND(N535="Clarification required",AI535=1,AJ535=0),1,0)</f>
        <v/>
      </c>
      <c r="AO535" s="67">
        <f>IF(AK535=1,SUM(AK$5:AK535),"")</f>
        <v/>
      </c>
      <c r="AP535" s="67">
        <f>IF(AL535=1,SUM(AL$5:AL535),"")</f>
        <v/>
      </c>
      <c r="AQ535" s="67" t="n">
        <v>0</v>
      </c>
      <c r="AR535" s="67" t="n">
        <v>0</v>
      </c>
      <c r="AS535" s="67" t="n">
        <v>0</v>
      </c>
      <c r="AT535" s="67" t="n">
        <v>0</v>
      </c>
    </row>
    <row r="536" ht="40" customHeight="1">
      <c r="A536" s="63" t="inlineStr">
        <is>
          <t>F17-T7-06</t>
        </is>
      </c>
      <c r="B536" s="63" t="inlineStr">
        <is>
          <t>F17</t>
        </is>
      </c>
      <c r="C536" s="63">
        <f>Flights!$F$21</f>
        <v/>
      </c>
      <c r="D536" s="64">
        <f>Flights!$D$21</f>
        <v/>
      </c>
      <c r="E536" s="63">
        <f>Flights!$G$21&amp;"-"&amp;Flights!$H$21</f>
        <v/>
      </c>
      <c r="F536" s="63">
        <f>Flights!$K$21</f>
        <v/>
      </c>
      <c r="G536" s="63" t="inlineStr">
        <is>
          <t>T-7D</t>
        </is>
      </c>
      <c r="H536" s="63" t="inlineStr">
        <is>
          <t>Preparation</t>
        </is>
      </c>
      <c r="I536" s="63" t="inlineStr">
        <is>
          <t>ISOP</t>
        </is>
      </c>
      <c r="J536" s="63" t="inlineStr">
        <is>
          <t>Caterer acknowledgement of ISOP revisions recorded</t>
        </is>
      </c>
      <c r="K536" s="73" t="inlineStr">
        <is>
          <t>Record acknowledgement ref in Evidence</t>
        </is>
      </c>
      <c r="L536" s="73" t="inlineStr">
        <is>
          <t>User brief (T-7 days)</t>
        </is>
      </c>
      <c r="M536" s="73" t="inlineStr"/>
      <c r="N536" s="73" t="inlineStr">
        <is>
          <t>Required</t>
        </is>
      </c>
      <c r="O536" s="73" t="inlineStr"/>
      <c r="P536" s="63" t="inlineStr">
        <is>
          <t>HKG</t>
        </is>
      </c>
      <c r="Q536" s="65">
        <f>Flights!$AC$21</f>
        <v/>
      </c>
      <c r="R536" s="65">
        <f>Q536+(IF(AND(INDEX(TZ_DSTS,MATCH(P536,TZ_STN,0))&lt;&gt;"",Q536&gt;=INDEX(TZ_DSTS,MATCH(P536,TZ_STN,0)),Q536&lt;INDEX(TZ_DSTE,MATCH(P536,TZ_STN,0))),INDEX(TZ_DST,MATCH(P536,TZ_STN,0)),INDEX(TZ_STD,MATCH(P536,TZ_STN,0))))/24</f>
        <v/>
      </c>
      <c r="S536" s="65" t="inlineStr"/>
      <c r="T536" s="66" t="n"/>
      <c r="U536" s="66" t="n"/>
      <c r="V536" s="66" t="n"/>
      <c r="W536" s="67" t="n"/>
      <c r="X536" s="66" t="n"/>
      <c r="Y536" s="66" t="n"/>
      <c r="Z536" s="66" t="n"/>
      <c r="AA536" s="66" t="n"/>
      <c r="AB536" s="66" t="n"/>
      <c r="AC536" s="66" t="n"/>
      <c r="AD536" s="72" t="n"/>
      <c r="AE536" s="66" t="n"/>
      <c r="AF536" s="67">
        <f>IF(AND(ISNUMBER(X536),ISNUMBER(Y536)),Y536-X536,"")</f>
        <v/>
      </c>
      <c r="AG536" s="68">
        <f>IF(ISNUMBER(AD536),AD536-(IF(AND(INDEX(TZ_DSTS,MATCH(P536,TZ_STN,0))&lt;&gt;"",(AD536-INDEX(TZ_STD,MATCH(P536,TZ_STN,0))/24)&gt;=INDEX(TZ_DSTS,MATCH(P536,TZ_STN,0)),(AD536-INDEX(TZ_STD,MATCH(P536,TZ_STN,0))/24)&lt;INDEX(TZ_DSTE,MATCH(P536,TZ_STN,0))),INDEX(TZ_DST,MATCH(P536,TZ_STN,0)),INDEX(TZ_STD,MATCH(P536,TZ_STN,0))))/24,"")</f>
        <v/>
      </c>
      <c r="AH536" s="71">
        <f>IF(N536="N/A – rule","N/A – RULE",IF(TRIM(U536)="N/A",IF(AT536=0,"INVALID – N/A not permitted for this mandatory check",IF(AND(TRIM(AC536)&lt;&gt;"",TRIM(AE536)&lt;&gt;"",TRIM(T536)&lt;&gt;""),"N/A – JUSTIFIED","INVALID – N/A needs justification, PIC and verifier")),IF(OR(TRIM(U536)="Pass",TRIM(U536)="Pass after CA"),IF(NOT(ISNUMBER(AD536)),"INVALID – completion time missing",IF(TRIM(T536)="","INVALID – PIC missing",IF(TRIM(Z536)="","INVALID – evidence missing",IF(TRIM(AE536)="","INVALID – verifier missing",IF(AND(AQ536=1,TRIM(W536)=""),"INVALID – batch ID missing",IF(AND(AR536=1,OR(NOT(ISNUMBER(X536)),NOT(ISNUMBER(Y536)))),"INVALID – expected/actual qty missing",IF(IF(AND(TRIM(U536)="Pass",ISNUMBER(AF536)),IF(AF536&lt;&gt;0,"INVALID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recorded/closed","")&lt;&gt;"",IF(AND(TRIM(U536)="Pass",ISNUMBER(AF536)),IF(AF536&lt;&gt;0,"INVALID – qty variance: use Fail or Pass after CA",""),"")&amp;IF(AND(TRIM(U536)="Pass",AB536="Open"),"INVALID – corrective action still open: use Fail, then Pass after CA","")&amp;IF(AND(TRIM(U536)="Pass after CA",OR(TRIM(AA536)="",AB536&lt;&gt;"Closed")),"INVALID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window"),IF(AG536&gt;Flights!$AA$21,"INVALID – completed after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f>
        <v/>
      </c>
      <c r="AI536" s="67">
        <f>IF(OR(AH536="N/A – RULE",AH536="N/A – JUSTIFIED"),0,1)</f>
        <v/>
      </c>
      <c r="AJ536" s="67">
        <f>IF(LEFT(AH536,8)="COMPLETE",1,0)</f>
        <v/>
      </c>
      <c r="AK536" s="67">
        <f>IF(AND(AI536=1,AJ536=0,AsOfUTC&gt;Q536),1,0)</f>
        <v/>
      </c>
      <c r="AL536" s="67">
        <f>IF(AND(AI536=1,OR(TRIM(U536)="Fail",AB536="Open",AND(ISNUMBER(AF536),AF536&lt;&gt;0,TRIM(U536)&lt;&gt;"Pass after CA"))),1,0)</f>
        <v/>
      </c>
      <c r="AM536" s="67">
        <f>IF(LEFT(AH536,7)="INVALID",1,0)</f>
        <v/>
      </c>
      <c r="AN536" s="67">
        <f>IF(AND(N536="Clarification required",AI536=1,AJ536=0),1,0)</f>
        <v/>
      </c>
      <c r="AO536" s="67">
        <f>IF(AK536=1,SUM(AK$5:AK536),"")</f>
        <v/>
      </c>
      <c r="AP536" s="67">
        <f>IF(AL536=1,SUM(AL$5:AL536),"")</f>
        <v/>
      </c>
      <c r="AQ536" s="67" t="n">
        <v>0</v>
      </c>
      <c r="AR536" s="67" t="n">
        <v>0</v>
      </c>
      <c r="AS536" s="67" t="n">
        <v>0</v>
      </c>
      <c r="AT536" s="67" t="n">
        <v>0</v>
      </c>
    </row>
    <row r="537" ht="40" customHeight="1">
      <c r="A537" s="63" t="inlineStr">
        <is>
          <t>F17-T7-07</t>
        </is>
      </c>
      <c r="B537" s="63" t="inlineStr">
        <is>
          <t>F17</t>
        </is>
      </c>
      <c r="C537" s="63">
        <f>Flights!$F$21</f>
        <v/>
      </c>
      <c r="D537" s="64">
        <f>Flights!$D$21</f>
        <v/>
      </c>
      <c r="E537" s="63">
        <f>Flights!$G$21&amp;"-"&amp;Flights!$H$21</f>
        <v/>
      </c>
      <c r="F537" s="63">
        <f>Flights!$K$21</f>
        <v/>
      </c>
      <c r="G537" s="63" t="inlineStr">
        <is>
          <t>T-7D</t>
        </is>
      </c>
      <c r="H537" s="63" t="inlineStr">
        <is>
          <t>Preparation</t>
        </is>
      </c>
      <c r="I537" s="63" t="inlineStr">
        <is>
          <t>Documents</t>
        </is>
      </c>
      <c r="J537" s="63" t="inlineStr">
        <is>
          <t>Galley loading diagram (GLD) received, revision recorded &amp; attached</t>
        </is>
      </c>
      <c r="K537" s="73" t="inlineStr">
        <is>
          <t>Documents sheet row complete</t>
        </is>
      </c>
      <c r="L537" s="73" t="inlineStr">
        <is>
          <t>User brief (T-7 days)</t>
        </is>
      </c>
      <c r="M537" s="73" t="inlineStr"/>
      <c r="N537" s="73" t="inlineStr">
        <is>
          <t>Required</t>
        </is>
      </c>
      <c r="O537" s="73" t="inlineStr"/>
      <c r="P537" s="63" t="inlineStr">
        <is>
          <t>HKG</t>
        </is>
      </c>
      <c r="Q537" s="65">
        <f>Flights!$AC$21</f>
        <v/>
      </c>
      <c r="R537" s="65">
        <f>Q537+(IF(AND(INDEX(TZ_DSTS,MATCH(P537,TZ_STN,0))&lt;&gt;"",Q537&gt;=INDEX(TZ_DSTS,MATCH(P537,TZ_STN,0)),Q537&lt;INDEX(TZ_DSTE,MATCH(P537,TZ_STN,0))),INDEX(TZ_DST,MATCH(P537,TZ_STN,0)),INDEX(TZ_STD,MATCH(P537,TZ_STN,0))))/24</f>
        <v/>
      </c>
      <c r="S537" s="65" t="inlineStr"/>
      <c r="T537" s="66" t="n"/>
      <c r="U537" s="66" t="n"/>
      <c r="V537" s="66" t="n"/>
      <c r="W537" s="67" t="n"/>
      <c r="X537" s="66" t="n"/>
      <c r="Y537" s="66" t="n"/>
      <c r="Z537" s="66" t="n"/>
      <c r="AA537" s="66" t="n"/>
      <c r="AB537" s="66" t="n"/>
      <c r="AC537" s="66" t="n"/>
      <c r="AD537" s="72" t="n"/>
      <c r="AE537" s="66" t="n"/>
      <c r="AF537" s="67">
        <f>IF(AND(ISNUMBER(X537),ISNUMBER(Y537)),Y537-X537,"")</f>
        <v/>
      </c>
      <c r="AG537" s="68">
        <f>IF(ISNUMBER(AD537),AD537-(IF(AND(INDEX(TZ_DSTS,MATCH(P537,TZ_STN,0))&lt;&gt;"",(AD537-INDEX(TZ_STD,MATCH(P537,TZ_STN,0))/24)&gt;=INDEX(TZ_DSTS,MATCH(P537,TZ_STN,0)),(AD537-INDEX(TZ_STD,MATCH(P537,TZ_STN,0))/24)&lt;INDEX(TZ_DSTE,MATCH(P537,TZ_STN,0))),INDEX(TZ_DST,MATCH(P537,TZ_STN,0)),INDEX(TZ_STD,MATCH(P537,TZ_STN,0))))/24,"")</f>
        <v/>
      </c>
      <c r="AH537" s="71">
        <f>IF(N537="N/A – rule","N/A – RULE",IF(TRIM(U537)="N/A",IF(AT537=0,"INVALID – N/A not permitted for this mandatory check",IF(AND(TRIM(AC537)&lt;&gt;"",TRIM(AE537)&lt;&gt;"",TRIM(T537)&lt;&gt;""),"N/A – JUSTIFIED","INVALID – N/A needs justification, PIC and verifier")),IF(OR(TRIM(U537)="Pass",TRIM(U537)="Pass after CA"),IF(NOT(ISNUMBER(AD537)),"INVALID – completion time missing",IF(TRIM(T537)="","INVALID – PIC missing",IF(TRIM(Z537)="","INVALID – evidence missing",IF(TRIM(AE537)="","INVALID – verifier missing",IF(AND(AQ537=1,TRIM(W537)=""),"INVALID – batch ID missing",IF(AND(AR537=1,OR(NOT(ISNUMBER(X537)),NOT(ISNUMBER(Y537)))),"INVALID – expected/actual qty missing",IF(IF(AND(TRIM(U537)="Pass",ISNUMBER(AF537)),IF(AF537&lt;&gt;0,"INVALID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recorded/closed","")&lt;&gt;"",IF(AND(TRIM(U537)="Pass",ISNUMBER(AF537)),IF(AF537&lt;&gt;0,"INVALID – qty variance: use Fail or Pass after CA",""),"")&amp;IF(AND(TRIM(U537)="Pass",AB537="Open"),"INVALID – corrective action still open: use Fail, then Pass after CA","")&amp;IF(AND(TRIM(U537)="Pass after CA",OR(TRIM(AA537)="",AB537&lt;&gt;"Closed")),"INVALID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window"),IF(AG537&gt;Flights!$AA$21,"INVALID – completed after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f>
        <v/>
      </c>
      <c r="AI537" s="67">
        <f>IF(OR(AH537="N/A – RULE",AH537="N/A – JUSTIFIED"),0,1)</f>
        <v/>
      </c>
      <c r="AJ537" s="67">
        <f>IF(LEFT(AH537,8)="COMPLETE",1,0)</f>
        <v/>
      </c>
      <c r="AK537" s="67">
        <f>IF(AND(AI537=1,AJ537=0,AsOfUTC&gt;Q537),1,0)</f>
        <v/>
      </c>
      <c r="AL537" s="67">
        <f>IF(AND(AI537=1,OR(TRIM(U537)="Fail",AB537="Open",AND(ISNUMBER(AF537),AF537&lt;&gt;0,TRIM(U537)&lt;&gt;"Pass after CA"))),1,0)</f>
        <v/>
      </c>
      <c r="AM537" s="67">
        <f>IF(LEFT(AH537,7)="INVALID",1,0)</f>
        <v/>
      </c>
      <c r="AN537" s="67">
        <f>IF(AND(N537="Clarification required",AI537=1,AJ537=0),1,0)</f>
        <v/>
      </c>
      <c r="AO537" s="67">
        <f>IF(AK537=1,SUM(AK$5:AK537),"")</f>
        <v/>
      </c>
      <c r="AP537" s="67">
        <f>IF(AL537=1,SUM(AL$5:AL537),"")</f>
        <v/>
      </c>
      <c r="AQ537" s="67" t="n">
        <v>0</v>
      </c>
      <c r="AR537" s="67" t="n">
        <v>0</v>
      </c>
      <c r="AS537" s="67" t="n">
        <v>1</v>
      </c>
      <c r="AT537" s="67" t="n">
        <v>0</v>
      </c>
    </row>
    <row r="538" ht="40" customHeight="1">
      <c r="A538" s="63" t="inlineStr">
        <is>
          <t>F17-T7-08</t>
        </is>
      </c>
      <c r="B538" s="63" t="inlineStr">
        <is>
          <t>F17</t>
        </is>
      </c>
      <c r="C538" s="63">
        <f>Flights!$F$21</f>
        <v/>
      </c>
      <c r="D538" s="64">
        <f>Flights!$D$21</f>
        <v/>
      </c>
      <c r="E538" s="63">
        <f>Flights!$G$21&amp;"-"&amp;Flights!$H$21</f>
        <v/>
      </c>
      <c r="F538" s="63">
        <f>Flights!$K$21</f>
        <v/>
      </c>
      <c r="G538" s="63" t="inlineStr">
        <is>
          <t>T-7D</t>
        </is>
      </c>
      <c r="H538" s="63" t="inlineStr">
        <is>
          <t>Preparation</t>
        </is>
      </c>
      <c r="I538" s="63" t="inlineStr">
        <is>
          <t>Documents</t>
        </is>
      </c>
      <c r="J538" s="63" t="inlineStr">
        <is>
          <t>Menu checklist received, revision recorded &amp; attached</t>
        </is>
      </c>
      <c r="K538" s="73" t="inlineStr">
        <is>
          <t>Documents sheet row complete</t>
        </is>
      </c>
      <c r="L538" s="73" t="inlineStr">
        <is>
          <t>User brief (T-7 days)</t>
        </is>
      </c>
      <c r="M538" s="73" t="inlineStr"/>
      <c r="N538" s="73" t="inlineStr">
        <is>
          <t>Required</t>
        </is>
      </c>
      <c r="O538" s="73" t="inlineStr"/>
      <c r="P538" s="63" t="inlineStr">
        <is>
          <t>HKG</t>
        </is>
      </c>
      <c r="Q538" s="65">
        <f>Flights!$AC$21</f>
        <v/>
      </c>
      <c r="R538" s="65">
        <f>Q538+(IF(AND(INDEX(TZ_DSTS,MATCH(P538,TZ_STN,0))&lt;&gt;"",Q538&gt;=INDEX(TZ_DSTS,MATCH(P538,TZ_STN,0)),Q538&lt;INDEX(TZ_DSTE,MATCH(P538,TZ_STN,0))),INDEX(TZ_DST,MATCH(P538,TZ_STN,0)),INDEX(TZ_STD,MATCH(P538,TZ_STN,0))))/24</f>
        <v/>
      </c>
      <c r="S538" s="65" t="inlineStr"/>
      <c r="T538" s="66" t="n"/>
      <c r="U538" s="66" t="n"/>
      <c r="V538" s="66" t="n"/>
      <c r="W538" s="67" t="n"/>
      <c r="X538" s="66" t="n"/>
      <c r="Y538" s="66" t="n"/>
      <c r="Z538" s="66" t="n"/>
      <c r="AA538" s="66" t="n"/>
      <c r="AB538" s="66" t="n"/>
      <c r="AC538" s="66" t="n"/>
      <c r="AD538" s="72" t="n"/>
      <c r="AE538" s="66" t="n"/>
      <c r="AF538" s="67">
        <f>IF(AND(ISNUMBER(X538),ISNUMBER(Y538)),Y538-X538,"")</f>
        <v/>
      </c>
      <c r="AG538" s="68">
        <f>IF(ISNUMBER(AD538),AD538-(IF(AND(INDEX(TZ_DSTS,MATCH(P538,TZ_STN,0))&lt;&gt;"",(AD538-INDEX(TZ_STD,MATCH(P538,TZ_STN,0))/24)&gt;=INDEX(TZ_DSTS,MATCH(P538,TZ_STN,0)),(AD538-INDEX(TZ_STD,MATCH(P538,TZ_STN,0))/24)&lt;INDEX(TZ_DSTE,MATCH(P538,TZ_STN,0))),INDEX(TZ_DST,MATCH(P538,TZ_STN,0)),INDEX(TZ_STD,MATCH(P538,TZ_STN,0))))/24,"")</f>
        <v/>
      </c>
      <c r="AH538" s="71">
        <f>IF(N538="N/A – rule","N/A – RULE",IF(TRIM(U538)="N/A",IF(AT538=0,"INVALID – N/A not permitted for this mandatory check",IF(AND(TRIM(AC538)&lt;&gt;"",TRIM(AE538)&lt;&gt;"",TRIM(T538)&lt;&gt;""),"N/A – JUSTIFIED","INVALID – N/A needs justification, PIC and verifier")),IF(OR(TRIM(U538)="Pass",TRIM(U538)="Pass after CA"),IF(NOT(ISNUMBER(AD538)),"INVALID – completion time missing",IF(TRIM(T538)="","INVALID – PIC missing",IF(TRIM(Z538)="","INVALID – evidence missing",IF(TRIM(AE538)="","INVALID – verifier missing",IF(AND(AQ538=1,TRIM(W538)=""),"INVALID – batch ID missing",IF(AND(AR538=1,OR(NOT(ISNUMBER(X538)),NOT(ISNUMBER(Y538)))),"INVALID – expected/actual qty missing",IF(IF(AND(TRIM(U538)="Pass",ISNUMBER(AF538)),IF(AF538&lt;&gt;0,"INVALID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recorded/closed","")&lt;&gt;"",IF(AND(TRIM(U538)="Pass",ISNUMBER(AF538)),IF(AF538&lt;&gt;0,"INVALID – qty variance: use Fail or Pass after CA",""),"")&amp;IF(AND(TRIM(U538)="Pass",AB538="Open"),"INVALID – corrective action still open: use Fail, then Pass after CA","")&amp;IF(AND(TRIM(U538)="Pass after CA",OR(TRIM(AA538)="",AB538&lt;&gt;"Closed")),"INVALID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window"),IF(AG538&gt;Flights!$AA$21,"INVALID – completed after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f>
        <v/>
      </c>
      <c r="AI538" s="67">
        <f>IF(OR(AH538="N/A – RULE",AH538="N/A – JUSTIFIED"),0,1)</f>
        <v/>
      </c>
      <c r="AJ538" s="67">
        <f>IF(LEFT(AH538,8)="COMPLETE",1,0)</f>
        <v/>
      </c>
      <c r="AK538" s="67">
        <f>IF(AND(AI538=1,AJ538=0,AsOfUTC&gt;Q538),1,0)</f>
        <v/>
      </c>
      <c r="AL538" s="67">
        <f>IF(AND(AI538=1,OR(TRIM(U538)="Fail",AB538="Open",AND(ISNUMBER(AF538),AF538&lt;&gt;0,TRIM(U538)&lt;&gt;"Pass after CA"))),1,0)</f>
        <v/>
      </c>
      <c r="AM538" s="67">
        <f>IF(LEFT(AH538,7)="INVALID",1,0)</f>
        <v/>
      </c>
      <c r="AN538" s="67">
        <f>IF(AND(N538="Clarification required",AI538=1,AJ538=0),1,0)</f>
        <v/>
      </c>
      <c r="AO538" s="67">
        <f>IF(AK538=1,SUM(AK$5:AK538),"")</f>
        <v/>
      </c>
      <c r="AP538" s="67">
        <f>IF(AL538=1,SUM(AL$5:AL538),"")</f>
        <v/>
      </c>
      <c r="AQ538" s="67" t="n">
        <v>0</v>
      </c>
      <c r="AR538" s="67" t="n">
        <v>0</v>
      </c>
      <c r="AS538" s="67" t="n">
        <v>2</v>
      </c>
      <c r="AT538" s="67" t="n">
        <v>0</v>
      </c>
    </row>
    <row r="539" ht="40" customHeight="1">
      <c r="A539" s="63" t="inlineStr">
        <is>
          <t>F17-T7-09</t>
        </is>
      </c>
      <c r="B539" s="63" t="inlineStr">
        <is>
          <t>F17</t>
        </is>
      </c>
      <c r="C539" s="63">
        <f>Flights!$F$21</f>
        <v/>
      </c>
      <c r="D539" s="64">
        <f>Flights!$D$21</f>
        <v/>
      </c>
      <c r="E539" s="63">
        <f>Flights!$G$21&amp;"-"&amp;Flights!$H$21</f>
        <v/>
      </c>
      <c r="F539" s="63">
        <f>Flights!$K$21</f>
        <v/>
      </c>
      <c r="G539" s="63" t="inlineStr">
        <is>
          <t>T-7D</t>
        </is>
      </c>
      <c r="H539" s="63" t="inlineStr">
        <is>
          <t>Preparation</t>
        </is>
      </c>
      <c r="I539" s="63" t="inlineStr">
        <is>
          <t>Uplift plan</t>
        </is>
      </c>
      <c r="J539" s="63" t="inlineStr">
        <is>
          <t>Uplift plan confirmed with caterer vs STD Uplift Information</t>
        </is>
      </c>
      <c r="K539" s="73" t="inlineStr">
        <is>
          <t>Service: 1 Meal + DAT(Noodles Svc) (Meal); meal uplift stn HKG (ref lists KUL/HKG)</t>
        </is>
      </c>
      <c r="L539" s="73" t="inlineStr">
        <is>
          <t>STD UPLIFT INFORMATION.xlsx &gt; CATERING UPLIFT STN!C34:G34</t>
        </is>
      </c>
      <c r="M539" s="73" t="inlineStr"/>
      <c r="N539" s="73" t="inlineStr">
        <is>
          <t>Required</t>
        </is>
      </c>
      <c r="O539" s="73" t="inlineStr"/>
      <c r="P539" s="63" t="inlineStr">
        <is>
          <t>HKG</t>
        </is>
      </c>
      <c r="Q539" s="65">
        <f>Flights!$AC$21</f>
        <v/>
      </c>
      <c r="R539" s="65">
        <f>Q539+(IF(AND(INDEX(TZ_DSTS,MATCH(P539,TZ_STN,0))&lt;&gt;"",Q539&gt;=INDEX(TZ_DSTS,MATCH(P539,TZ_STN,0)),Q539&lt;INDEX(TZ_DSTE,MATCH(P539,TZ_STN,0))),INDEX(TZ_DST,MATCH(P539,TZ_STN,0)),INDEX(TZ_STD,MATCH(P539,TZ_STN,0))))/24</f>
        <v/>
      </c>
      <c r="S539" s="65" t="inlineStr"/>
      <c r="T539" s="66" t="n"/>
      <c r="U539" s="66" t="n"/>
      <c r="V539" s="66" t="n"/>
      <c r="W539" s="67" t="n"/>
      <c r="X539" s="66" t="n"/>
      <c r="Y539" s="66" t="n"/>
      <c r="Z539" s="66" t="n"/>
      <c r="AA539" s="66" t="n"/>
      <c r="AB539" s="66" t="n"/>
      <c r="AC539" s="66" t="n"/>
      <c r="AD539" s="72" t="n"/>
      <c r="AE539" s="66" t="n"/>
      <c r="AF539" s="67">
        <f>IF(AND(ISNUMBER(X539),ISNUMBER(Y539)),Y539-X539,"")</f>
        <v/>
      </c>
      <c r="AG539" s="68">
        <f>IF(ISNUMBER(AD539),AD539-(IF(AND(INDEX(TZ_DSTS,MATCH(P539,TZ_STN,0))&lt;&gt;"",(AD539-INDEX(TZ_STD,MATCH(P539,TZ_STN,0))/24)&gt;=INDEX(TZ_DSTS,MATCH(P539,TZ_STN,0)),(AD539-INDEX(TZ_STD,MATCH(P539,TZ_STN,0))/24)&lt;INDEX(TZ_DSTE,MATCH(P539,TZ_STN,0))),INDEX(TZ_DST,MATCH(P539,TZ_STN,0)),INDEX(TZ_STD,MATCH(P539,TZ_STN,0))))/24,"")</f>
        <v/>
      </c>
      <c r="AH539" s="71">
        <f>IF(N539="N/A – rule","N/A – RULE",IF(TRIM(U539)="N/A",IF(AT539=0,"INVALID – N/A not permitted for this mandatory check",IF(AND(TRIM(AC539)&lt;&gt;"",TRIM(AE539)&lt;&gt;"",TRIM(T539)&lt;&gt;""),"N/A – JUSTIFIED","INVALID – N/A needs justification, PIC and verifier")),IF(OR(TRIM(U539)="Pass",TRIM(U539)="Pass after CA"),IF(NOT(ISNUMBER(AD539)),"INVALID – completion time missing",IF(TRIM(T539)="","INVALID – PIC missing",IF(TRIM(Z539)="","INVALID – evidence missing",IF(TRIM(AE539)="","INVALID – verifier missing",IF(AND(AQ539=1,TRIM(W539)=""),"INVALID – batch ID missing",IF(AND(AR539=1,OR(NOT(ISNUMBER(X539)),NOT(ISNUMBER(Y539)))),"INVALID – expected/actual qty missing",IF(IF(AND(TRIM(U539)="Pass",ISNUMBER(AF539)),IF(AF539&lt;&gt;0,"INVALID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recorded/closed","")&lt;&gt;"",IF(AND(TRIM(U539)="Pass",ISNUMBER(AF539)),IF(AF539&lt;&gt;0,"INVALID – qty variance: use Fail or Pass after CA",""),"")&amp;IF(AND(TRIM(U539)="Pass",AB539="Open"),"INVALID – corrective action still open: use Fail, then Pass after CA","")&amp;IF(AND(TRIM(U539)="Pass after CA",OR(TRIM(AA539)="",AB539&lt;&gt;"Closed")),"INVALID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window"),IF(AG539&gt;Flights!$AA$21,"INVALID – completed after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f>
        <v/>
      </c>
      <c r="AI539" s="67">
        <f>IF(OR(AH539="N/A – RULE",AH539="N/A – JUSTIFIED"),0,1)</f>
        <v/>
      </c>
      <c r="AJ539" s="67">
        <f>IF(LEFT(AH539,8)="COMPLETE",1,0)</f>
        <v/>
      </c>
      <c r="AK539" s="67">
        <f>IF(AND(AI539=1,AJ539=0,AsOfUTC&gt;Q539),1,0)</f>
        <v/>
      </c>
      <c r="AL539" s="67">
        <f>IF(AND(AI539=1,OR(TRIM(U539)="Fail",AB539="Open",AND(ISNUMBER(AF539),AF539&lt;&gt;0,TRIM(U539)&lt;&gt;"Pass after CA"))),1,0)</f>
        <v/>
      </c>
      <c r="AM539" s="67">
        <f>IF(LEFT(AH539,7)="INVALID",1,0)</f>
        <v/>
      </c>
      <c r="AN539" s="67">
        <f>IF(AND(N539="Clarification required",AI539=1,AJ539=0),1,0)</f>
        <v/>
      </c>
      <c r="AO539" s="67">
        <f>IF(AK539=1,SUM(AK$5:AK539),"")</f>
        <v/>
      </c>
      <c r="AP539" s="67">
        <f>IF(AL539=1,SUM(AL$5:AL539),"")</f>
        <v/>
      </c>
      <c r="AQ539" s="67" t="n">
        <v>0</v>
      </c>
      <c r="AR539" s="67" t="n">
        <v>0</v>
      </c>
      <c r="AS539" s="67" t="n">
        <v>0</v>
      </c>
      <c r="AT539" s="67" t="n">
        <v>0</v>
      </c>
    </row>
    <row r="540" ht="79" customHeight="1">
      <c r="A540" s="63" t="inlineStr">
        <is>
          <t>F17-T7-10</t>
        </is>
      </c>
      <c r="B540" s="63" t="inlineStr">
        <is>
          <t>F17</t>
        </is>
      </c>
      <c r="C540" s="63">
        <f>Flights!$F$21</f>
        <v/>
      </c>
      <c r="D540" s="64">
        <f>Flights!$D$21</f>
        <v/>
      </c>
      <c r="E540" s="63">
        <f>Flights!$G$21&amp;"-"&amp;Flights!$H$21</f>
        <v/>
      </c>
      <c r="F540" s="63">
        <f>Flights!$K$21</f>
        <v/>
      </c>
      <c r="G540" s="63" t="inlineStr">
        <is>
          <t>T-7D</t>
        </is>
      </c>
      <c r="H540" s="63" t="inlineStr">
        <is>
          <t>Preparation</t>
        </is>
      </c>
      <c r="I540" s="63" t="inlineStr">
        <is>
          <t>Uplift plan</t>
        </is>
      </c>
      <c r="J540" s="63" t="inlineStr">
        <is>
          <t>Inbound KUL-HKG flight carrying KUL-sourced items identified and its KUL departure (UTC) entered on Flights col AX</t>
        </is>
      </c>
      <c r="K540" s="73" t="inlineStr">
        <is>
          <t>KUL-sourced items (Slippers (BS/BC) - Dispo slipper) travel on the inbound KUL-HKG sector</t>
        </is>
      </c>
      <c r="L540" s="73" t="inlineStr">
        <is>
          <t>STD UPLIFT INFORMATION.xlsx &gt; item uplift stn columns (see Requirements)</t>
        </is>
      </c>
      <c r="M540" s="73" t="inlineStr"/>
      <c r="N540" s="73" t="inlineStr">
        <is>
          <t>Clarification required</t>
        </is>
      </c>
      <c r="O540" s="73" t="inlineStr">
        <is>
          <t>Cannot be passed until Flights AX holds the carrying flight's KUL departure. Until then, the prep and KUL-loading dues use the latest possible time: STD minus the shortest agenda KUL-HKG block (MH0072 26-Oct (F16)) minus the uplift window.</t>
        </is>
      </c>
      <c r="P540" s="63" t="inlineStr">
        <is>
          <t>KUL</t>
        </is>
      </c>
      <c r="Q540" s="65">
        <f>Flights!$AC$21</f>
        <v/>
      </c>
      <c r="R540" s="65">
        <f>Q540+(IF(AND(INDEX(TZ_DSTS,MATCH(P540,TZ_STN,0))&lt;&gt;"",Q540&gt;=INDEX(TZ_DSTS,MATCH(P540,TZ_STN,0)),Q540&lt;INDEX(TZ_DSTE,MATCH(P540,TZ_STN,0))),INDEX(TZ_DST,MATCH(P540,TZ_STN,0)),INDEX(TZ_STD,MATCH(P540,TZ_STN,0))))/24</f>
        <v/>
      </c>
      <c r="S540" s="65" t="inlineStr"/>
      <c r="T540" s="66" t="n"/>
      <c r="U540" s="66" t="n"/>
      <c r="V540" s="66" t="n"/>
      <c r="W540" s="67" t="n"/>
      <c r="X540" s="66" t="n"/>
      <c r="Y540" s="66" t="n"/>
      <c r="Z540" s="66" t="n"/>
      <c r="AA540" s="66" t="n"/>
      <c r="AB540" s="66" t="n"/>
      <c r="AC540" s="66" t="n"/>
      <c r="AD540" s="72" t="n"/>
      <c r="AE540" s="66" t="n"/>
      <c r="AF540" s="67">
        <f>IF(AND(ISNUMBER(X540),ISNUMBER(Y540)),Y540-X540,"")</f>
        <v/>
      </c>
      <c r="AG540" s="68">
        <f>IF(ISNUMBER(AD540),AD540-(IF(AND(INDEX(TZ_DSTS,MATCH(P540,TZ_STN,0))&lt;&gt;"",(AD540-INDEX(TZ_STD,MATCH(P540,TZ_STN,0))/24)&gt;=INDEX(TZ_DSTS,MATCH(P540,TZ_STN,0)),(AD540-INDEX(TZ_STD,MATCH(P540,TZ_STN,0))/24)&lt;INDEX(TZ_DSTE,MATCH(P540,TZ_STN,0))),INDEX(TZ_DST,MATCH(P540,TZ_STN,0)),INDEX(TZ_STD,MATCH(P540,TZ_STN,0))))/24,"")</f>
        <v/>
      </c>
      <c r="AH540" s="71">
        <f>IF(N540="N/A – rule","N/A – RULE",IF(TRIM(U540)="N/A",IF(AT540=0,"INVALID – N/A not permitted for this mandatory check",IF(AND(TRIM(AC540)&lt;&gt;"",TRIM(AE540)&lt;&gt;"",TRIM(T540)&lt;&gt;""),"N/A – JUSTIFIED","INVALID – N/A needs justification, PIC and verifier")),IF(OR(TRIM(U540)="Pass",TRIM(U540)="Pass after CA"),IF(NOT(ISNUMBER(AD540)),"INVALID – completion time missing",IF(TRIM(T540)="","INVALID – PIC missing",IF(TRIM(Z540)="","INVALID – evidence missing",IF(TRIM(AE540)="","INVALID – verifier missing",IF(AND(AQ540=1,TRIM(W540)=""),"INVALID – batch ID missing",IF(AND(AR540=1,OR(NOT(ISNUMBER(X540)),NOT(ISNUMBER(Y540)))),"INVALID – expected/actual qty missing",IF(IF(AND(TRIM(U540)="Pass",ISNUMBER(AF540)),IF(AF540&lt;&gt;0,"INVALID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recorded/closed","")&lt;&gt;"",IF(AND(TRIM(U540)="Pass",ISNUMBER(AF540)),IF(AF540&lt;&gt;0,"INVALID – qty variance: use Fail or Pass after CA",""),"")&amp;IF(AND(TRIM(U540)="Pass",AB540="Open"),"INVALID – corrective action still open: use Fail, then Pass after CA","")&amp;IF(AND(TRIM(U540)="Pass after CA",OR(TRIM(AA540)="",AB540&lt;&gt;"Closed")),"INVALID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window"),IF(AG540&gt;Flights!$AA$21,"INVALID – completed after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f>
        <v/>
      </c>
      <c r="AI540" s="67">
        <f>IF(OR(AH540="N/A – RULE",AH540="N/A – JUSTIFIED"),0,1)</f>
        <v/>
      </c>
      <c r="AJ540" s="67">
        <f>IF(LEFT(AH540,8)="COMPLETE",1,0)</f>
        <v/>
      </c>
      <c r="AK540" s="67">
        <f>IF(AND(AI540=1,AJ540=0,AsOfUTC&gt;Q540),1,0)</f>
        <v/>
      </c>
      <c r="AL540" s="67">
        <f>IF(AND(AI540=1,OR(TRIM(U540)="Fail",AB540="Open",AND(ISNUMBER(AF540),AF540&lt;&gt;0,TRIM(U540)&lt;&gt;"Pass after CA"))),1,0)</f>
        <v/>
      </c>
      <c r="AM540" s="67">
        <f>IF(LEFT(AH540,7)="INVALID",1,0)</f>
        <v/>
      </c>
      <c r="AN540" s="67">
        <f>IF(AND(N540="Clarification required",AI540=1,AJ540=0),1,0)</f>
        <v/>
      </c>
      <c r="AO540" s="67">
        <f>IF(AK540=1,SUM(AK$5:AK540),"")</f>
        <v/>
      </c>
      <c r="AP540" s="67">
        <f>IF(AL540=1,SUM(AL$5:AL540),"")</f>
        <v/>
      </c>
      <c r="AQ540" s="67" t="n">
        <v>0</v>
      </c>
      <c r="AR540" s="67" t="n">
        <v>0</v>
      </c>
      <c r="AS540" s="67" t="n">
        <v>3</v>
      </c>
      <c r="AT540" s="67" t="n">
        <v>1</v>
      </c>
    </row>
    <row r="541" ht="40" customHeight="1">
      <c r="A541" s="63" t="inlineStr">
        <is>
          <t>F17-T24-01</t>
        </is>
      </c>
      <c r="B541" s="63" t="inlineStr">
        <is>
          <t>F17</t>
        </is>
      </c>
      <c r="C541" s="63">
        <f>Flights!$F$21</f>
        <v/>
      </c>
      <c r="D541" s="64">
        <f>Flights!$D$21</f>
        <v/>
      </c>
      <c r="E541" s="63">
        <f>Flights!$G$21&amp;"-"&amp;Flights!$H$21</f>
        <v/>
      </c>
      <c r="F541" s="63">
        <f>Flights!$K$21</f>
        <v/>
      </c>
      <c r="G541" s="63" t="inlineStr">
        <is>
          <t>T-24H</t>
        </is>
      </c>
      <c r="H541" s="63" t="inlineStr">
        <is>
          <t>Preparation</t>
        </is>
      </c>
      <c r="I541" s="63" t="inlineStr">
        <is>
          <t>Meal</t>
        </is>
      </c>
      <c r="J541" s="63" t="inlineStr">
        <is>
          <t>Sensory test repeated on ACTUAL production batch for this flight</t>
        </is>
      </c>
      <c r="K541" s="73" t="inlineStr">
        <is>
          <t>Batch ID, result, CA and acceptance mandatory</t>
        </is>
      </c>
      <c r="L541" s="73" t="inlineStr">
        <is>
          <t>User brief (T-24 hours)</t>
        </is>
      </c>
      <c r="M541" s="73" t="inlineStr"/>
      <c r="N541" s="73" t="inlineStr">
        <is>
          <t>Required</t>
        </is>
      </c>
      <c r="O541" s="73" t="inlineStr"/>
      <c r="P541" s="63" t="inlineStr">
        <is>
          <t>HKG</t>
        </is>
      </c>
      <c r="Q541" s="65">
        <f>Flights!$AD$21</f>
        <v/>
      </c>
      <c r="R541" s="65">
        <f>Q541+(IF(AND(INDEX(TZ_DSTS,MATCH(P541,TZ_STN,0))&lt;&gt;"",Q541&gt;=INDEX(TZ_DSTS,MATCH(P541,TZ_STN,0)),Q541&lt;INDEX(TZ_DSTE,MATCH(P541,TZ_STN,0))),INDEX(TZ_DST,MATCH(P541,TZ_STN,0)),INDEX(TZ_STD,MATCH(P541,TZ_STN,0))))/24</f>
        <v/>
      </c>
      <c r="S541" s="65">
        <f>Q541-T24EarlyH/24</f>
        <v/>
      </c>
      <c r="T541" s="66" t="n"/>
      <c r="U541" s="66" t="n"/>
      <c r="V541" s="66" t="n"/>
      <c r="W541" s="66" t="n"/>
      <c r="X541" s="66" t="n"/>
      <c r="Y541" s="66" t="n"/>
      <c r="Z541" s="66" t="n"/>
      <c r="AA541" s="66" t="n"/>
      <c r="AB541" s="66" t="n"/>
      <c r="AC541" s="66" t="n"/>
      <c r="AD541" s="72" t="n"/>
      <c r="AE541" s="66" t="n"/>
      <c r="AF541" s="67">
        <f>IF(AND(ISNUMBER(X541),ISNUMBER(Y541)),Y541-X541,"")</f>
        <v/>
      </c>
      <c r="AG541" s="68">
        <f>IF(ISNUMBER(AD541),AD541-(IF(AND(INDEX(TZ_DSTS,MATCH(P541,TZ_STN,0))&lt;&gt;"",(AD541-INDEX(TZ_STD,MATCH(P541,TZ_STN,0))/24)&gt;=INDEX(TZ_DSTS,MATCH(P541,TZ_STN,0)),(AD541-INDEX(TZ_STD,MATCH(P541,TZ_STN,0))/24)&lt;INDEX(TZ_DSTE,MATCH(P541,TZ_STN,0))),INDEX(TZ_DST,MATCH(P541,TZ_STN,0)),INDEX(TZ_STD,MATCH(P541,TZ_STN,0))))/24,"")</f>
        <v/>
      </c>
      <c r="AH541" s="71">
        <f>IF(N541="N/A – rule","N/A – RULE",IF(TRIM(U541)="N/A",IF(AT541=0,"INVALID – N/A not permitted for this mandatory check",IF(AND(TRIM(AC541)&lt;&gt;"",TRIM(AE541)&lt;&gt;"",TRIM(T541)&lt;&gt;""),"N/A – JUSTIFIED","INVALID – N/A needs justification, PIC and verifier")),IF(OR(TRIM(U541)="Pass",TRIM(U541)="Pass after CA"),IF(NOT(ISNUMBER(AD541)),"INVALID – completion time missing",IF(TRIM(T541)="","INVALID – PIC missing",IF(TRIM(Z541)="","INVALID – evidence missing",IF(TRIM(AE541)="","INVALID – verifier missing",IF(AND(AQ541=1,TRIM(W541)=""),"INVALID – batch ID missing",IF(AND(AR541=1,OR(NOT(ISNUMBER(X541)),NOT(ISNUMBER(Y541)))),"INVALID – expected/actual qty missing",IF(IF(AND(TRIM(U541)="Pass",ISNUMBER(AF541)),IF(AF541&lt;&gt;0,"INVALID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recorded/closed","")&lt;&gt;"",IF(AND(TRIM(U541)="Pass",ISNUMBER(AF541)),IF(AF541&lt;&gt;0,"INVALID – qty variance: use Fail or Pass after CA",""),"")&amp;IF(AND(TRIM(U541)="Pass",AB541="Open"),"INVALID – corrective action still open: use Fail, then Pass after CA","")&amp;IF(AND(TRIM(U541)="Pass after CA",OR(TRIM(AA541)="",AB541&lt;&gt;"Closed")),"INVALID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window"),IF(AG541&gt;Flights!$AA$21,"INVALID – completed after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f>
        <v/>
      </c>
      <c r="AI541" s="67">
        <f>IF(OR(AH541="N/A – RULE",AH541="N/A – JUSTIFIED"),0,1)</f>
        <v/>
      </c>
      <c r="AJ541" s="67">
        <f>IF(LEFT(AH541,8)="COMPLETE",1,0)</f>
        <v/>
      </c>
      <c r="AK541" s="67">
        <f>IF(AND(AI541=1,AJ541=0,AsOfUTC&gt;Q541),1,0)</f>
        <v/>
      </c>
      <c r="AL541" s="67">
        <f>IF(AND(AI541=1,OR(TRIM(U541)="Fail",AB541="Open",AND(ISNUMBER(AF541),AF541&lt;&gt;0,TRIM(U541)&lt;&gt;"Pass after CA"))),1,0)</f>
        <v/>
      </c>
      <c r="AM541" s="67">
        <f>IF(LEFT(AH541,7)="INVALID",1,0)</f>
        <v/>
      </c>
      <c r="AN541" s="67">
        <f>IF(AND(N541="Clarification required",AI541=1,AJ541=0),1,0)</f>
        <v/>
      </c>
      <c r="AO541" s="67">
        <f>IF(AK541=1,SUM(AK$5:AK541),"")</f>
        <v/>
      </c>
      <c r="AP541" s="67">
        <f>IF(AL541=1,SUM(AL$5:AL541),"")</f>
        <v/>
      </c>
      <c r="AQ541" s="67" t="n">
        <v>1</v>
      </c>
      <c r="AR541" s="67" t="n">
        <v>0</v>
      </c>
      <c r="AS541" s="67" t="n">
        <v>0</v>
      </c>
      <c r="AT541" s="67" t="n">
        <v>0</v>
      </c>
    </row>
    <row r="542" ht="40" customHeight="1">
      <c r="A542" s="63" t="inlineStr">
        <is>
          <t>F17-T12-01</t>
        </is>
      </c>
      <c r="B542" s="63" t="inlineStr">
        <is>
          <t>F17</t>
        </is>
      </c>
      <c r="C542" s="63">
        <f>Flights!$F$21</f>
        <v/>
      </c>
      <c r="D542" s="64">
        <f>Flights!$D$21</f>
        <v/>
      </c>
      <c r="E542" s="63">
        <f>Flights!$G$21&amp;"-"&amp;Flights!$H$21</f>
        <v/>
      </c>
      <c r="F542" s="63">
        <f>Flights!$K$21</f>
        <v/>
      </c>
      <c r="G542" s="63" t="inlineStr">
        <is>
          <t>T-12H PREP</t>
        </is>
      </c>
      <c r="H542" s="63" t="inlineStr">
        <is>
          <t>Preparation</t>
        </is>
      </c>
      <c r="I542" s="63" t="inlineStr">
        <is>
          <t>Meal</t>
        </is>
      </c>
      <c r="J542" s="63" t="inlineStr">
        <is>
          <t>Meal quality vs menu checklist</t>
        </is>
      </c>
      <c r="K542" s="73" t="inlineStr"/>
      <c r="L542" s="73" t="inlineStr">
        <is>
          <t>User brief (T-12 hours)</t>
        </is>
      </c>
      <c r="M542" s="73" t="inlineStr"/>
      <c r="N542" s="73" t="inlineStr">
        <is>
          <t>Required</t>
        </is>
      </c>
      <c r="O542" s="73" t="inlineStr">
        <is>
          <t>Preparation check at caterer - does NOT confirm loading.</t>
        </is>
      </c>
      <c r="P542" s="63" t="inlineStr">
        <is>
          <t>HKG</t>
        </is>
      </c>
      <c r="Q542" s="65">
        <f>Flights!$AE$21</f>
        <v/>
      </c>
      <c r="R542" s="65">
        <f>Q542+(IF(AND(INDEX(TZ_DSTS,MATCH(P542,TZ_STN,0))&lt;&gt;"",Q542&gt;=INDEX(TZ_DSTS,MATCH(P542,TZ_STN,0)),Q542&lt;INDEX(TZ_DSTE,MATCH(P542,TZ_STN,0))),INDEX(TZ_DST,MATCH(P542,TZ_STN,0)),INDEX(TZ_STD,MATCH(P542,TZ_STN,0))))/24</f>
        <v/>
      </c>
      <c r="S542" s="65">
        <f>Q542-T12EarlyH/24</f>
        <v/>
      </c>
      <c r="T542" s="66" t="n"/>
      <c r="U542" s="66" t="n"/>
      <c r="V542" s="66" t="n"/>
      <c r="W542" s="67" t="n"/>
      <c r="X542" s="66" t="n"/>
      <c r="Y542" s="66" t="n"/>
      <c r="Z542" s="66" t="n"/>
      <c r="AA542" s="66" t="n"/>
      <c r="AB542" s="66" t="n"/>
      <c r="AC542" s="66" t="n"/>
      <c r="AD542" s="72" t="n"/>
      <c r="AE542" s="66" t="n"/>
      <c r="AF542" s="67">
        <f>IF(AND(ISNUMBER(X542),ISNUMBER(Y542)),Y542-X542,"")</f>
        <v/>
      </c>
      <c r="AG542" s="68">
        <f>IF(ISNUMBER(AD542),AD542-(IF(AND(INDEX(TZ_DSTS,MATCH(P542,TZ_STN,0))&lt;&gt;"",(AD542-INDEX(TZ_STD,MATCH(P542,TZ_STN,0))/24)&gt;=INDEX(TZ_DSTS,MATCH(P542,TZ_STN,0)),(AD542-INDEX(TZ_STD,MATCH(P542,TZ_STN,0))/24)&lt;INDEX(TZ_DSTE,MATCH(P542,TZ_STN,0))),INDEX(TZ_DST,MATCH(P542,TZ_STN,0)),INDEX(TZ_STD,MATCH(P542,TZ_STN,0))))/24,"")</f>
        <v/>
      </c>
      <c r="AH542" s="71">
        <f>IF(N542="N/A – rule","N/A – RULE",IF(TRIM(U542)="N/A",IF(AT542=0,"INVALID – N/A not permitted for this mandatory check",IF(AND(TRIM(AC542)&lt;&gt;"",TRIM(AE542)&lt;&gt;"",TRIM(T542)&lt;&gt;""),"N/A – JUSTIFIED","INVALID – N/A needs justification, PIC and verifier")),IF(OR(TRIM(U542)="Pass",TRIM(U542)="Pass after CA"),IF(NOT(ISNUMBER(AD542)),"INVALID – completion time missing",IF(TRIM(T542)="","INVALID – PIC missing",IF(TRIM(Z542)="","INVALID – evidence missing",IF(TRIM(AE542)="","INVALID – verifier missing",IF(AND(AQ542=1,TRIM(W542)=""),"INVALID – batch ID missing",IF(AND(AR542=1,OR(NOT(ISNUMBER(X542)),NOT(ISNUMBER(Y542)))),"INVALID – expected/actual qty missing",IF(IF(AND(TRIM(U542)="Pass",ISNUMBER(AF542)),IF(AF542&lt;&gt;0,"INVALID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recorded/closed","")&lt;&gt;"",IF(AND(TRIM(U542)="Pass",ISNUMBER(AF542)),IF(AF542&lt;&gt;0,"INVALID – qty variance: use Fail or Pass after CA",""),"")&amp;IF(AND(TRIM(U542)="Pass",AB542="Open"),"INVALID – corrective action still open: use Fail, then Pass after CA","")&amp;IF(AND(TRIM(U542)="Pass after CA",OR(TRIM(AA542)="",AB542&lt;&gt;"Closed")),"INVALID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window"),IF(AG542&gt;Flights!$AA$21,"INVALID – completed after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f>
        <v/>
      </c>
      <c r="AI542" s="67">
        <f>IF(OR(AH542="N/A – RULE",AH542="N/A – JUSTIFIED"),0,1)</f>
        <v/>
      </c>
      <c r="AJ542" s="67">
        <f>IF(LEFT(AH542,8)="COMPLETE",1,0)</f>
        <v/>
      </c>
      <c r="AK542" s="67">
        <f>IF(AND(AI542=1,AJ542=0,AsOfUTC&gt;Q542),1,0)</f>
        <v/>
      </c>
      <c r="AL542" s="67">
        <f>IF(AND(AI542=1,OR(TRIM(U542)="Fail",AB542="Open",AND(ISNUMBER(AF542),AF542&lt;&gt;0,TRIM(U542)&lt;&gt;"Pass after CA"))),1,0)</f>
        <v/>
      </c>
      <c r="AM542" s="67">
        <f>IF(LEFT(AH542,7)="INVALID",1,0)</f>
        <v/>
      </c>
      <c r="AN542" s="67">
        <f>IF(AND(N542="Clarification required",AI542=1,AJ542=0),1,0)</f>
        <v/>
      </c>
      <c r="AO542" s="67">
        <f>IF(AK542=1,SUM(AK$5:AK542),"")</f>
        <v/>
      </c>
      <c r="AP542" s="67">
        <f>IF(AL542=1,SUM(AL$5:AL542),"")</f>
        <v/>
      </c>
      <c r="AQ542" s="67" t="n">
        <v>0</v>
      </c>
      <c r="AR542" s="67" t="n">
        <v>0</v>
      </c>
      <c r="AS542" s="67" t="n">
        <v>0</v>
      </c>
      <c r="AT542" s="67" t="n">
        <v>0</v>
      </c>
    </row>
    <row r="543" ht="40" customHeight="1">
      <c r="A543" s="63" t="inlineStr">
        <is>
          <t>F17-T12-02</t>
        </is>
      </c>
      <c r="B543" s="63" t="inlineStr">
        <is>
          <t>F17</t>
        </is>
      </c>
      <c r="C543" s="63">
        <f>Flights!$F$21</f>
        <v/>
      </c>
      <c r="D543" s="64">
        <f>Flights!$D$21</f>
        <v/>
      </c>
      <c r="E543" s="63">
        <f>Flights!$G$21&amp;"-"&amp;Flights!$H$21</f>
        <v/>
      </c>
      <c r="F543" s="63">
        <f>Flights!$K$21</f>
        <v/>
      </c>
      <c r="G543" s="63" t="inlineStr">
        <is>
          <t>T-12H PREP</t>
        </is>
      </c>
      <c r="H543" s="63" t="inlineStr">
        <is>
          <t>Preparation</t>
        </is>
      </c>
      <c r="I543" s="63" t="inlineStr">
        <is>
          <t>Meal</t>
        </is>
      </c>
      <c r="J543" s="63" t="inlineStr">
        <is>
          <t>Meal quantities vs menu checklist</t>
        </is>
      </c>
      <c r="K543" s="73" t="inlineStr">
        <is>
          <t>Enter expected &amp; actual</t>
        </is>
      </c>
      <c r="L543" s="73" t="inlineStr">
        <is>
          <t>User brief (T-12 hours)</t>
        </is>
      </c>
      <c r="M543" s="73" t="inlineStr"/>
      <c r="N543" s="73" t="inlineStr">
        <is>
          <t>Required</t>
        </is>
      </c>
      <c r="O543" s="73" t="inlineStr">
        <is>
          <t>Preparation check at caterer - does NOT confirm loading.</t>
        </is>
      </c>
      <c r="P543" s="63" t="inlineStr">
        <is>
          <t>HKG</t>
        </is>
      </c>
      <c r="Q543" s="65">
        <f>Flights!$AE$21</f>
        <v/>
      </c>
      <c r="R543" s="65">
        <f>Q543+(IF(AND(INDEX(TZ_DSTS,MATCH(P543,TZ_STN,0))&lt;&gt;"",Q543&gt;=INDEX(TZ_DSTS,MATCH(P543,TZ_STN,0)),Q543&lt;INDEX(TZ_DSTE,MATCH(P543,TZ_STN,0))),INDEX(TZ_DST,MATCH(P543,TZ_STN,0)),INDEX(TZ_STD,MATCH(P543,TZ_STN,0))))/24</f>
        <v/>
      </c>
      <c r="S543" s="65">
        <f>Q543-T12EarlyH/24</f>
        <v/>
      </c>
      <c r="T543" s="66" t="n"/>
      <c r="U543" s="66" t="n"/>
      <c r="V543" s="66" t="n"/>
      <c r="W543" s="67" t="n"/>
      <c r="X543" s="66" t="n"/>
      <c r="Y543" s="66" t="n"/>
      <c r="Z543" s="66" t="n"/>
      <c r="AA543" s="66" t="n"/>
      <c r="AB543" s="66" t="n"/>
      <c r="AC543" s="66" t="n"/>
      <c r="AD543" s="72" t="n"/>
      <c r="AE543" s="66" t="n"/>
      <c r="AF543" s="67">
        <f>IF(AND(ISNUMBER(X543),ISNUMBER(Y543)),Y543-X543,"")</f>
        <v/>
      </c>
      <c r="AG543" s="68">
        <f>IF(ISNUMBER(AD543),AD543-(IF(AND(INDEX(TZ_DSTS,MATCH(P543,TZ_STN,0))&lt;&gt;"",(AD543-INDEX(TZ_STD,MATCH(P543,TZ_STN,0))/24)&gt;=INDEX(TZ_DSTS,MATCH(P543,TZ_STN,0)),(AD543-INDEX(TZ_STD,MATCH(P543,TZ_STN,0))/24)&lt;INDEX(TZ_DSTE,MATCH(P543,TZ_STN,0))),INDEX(TZ_DST,MATCH(P543,TZ_STN,0)),INDEX(TZ_STD,MATCH(P543,TZ_STN,0))))/24,"")</f>
        <v/>
      </c>
      <c r="AH543" s="71">
        <f>IF(N543="N/A – rule","N/A – RULE",IF(TRIM(U543)="N/A",IF(AT543=0,"INVALID – N/A not permitted for this mandatory check",IF(AND(TRIM(AC543)&lt;&gt;"",TRIM(AE543)&lt;&gt;"",TRIM(T543)&lt;&gt;""),"N/A – JUSTIFIED","INVALID – N/A needs justification, PIC and verifier")),IF(OR(TRIM(U543)="Pass",TRIM(U543)="Pass after CA"),IF(NOT(ISNUMBER(AD543)),"INVALID – completion time missing",IF(TRIM(T543)="","INVALID – PIC missing",IF(TRIM(Z543)="","INVALID – evidence missing",IF(TRIM(AE543)="","INVALID – verifier missing",IF(AND(AQ543=1,TRIM(W543)=""),"INVALID – batch ID missing",IF(AND(AR543=1,OR(NOT(ISNUMBER(X543)),NOT(ISNUMBER(Y543)))),"INVALID – expected/actual qty missing",IF(IF(AND(TRIM(U543)="Pass",ISNUMBER(AF543)),IF(AF543&lt;&gt;0,"INVALID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recorded/closed","")&lt;&gt;"",IF(AND(TRIM(U543)="Pass",ISNUMBER(AF543)),IF(AF543&lt;&gt;0,"INVALID – qty variance: use Fail or Pass after CA",""),"")&amp;IF(AND(TRIM(U543)="Pass",AB543="Open"),"INVALID – corrective action still open: use Fail, then Pass after CA","")&amp;IF(AND(TRIM(U543)="Pass after CA",OR(TRIM(AA543)="",AB543&lt;&gt;"Closed")),"INVALID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window"),IF(AG543&gt;Flights!$AA$21,"INVALID – completed after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f>
        <v/>
      </c>
      <c r="AI543" s="67">
        <f>IF(OR(AH543="N/A – RULE",AH543="N/A – JUSTIFIED"),0,1)</f>
        <v/>
      </c>
      <c r="AJ543" s="67">
        <f>IF(LEFT(AH543,8)="COMPLETE",1,0)</f>
        <v/>
      </c>
      <c r="AK543" s="67">
        <f>IF(AND(AI543=1,AJ543=0,AsOfUTC&gt;Q543),1,0)</f>
        <v/>
      </c>
      <c r="AL543" s="67">
        <f>IF(AND(AI543=1,OR(TRIM(U543)="Fail",AB543="Open",AND(ISNUMBER(AF543),AF543&lt;&gt;0,TRIM(U543)&lt;&gt;"Pass after CA"))),1,0)</f>
        <v/>
      </c>
      <c r="AM543" s="67">
        <f>IF(LEFT(AH543,7)="INVALID",1,0)</f>
        <v/>
      </c>
      <c r="AN543" s="67">
        <f>IF(AND(N543="Clarification required",AI543=1,AJ543=0),1,0)</f>
        <v/>
      </c>
      <c r="AO543" s="67">
        <f>IF(AK543=1,SUM(AK$5:AK543),"")</f>
        <v/>
      </c>
      <c r="AP543" s="67">
        <f>IF(AL543=1,SUM(AL$5:AL543),"")</f>
        <v/>
      </c>
      <c r="AQ543" s="67" t="n">
        <v>0</v>
      </c>
      <c r="AR543" s="67" t="n">
        <v>1</v>
      </c>
      <c r="AS543" s="67" t="n">
        <v>0</v>
      </c>
      <c r="AT543" s="67" t="n">
        <v>0</v>
      </c>
    </row>
    <row r="544" ht="40" customHeight="1">
      <c r="A544" s="63" t="inlineStr">
        <is>
          <t>F17-T12-03</t>
        </is>
      </c>
      <c r="B544" s="63" t="inlineStr">
        <is>
          <t>F17</t>
        </is>
      </c>
      <c r="C544" s="63">
        <f>Flights!$F$21</f>
        <v/>
      </c>
      <c r="D544" s="64">
        <f>Flights!$D$21</f>
        <v/>
      </c>
      <c r="E544" s="63">
        <f>Flights!$G$21&amp;"-"&amp;Flights!$H$21</f>
        <v/>
      </c>
      <c r="F544" s="63">
        <f>Flights!$K$21</f>
        <v/>
      </c>
      <c r="G544" s="63" t="inlineStr">
        <is>
          <t>T-12H PREP</t>
        </is>
      </c>
      <c r="H544" s="63" t="inlineStr">
        <is>
          <t>Preparation</t>
        </is>
      </c>
      <c r="I544" s="63" t="inlineStr">
        <is>
          <t>Equipment</t>
        </is>
      </c>
      <c r="J544" s="63" t="inlineStr">
        <is>
          <t>Equipment cleanliness vs GLD</t>
        </is>
      </c>
      <c r="K544" s="73" t="inlineStr"/>
      <c r="L544" s="73" t="inlineStr">
        <is>
          <t>User brief (T-12 hours)</t>
        </is>
      </c>
      <c r="M544" s="73" t="inlineStr"/>
      <c r="N544" s="73" t="inlineStr">
        <is>
          <t>Required</t>
        </is>
      </c>
      <c r="O544" s="73" t="inlineStr">
        <is>
          <t>Preparation check at caterer - does NOT confirm loading.</t>
        </is>
      </c>
      <c r="P544" s="63" t="inlineStr">
        <is>
          <t>HKG</t>
        </is>
      </c>
      <c r="Q544" s="65">
        <f>Flights!$AE$21</f>
        <v/>
      </c>
      <c r="R544" s="65">
        <f>Q544+(IF(AND(INDEX(TZ_DSTS,MATCH(P544,TZ_STN,0))&lt;&gt;"",Q544&gt;=INDEX(TZ_DSTS,MATCH(P544,TZ_STN,0)),Q544&lt;INDEX(TZ_DSTE,MATCH(P544,TZ_STN,0))),INDEX(TZ_DST,MATCH(P544,TZ_STN,0)),INDEX(TZ_STD,MATCH(P544,TZ_STN,0))))/24</f>
        <v/>
      </c>
      <c r="S544" s="65">
        <f>Q544-T12EarlyH/24</f>
        <v/>
      </c>
      <c r="T544" s="66" t="n"/>
      <c r="U544" s="66" t="n"/>
      <c r="V544" s="66" t="n"/>
      <c r="W544" s="67" t="n"/>
      <c r="X544" s="66" t="n"/>
      <c r="Y544" s="66" t="n"/>
      <c r="Z544" s="66" t="n"/>
      <c r="AA544" s="66" t="n"/>
      <c r="AB544" s="66" t="n"/>
      <c r="AC544" s="66" t="n"/>
      <c r="AD544" s="72" t="n"/>
      <c r="AE544" s="66" t="n"/>
      <c r="AF544" s="67">
        <f>IF(AND(ISNUMBER(X544),ISNUMBER(Y544)),Y544-X544,"")</f>
        <v/>
      </c>
      <c r="AG544" s="68">
        <f>IF(ISNUMBER(AD544),AD544-(IF(AND(INDEX(TZ_DSTS,MATCH(P544,TZ_STN,0))&lt;&gt;"",(AD544-INDEX(TZ_STD,MATCH(P544,TZ_STN,0))/24)&gt;=INDEX(TZ_DSTS,MATCH(P544,TZ_STN,0)),(AD544-INDEX(TZ_STD,MATCH(P544,TZ_STN,0))/24)&lt;INDEX(TZ_DSTE,MATCH(P544,TZ_STN,0))),INDEX(TZ_DST,MATCH(P544,TZ_STN,0)),INDEX(TZ_STD,MATCH(P544,TZ_STN,0))))/24,"")</f>
        <v/>
      </c>
      <c r="AH544" s="71">
        <f>IF(N544="N/A – rule","N/A – RULE",IF(TRIM(U544)="N/A",IF(AT544=0,"INVALID – N/A not permitted for this mandatory check",IF(AND(TRIM(AC544)&lt;&gt;"",TRIM(AE544)&lt;&gt;"",TRIM(T544)&lt;&gt;""),"N/A – JUSTIFIED","INVALID – N/A needs justification, PIC and verifier")),IF(OR(TRIM(U544)="Pass",TRIM(U544)="Pass after CA"),IF(NOT(ISNUMBER(AD544)),"INVALID – completion time missing",IF(TRIM(T544)="","INVALID – PIC missing",IF(TRIM(Z544)="","INVALID – evidence missing",IF(TRIM(AE544)="","INVALID – verifier missing",IF(AND(AQ544=1,TRIM(W544)=""),"INVALID – batch ID missing",IF(AND(AR544=1,OR(NOT(ISNUMBER(X544)),NOT(ISNUMBER(Y544)))),"INVALID – expected/actual qty missing",IF(IF(AND(TRIM(U544)="Pass",ISNUMBER(AF544)),IF(AF544&lt;&gt;0,"INVALID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recorded/closed","")&lt;&gt;"",IF(AND(TRIM(U544)="Pass",ISNUMBER(AF544)),IF(AF544&lt;&gt;0,"INVALID – qty variance: use Fail or Pass after CA",""),"")&amp;IF(AND(TRIM(U544)="Pass",AB544="Open"),"INVALID – corrective action still open: use Fail, then Pass after CA","")&amp;IF(AND(TRIM(U544)="Pass after CA",OR(TRIM(AA544)="",AB544&lt;&gt;"Closed")),"INVALID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window"),IF(AG544&gt;Flights!$AA$21,"INVALID – completed after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f>
        <v/>
      </c>
      <c r="AI544" s="67">
        <f>IF(OR(AH544="N/A – RULE",AH544="N/A – JUSTIFIED"),0,1)</f>
        <v/>
      </c>
      <c r="AJ544" s="67">
        <f>IF(LEFT(AH544,8)="COMPLETE",1,0)</f>
        <v/>
      </c>
      <c r="AK544" s="67">
        <f>IF(AND(AI544=1,AJ544=0,AsOfUTC&gt;Q544),1,0)</f>
        <v/>
      </c>
      <c r="AL544" s="67">
        <f>IF(AND(AI544=1,OR(TRIM(U544)="Fail",AB544="Open",AND(ISNUMBER(AF544),AF544&lt;&gt;0,TRIM(U544)&lt;&gt;"Pass after CA"))),1,0)</f>
        <v/>
      </c>
      <c r="AM544" s="67">
        <f>IF(LEFT(AH544,7)="INVALID",1,0)</f>
        <v/>
      </c>
      <c r="AN544" s="67">
        <f>IF(AND(N544="Clarification required",AI544=1,AJ544=0),1,0)</f>
        <v/>
      </c>
      <c r="AO544" s="67">
        <f>IF(AK544=1,SUM(AK$5:AK544),"")</f>
        <v/>
      </c>
      <c r="AP544" s="67">
        <f>IF(AL544=1,SUM(AL$5:AL544),"")</f>
        <v/>
      </c>
      <c r="AQ544" s="67" t="n">
        <v>0</v>
      </c>
      <c r="AR544" s="67" t="n">
        <v>0</v>
      </c>
      <c r="AS544" s="67" t="n">
        <v>0</v>
      </c>
      <c r="AT544" s="67" t="n">
        <v>0</v>
      </c>
    </row>
    <row r="545" ht="40" customHeight="1">
      <c r="A545" s="63" t="inlineStr">
        <is>
          <t>F17-T12-04</t>
        </is>
      </c>
      <c r="B545" s="63" t="inlineStr">
        <is>
          <t>F17</t>
        </is>
      </c>
      <c r="C545" s="63">
        <f>Flights!$F$21</f>
        <v/>
      </c>
      <c r="D545" s="64">
        <f>Flights!$D$21</f>
        <v/>
      </c>
      <c r="E545" s="63">
        <f>Flights!$G$21&amp;"-"&amp;Flights!$H$21</f>
        <v/>
      </c>
      <c r="F545" s="63">
        <f>Flights!$K$21</f>
        <v/>
      </c>
      <c r="G545" s="63" t="inlineStr">
        <is>
          <t>T-12H PREP</t>
        </is>
      </c>
      <c r="H545" s="63" t="inlineStr">
        <is>
          <t>Preparation</t>
        </is>
      </c>
      <c r="I545" s="63" t="inlineStr">
        <is>
          <t>Equipment</t>
        </is>
      </c>
      <c r="J545" s="63" t="inlineStr">
        <is>
          <t>Equipment presentation vs GLD</t>
        </is>
      </c>
      <c r="K545" s="73" t="inlineStr"/>
      <c r="L545" s="73" t="inlineStr">
        <is>
          <t>User brief (T-12 hours)</t>
        </is>
      </c>
      <c r="M545" s="73" t="inlineStr"/>
      <c r="N545" s="73" t="inlineStr">
        <is>
          <t>Required</t>
        </is>
      </c>
      <c r="O545" s="73" t="inlineStr">
        <is>
          <t>Preparation check at caterer - does NOT confirm loading.</t>
        </is>
      </c>
      <c r="P545" s="63" t="inlineStr">
        <is>
          <t>HKG</t>
        </is>
      </c>
      <c r="Q545" s="65">
        <f>Flights!$AE$21</f>
        <v/>
      </c>
      <c r="R545" s="65">
        <f>Q545+(IF(AND(INDEX(TZ_DSTS,MATCH(P545,TZ_STN,0))&lt;&gt;"",Q545&gt;=INDEX(TZ_DSTS,MATCH(P545,TZ_STN,0)),Q545&lt;INDEX(TZ_DSTE,MATCH(P545,TZ_STN,0))),INDEX(TZ_DST,MATCH(P545,TZ_STN,0)),INDEX(TZ_STD,MATCH(P545,TZ_STN,0))))/24</f>
        <v/>
      </c>
      <c r="S545" s="65">
        <f>Q545-T12EarlyH/24</f>
        <v/>
      </c>
      <c r="T545" s="66" t="n"/>
      <c r="U545" s="66" t="n"/>
      <c r="V545" s="66" t="n"/>
      <c r="W545" s="67" t="n"/>
      <c r="X545" s="66" t="n"/>
      <c r="Y545" s="66" t="n"/>
      <c r="Z545" s="66" t="n"/>
      <c r="AA545" s="66" t="n"/>
      <c r="AB545" s="66" t="n"/>
      <c r="AC545" s="66" t="n"/>
      <c r="AD545" s="72" t="n"/>
      <c r="AE545" s="66" t="n"/>
      <c r="AF545" s="67">
        <f>IF(AND(ISNUMBER(X545),ISNUMBER(Y545)),Y545-X545,"")</f>
        <v/>
      </c>
      <c r="AG545" s="68">
        <f>IF(ISNUMBER(AD545),AD545-(IF(AND(INDEX(TZ_DSTS,MATCH(P545,TZ_STN,0))&lt;&gt;"",(AD545-INDEX(TZ_STD,MATCH(P545,TZ_STN,0))/24)&gt;=INDEX(TZ_DSTS,MATCH(P545,TZ_STN,0)),(AD545-INDEX(TZ_STD,MATCH(P545,TZ_STN,0))/24)&lt;INDEX(TZ_DSTE,MATCH(P545,TZ_STN,0))),INDEX(TZ_DST,MATCH(P545,TZ_STN,0)),INDEX(TZ_STD,MATCH(P545,TZ_STN,0))))/24,"")</f>
        <v/>
      </c>
      <c r="AH545" s="71">
        <f>IF(N545="N/A – rule","N/A – RULE",IF(TRIM(U545)="N/A",IF(AT545=0,"INVALID – N/A not permitted for this mandatory check",IF(AND(TRIM(AC545)&lt;&gt;"",TRIM(AE545)&lt;&gt;"",TRIM(T545)&lt;&gt;""),"N/A – JUSTIFIED","INVALID – N/A needs justification, PIC and verifier")),IF(OR(TRIM(U545)="Pass",TRIM(U545)="Pass after CA"),IF(NOT(ISNUMBER(AD545)),"INVALID – completion time missing",IF(TRIM(T545)="","INVALID – PIC missing",IF(TRIM(Z545)="","INVALID – evidence missing",IF(TRIM(AE545)="","INVALID – verifier missing",IF(AND(AQ545=1,TRIM(W545)=""),"INVALID – batch ID missing",IF(AND(AR545=1,OR(NOT(ISNUMBER(X545)),NOT(ISNUMBER(Y545)))),"INVALID – expected/actual qty missing",IF(IF(AND(TRIM(U545)="Pass",ISNUMBER(AF545)),IF(AF545&lt;&gt;0,"INVALID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recorded/closed","")&lt;&gt;"",IF(AND(TRIM(U545)="Pass",ISNUMBER(AF545)),IF(AF545&lt;&gt;0,"INVALID – qty variance: use Fail or Pass after CA",""),"")&amp;IF(AND(TRIM(U545)="Pass",AB545="Open"),"INVALID – corrective action still open: use Fail, then Pass after CA","")&amp;IF(AND(TRIM(U545)="Pass after CA",OR(TRIM(AA545)="",AB545&lt;&gt;"Closed")),"INVALID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window"),IF(AG545&gt;Flights!$AA$21,"INVALID – completed after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f>
        <v/>
      </c>
      <c r="AI545" s="67">
        <f>IF(OR(AH545="N/A – RULE",AH545="N/A – JUSTIFIED"),0,1)</f>
        <v/>
      </c>
      <c r="AJ545" s="67">
        <f>IF(LEFT(AH545,8)="COMPLETE",1,0)</f>
        <v/>
      </c>
      <c r="AK545" s="67">
        <f>IF(AND(AI545=1,AJ545=0,AsOfUTC&gt;Q545),1,0)</f>
        <v/>
      </c>
      <c r="AL545" s="67">
        <f>IF(AND(AI545=1,OR(TRIM(U545)="Fail",AB545="Open",AND(ISNUMBER(AF545),AF545&lt;&gt;0,TRIM(U545)&lt;&gt;"Pass after CA"))),1,0)</f>
        <v/>
      </c>
      <c r="AM545" s="67">
        <f>IF(LEFT(AH545,7)="INVALID",1,0)</f>
        <v/>
      </c>
      <c r="AN545" s="67">
        <f>IF(AND(N545="Clarification required",AI545=1,AJ545=0),1,0)</f>
        <v/>
      </c>
      <c r="AO545" s="67">
        <f>IF(AK545=1,SUM(AK$5:AK545),"")</f>
        <v/>
      </c>
      <c r="AP545" s="67">
        <f>IF(AL545=1,SUM(AL$5:AL545),"")</f>
        <v/>
      </c>
      <c r="AQ545" s="67" t="n">
        <v>0</v>
      </c>
      <c r="AR545" s="67" t="n">
        <v>0</v>
      </c>
      <c r="AS545" s="67" t="n">
        <v>0</v>
      </c>
      <c r="AT545" s="67" t="n">
        <v>0</v>
      </c>
    </row>
    <row r="546" ht="40" customHeight="1">
      <c r="A546" s="63" t="inlineStr">
        <is>
          <t>F17-T12-05</t>
        </is>
      </c>
      <c r="B546" s="63" t="inlineStr">
        <is>
          <t>F17</t>
        </is>
      </c>
      <c r="C546" s="63">
        <f>Flights!$F$21</f>
        <v/>
      </c>
      <c r="D546" s="64">
        <f>Flights!$D$21</f>
        <v/>
      </c>
      <c r="E546" s="63">
        <f>Flights!$G$21&amp;"-"&amp;Flights!$H$21</f>
        <v/>
      </c>
      <c r="F546" s="63">
        <f>Flights!$K$21</f>
        <v/>
      </c>
      <c r="G546" s="63" t="inlineStr">
        <is>
          <t>T-12H PREP</t>
        </is>
      </c>
      <c r="H546" s="63" t="inlineStr">
        <is>
          <t>Preparation</t>
        </is>
      </c>
      <c r="I546" s="63" t="inlineStr">
        <is>
          <t>Equipment</t>
        </is>
      </c>
      <c r="J546" s="63" t="inlineStr">
        <is>
          <t>Equipment serviceability vs GLD</t>
        </is>
      </c>
      <c r="K546" s="73" t="inlineStr"/>
      <c r="L546" s="73" t="inlineStr">
        <is>
          <t>User brief (T-12 hours)</t>
        </is>
      </c>
      <c r="M546" s="73" t="inlineStr"/>
      <c r="N546" s="73" t="inlineStr">
        <is>
          <t>Required</t>
        </is>
      </c>
      <c r="O546" s="73" t="inlineStr">
        <is>
          <t>Preparation check at caterer - does NOT confirm loading.</t>
        </is>
      </c>
      <c r="P546" s="63" t="inlineStr">
        <is>
          <t>HKG</t>
        </is>
      </c>
      <c r="Q546" s="65">
        <f>Flights!$AE$21</f>
        <v/>
      </c>
      <c r="R546" s="65">
        <f>Q546+(IF(AND(INDEX(TZ_DSTS,MATCH(P546,TZ_STN,0))&lt;&gt;"",Q546&gt;=INDEX(TZ_DSTS,MATCH(P546,TZ_STN,0)),Q546&lt;INDEX(TZ_DSTE,MATCH(P546,TZ_STN,0))),INDEX(TZ_DST,MATCH(P546,TZ_STN,0)),INDEX(TZ_STD,MATCH(P546,TZ_STN,0))))/24</f>
        <v/>
      </c>
      <c r="S546" s="65">
        <f>Q546-T12EarlyH/24</f>
        <v/>
      </c>
      <c r="T546" s="66" t="n"/>
      <c r="U546" s="66" t="n"/>
      <c r="V546" s="66" t="n"/>
      <c r="W546" s="67" t="n"/>
      <c r="X546" s="66" t="n"/>
      <c r="Y546" s="66" t="n"/>
      <c r="Z546" s="66" t="n"/>
      <c r="AA546" s="66" t="n"/>
      <c r="AB546" s="66" t="n"/>
      <c r="AC546" s="66" t="n"/>
      <c r="AD546" s="72" t="n"/>
      <c r="AE546" s="66" t="n"/>
      <c r="AF546" s="67">
        <f>IF(AND(ISNUMBER(X546),ISNUMBER(Y546)),Y546-X546,"")</f>
        <v/>
      </c>
      <c r="AG546" s="68">
        <f>IF(ISNUMBER(AD546),AD546-(IF(AND(INDEX(TZ_DSTS,MATCH(P546,TZ_STN,0))&lt;&gt;"",(AD546-INDEX(TZ_STD,MATCH(P546,TZ_STN,0))/24)&gt;=INDEX(TZ_DSTS,MATCH(P546,TZ_STN,0)),(AD546-INDEX(TZ_STD,MATCH(P546,TZ_STN,0))/24)&lt;INDEX(TZ_DSTE,MATCH(P546,TZ_STN,0))),INDEX(TZ_DST,MATCH(P546,TZ_STN,0)),INDEX(TZ_STD,MATCH(P546,TZ_STN,0))))/24,"")</f>
        <v/>
      </c>
      <c r="AH546" s="71">
        <f>IF(N546="N/A – rule","N/A – RULE",IF(TRIM(U546)="N/A",IF(AT546=0,"INVALID – N/A not permitted for this mandatory check",IF(AND(TRIM(AC546)&lt;&gt;"",TRIM(AE546)&lt;&gt;"",TRIM(T546)&lt;&gt;""),"N/A – JUSTIFIED","INVALID – N/A needs justification, PIC and verifier")),IF(OR(TRIM(U546)="Pass",TRIM(U546)="Pass after CA"),IF(NOT(ISNUMBER(AD546)),"INVALID – completion time missing",IF(TRIM(T546)="","INVALID – PIC missing",IF(TRIM(Z546)="","INVALID – evidence missing",IF(TRIM(AE546)="","INVALID – verifier missing",IF(AND(AQ546=1,TRIM(W546)=""),"INVALID – batch ID missing",IF(AND(AR546=1,OR(NOT(ISNUMBER(X546)),NOT(ISNUMBER(Y546)))),"INVALID – expected/actual qty missing",IF(IF(AND(TRIM(U546)="Pass",ISNUMBER(AF546)),IF(AF546&lt;&gt;0,"INVALID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recorded/closed","")&lt;&gt;"",IF(AND(TRIM(U546)="Pass",ISNUMBER(AF546)),IF(AF546&lt;&gt;0,"INVALID – qty variance: use Fail or Pass after CA",""),"")&amp;IF(AND(TRIM(U546)="Pass",AB546="Open"),"INVALID – corrective action still open: use Fail, then Pass after CA","")&amp;IF(AND(TRIM(U546)="Pass after CA",OR(TRIM(AA546)="",AB546&lt;&gt;"Closed")),"INVALID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window"),IF(AG546&gt;Flights!$AA$21,"INVALID – completed after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f>
        <v/>
      </c>
      <c r="AI546" s="67">
        <f>IF(OR(AH546="N/A – RULE",AH546="N/A – JUSTIFIED"),0,1)</f>
        <v/>
      </c>
      <c r="AJ546" s="67">
        <f>IF(LEFT(AH546,8)="COMPLETE",1,0)</f>
        <v/>
      </c>
      <c r="AK546" s="67">
        <f>IF(AND(AI546=1,AJ546=0,AsOfUTC&gt;Q546),1,0)</f>
        <v/>
      </c>
      <c r="AL546" s="67">
        <f>IF(AND(AI546=1,OR(TRIM(U546)="Fail",AB546="Open",AND(ISNUMBER(AF546),AF546&lt;&gt;0,TRIM(U546)&lt;&gt;"Pass after CA"))),1,0)</f>
        <v/>
      </c>
      <c r="AM546" s="67">
        <f>IF(LEFT(AH546,7)="INVALID",1,0)</f>
        <v/>
      </c>
      <c r="AN546" s="67">
        <f>IF(AND(N546="Clarification required",AI546=1,AJ546=0),1,0)</f>
        <v/>
      </c>
      <c r="AO546" s="67">
        <f>IF(AK546=1,SUM(AK$5:AK546),"")</f>
        <v/>
      </c>
      <c r="AP546" s="67">
        <f>IF(AL546=1,SUM(AL$5:AL546),"")</f>
        <v/>
      </c>
      <c r="AQ546" s="67" t="n">
        <v>0</v>
      </c>
      <c r="AR546" s="67" t="n">
        <v>0</v>
      </c>
      <c r="AS546" s="67" t="n">
        <v>0</v>
      </c>
      <c r="AT546" s="67" t="n">
        <v>0</v>
      </c>
    </row>
    <row r="547" ht="79" customHeight="1">
      <c r="A547" s="63" t="inlineStr">
        <is>
          <t>F17-T12-06</t>
        </is>
      </c>
      <c r="B547" s="63" t="inlineStr">
        <is>
          <t>F17</t>
        </is>
      </c>
      <c r="C547" s="63">
        <f>Flights!$F$21</f>
        <v/>
      </c>
      <c r="D547" s="64">
        <f>Flights!$D$21</f>
        <v/>
      </c>
      <c r="E547" s="63">
        <f>Flights!$G$21&amp;"-"&amp;Flights!$H$21</f>
        <v/>
      </c>
      <c r="F547" s="63">
        <f>Flights!$K$21</f>
        <v/>
      </c>
      <c r="G547" s="63" t="inlineStr">
        <is>
          <t>T-12H PREP</t>
        </is>
      </c>
      <c r="H547" s="63" t="inlineStr">
        <is>
          <t>Preparation</t>
        </is>
      </c>
      <c r="I547" s="63" t="inlineStr">
        <is>
          <t>Equipment</t>
        </is>
      </c>
      <c r="J547" s="63" t="inlineStr">
        <is>
          <t>Equipment quantities vs GLD</t>
        </is>
      </c>
      <c r="K547" s="73" t="inlineStr">
        <is>
          <t>Enter expected &amp; actual. Aircraft galley data: B737-8 (B7M8): carts 10.5, SU 25, ovens 6, warming ovens -, fridges -, water heaters 3, beverage makers -, espresso -, folding trolleys -, headsets - (AIRCRAFT TYPE!C16:R16)</t>
        </is>
      </c>
      <c r="L547" s="73" t="inlineStr">
        <is>
          <t>User brief (T-12 hours)</t>
        </is>
      </c>
      <c r="M547" s="73" t="inlineStr"/>
      <c r="N547" s="73" t="inlineStr">
        <is>
          <t>Required</t>
        </is>
      </c>
      <c r="O547" s="73" t="inlineStr">
        <is>
          <t>Preparation check at caterer - does NOT confirm loading.</t>
        </is>
      </c>
      <c r="P547" s="63" t="inlineStr">
        <is>
          <t>HKG</t>
        </is>
      </c>
      <c r="Q547" s="65">
        <f>Flights!$AE$21</f>
        <v/>
      </c>
      <c r="R547" s="65">
        <f>Q547+(IF(AND(INDEX(TZ_DSTS,MATCH(P547,TZ_STN,0))&lt;&gt;"",Q547&gt;=INDEX(TZ_DSTS,MATCH(P547,TZ_STN,0)),Q547&lt;INDEX(TZ_DSTE,MATCH(P547,TZ_STN,0))),INDEX(TZ_DST,MATCH(P547,TZ_STN,0)),INDEX(TZ_STD,MATCH(P547,TZ_STN,0))))/24</f>
        <v/>
      </c>
      <c r="S547" s="65">
        <f>Q547-T12EarlyH/24</f>
        <v/>
      </c>
      <c r="T547" s="66" t="n"/>
      <c r="U547" s="66" t="n"/>
      <c r="V547" s="66" t="n"/>
      <c r="W547" s="67" t="n"/>
      <c r="X547" s="66" t="n"/>
      <c r="Y547" s="66" t="n"/>
      <c r="Z547" s="66" t="n"/>
      <c r="AA547" s="66" t="n"/>
      <c r="AB547" s="66" t="n"/>
      <c r="AC547" s="66" t="n"/>
      <c r="AD547" s="72" t="n"/>
      <c r="AE547" s="66" t="n"/>
      <c r="AF547" s="67">
        <f>IF(AND(ISNUMBER(X547),ISNUMBER(Y547)),Y547-X547,"")</f>
        <v/>
      </c>
      <c r="AG547" s="68">
        <f>IF(ISNUMBER(AD547),AD547-(IF(AND(INDEX(TZ_DSTS,MATCH(P547,TZ_STN,0))&lt;&gt;"",(AD547-INDEX(TZ_STD,MATCH(P547,TZ_STN,0))/24)&gt;=INDEX(TZ_DSTS,MATCH(P547,TZ_STN,0)),(AD547-INDEX(TZ_STD,MATCH(P547,TZ_STN,0))/24)&lt;INDEX(TZ_DSTE,MATCH(P547,TZ_STN,0))),INDEX(TZ_DST,MATCH(P547,TZ_STN,0)),INDEX(TZ_STD,MATCH(P547,TZ_STN,0))))/24,"")</f>
        <v/>
      </c>
      <c r="AH547" s="71">
        <f>IF(N547="N/A – rule","N/A – RULE",IF(TRIM(U547)="N/A",IF(AT547=0,"INVALID – N/A not permitted for this mandatory check",IF(AND(TRIM(AC547)&lt;&gt;"",TRIM(AE547)&lt;&gt;"",TRIM(T547)&lt;&gt;""),"N/A – JUSTIFIED","INVALID – N/A needs justification, PIC and verifier")),IF(OR(TRIM(U547)="Pass",TRIM(U547)="Pass after CA"),IF(NOT(ISNUMBER(AD547)),"INVALID – completion time missing",IF(TRIM(T547)="","INVALID – PIC missing",IF(TRIM(Z547)="","INVALID – evidence missing",IF(TRIM(AE547)="","INVALID – verifier missing",IF(AND(AQ547=1,TRIM(W547)=""),"INVALID – batch ID missing",IF(AND(AR547=1,OR(NOT(ISNUMBER(X547)),NOT(ISNUMBER(Y547)))),"INVALID – expected/actual qty missing",IF(IF(AND(TRIM(U547)="Pass",ISNUMBER(AF547)),IF(AF547&lt;&gt;0,"INVALID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recorded/closed","")&lt;&gt;"",IF(AND(TRIM(U547)="Pass",ISNUMBER(AF547)),IF(AF547&lt;&gt;0,"INVALID – qty variance: use Fail or Pass after CA",""),"")&amp;IF(AND(TRIM(U547)="Pass",AB547="Open"),"INVALID – corrective action still open: use Fail, then Pass after CA","")&amp;IF(AND(TRIM(U547)="Pass after CA",OR(TRIM(AA547)="",AB547&lt;&gt;"Closed")),"INVALID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window"),IF(AG547&gt;Flights!$AA$21,"INVALID – completed after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f>
        <v/>
      </c>
      <c r="AI547" s="67">
        <f>IF(OR(AH547="N/A – RULE",AH547="N/A – JUSTIFIED"),0,1)</f>
        <v/>
      </c>
      <c r="AJ547" s="67">
        <f>IF(LEFT(AH547,8)="COMPLETE",1,0)</f>
        <v/>
      </c>
      <c r="AK547" s="67">
        <f>IF(AND(AI547=1,AJ547=0,AsOfUTC&gt;Q547),1,0)</f>
        <v/>
      </c>
      <c r="AL547" s="67">
        <f>IF(AND(AI547=1,OR(TRIM(U547)="Fail",AB547="Open",AND(ISNUMBER(AF547),AF547&lt;&gt;0,TRIM(U547)&lt;&gt;"Pass after CA"))),1,0)</f>
        <v/>
      </c>
      <c r="AM547" s="67">
        <f>IF(LEFT(AH547,7)="INVALID",1,0)</f>
        <v/>
      </c>
      <c r="AN547" s="67">
        <f>IF(AND(N547="Clarification required",AI547=1,AJ547=0),1,0)</f>
        <v/>
      </c>
      <c r="AO547" s="67">
        <f>IF(AK547=1,SUM(AK$5:AK547),"")</f>
        <v/>
      </c>
      <c r="AP547" s="67">
        <f>IF(AL547=1,SUM(AL$5:AL547),"")</f>
        <v/>
      </c>
      <c r="AQ547" s="67" t="n">
        <v>0</v>
      </c>
      <c r="AR547" s="67" t="n">
        <v>1</v>
      </c>
      <c r="AS547" s="67" t="n">
        <v>0</v>
      </c>
      <c r="AT547" s="67" t="n">
        <v>0</v>
      </c>
    </row>
    <row r="548" ht="40" customHeight="1">
      <c r="A548" s="63" t="inlineStr">
        <is>
          <t>F17-T12-07</t>
        </is>
      </c>
      <c r="B548" s="63" t="inlineStr">
        <is>
          <t>F17</t>
        </is>
      </c>
      <c r="C548" s="63">
        <f>Flights!$F$21</f>
        <v/>
      </c>
      <c r="D548" s="64">
        <f>Flights!$D$21</f>
        <v/>
      </c>
      <c r="E548" s="63">
        <f>Flights!$G$21&amp;"-"&amp;Flights!$H$21</f>
        <v/>
      </c>
      <c r="F548" s="63">
        <f>Flights!$K$21</f>
        <v/>
      </c>
      <c r="G548" s="63" t="inlineStr">
        <is>
          <t>T-12H PREP</t>
        </is>
      </c>
      <c r="H548" s="63" t="inlineStr">
        <is>
          <t>Preparation</t>
        </is>
      </c>
      <c r="I548" s="63" t="inlineStr">
        <is>
          <t>Equipment</t>
        </is>
      </c>
      <c r="J548" s="63" t="inlineStr">
        <is>
          <t>Loading positions planned vs GLD</t>
        </is>
      </c>
      <c r="K548" s="73" t="inlineStr"/>
      <c r="L548" s="73" t="inlineStr">
        <is>
          <t>User brief (T-12 hours)</t>
        </is>
      </c>
      <c r="M548" s="73" t="inlineStr"/>
      <c r="N548" s="73" t="inlineStr">
        <is>
          <t>Required</t>
        </is>
      </c>
      <c r="O548" s="73" t="inlineStr">
        <is>
          <t>Preparation check at caterer - does NOT confirm loading.</t>
        </is>
      </c>
      <c r="P548" s="63" t="inlineStr">
        <is>
          <t>HKG</t>
        </is>
      </c>
      <c r="Q548" s="65">
        <f>Flights!$AE$21</f>
        <v/>
      </c>
      <c r="R548" s="65">
        <f>Q548+(IF(AND(INDEX(TZ_DSTS,MATCH(P548,TZ_STN,0))&lt;&gt;"",Q548&gt;=INDEX(TZ_DSTS,MATCH(P548,TZ_STN,0)),Q548&lt;INDEX(TZ_DSTE,MATCH(P548,TZ_STN,0))),INDEX(TZ_DST,MATCH(P548,TZ_STN,0)),INDEX(TZ_STD,MATCH(P548,TZ_STN,0))))/24</f>
        <v/>
      </c>
      <c r="S548" s="65">
        <f>Q548-T12EarlyH/24</f>
        <v/>
      </c>
      <c r="T548" s="66" t="n"/>
      <c r="U548" s="66" t="n"/>
      <c r="V548" s="66" t="n"/>
      <c r="W548" s="67" t="n"/>
      <c r="X548" s="66" t="n"/>
      <c r="Y548" s="66" t="n"/>
      <c r="Z548" s="66" t="n"/>
      <c r="AA548" s="66" t="n"/>
      <c r="AB548" s="66" t="n"/>
      <c r="AC548" s="66" t="n"/>
      <c r="AD548" s="72" t="n"/>
      <c r="AE548" s="66" t="n"/>
      <c r="AF548" s="67">
        <f>IF(AND(ISNUMBER(X548),ISNUMBER(Y548)),Y548-X548,"")</f>
        <v/>
      </c>
      <c r="AG548" s="68">
        <f>IF(ISNUMBER(AD548),AD548-(IF(AND(INDEX(TZ_DSTS,MATCH(P548,TZ_STN,0))&lt;&gt;"",(AD548-INDEX(TZ_STD,MATCH(P548,TZ_STN,0))/24)&gt;=INDEX(TZ_DSTS,MATCH(P548,TZ_STN,0)),(AD548-INDEX(TZ_STD,MATCH(P548,TZ_STN,0))/24)&lt;INDEX(TZ_DSTE,MATCH(P548,TZ_STN,0))),INDEX(TZ_DST,MATCH(P548,TZ_STN,0)),INDEX(TZ_STD,MATCH(P548,TZ_STN,0))))/24,"")</f>
        <v/>
      </c>
      <c r="AH548" s="71">
        <f>IF(N548="N/A – rule","N/A – RULE",IF(TRIM(U548)="N/A",IF(AT548=0,"INVALID – N/A not permitted for this mandatory check",IF(AND(TRIM(AC548)&lt;&gt;"",TRIM(AE548)&lt;&gt;"",TRIM(T548)&lt;&gt;""),"N/A – JUSTIFIED","INVALID – N/A needs justification, PIC and verifier")),IF(OR(TRIM(U548)="Pass",TRIM(U548)="Pass after CA"),IF(NOT(ISNUMBER(AD548)),"INVALID – completion time missing",IF(TRIM(T548)="","INVALID – PIC missing",IF(TRIM(Z548)="","INVALID – evidence missing",IF(TRIM(AE548)="","INVALID – verifier missing",IF(AND(AQ548=1,TRIM(W548)=""),"INVALID – batch ID missing",IF(AND(AR548=1,OR(NOT(ISNUMBER(X548)),NOT(ISNUMBER(Y548)))),"INVALID – expected/actual qty missing",IF(IF(AND(TRIM(U548)="Pass",ISNUMBER(AF548)),IF(AF548&lt;&gt;0,"INVALID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recorded/closed","")&lt;&gt;"",IF(AND(TRIM(U548)="Pass",ISNUMBER(AF548)),IF(AF548&lt;&gt;0,"INVALID – qty variance: use Fail or Pass after CA",""),"")&amp;IF(AND(TRIM(U548)="Pass",AB548="Open"),"INVALID – corrective action still open: use Fail, then Pass after CA","")&amp;IF(AND(TRIM(U548)="Pass after CA",OR(TRIM(AA548)="",AB548&lt;&gt;"Closed")),"INVALID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window"),IF(AG548&gt;Flights!$AA$21,"INVALID – completed after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f>
        <v/>
      </c>
      <c r="AI548" s="67">
        <f>IF(OR(AH548="N/A – RULE",AH548="N/A – JUSTIFIED"),0,1)</f>
        <v/>
      </c>
      <c r="AJ548" s="67">
        <f>IF(LEFT(AH548,8)="COMPLETE",1,0)</f>
        <v/>
      </c>
      <c r="AK548" s="67">
        <f>IF(AND(AI548=1,AJ548=0,AsOfUTC&gt;Q548),1,0)</f>
        <v/>
      </c>
      <c r="AL548" s="67">
        <f>IF(AND(AI548=1,OR(TRIM(U548)="Fail",AB548="Open",AND(ISNUMBER(AF548),AF548&lt;&gt;0,TRIM(U548)&lt;&gt;"Pass after CA"))),1,0)</f>
        <v/>
      </c>
      <c r="AM548" s="67">
        <f>IF(LEFT(AH548,7)="INVALID",1,0)</f>
        <v/>
      </c>
      <c r="AN548" s="67">
        <f>IF(AND(N548="Clarification required",AI548=1,AJ548=0),1,0)</f>
        <v/>
      </c>
      <c r="AO548" s="67">
        <f>IF(AK548=1,SUM(AK$5:AK548),"")</f>
        <v/>
      </c>
      <c r="AP548" s="67">
        <f>IF(AL548=1,SUM(AL$5:AL548),"")</f>
        <v/>
      </c>
      <c r="AQ548" s="67" t="n">
        <v>0</v>
      </c>
      <c r="AR548" s="67" t="n">
        <v>0</v>
      </c>
      <c r="AS548" s="67" t="n">
        <v>0</v>
      </c>
      <c r="AT548" s="67" t="n">
        <v>0</v>
      </c>
    </row>
    <row r="549" ht="41.5" customHeight="1">
      <c r="A549" s="63" t="inlineStr">
        <is>
          <t>F17-T12-08</t>
        </is>
      </c>
      <c r="B549" s="63" t="inlineStr">
        <is>
          <t>F17</t>
        </is>
      </c>
      <c r="C549" s="63">
        <f>Flights!$F$21</f>
        <v/>
      </c>
      <c r="D549" s="64">
        <f>Flights!$D$21</f>
        <v/>
      </c>
      <c r="E549" s="63">
        <f>Flights!$G$21&amp;"-"&amp;Flights!$H$21</f>
        <v/>
      </c>
      <c r="F549" s="63">
        <f>Flights!$K$21</f>
        <v/>
      </c>
      <c r="G549" s="63" t="inlineStr">
        <is>
          <t>T-12H PREP</t>
        </is>
      </c>
      <c r="H549" s="63" t="inlineStr">
        <is>
          <t>Preparation</t>
        </is>
      </c>
      <c r="I549" s="63" t="inlineStr">
        <is>
          <t>Amenities</t>
        </is>
      </c>
      <c r="J549" s="63" t="inlineStr">
        <is>
          <t>Slippers (BS/BC) - Dispo slipper - prepared</t>
        </is>
      </c>
      <c r="K549" s="73" t="inlineStr">
        <is>
          <t>Available (ticked in reference)</t>
        </is>
      </c>
      <c r="L549" s="73" t="inlineStr">
        <is>
          <t>STD UPLIFT INFORMATION.xlsx &gt; AMENITIES!G39 / H39 / I39</t>
        </is>
      </c>
      <c r="M549" s="73" t="inlineStr">
        <is>
          <t>KUL</t>
        </is>
      </c>
      <c r="N549" s="73" t="inlineStr">
        <is>
          <t>Required</t>
        </is>
      </c>
      <c r="O549" s="73" t="inlineStr">
        <is>
          <t>Loaded at KUL on the inbound KUL-HKG flight: due = that flight's KUL departure (Flights AX) minus the uplift window.</t>
        </is>
      </c>
      <c r="P549" s="63" t="inlineStr">
        <is>
          <t>KUL</t>
        </is>
      </c>
      <c r="Q549" s="65">
        <f>MIN(Flights!$AE$21,Flights!$AY$21)</f>
        <v/>
      </c>
      <c r="R549" s="65">
        <f>Q549+(IF(AND(INDEX(TZ_DSTS,MATCH(P549,TZ_STN,0))&lt;&gt;"",Q549&gt;=INDEX(TZ_DSTS,MATCH(P549,TZ_STN,0)),Q549&lt;INDEX(TZ_DSTE,MATCH(P549,TZ_STN,0))),INDEX(TZ_DST,MATCH(P549,TZ_STN,0)),INDEX(TZ_STD,MATCH(P549,TZ_STN,0))))/24</f>
        <v/>
      </c>
      <c r="S549" s="65">
        <f>Q549-T12EarlyH/24</f>
        <v/>
      </c>
      <c r="T549" s="66" t="n"/>
      <c r="U549" s="66" t="n"/>
      <c r="V549" s="66" t="n"/>
      <c r="W549" s="67" t="n"/>
      <c r="X549" s="66" t="n"/>
      <c r="Y549" s="66" t="n"/>
      <c r="Z549" s="66" t="n"/>
      <c r="AA549" s="66" t="n"/>
      <c r="AB549" s="66" t="n"/>
      <c r="AC549" s="66" t="n"/>
      <c r="AD549" s="72" t="n"/>
      <c r="AE549" s="66" t="n"/>
      <c r="AF549" s="67">
        <f>IF(AND(ISNUMBER(X549),ISNUMBER(Y549)),Y549-X549,"")</f>
        <v/>
      </c>
      <c r="AG549" s="68">
        <f>IF(ISNUMBER(AD549),AD549-(IF(AND(INDEX(TZ_DSTS,MATCH(P549,TZ_STN,0))&lt;&gt;"",(AD549-INDEX(TZ_STD,MATCH(P549,TZ_STN,0))/24)&gt;=INDEX(TZ_DSTS,MATCH(P549,TZ_STN,0)),(AD549-INDEX(TZ_STD,MATCH(P549,TZ_STN,0))/24)&lt;INDEX(TZ_DSTE,MATCH(P549,TZ_STN,0))),INDEX(TZ_DST,MATCH(P549,TZ_STN,0)),INDEX(TZ_STD,MATCH(P549,TZ_STN,0))))/24,"")</f>
        <v/>
      </c>
      <c r="AH549" s="71">
        <f>IF(N549="N/A – rule","N/A – RULE",IF(TRIM(U549)="N/A",IF(AT549=0,"INVALID – N/A not permitted for this mandatory check",IF(AND(TRIM(AC549)&lt;&gt;"",TRIM(AE549)&lt;&gt;"",TRIM(T549)&lt;&gt;""),"N/A – JUSTIFIED","INVALID – N/A needs justification, PIC and verifier")),IF(OR(TRIM(U549)="Pass",TRIM(U549)="Pass after CA"),IF(NOT(ISNUMBER(AD549)),"INVALID – completion time missing",IF(TRIM(T549)="","INVALID – PIC missing",IF(TRIM(Z549)="","INVALID – evidence missing",IF(TRIM(AE549)="","INVALID – verifier missing",IF(AND(AQ549=1,TRIM(W549)=""),"INVALID – batch ID missing",IF(AND(AR549=1,OR(NOT(ISNUMBER(X549)),NOT(ISNUMBER(Y549)))),"INVALID – expected/actual qty missing",IF(IF(AND(TRIM(U549)="Pass",ISNUMBER(AF549)),IF(AF549&lt;&gt;0,"INVALID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recorded/closed","")&lt;&gt;"",IF(AND(TRIM(U549)="Pass",ISNUMBER(AF549)),IF(AF549&lt;&gt;0,"INVALID – qty variance: use Fail or Pass after CA",""),"")&amp;IF(AND(TRIM(U549)="Pass",AB549="Open"),"INVALID – corrective action still open: use Fail, then Pass after CA","")&amp;IF(AND(TRIM(U549)="Pass after CA",OR(TRIM(AA549)="",AB549&lt;&gt;"Closed")),"INVALID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window"),IF(AG549&gt;Flights!$AA$21,"INVALID – completed after departure (cannot establish readiness)",IF(AND(H549="Physical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f>
        <v/>
      </c>
      <c r="AI549" s="67">
        <f>IF(OR(AH549="N/A – RULE",AH549="N/A – JUSTIFIED"),0,1)</f>
        <v/>
      </c>
      <c r="AJ549" s="67">
        <f>IF(LEFT(AH549,8)="COMPLETE",1,0)</f>
        <v/>
      </c>
      <c r="AK549" s="67">
        <f>IF(AND(AI549=1,AJ549=0,AsOfUTC&gt;Q549),1,0)</f>
        <v/>
      </c>
      <c r="AL549" s="67">
        <f>IF(AND(AI549=1,OR(TRIM(U549)="Fail",AB549="Open",AND(ISNUMBER(AF549),AF549&lt;&gt;0,TRIM(U549)&lt;&gt;"Pass after CA"))),1,0)</f>
        <v/>
      </c>
      <c r="AM549" s="67">
        <f>IF(LEFT(AH549,7)="INVALID",1,0)</f>
        <v/>
      </c>
      <c r="AN549" s="67">
        <f>IF(AND(N549="Clarification required",AI549=1,AJ549=0),1,0)</f>
        <v/>
      </c>
      <c r="AO549" s="67">
        <f>IF(AK549=1,SUM(AK$5:AK549),"")</f>
        <v/>
      </c>
      <c r="AP549" s="67">
        <f>IF(AL549=1,SUM(AL$5:AL549),"")</f>
        <v/>
      </c>
      <c r="AQ549" s="67" t="n">
        <v>0</v>
      </c>
      <c r="AR549" s="67" t="n">
        <v>0</v>
      </c>
      <c r="AS549" s="67" t="n">
        <v>0</v>
      </c>
      <c r="AT549" s="67" t="n">
        <v>1</v>
      </c>
    </row>
    <row r="550" ht="41.5" customHeight="1">
      <c r="A550" s="63" t="inlineStr">
        <is>
          <t>F17-T12-09</t>
        </is>
      </c>
      <c r="B550" s="63" t="inlineStr">
        <is>
          <t>F17</t>
        </is>
      </c>
      <c r="C550" s="63">
        <f>Flights!$F$21</f>
        <v/>
      </c>
      <c r="D550" s="64">
        <f>Flights!$D$21</f>
        <v/>
      </c>
      <c r="E550" s="63">
        <f>Flights!$G$21&amp;"-"&amp;Flights!$H$21</f>
        <v/>
      </c>
      <c r="F550" s="63">
        <f>Flights!$K$21</f>
        <v/>
      </c>
      <c r="G550" s="63" t="inlineStr">
        <is>
          <t>T-12H PREP</t>
        </is>
      </c>
      <c r="H550" s="63" t="inlineStr">
        <is>
          <t>Preparation</t>
        </is>
      </c>
      <c r="I550" s="63" t="inlineStr">
        <is>
          <t>F&amp;B Linen</t>
        </is>
      </c>
      <c r="J550" s="63" t="inlineStr">
        <is>
          <t>Towel - prepared</t>
        </is>
      </c>
      <c r="K550" s="73" t="inlineStr">
        <is>
          <t>Available (ticked in reference)</t>
        </is>
      </c>
      <c r="L550" s="73" t="inlineStr">
        <is>
          <t>STD UPLIFT INFORMATION.xlsx &gt; F&amp;B LINEN!D31</t>
        </is>
      </c>
      <c r="M550" s="73" t="inlineStr">
        <is>
          <t>Not stated in reference</t>
        </is>
      </c>
      <c r="N550" s="73" t="inlineStr">
        <is>
          <t>Required</t>
        </is>
      </c>
      <c r="O550" s="73" t="inlineStr">
        <is>
          <t>Reference gives no uplift stn for this item: preparation checked at the meal uplift stn (HKG) - confirm with caterer.</t>
        </is>
      </c>
      <c r="P550" s="63" t="inlineStr">
        <is>
          <t>HKG</t>
        </is>
      </c>
      <c r="Q550" s="65">
        <f>Flights!$AE$21</f>
        <v/>
      </c>
      <c r="R550" s="65">
        <f>Q550+(IF(AND(INDEX(TZ_DSTS,MATCH(P550,TZ_STN,0))&lt;&gt;"",Q550&gt;=INDEX(TZ_DSTS,MATCH(P550,TZ_STN,0)),Q550&lt;INDEX(TZ_DSTE,MATCH(P550,TZ_STN,0))),INDEX(TZ_DST,MATCH(P550,TZ_STN,0)),INDEX(TZ_STD,MATCH(P550,TZ_STN,0))))/24</f>
        <v/>
      </c>
      <c r="S550" s="65">
        <f>Q550-T12EarlyH/24</f>
        <v/>
      </c>
      <c r="T550" s="66" t="n"/>
      <c r="U550" s="66" t="n"/>
      <c r="V550" s="66" t="n"/>
      <c r="W550" s="67" t="n"/>
      <c r="X550" s="66" t="n"/>
      <c r="Y550" s="66" t="n"/>
      <c r="Z550" s="66" t="n"/>
      <c r="AA550" s="66" t="n"/>
      <c r="AB550" s="66" t="n"/>
      <c r="AC550" s="66" t="n"/>
      <c r="AD550" s="72" t="n"/>
      <c r="AE550" s="66" t="n"/>
      <c r="AF550" s="67">
        <f>IF(AND(ISNUMBER(X550),ISNUMBER(Y550)),Y550-X550,"")</f>
        <v/>
      </c>
      <c r="AG550" s="68">
        <f>IF(ISNUMBER(AD550),AD550-(IF(AND(INDEX(TZ_DSTS,MATCH(P550,TZ_STN,0))&lt;&gt;"",(AD550-INDEX(TZ_STD,MATCH(P550,TZ_STN,0))/24)&gt;=INDEX(TZ_DSTS,MATCH(P550,TZ_STN,0)),(AD550-INDEX(TZ_STD,MATCH(P550,TZ_STN,0))/24)&lt;INDEX(TZ_DSTE,MATCH(P550,TZ_STN,0))),INDEX(TZ_DST,MATCH(P550,TZ_STN,0)),INDEX(TZ_STD,MATCH(P550,TZ_STN,0))))/24,"")</f>
        <v/>
      </c>
      <c r="AH550" s="71">
        <f>IF(N550="N/A – rule","N/A – RULE",IF(TRIM(U550)="N/A",IF(AT550=0,"INVALID – N/A not permitted for this mandatory check",IF(AND(TRIM(AC550)&lt;&gt;"",TRIM(AE550)&lt;&gt;"",TRIM(T550)&lt;&gt;""),"N/A – JUSTIFIED","INVALID – N/A needs justification, PIC and verifier")),IF(OR(TRIM(U550)="Pass",TRIM(U550)="Pass after CA"),IF(NOT(ISNUMBER(AD550)),"INVALID – completion time missing",IF(TRIM(T550)="","INVALID – PIC missing",IF(TRIM(Z550)="","INVALID – evidence missing",IF(TRIM(AE550)="","INVALID – verifier missing",IF(AND(AQ550=1,TRIM(W550)=""),"INVALID – batch ID missing",IF(AND(AR550=1,OR(NOT(ISNUMBER(X550)),NOT(ISNUMBER(Y550)))),"INVALID – expected/actual qty missing",IF(IF(AND(TRIM(U550)="Pass",ISNUMBER(AF550)),IF(AF550&lt;&gt;0,"INVALID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recorded/closed","")&lt;&gt;"",IF(AND(TRIM(U550)="Pass",ISNUMBER(AF550)),IF(AF550&lt;&gt;0,"INVALID – qty variance: use Fail or Pass after CA",""),"")&amp;IF(AND(TRIM(U550)="Pass",AB550="Open"),"INVALID – corrective action still open: use Fail, then Pass after CA","")&amp;IF(AND(TRIM(U550)="Pass after CA",OR(TRIM(AA550)="",AB550&lt;&gt;"Closed")),"INVALID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window"),IF(AG550&gt;Flights!$AA$21,"INVALID – completed after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f>
        <v/>
      </c>
      <c r="AI550" s="67">
        <f>IF(OR(AH550="N/A – RULE",AH550="N/A – JUSTIFIED"),0,1)</f>
        <v/>
      </c>
      <c r="AJ550" s="67">
        <f>IF(LEFT(AH550,8)="COMPLETE",1,0)</f>
        <v/>
      </c>
      <c r="AK550" s="67">
        <f>IF(AND(AI550=1,AJ550=0,AsOfUTC&gt;Q550),1,0)</f>
        <v/>
      </c>
      <c r="AL550" s="67">
        <f>IF(AND(AI550=1,OR(TRIM(U550)="Fail",AB550="Open",AND(ISNUMBER(AF550),AF550&lt;&gt;0,TRIM(U550)&lt;&gt;"Pass after CA"))),1,0)</f>
        <v/>
      </c>
      <c r="AM550" s="67">
        <f>IF(LEFT(AH550,7)="INVALID",1,0)</f>
        <v/>
      </c>
      <c r="AN550" s="67">
        <f>IF(AND(N550="Clarification required",AI550=1,AJ550=0),1,0)</f>
        <v/>
      </c>
      <c r="AO550" s="67">
        <f>IF(AK550=1,SUM(AK$5:AK550),"")</f>
        <v/>
      </c>
      <c r="AP550" s="67">
        <f>IF(AL550=1,SUM(AL$5:AL550),"")</f>
        <v/>
      </c>
      <c r="AQ550" s="67" t="n">
        <v>0</v>
      </c>
      <c r="AR550" s="67" t="n">
        <v>0</v>
      </c>
      <c r="AS550" s="67" t="n">
        <v>0</v>
      </c>
      <c r="AT550" s="67" t="n">
        <v>1</v>
      </c>
    </row>
    <row r="551" ht="41.5" customHeight="1">
      <c r="A551" s="63" t="inlineStr">
        <is>
          <t>F17-T12-10</t>
        </is>
      </c>
      <c r="B551" s="63" t="inlineStr">
        <is>
          <t>F17</t>
        </is>
      </c>
      <c r="C551" s="63">
        <f>Flights!$F$21</f>
        <v/>
      </c>
      <c r="D551" s="64">
        <f>Flights!$D$21</f>
        <v/>
      </c>
      <c r="E551" s="63">
        <f>Flights!$G$21&amp;"-"&amp;Flights!$H$21</f>
        <v/>
      </c>
      <c r="F551" s="63">
        <f>Flights!$K$21</f>
        <v/>
      </c>
      <c r="G551" s="63" t="inlineStr">
        <is>
          <t>T-12H PREP</t>
        </is>
      </c>
      <c r="H551" s="63" t="inlineStr">
        <is>
          <t>Preparation</t>
        </is>
      </c>
      <c r="I551" s="63" t="inlineStr">
        <is>
          <t>F&amp;B Linen</t>
        </is>
      </c>
      <c r="J551" s="63" t="inlineStr">
        <is>
          <t>Tray cloth - prepared</t>
        </is>
      </c>
      <c r="K551" s="73" t="inlineStr">
        <is>
          <t>Available (ticked in reference)</t>
        </is>
      </c>
      <c r="L551" s="73" t="inlineStr">
        <is>
          <t>STD UPLIFT INFORMATION.xlsx &gt; F&amp;B LINEN!E31</t>
        </is>
      </c>
      <c r="M551" s="73" t="inlineStr">
        <is>
          <t>Not stated in reference</t>
        </is>
      </c>
      <c r="N551" s="73" t="inlineStr">
        <is>
          <t>Required</t>
        </is>
      </c>
      <c r="O551" s="73" t="inlineStr">
        <is>
          <t>Reference gives no uplift stn for this item: preparation checked at the meal uplift stn (HKG) - confirm with caterer.</t>
        </is>
      </c>
      <c r="P551" s="63" t="inlineStr">
        <is>
          <t>HKG</t>
        </is>
      </c>
      <c r="Q551" s="65">
        <f>Flights!$AE$21</f>
        <v/>
      </c>
      <c r="R551" s="65">
        <f>Q551+(IF(AND(INDEX(TZ_DSTS,MATCH(P551,TZ_STN,0))&lt;&gt;"",Q551&gt;=INDEX(TZ_DSTS,MATCH(P551,TZ_STN,0)),Q551&lt;INDEX(TZ_DSTE,MATCH(P551,TZ_STN,0))),INDEX(TZ_DST,MATCH(P551,TZ_STN,0)),INDEX(TZ_STD,MATCH(P551,TZ_STN,0))))/24</f>
        <v/>
      </c>
      <c r="S551" s="65">
        <f>Q551-T12EarlyH/24</f>
        <v/>
      </c>
      <c r="T551" s="66" t="n"/>
      <c r="U551" s="66" t="n"/>
      <c r="V551" s="66" t="n"/>
      <c r="W551" s="67" t="n"/>
      <c r="X551" s="66" t="n"/>
      <c r="Y551" s="66" t="n"/>
      <c r="Z551" s="66" t="n"/>
      <c r="AA551" s="66" t="n"/>
      <c r="AB551" s="66" t="n"/>
      <c r="AC551" s="66" t="n"/>
      <c r="AD551" s="72" t="n"/>
      <c r="AE551" s="66" t="n"/>
      <c r="AF551" s="67">
        <f>IF(AND(ISNUMBER(X551),ISNUMBER(Y551)),Y551-X551,"")</f>
        <v/>
      </c>
      <c r="AG551" s="68">
        <f>IF(ISNUMBER(AD551),AD551-(IF(AND(INDEX(TZ_DSTS,MATCH(P551,TZ_STN,0))&lt;&gt;"",(AD551-INDEX(TZ_STD,MATCH(P551,TZ_STN,0))/24)&gt;=INDEX(TZ_DSTS,MATCH(P551,TZ_STN,0)),(AD551-INDEX(TZ_STD,MATCH(P551,TZ_STN,0))/24)&lt;INDEX(TZ_DSTE,MATCH(P551,TZ_STN,0))),INDEX(TZ_DST,MATCH(P551,TZ_STN,0)),INDEX(TZ_STD,MATCH(P551,TZ_STN,0))))/24,"")</f>
        <v/>
      </c>
      <c r="AH551" s="71">
        <f>IF(N551="N/A – rule","N/A – RULE",IF(TRIM(U551)="N/A",IF(AT551=0,"INVALID – N/A not permitted for this mandatory check",IF(AND(TRIM(AC551)&lt;&gt;"",TRIM(AE551)&lt;&gt;"",TRIM(T551)&lt;&gt;""),"N/A – JUSTIFIED","INVALID – N/A needs justification, PIC and verifier")),IF(OR(TRIM(U551)="Pass",TRIM(U551)="Pass after CA"),IF(NOT(ISNUMBER(AD551)),"INVALID – completion time missing",IF(TRIM(T551)="","INVALID – PIC missing",IF(TRIM(Z551)="","INVALID – evidence missing",IF(TRIM(AE551)="","INVALID – verifier missing",IF(AND(AQ551=1,TRIM(W551)=""),"INVALID – batch ID missing",IF(AND(AR551=1,OR(NOT(ISNUMBER(X551)),NOT(ISNUMBER(Y551)))),"INVALID – expected/actual qty missing",IF(IF(AND(TRIM(U551)="Pass",ISNUMBER(AF551)),IF(AF551&lt;&gt;0,"INVALID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recorded/closed","")&lt;&gt;"",IF(AND(TRIM(U551)="Pass",ISNUMBER(AF551)),IF(AF551&lt;&gt;0,"INVALID – qty variance: use Fail or Pass after CA",""),"")&amp;IF(AND(TRIM(U551)="Pass",AB551="Open"),"INVALID – corrective action still open: use Fail, then Pass after CA","")&amp;IF(AND(TRIM(U551)="Pass after CA",OR(TRIM(AA551)="",AB551&lt;&gt;"Closed")),"INVALID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window"),IF(AG551&gt;Flights!$AA$21,"INVALID – completed after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f>
        <v/>
      </c>
      <c r="AI551" s="67">
        <f>IF(OR(AH551="N/A – RULE",AH551="N/A – JUSTIFIED"),0,1)</f>
        <v/>
      </c>
      <c r="AJ551" s="67">
        <f>IF(LEFT(AH551,8)="COMPLETE",1,0)</f>
        <v/>
      </c>
      <c r="AK551" s="67">
        <f>IF(AND(AI551=1,AJ551=0,AsOfUTC&gt;Q551),1,0)</f>
        <v/>
      </c>
      <c r="AL551" s="67">
        <f>IF(AND(AI551=1,OR(TRIM(U551)="Fail",AB551="Open",AND(ISNUMBER(AF551),AF551&lt;&gt;0,TRIM(U551)&lt;&gt;"Pass after CA"))),1,0)</f>
        <v/>
      </c>
      <c r="AM551" s="67">
        <f>IF(LEFT(AH551,7)="INVALID",1,0)</f>
        <v/>
      </c>
      <c r="AN551" s="67">
        <f>IF(AND(N551="Clarification required",AI551=1,AJ551=0),1,0)</f>
        <v/>
      </c>
      <c r="AO551" s="67">
        <f>IF(AK551=1,SUM(AK$5:AK551),"")</f>
        <v/>
      </c>
      <c r="AP551" s="67">
        <f>IF(AL551=1,SUM(AL$5:AL551),"")</f>
        <v/>
      </c>
      <c r="AQ551" s="67" t="n">
        <v>0</v>
      </c>
      <c r="AR551" s="67" t="n">
        <v>0</v>
      </c>
      <c r="AS551" s="67" t="n">
        <v>0</v>
      </c>
      <c r="AT551" s="67" t="n">
        <v>1</v>
      </c>
    </row>
    <row r="552" ht="41.5" customHeight="1">
      <c r="A552" s="63" t="inlineStr">
        <is>
          <t>F17-T12-11</t>
        </is>
      </c>
      <c r="B552" s="63" t="inlineStr">
        <is>
          <t>F17</t>
        </is>
      </c>
      <c r="C552" s="63">
        <f>Flights!$F$21</f>
        <v/>
      </c>
      <c r="D552" s="64">
        <f>Flights!$D$21</f>
        <v/>
      </c>
      <c r="E552" s="63">
        <f>Flights!$G$21&amp;"-"&amp;Flights!$H$21</f>
        <v/>
      </c>
      <c r="F552" s="63">
        <f>Flights!$K$21</f>
        <v/>
      </c>
      <c r="G552" s="63" t="inlineStr">
        <is>
          <t>T-12H PREP</t>
        </is>
      </c>
      <c r="H552" s="63" t="inlineStr">
        <is>
          <t>Preparation</t>
        </is>
      </c>
      <c r="I552" s="63" t="inlineStr">
        <is>
          <t>F&amp;B Linen</t>
        </is>
      </c>
      <c r="J552" s="63" t="inlineStr">
        <is>
          <t>Napkin - prepared</t>
        </is>
      </c>
      <c r="K552" s="73" t="inlineStr">
        <is>
          <t>Available (ticked in reference)</t>
        </is>
      </c>
      <c r="L552" s="73" t="inlineStr">
        <is>
          <t>STD UPLIFT INFORMATION.xlsx &gt; F&amp;B LINEN!F31</t>
        </is>
      </c>
      <c r="M552" s="73" t="inlineStr">
        <is>
          <t>Not stated in reference</t>
        </is>
      </c>
      <c r="N552" s="73" t="inlineStr">
        <is>
          <t>Required</t>
        </is>
      </c>
      <c r="O552" s="73" t="inlineStr">
        <is>
          <t>Reference gives no uplift stn for this item: preparation checked at the meal uplift stn (HKG) - confirm with caterer.</t>
        </is>
      </c>
      <c r="P552" s="63" t="inlineStr">
        <is>
          <t>HKG</t>
        </is>
      </c>
      <c r="Q552" s="65">
        <f>Flights!$AE$21</f>
        <v/>
      </c>
      <c r="R552" s="65">
        <f>Q552+(IF(AND(INDEX(TZ_DSTS,MATCH(P552,TZ_STN,0))&lt;&gt;"",Q552&gt;=INDEX(TZ_DSTS,MATCH(P552,TZ_STN,0)),Q552&lt;INDEX(TZ_DSTE,MATCH(P552,TZ_STN,0))),INDEX(TZ_DST,MATCH(P552,TZ_STN,0)),INDEX(TZ_STD,MATCH(P552,TZ_STN,0))))/24</f>
        <v/>
      </c>
      <c r="S552" s="65">
        <f>Q552-T12EarlyH/24</f>
        <v/>
      </c>
      <c r="T552" s="66" t="n"/>
      <c r="U552" s="66" t="n"/>
      <c r="V552" s="66" t="n"/>
      <c r="W552" s="67" t="n"/>
      <c r="X552" s="66" t="n"/>
      <c r="Y552" s="66" t="n"/>
      <c r="Z552" s="66" t="n"/>
      <c r="AA552" s="66" t="n"/>
      <c r="AB552" s="66" t="n"/>
      <c r="AC552" s="66" t="n"/>
      <c r="AD552" s="72" t="n"/>
      <c r="AE552" s="66" t="n"/>
      <c r="AF552" s="67">
        <f>IF(AND(ISNUMBER(X552),ISNUMBER(Y552)),Y552-X552,"")</f>
        <v/>
      </c>
      <c r="AG552" s="68">
        <f>IF(ISNUMBER(AD552),AD552-(IF(AND(INDEX(TZ_DSTS,MATCH(P552,TZ_STN,0))&lt;&gt;"",(AD552-INDEX(TZ_STD,MATCH(P552,TZ_STN,0))/24)&gt;=INDEX(TZ_DSTS,MATCH(P552,TZ_STN,0)),(AD552-INDEX(TZ_STD,MATCH(P552,TZ_STN,0))/24)&lt;INDEX(TZ_DSTE,MATCH(P552,TZ_STN,0))),INDEX(TZ_DST,MATCH(P552,TZ_STN,0)),INDEX(TZ_STD,MATCH(P552,TZ_STN,0))))/24,"")</f>
        <v/>
      </c>
      <c r="AH552" s="71">
        <f>IF(N552="N/A – rule","N/A – RULE",IF(TRIM(U552)="N/A",IF(AT552=0,"INVALID – N/A not permitted for this mandatory check",IF(AND(TRIM(AC552)&lt;&gt;"",TRIM(AE552)&lt;&gt;"",TRIM(T552)&lt;&gt;""),"N/A – JUSTIFIED","INVALID – N/A needs justification, PIC and verifier")),IF(OR(TRIM(U552)="Pass",TRIM(U552)="Pass after CA"),IF(NOT(ISNUMBER(AD552)),"INVALID – completion time missing",IF(TRIM(T552)="","INVALID – PIC missing",IF(TRIM(Z552)="","INVALID – evidence missing",IF(TRIM(AE552)="","INVALID – verifier missing",IF(AND(AQ552=1,TRIM(W552)=""),"INVALID – batch ID missing",IF(AND(AR552=1,OR(NOT(ISNUMBER(X552)),NOT(ISNUMBER(Y552)))),"INVALID – expected/actual qty missing",IF(IF(AND(TRIM(U552)="Pass",ISNUMBER(AF552)),IF(AF552&lt;&gt;0,"INVALID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recorded/closed","")&lt;&gt;"",IF(AND(TRIM(U552)="Pass",ISNUMBER(AF552)),IF(AF552&lt;&gt;0,"INVALID – qty variance: use Fail or Pass after CA",""),"")&amp;IF(AND(TRIM(U552)="Pass",AB552="Open"),"INVALID – corrective action still open: use Fail, then Pass after CA","")&amp;IF(AND(TRIM(U552)="Pass after CA",OR(TRIM(AA552)="",AB552&lt;&gt;"Closed")),"INVALID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window"),IF(AG552&gt;Flights!$AA$21,"INVALID – completed after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f>
        <v/>
      </c>
      <c r="AI552" s="67">
        <f>IF(OR(AH552="N/A – RULE",AH552="N/A – JUSTIFIED"),0,1)</f>
        <v/>
      </c>
      <c r="AJ552" s="67">
        <f>IF(LEFT(AH552,8)="COMPLETE",1,0)</f>
        <v/>
      </c>
      <c r="AK552" s="67">
        <f>IF(AND(AI552=1,AJ552=0,AsOfUTC&gt;Q552),1,0)</f>
        <v/>
      </c>
      <c r="AL552" s="67">
        <f>IF(AND(AI552=1,OR(TRIM(U552)="Fail",AB552="Open",AND(ISNUMBER(AF552),AF552&lt;&gt;0,TRIM(U552)&lt;&gt;"Pass after CA"))),1,0)</f>
        <v/>
      </c>
      <c r="AM552" s="67">
        <f>IF(LEFT(AH552,7)="INVALID",1,0)</f>
        <v/>
      </c>
      <c r="AN552" s="67">
        <f>IF(AND(N552="Clarification required",AI552=1,AJ552=0),1,0)</f>
        <v/>
      </c>
      <c r="AO552" s="67">
        <f>IF(AK552=1,SUM(AK$5:AK552),"")</f>
        <v/>
      </c>
      <c r="AP552" s="67">
        <f>IF(AL552=1,SUM(AL$5:AL552),"")</f>
        <v/>
      </c>
      <c r="AQ552" s="67" t="n">
        <v>0</v>
      </c>
      <c r="AR552" s="67" t="n">
        <v>0</v>
      </c>
      <c r="AS552" s="67" t="n">
        <v>0</v>
      </c>
      <c r="AT552" s="67" t="n">
        <v>1</v>
      </c>
    </row>
    <row r="553" ht="116.5" customHeight="1">
      <c r="A553" s="63" t="inlineStr">
        <is>
          <t>F17-T12-12</t>
        </is>
      </c>
      <c r="B553" s="63" t="inlineStr">
        <is>
          <t>F17</t>
        </is>
      </c>
      <c r="C553" s="63">
        <f>Flights!$F$21</f>
        <v/>
      </c>
      <c r="D553" s="64">
        <f>Flights!$D$21</f>
        <v/>
      </c>
      <c r="E553" s="63">
        <f>Flights!$G$21&amp;"-"&amp;Flights!$H$21</f>
        <v/>
      </c>
      <c r="F553" s="63">
        <f>Flights!$K$21</f>
        <v/>
      </c>
      <c r="G553" s="63" t="inlineStr">
        <is>
          <t>T-12H PREP</t>
        </is>
      </c>
      <c r="H553" s="63" t="inlineStr">
        <is>
          <t>Preparation</t>
        </is>
      </c>
      <c r="I553" s="63" t="inlineStr">
        <is>
          <t>F&amp;B Linen</t>
        </is>
      </c>
      <c r="J553" s="63" t="inlineStr">
        <is>
          <t>Table cloth - prepared</t>
        </is>
      </c>
      <c r="K553" s="73" t="inlineStr">
        <is>
          <t>Available (ticked in reference)</t>
        </is>
      </c>
      <c r="L553" s="73" t="inlineStr">
        <is>
          <t>STD UPLIFT INFORMATION.xlsx &gt; F&amp;B LINEN!G31</t>
        </is>
      </c>
      <c r="M553" s="73" t="inlineStr">
        <is>
          <t>Not stated in reference</t>
        </is>
      </c>
      <c r="N553" s="73" t="inlineStr">
        <is>
          <t>Clarification required</t>
        </is>
      </c>
      <c r="O553" s="73" t="inlineStr">
        <is>
          <t>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is>
      </c>
      <c r="P553" s="63" t="inlineStr">
        <is>
          <t>HKG</t>
        </is>
      </c>
      <c r="Q553" s="65">
        <f>Flights!$AE$21</f>
        <v/>
      </c>
      <c r="R553" s="65">
        <f>Q553+(IF(AND(INDEX(TZ_DSTS,MATCH(P553,TZ_STN,0))&lt;&gt;"",Q553&gt;=INDEX(TZ_DSTS,MATCH(P553,TZ_STN,0)),Q553&lt;INDEX(TZ_DSTE,MATCH(P553,TZ_STN,0))),INDEX(TZ_DST,MATCH(P553,TZ_STN,0)),INDEX(TZ_STD,MATCH(P553,TZ_STN,0))))/24</f>
        <v/>
      </c>
      <c r="S553" s="65">
        <f>Q553-T12EarlyH/24</f>
        <v/>
      </c>
      <c r="T553" s="66" t="n"/>
      <c r="U553" s="66" t="n"/>
      <c r="V553" s="66" t="n"/>
      <c r="W553" s="67" t="n"/>
      <c r="X553" s="66" t="n"/>
      <c r="Y553" s="66" t="n"/>
      <c r="Z553" s="66" t="n"/>
      <c r="AA553" s="66" t="n"/>
      <c r="AB553" s="66" t="n"/>
      <c r="AC553" s="66" t="n"/>
      <c r="AD553" s="72" t="n"/>
      <c r="AE553" s="66" t="n"/>
      <c r="AF553" s="67">
        <f>IF(AND(ISNUMBER(X553),ISNUMBER(Y553)),Y553-X553,"")</f>
        <v/>
      </c>
      <c r="AG553" s="68">
        <f>IF(ISNUMBER(AD553),AD553-(IF(AND(INDEX(TZ_DSTS,MATCH(P553,TZ_STN,0))&lt;&gt;"",(AD553-INDEX(TZ_STD,MATCH(P553,TZ_STN,0))/24)&gt;=INDEX(TZ_DSTS,MATCH(P553,TZ_STN,0)),(AD553-INDEX(TZ_STD,MATCH(P553,TZ_STN,0))/24)&lt;INDEX(TZ_DSTE,MATCH(P553,TZ_STN,0))),INDEX(TZ_DST,MATCH(P553,TZ_STN,0)),INDEX(TZ_STD,MATCH(P553,TZ_STN,0))))/24,"")</f>
        <v/>
      </c>
      <c r="AH553" s="71">
        <f>IF(N553="N/A – rule","N/A – RULE",IF(TRIM(U553)="N/A",IF(AT553=0,"INVALID – N/A not permitted for this mandatory check",IF(AND(TRIM(AC553)&lt;&gt;"",TRIM(AE553)&lt;&gt;"",TRIM(T553)&lt;&gt;""),"N/A – JUSTIFIED","INVALID – N/A needs justification, PIC and verifier")),IF(OR(TRIM(U553)="Pass",TRIM(U553)="Pass after CA"),IF(NOT(ISNUMBER(AD553)),"INVALID – completion time missing",IF(TRIM(T553)="","INVALID – PIC missing",IF(TRIM(Z553)="","INVALID – evidence missing",IF(TRIM(AE553)="","INVALID – verifier missing",IF(AND(AQ553=1,TRIM(W553)=""),"INVALID – batch ID missing",IF(AND(AR553=1,OR(NOT(ISNUMBER(X553)),NOT(ISNUMBER(Y553)))),"INVALID – expected/actual qty missing",IF(IF(AND(TRIM(U553)="Pass",ISNUMBER(AF553)),IF(AF553&lt;&gt;0,"INVALID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recorded/closed","")&lt;&gt;"",IF(AND(TRIM(U553)="Pass",ISNUMBER(AF553)),IF(AF553&lt;&gt;0,"INVALID – qty variance: use Fail or Pass after CA",""),"")&amp;IF(AND(TRIM(U553)="Pass",AB553="Open"),"INVALID – corrective action still open: use Fail, then Pass after CA","")&amp;IF(AND(TRIM(U553)="Pass after CA",OR(TRIM(AA553)="",AB553&lt;&gt;"Closed")),"INVALID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window"),IF(AG553&gt;Flights!$AA$21,"INVALID – completed after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f>
        <v/>
      </c>
      <c r="AI553" s="67">
        <f>IF(OR(AH553="N/A – RULE",AH553="N/A – JUSTIFIED"),0,1)</f>
        <v/>
      </c>
      <c r="AJ553" s="67">
        <f>IF(LEFT(AH553,8)="COMPLETE",1,0)</f>
        <v/>
      </c>
      <c r="AK553" s="67">
        <f>IF(AND(AI553=1,AJ553=0,AsOfUTC&gt;Q553),1,0)</f>
        <v/>
      </c>
      <c r="AL553" s="67">
        <f>IF(AND(AI553=1,OR(TRIM(U553)="Fail",AB553="Open",AND(ISNUMBER(AF553),AF553&lt;&gt;0,TRIM(U553)&lt;&gt;"Pass after CA"))),1,0)</f>
        <v/>
      </c>
      <c r="AM553" s="67">
        <f>IF(LEFT(AH553,7)="INVALID",1,0)</f>
        <v/>
      </c>
      <c r="AN553" s="67">
        <f>IF(AND(N553="Clarification required",AI553=1,AJ553=0),1,0)</f>
        <v/>
      </c>
      <c r="AO553" s="67">
        <f>IF(AK553=1,SUM(AK$5:AK553),"")</f>
        <v/>
      </c>
      <c r="AP553" s="67">
        <f>IF(AL553=1,SUM(AL$5:AL553),"")</f>
        <v/>
      </c>
      <c r="AQ553" s="67" t="n">
        <v>0</v>
      </c>
      <c r="AR553" s="67" t="n">
        <v>0</v>
      </c>
      <c r="AS553" s="67" t="n">
        <v>0</v>
      </c>
      <c r="AT553" s="67" t="n">
        <v>1</v>
      </c>
    </row>
    <row r="554" ht="116.5" customHeight="1">
      <c r="A554" s="63" t="inlineStr">
        <is>
          <t>F17-T12-13</t>
        </is>
      </c>
      <c r="B554" s="63" t="inlineStr">
        <is>
          <t>F17</t>
        </is>
      </c>
      <c r="C554" s="63">
        <f>Flights!$F$21</f>
        <v/>
      </c>
      <c r="D554" s="64">
        <f>Flights!$D$21</f>
        <v/>
      </c>
      <c r="E554" s="63">
        <f>Flights!$G$21&amp;"-"&amp;Flights!$H$21</f>
        <v/>
      </c>
      <c r="F554" s="63">
        <f>Flights!$K$21</f>
        <v/>
      </c>
      <c r="G554" s="63" t="inlineStr">
        <is>
          <t>T-12H PREP</t>
        </is>
      </c>
      <c r="H554" s="63" t="inlineStr">
        <is>
          <t>Preparation</t>
        </is>
      </c>
      <c r="I554" s="63" t="inlineStr">
        <is>
          <t>F&amp;B Linen</t>
        </is>
      </c>
      <c r="J554" s="63" t="inlineStr">
        <is>
          <t>Bread linen (using table cloth) - prepared</t>
        </is>
      </c>
      <c r="K554" s="73" t="inlineStr">
        <is>
          <t>Available (ticked in reference)</t>
        </is>
      </c>
      <c r="L554" s="73" t="inlineStr">
        <is>
          <t>STD UPLIFT INFORMATION.xlsx &gt; F&amp;B LINEN!H31</t>
        </is>
      </c>
      <c r="M554" s="73" t="inlineStr">
        <is>
          <t>Not stated in reference</t>
        </is>
      </c>
      <c r="N554" s="73" t="inlineStr">
        <is>
          <t>Clarification required</t>
        </is>
      </c>
      <c r="O554" s="73" t="inlineStr">
        <is>
          <t>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is>
      </c>
      <c r="P554" s="63" t="inlineStr">
        <is>
          <t>HKG</t>
        </is>
      </c>
      <c r="Q554" s="65">
        <f>Flights!$AE$21</f>
        <v/>
      </c>
      <c r="R554" s="65">
        <f>Q554+(IF(AND(INDEX(TZ_DSTS,MATCH(P554,TZ_STN,0))&lt;&gt;"",Q554&gt;=INDEX(TZ_DSTS,MATCH(P554,TZ_STN,0)),Q554&lt;INDEX(TZ_DSTE,MATCH(P554,TZ_STN,0))),INDEX(TZ_DST,MATCH(P554,TZ_STN,0)),INDEX(TZ_STD,MATCH(P554,TZ_STN,0))))/24</f>
        <v/>
      </c>
      <c r="S554" s="65">
        <f>Q554-T12EarlyH/24</f>
        <v/>
      </c>
      <c r="T554" s="66" t="n"/>
      <c r="U554" s="66" t="n"/>
      <c r="V554" s="66" t="n"/>
      <c r="W554" s="67" t="n"/>
      <c r="X554" s="66" t="n"/>
      <c r="Y554" s="66" t="n"/>
      <c r="Z554" s="66" t="n"/>
      <c r="AA554" s="66" t="n"/>
      <c r="AB554" s="66" t="n"/>
      <c r="AC554" s="66" t="n"/>
      <c r="AD554" s="72" t="n"/>
      <c r="AE554" s="66" t="n"/>
      <c r="AF554" s="67">
        <f>IF(AND(ISNUMBER(X554),ISNUMBER(Y554)),Y554-X554,"")</f>
        <v/>
      </c>
      <c r="AG554" s="68">
        <f>IF(ISNUMBER(AD554),AD554-(IF(AND(INDEX(TZ_DSTS,MATCH(P554,TZ_STN,0))&lt;&gt;"",(AD554-INDEX(TZ_STD,MATCH(P554,TZ_STN,0))/24)&gt;=INDEX(TZ_DSTS,MATCH(P554,TZ_STN,0)),(AD554-INDEX(TZ_STD,MATCH(P554,TZ_STN,0))/24)&lt;INDEX(TZ_DSTE,MATCH(P554,TZ_STN,0))),INDEX(TZ_DST,MATCH(P554,TZ_STN,0)),INDEX(TZ_STD,MATCH(P554,TZ_STN,0))))/24,"")</f>
        <v/>
      </c>
      <c r="AH554" s="71">
        <f>IF(N554="N/A – rule","N/A – RULE",IF(TRIM(U554)="N/A",IF(AT554=0,"INVALID – N/A not permitted for this mandatory check",IF(AND(TRIM(AC554)&lt;&gt;"",TRIM(AE554)&lt;&gt;"",TRIM(T554)&lt;&gt;""),"N/A – JUSTIFIED","INVALID – N/A needs justification, PIC and verifier")),IF(OR(TRIM(U554)="Pass",TRIM(U554)="Pass after CA"),IF(NOT(ISNUMBER(AD554)),"INVALID – completion time missing",IF(TRIM(T554)="","INVALID – PIC missing",IF(TRIM(Z554)="","INVALID – evidence missing",IF(TRIM(AE554)="","INVALID – verifier missing",IF(AND(AQ554=1,TRIM(W554)=""),"INVALID – batch ID missing",IF(AND(AR554=1,OR(NOT(ISNUMBER(X554)),NOT(ISNUMBER(Y554)))),"INVALID – expected/actual qty missing",IF(IF(AND(TRIM(U554)="Pass",ISNUMBER(AF554)),IF(AF554&lt;&gt;0,"INVALID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recorded/closed","")&lt;&gt;"",IF(AND(TRIM(U554)="Pass",ISNUMBER(AF554)),IF(AF554&lt;&gt;0,"INVALID – qty variance: use Fail or Pass after CA",""),"")&amp;IF(AND(TRIM(U554)="Pass",AB554="Open"),"INVALID – corrective action still open: use Fail, then Pass after CA","")&amp;IF(AND(TRIM(U554)="Pass after CA",OR(TRIM(AA554)="",AB554&lt;&gt;"Closed")),"INVALID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window"),IF(AG554&gt;Flights!$AA$21,"INVALID – completed after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f>
        <v/>
      </c>
      <c r="AI554" s="67">
        <f>IF(OR(AH554="N/A – RULE",AH554="N/A – JUSTIFIED"),0,1)</f>
        <v/>
      </c>
      <c r="AJ554" s="67">
        <f>IF(LEFT(AH554,8)="COMPLETE",1,0)</f>
        <v/>
      </c>
      <c r="AK554" s="67">
        <f>IF(AND(AI554=1,AJ554=0,AsOfUTC&gt;Q554),1,0)</f>
        <v/>
      </c>
      <c r="AL554" s="67">
        <f>IF(AND(AI554=1,OR(TRIM(U554)="Fail",AB554="Open",AND(ISNUMBER(AF554),AF554&lt;&gt;0,TRIM(U554)&lt;&gt;"Pass after CA"))),1,0)</f>
        <v/>
      </c>
      <c r="AM554" s="67">
        <f>IF(LEFT(AH554,7)="INVALID",1,0)</f>
        <v/>
      </c>
      <c r="AN554" s="67">
        <f>IF(AND(N554="Clarification required",AI554=1,AJ554=0),1,0)</f>
        <v/>
      </c>
      <c r="AO554" s="67">
        <f>IF(AK554=1,SUM(AK$5:AK554),"")</f>
        <v/>
      </c>
      <c r="AP554" s="67">
        <f>IF(AL554=1,SUM(AL$5:AL554),"")</f>
        <v/>
      </c>
      <c r="AQ554" s="67" t="n">
        <v>0</v>
      </c>
      <c r="AR554" s="67" t="n">
        <v>0</v>
      </c>
      <c r="AS554" s="67" t="n">
        <v>0</v>
      </c>
      <c r="AT554" s="67" t="n">
        <v>1</v>
      </c>
    </row>
    <row r="555" ht="54" customHeight="1">
      <c r="A555" s="63" t="inlineStr">
        <is>
          <t>F17-T12-14</t>
        </is>
      </c>
      <c r="B555" s="63" t="inlineStr">
        <is>
          <t>F17</t>
        </is>
      </c>
      <c r="C555" s="63">
        <f>Flights!$F$21</f>
        <v/>
      </c>
      <c r="D555" s="64">
        <f>Flights!$D$21</f>
        <v/>
      </c>
      <c r="E555" s="63">
        <f>Flights!$G$21&amp;"-"&amp;Flights!$H$21</f>
        <v/>
      </c>
      <c r="F555" s="63">
        <f>Flights!$K$21</f>
        <v/>
      </c>
      <c r="G555" s="63" t="inlineStr">
        <is>
          <t>T-12H PREP</t>
        </is>
      </c>
      <c r="H555" s="63" t="inlineStr">
        <is>
          <t>Preparation</t>
        </is>
      </c>
      <c r="I555" s="63" t="inlineStr">
        <is>
          <t>F&amp;B Linen</t>
        </is>
      </c>
      <c r="J555" s="63" t="inlineStr">
        <is>
          <t>Trolley cloth - prepared</t>
        </is>
      </c>
      <c r="K555" s="73" t="inlineStr">
        <is>
          <t>Narrow body: Top only</t>
        </is>
      </c>
      <c r="L555" s="73" t="inlineStr">
        <is>
          <t>STD UPLIFT INFORMATION.xlsx &gt; F&amp;B LINEN!I31</t>
        </is>
      </c>
      <c r="M555" s="73" t="inlineStr">
        <is>
          <t>Not stated in reference</t>
        </is>
      </c>
      <c r="N555" s="73" t="inlineStr">
        <is>
          <t>Required</t>
        </is>
      </c>
      <c r="O555" s="73" t="inlineStr">
        <is>
          <t>Per note F&amp;B LINEN!B79:C80. Reference gives no uplift stn for this item: preparation checked at the meal uplift stn (HKG) - confirm with caterer.</t>
        </is>
      </c>
      <c r="P555" s="63" t="inlineStr">
        <is>
          <t>HKG</t>
        </is>
      </c>
      <c r="Q555" s="65">
        <f>Flights!$AE$21</f>
        <v/>
      </c>
      <c r="R555" s="65">
        <f>Q555+(IF(AND(INDEX(TZ_DSTS,MATCH(P555,TZ_STN,0))&lt;&gt;"",Q555&gt;=INDEX(TZ_DSTS,MATCH(P555,TZ_STN,0)),Q555&lt;INDEX(TZ_DSTE,MATCH(P555,TZ_STN,0))),INDEX(TZ_DST,MATCH(P555,TZ_STN,0)),INDEX(TZ_STD,MATCH(P555,TZ_STN,0))))/24</f>
        <v/>
      </c>
      <c r="S555" s="65">
        <f>Q555-T12EarlyH/24</f>
        <v/>
      </c>
      <c r="T555" s="66" t="n"/>
      <c r="U555" s="66" t="n"/>
      <c r="V555" s="66" t="n"/>
      <c r="W555" s="67" t="n"/>
      <c r="X555" s="66" t="n"/>
      <c r="Y555" s="66" t="n"/>
      <c r="Z555" s="66" t="n"/>
      <c r="AA555" s="66" t="n"/>
      <c r="AB555" s="66" t="n"/>
      <c r="AC555" s="66" t="n"/>
      <c r="AD555" s="72" t="n"/>
      <c r="AE555" s="66" t="n"/>
      <c r="AF555" s="67">
        <f>IF(AND(ISNUMBER(X555),ISNUMBER(Y555)),Y555-X555,"")</f>
        <v/>
      </c>
      <c r="AG555" s="68">
        <f>IF(ISNUMBER(AD555),AD555-(IF(AND(INDEX(TZ_DSTS,MATCH(P555,TZ_STN,0))&lt;&gt;"",(AD555-INDEX(TZ_STD,MATCH(P555,TZ_STN,0))/24)&gt;=INDEX(TZ_DSTS,MATCH(P555,TZ_STN,0)),(AD555-INDEX(TZ_STD,MATCH(P555,TZ_STN,0))/24)&lt;INDEX(TZ_DSTE,MATCH(P555,TZ_STN,0))),INDEX(TZ_DST,MATCH(P555,TZ_STN,0)),INDEX(TZ_STD,MATCH(P555,TZ_STN,0))))/24,"")</f>
        <v/>
      </c>
      <c r="AH555" s="71">
        <f>IF(N555="N/A – rule","N/A – RULE",IF(TRIM(U555)="N/A",IF(AT555=0,"INVALID – N/A not permitted for this mandatory check",IF(AND(TRIM(AC555)&lt;&gt;"",TRIM(AE555)&lt;&gt;"",TRIM(T555)&lt;&gt;""),"N/A – JUSTIFIED","INVALID – N/A needs justification, PIC and verifier")),IF(OR(TRIM(U555)="Pass",TRIM(U555)="Pass after CA"),IF(NOT(ISNUMBER(AD555)),"INVALID – completion time missing",IF(TRIM(T555)="","INVALID – PIC missing",IF(TRIM(Z555)="","INVALID – evidence missing",IF(TRIM(AE555)="","INVALID – verifier missing",IF(AND(AQ555=1,TRIM(W555)=""),"INVALID – batch ID missing",IF(AND(AR555=1,OR(NOT(ISNUMBER(X555)),NOT(ISNUMBER(Y555)))),"INVALID – expected/actual qty missing",IF(IF(AND(TRIM(U555)="Pass",ISNUMBER(AF555)),IF(AF555&lt;&gt;0,"INVALID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recorded/closed","")&lt;&gt;"",IF(AND(TRIM(U555)="Pass",ISNUMBER(AF555)),IF(AF555&lt;&gt;0,"INVALID – qty variance: use Fail or Pass after CA",""),"")&amp;IF(AND(TRIM(U555)="Pass",AB555="Open"),"INVALID – corrective action still open: use Fail, then Pass after CA","")&amp;IF(AND(TRIM(U555)="Pass after CA",OR(TRIM(AA555)="",AB555&lt;&gt;"Closed")),"INVALID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window"),IF(AG555&gt;Flights!$AA$21,"INVALID – completed after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f>
        <v/>
      </c>
      <c r="AI555" s="67">
        <f>IF(OR(AH555="N/A – RULE",AH555="N/A – JUSTIFIED"),0,1)</f>
        <v/>
      </c>
      <c r="AJ555" s="67">
        <f>IF(LEFT(AH555,8)="COMPLETE",1,0)</f>
        <v/>
      </c>
      <c r="AK555" s="67">
        <f>IF(AND(AI555=1,AJ555=0,AsOfUTC&gt;Q555),1,0)</f>
        <v/>
      </c>
      <c r="AL555" s="67">
        <f>IF(AND(AI555=1,OR(TRIM(U555)="Fail",AB555="Open",AND(ISNUMBER(AF555),AF555&lt;&gt;0,TRIM(U555)&lt;&gt;"Pass after CA"))),1,0)</f>
        <v/>
      </c>
      <c r="AM555" s="67">
        <f>IF(LEFT(AH555,7)="INVALID",1,0)</f>
        <v/>
      </c>
      <c r="AN555" s="67">
        <f>IF(AND(N555="Clarification required",AI555=1,AJ555=0),1,0)</f>
        <v/>
      </c>
      <c r="AO555" s="67">
        <f>IF(AK555=1,SUM(AK$5:AK555),"")</f>
        <v/>
      </c>
      <c r="AP555" s="67">
        <f>IF(AL555=1,SUM(AL$5:AL555),"")</f>
        <v/>
      </c>
      <c r="AQ555" s="67" t="n">
        <v>0</v>
      </c>
      <c r="AR555" s="67" t="n">
        <v>0</v>
      </c>
      <c r="AS555" s="67" t="n">
        <v>0</v>
      </c>
      <c r="AT555" s="67" t="n">
        <v>1</v>
      </c>
    </row>
    <row r="556" ht="41.5" customHeight="1">
      <c r="A556" s="63" t="inlineStr">
        <is>
          <t>F17-T12-15</t>
        </is>
      </c>
      <c r="B556" s="63" t="inlineStr">
        <is>
          <t>F17</t>
        </is>
      </c>
      <c r="C556" s="63">
        <f>Flights!$F$21</f>
        <v/>
      </c>
      <c r="D556" s="64">
        <f>Flights!$D$21</f>
        <v/>
      </c>
      <c r="E556" s="63">
        <f>Flights!$G$21&amp;"-"&amp;Flights!$H$21</f>
        <v/>
      </c>
      <c r="F556" s="63">
        <f>Flights!$K$21</f>
        <v/>
      </c>
      <c r="G556" s="63" t="inlineStr">
        <is>
          <t>T-12H PREP</t>
        </is>
      </c>
      <c r="H556" s="63" t="inlineStr">
        <is>
          <t>Preparation</t>
        </is>
      </c>
      <c r="I556" s="63" t="inlineStr">
        <is>
          <t>F&amp;B Linen</t>
        </is>
      </c>
      <c r="J556" s="63" t="inlineStr">
        <is>
          <t>Linen bag - prepared</t>
        </is>
      </c>
      <c r="K556" s="73" t="inlineStr">
        <is>
          <t>Available (ticked in reference)</t>
        </is>
      </c>
      <c r="L556" s="73" t="inlineStr">
        <is>
          <t>STD UPLIFT INFORMATION.xlsx &gt; F&amp;B LINEN!J31</t>
        </is>
      </c>
      <c r="M556" s="73" t="inlineStr">
        <is>
          <t>Not stated in reference</t>
        </is>
      </c>
      <c r="N556" s="73" t="inlineStr">
        <is>
          <t>Required</t>
        </is>
      </c>
      <c r="O556" s="73" t="inlineStr">
        <is>
          <t>Reference gives no uplift stn for this item: preparation checked at the meal uplift stn (HKG) - confirm with caterer.</t>
        </is>
      </c>
      <c r="P556" s="63" t="inlineStr">
        <is>
          <t>HKG</t>
        </is>
      </c>
      <c r="Q556" s="65">
        <f>Flights!$AE$21</f>
        <v/>
      </c>
      <c r="R556" s="65">
        <f>Q556+(IF(AND(INDEX(TZ_DSTS,MATCH(P556,TZ_STN,0))&lt;&gt;"",Q556&gt;=INDEX(TZ_DSTS,MATCH(P556,TZ_STN,0)),Q556&lt;INDEX(TZ_DSTE,MATCH(P556,TZ_STN,0))),INDEX(TZ_DST,MATCH(P556,TZ_STN,0)),INDEX(TZ_STD,MATCH(P556,TZ_STN,0))))/24</f>
        <v/>
      </c>
      <c r="S556" s="65">
        <f>Q556-T12EarlyH/24</f>
        <v/>
      </c>
      <c r="T556" s="66" t="n"/>
      <c r="U556" s="66" t="n"/>
      <c r="V556" s="66" t="n"/>
      <c r="W556" s="67" t="n"/>
      <c r="X556" s="66" t="n"/>
      <c r="Y556" s="66" t="n"/>
      <c r="Z556" s="66" t="n"/>
      <c r="AA556" s="66" t="n"/>
      <c r="AB556" s="66" t="n"/>
      <c r="AC556" s="66" t="n"/>
      <c r="AD556" s="72" t="n"/>
      <c r="AE556" s="66" t="n"/>
      <c r="AF556" s="67">
        <f>IF(AND(ISNUMBER(X556),ISNUMBER(Y556)),Y556-X556,"")</f>
        <v/>
      </c>
      <c r="AG556" s="68">
        <f>IF(ISNUMBER(AD556),AD556-(IF(AND(INDEX(TZ_DSTS,MATCH(P556,TZ_STN,0))&lt;&gt;"",(AD556-INDEX(TZ_STD,MATCH(P556,TZ_STN,0))/24)&gt;=INDEX(TZ_DSTS,MATCH(P556,TZ_STN,0)),(AD556-INDEX(TZ_STD,MATCH(P556,TZ_STN,0))/24)&lt;INDEX(TZ_DSTE,MATCH(P556,TZ_STN,0))),INDEX(TZ_DST,MATCH(P556,TZ_STN,0)),INDEX(TZ_STD,MATCH(P556,TZ_STN,0))))/24,"")</f>
        <v/>
      </c>
      <c r="AH556" s="71">
        <f>IF(N556="N/A – rule","N/A – RULE",IF(TRIM(U556)="N/A",IF(AT556=0,"INVALID – N/A not permitted for this mandatory check",IF(AND(TRIM(AC556)&lt;&gt;"",TRIM(AE556)&lt;&gt;"",TRIM(T556)&lt;&gt;""),"N/A – JUSTIFIED","INVALID – N/A needs justification, PIC and verifier")),IF(OR(TRIM(U556)="Pass",TRIM(U556)="Pass after CA"),IF(NOT(ISNUMBER(AD556)),"INVALID – completion time missing",IF(TRIM(T556)="","INVALID – PIC missing",IF(TRIM(Z556)="","INVALID – evidence missing",IF(TRIM(AE556)="","INVALID – verifier missing",IF(AND(AQ556=1,TRIM(W556)=""),"INVALID – batch ID missing",IF(AND(AR556=1,OR(NOT(ISNUMBER(X556)),NOT(ISNUMBER(Y556)))),"INVALID – expected/actual qty missing",IF(IF(AND(TRIM(U556)="Pass",ISNUMBER(AF556)),IF(AF556&lt;&gt;0,"INVALID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recorded/closed","")&lt;&gt;"",IF(AND(TRIM(U556)="Pass",ISNUMBER(AF556)),IF(AF556&lt;&gt;0,"INVALID – qty variance: use Fail or Pass after CA",""),"")&amp;IF(AND(TRIM(U556)="Pass",AB556="Open"),"INVALID – corrective action still open: use Fail, then Pass after CA","")&amp;IF(AND(TRIM(U556)="Pass after CA",OR(TRIM(AA556)="",AB556&lt;&gt;"Closed")),"INVALID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window"),IF(AG556&gt;Flights!$AA$21,"INVALID – completed after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f>
        <v/>
      </c>
      <c r="AI556" s="67">
        <f>IF(OR(AH556="N/A – RULE",AH556="N/A – JUSTIFIED"),0,1)</f>
        <v/>
      </c>
      <c r="AJ556" s="67">
        <f>IF(LEFT(AH556,8)="COMPLETE",1,0)</f>
        <v/>
      </c>
      <c r="AK556" s="67">
        <f>IF(AND(AI556=1,AJ556=0,AsOfUTC&gt;Q556),1,0)</f>
        <v/>
      </c>
      <c r="AL556" s="67">
        <f>IF(AND(AI556=1,OR(TRIM(U556)="Fail",AB556="Open",AND(ISNUMBER(AF556),AF556&lt;&gt;0,TRIM(U556)&lt;&gt;"Pass after CA"))),1,0)</f>
        <v/>
      </c>
      <c r="AM556" s="67">
        <f>IF(LEFT(AH556,7)="INVALID",1,0)</f>
        <v/>
      </c>
      <c r="AN556" s="67">
        <f>IF(AND(N556="Clarification required",AI556=1,AJ556=0),1,0)</f>
        <v/>
      </c>
      <c r="AO556" s="67">
        <f>IF(AK556=1,SUM(AK$5:AK556),"")</f>
        <v/>
      </c>
      <c r="AP556" s="67">
        <f>IF(AL556=1,SUM(AL$5:AL556),"")</f>
        <v/>
      </c>
      <c r="AQ556" s="67" t="n">
        <v>0</v>
      </c>
      <c r="AR556" s="67" t="n">
        <v>0</v>
      </c>
      <c r="AS556" s="67" t="n">
        <v>0</v>
      </c>
      <c r="AT556" s="67" t="n">
        <v>1</v>
      </c>
    </row>
    <row r="557" ht="41.5" customHeight="1">
      <c r="A557" s="63" t="inlineStr">
        <is>
          <t>F17-T12-16</t>
        </is>
      </c>
      <c r="B557" s="63" t="inlineStr">
        <is>
          <t>F17</t>
        </is>
      </c>
      <c r="C557" s="63">
        <f>Flights!$F$21</f>
        <v/>
      </c>
      <c r="D557" s="64">
        <f>Flights!$D$21</f>
        <v/>
      </c>
      <c r="E557" s="63">
        <f>Flights!$G$21&amp;"-"&amp;Flights!$H$21</f>
        <v/>
      </c>
      <c r="F557" s="63">
        <f>Flights!$K$21</f>
        <v/>
      </c>
      <c r="G557" s="63" t="inlineStr">
        <is>
          <t>T-12H PREP</t>
        </is>
      </c>
      <c r="H557" s="63" t="inlineStr">
        <is>
          <t>Preparation</t>
        </is>
      </c>
      <c r="I557" s="63" t="inlineStr">
        <is>
          <t>Seat Linen</t>
        </is>
      </c>
      <c r="J557" s="63" t="inlineStr">
        <is>
          <t>Seat pillow (BS &amp; BC) - prepared</t>
        </is>
      </c>
      <c r="K557" s="73" t="inlineStr">
        <is>
          <t>Available 100% (ticked in reference)</t>
        </is>
      </c>
      <c r="L557" s="73" t="inlineStr">
        <is>
          <t>STD UPLIFT INFORMATION.xlsx &gt; SEAT LINEN!E30</t>
        </is>
      </c>
      <c r="M557" s="73" t="inlineStr">
        <is>
          <t>Not stated in reference</t>
        </is>
      </c>
      <c r="N557" s="73" t="inlineStr">
        <is>
          <t>Required</t>
        </is>
      </c>
      <c r="O557" s="73" t="inlineStr">
        <is>
          <t>Reference gives no uplift stn for this item: preparation checked at the meal uplift stn (HKG) - confirm with caterer.</t>
        </is>
      </c>
      <c r="P557" s="63" t="inlineStr">
        <is>
          <t>HKG</t>
        </is>
      </c>
      <c r="Q557" s="65">
        <f>Flights!$AE$21</f>
        <v/>
      </c>
      <c r="R557" s="65">
        <f>Q557+(IF(AND(INDEX(TZ_DSTS,MATCH(P557,TZ_STN,0))&lt;&gt;"",Q557&gt;=INDEX(TZ_DSTS,MATCH(P557,TZ_STN,0)),Q557&lt;INDEX(TZ_DSTE,MATCH(P557,TZ_STN,0))),INDEX(TZ_DST,MATCH(P557,TZ_STN,0)),INDEX(TZ_STD,MATCH(P557,TZ_STN,0))))/24</f>
        <v/>
      </c>
      <c r="S557" s="65">
        <f>Q557-T12EarlyH/24</f>
        <v/>
      </c>
      <c r="T557" s="66" t="n"/>
      <c r="U557" s="66" t="n"/>
      <c r="V557" s="66" t="n"/>
      <c r="W557" s="67" t="n"/>
      <c r="X557" s="66" t="n"/>
      <c r="Y557" s="66" t="n"/>
      <c r="Z557" s="66" t="n"/>
      <c r="AA557" s="66" t="n"/>
      <c r="AB557" s="66" t="n"/>
      <c r="AC557" s="66" t="n"/>
      <c r="AD557" s="72" t="n"/>
      <c r="AE557" s="66" t="n"/>
      <c r="AF557" s="67">
        <f>IF(AND(ISNUMBER(X557),ISNUMBER(Y557)),Y557-X557,"")</f>
        <v/>
      </c>
      <c r="AG557" s="68">
        <f>IF(ISNUMBER(AD557),AD557-(IF(AND(INDEX(TZ_DSTS,MATCH(P557,TZ_STN,0))&lt;&gt;"",(AD557-INDEX(TZ_STD,MATCH(P557,TZ_STN,0))/24)&gt;=INDEX(TZ_DSTS,MATCH(P557,TZ_STN,0)),(AD557-INDEX(TZ_STD,MATCH(P557,TZ_STN,0))/24)&lt;INDEX(TZ_DSTE,MATCH(P557,TZ_STN,0))),INDEX(TZ_DST,MATCH(P557,TZ_STN,0)),INDEX(TZ_STD,MATCH(P557,TZ_STN,0))))/24,"")</f>
        <v/>
      </c>
      <c r="AH557" s="71">
        <f>IF(N557="N/A – rule","N/A – RULE",IF(TRIM(U557)="N/A",IF(AT557=0,"INVALID – N/A not permitted for this mandatory check",IF(AND(TRIM(AC557)&lt;&gt;"",TRIM(AE557)&lt;&gt;"",TRIM(T557)&lt;&gt;""),"N/A – JUSTIFIED","INVALID – N/A needs justification, PIC and verifier")),IF(OR(TRIM(U557)="Pass",TRIM(U557)="Pass after CA"),IF(NOT(ISNUMBER(AD557)),"INVALID – completion time missing",IF(TRIM(T557)="","INVALID – PIC missing",IF(TRIM(Z557)="","INVALID – evidence missing",IF(TRIM(AE557)="","INVALID – verifier missing",IF(AND(AQ557=1,TRIM(W557)=""),"INVALID – batch ID missing",IF(AND(AR557=1,OR(NOT(ISNUMBER(X557)),NOT(ISNUMBER(Y557)))),"INVALID – expected/actual qty missing",IF(IF(AND(TRIM(U557)="Pass",ISNUMBER(AF557)),IF(AF557&lt;&gt;0,"INVALID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recorded/closed","")&lt;&gt;"",IF(AND(TRIM(U557)="Pass",ISNUMBER(AF557)),IF(AF557&lt;&gt;0,"INVALID – qty variance: use Fail or Pass after CA",""),"")&amp;IF(AND(TRIM(U557)="Pass",AB557="Open"),"INVALID – corrective action still open: use Fail, then Pass after CA","")&amp;IF(AND(TRIM(U557)="Pass after CA",OR(TRIM(AA557)="",AB557&lt;&gt;"Closed")),"INVALID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window"),IF(AG557&gt;Flights!$AA$21,"INVALID – completed after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f>
        <v/>
      </c>
      <c r="AI557" s="67">
        <f>IF(OR(AH557="N/A – RULE",AH557="N/A – JUSTIFIED"),0,1)</f>
        <v/>
      </c>
      <c r="AJ557" s="67">
        <f>IF(LEFT(AH557,8)="COMPLETE",1,0)</f>
        <v/>
      </c>
      <c r="AK557" s="67">
        <f>IF(AND(AI557=1,AJ557=0,AsOfUTC&gt;Q557),1,0)</f>
        <v/>
      </c>
      <c r="AL557" s="67">
        <f>IF(AND(AI557=1,OR(TRIM(U557)="Fail",AB557="Open",AND(ISNUMBER(AF557),AF557&lt;&gt;0,TRIM(U557)&lt;&gt;"Pass after CA"))),1,0)</f>
        <v/>
      </c>
      <c r="AM557" s="67">
        <f>IF(LEFT(AH557,7)="INVALID",1,0)</f>
        <v/>
      </c>
      <c r="AN557" s="67">
        <f>IF(AND(N557="Clarification required",AI557=1,AJ557=0),1,0)</f>
        <v/>
      </c>
      <c r="AO557" s="67">
        <f>IF(AK557=1,SUM(AK$5:AK557),"")</f>
        <v/>
      </c>
      <c r="AP557" s="67">
        <f>IF(AL557=1,SUM(AL$5:AL557),"")</f>
        <v/>
      </c>
      <c r="AQ557" s="67" t="n">
        <v>0</v>
      </c>
      <c r="AR557" s="67" t="n">
        <v>0</v>
      </c>
      <c r="AS557" s="67" t="n">
        <v>0</v>
      </c>
      <c r="AT557" s="67" t="n">
        <v>1</v>
      </c>
    </row>
    <row r="558" ht="41.5" customHeight="1">
      <c r="A558" s="63" t="inlineStr">
        <is>
          <t>F17-T12-17</t>
        </is>
      </c>
      <c r="B558" s="63" t="inlineStr">
        <is>
          <t>F17</t>
        </is>
      </c>
      <c r="C558" s="63">
        <f>Flights!$F$21</f>
        <v/>
      </c>
      <c r="D558" s="64">
        <f>Flights!$D$21</f>
        <v/>
      </c>
      <c r="E558" s="63">
        <f>Flights!$G$21&amp;"-"&amp;Flights!$H$21</f>
        <v/>
      </c>
      <c r="F558" s="63">
        <f>Flights!$K$21</f>
        <v/>
      </c>
      <c r="G558" s="63" t="inlineStr">
        <is>
          <t>T-12H PREP</t>
        </is>
      </c>
      <c r="H558" s="63" t="inlineStr">
        <is>
          <t>Preparation</t>
        </is>
      </c>
      <c r="I558" s="63" t="inlineStr">
        <is>
          <t>Seat Linen</t>
        </is>
      </c>
      <c r="J558" s="63" t="inlineStr">
        <is>
          <t>Blanket (BS &amp; BC) - prepared</t>
        </is>
      </c>
      <c r="K558" s="73" t="inlineStr">
        <is>
          <t>Available 100% (ticked in reference)</t>
        </is>
      </c>
      <c r="L558" s="73" t="inlineStr">
        <is>
          <t>STD UPLIFT INFORMATION.xlsx &gt; SEAT LINEN!H30</t>
        </is>
      </c>
      <c r="M558" s="73" t="inlineStr">
        <is>
          <t>Not stated in reference</t>
        </is>
      </c>
      <c r="N558" s="73" t="inlineStr">
        <is>
          <t>Required</t>
        </is>
      </c>
      <c r="O558" s="73" t="inlineStr">
        <is>
          <t>Reference gives no uplift stn for this item: preparation checked at the meal uplift stn (HKG) - confirm with caterer.</t>
        </is>
      </c>
      <c r="P558" s="63" t="inlineStr">
        <is>
          <t>HKG</t>
        </is>
      </c>
      <c r="Q558" s="65">
        <f>Flights!$AE$21</f>
        <v/>
      </c>
      <c r="R558" s="65">
        <f>Q558+(IF(AND(INDEX(TZ_DSTS,MATCH(P558,TZ_STN,0))&lt;&gt;"",Q558&gt;=INDEX(TZ_DSTS,MATCH(P558,TZ_STN,0)),Q558&lt;INDEX(TZ_DSTE,MATCH(P558,TZ_STN,0))),INDEX(TZ_DST,MATCH(P558,TZ_STN,0)),INDEX(TZ_STD,MATCH(P558,TZ_STN,0))))/24</f>
        <v/>
      </c>
      <c r="S558" s="65">
        <f>Q558-T12EarlyH/24</f>
        <v/>
      </c>
      <c r="T558" s="66" t="n"/>
      <c r="U558" s="66" t="n"/>
      <c r="V558" s="66" t="n"/>
      <c r="W558" s="67" t="n"/>
      <c r="X558" s="66" t="n"/>
      <c r="Y558" s="66" t="n"/>
      <c r="Z558" s="66" t="n"/>
      <c r="AA558" s="66" t="n"/>
      <c r="AB558" s="66" t="n"/>
      <c r="AC558" s="66" t="n"/>
      <c r="AD558" s="72" t="n"/>
      <c r="AE558" s="66" t="n"/>
      <c r="AF558" s="67">
        <f>IF(AND(ISNUMBER(X558),ISNUMBER(Y558)),Y558-X558,"")</f>
        <v/>
      </c>
      <c r="AG558" s="68">
        <f>IF(ISNUMBER(AD558),AD558-(IF(AND(INDEX(TZ_DSTS,MATCH(P558,TZ_STN,0))&lt;&gt;"",(AD558-INDEX(TZ_STD,MATCH(P558,TZ_STN,0))/24)&gt;=INDEX(TZ_DSTS,MATCH(P558,TZ_STN,0)),(AD558-INDEX(TZ_STD,MATCH(P558,TZ_STN,0))/24)&lt;INDEX(TZ_DSTE,MATCH(P558,TZ_STN,0))),INDEX(TZ_DST,MATCH(P558,TZ_STN,0)),INDEX(TZ_STD,MATCH(P558,TZ_STN,0))))/24,"")</f>
        <v/>
      </c>
      <c r="AH558" s="71">
        <f>IF(N558="N/A – rule","N/A – RULE",IF(TRIM(U558)="N/A",IF(AT558=0,"INVALID – N/A not permitted for this mandatory check",IF(AND(TRIM(AC558)&lt;&gt;"",TRIM(AE558)&lt;&gt;"",TRIM(T558)&lt;&gt;""),"N/A – JUSTIFIED","INVALID – N/A needs justification, PIC and verifier")),IF(OR(TRIM(U558)="Pass",TRIM(U558)="Pass after CA"),IF(NOT(ISNUMBER(AD558)),"INVALID – completion time missing",IF(TRIM(T558)="","INVALID – PIC missing",IF(TRIM(Z558)="","INVALID – evidence missing",IF(TRIM(AE558)="","INVALID – verifier missing",IF(AND(AQ558=1,TRIM(W558)=""),"INVALID – batch ID missing",IF(AND(AR558=1,OR(NOT(ISNUMBER(X558)),NOT(ISNUMBER(Y558)))),"INVALID – expected/actual qty missing",IF(IF(AND(TRIM(U558)="Pass",ISNUMBER(AF558)),IF(AF558&lt;&gt;0,"INVALID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recorded/closed","")&lt;&gt;"",IF(AND(TRIM(U558)="Pass",ISNUMBER(AF558)),IF(AF558&lt;&gt;0,"INVALID – qty variance: use Fail or Pass after CA",""),"")&amp;IF(AND(TRIM(U558)="Pass",AB558="Open"),"INVALID – corrective action still open: use Fail, then Pass after CA","")&amp;IF(AND(TRIM(U558)="Pass after CA",OR(TRIM(AA558)="",AB558&lt;&gt;"Closed")),"INVALID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window"),IF(AG558&gt;Flights!$AA$21,"INVALID – completed after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f>
        <v/>
      </c>
      <c r="AI558" s="67">
        <f>IF(OR(AH558="N/A – RULE",AH558="N/A – JUSTIFIED"),0,1)</f>
        <v/>
      </c>
      <c r="AJ558" s="67">
        <f>IF(LEFT(AH558,8)="COMPLETE",1,0)</f>
        <v/>
      </c>
      <c r="AK558" s="67">
        <f>IF(AND(AI558=1,AJ558=0,AsOfUTC&gt;Q558),1,0)</f>
        <v/>
      </c>
      <c r="AL558" s="67">
        <f>IF(AND(AI558=1,OR(TRIM(U558)="Fail",AB558="Open",AND(ISNUMBER(AF558),AF558&lt;&gt;0,TRIM(U558)&lt;&gt;"Pass after CA"))),1,0)</f>
        <v/>
      </c>
      <c r="AM558" s="67">
        <f>IF(LEFT(AH558,7)="INVALID",1,0)</f>
        <v/>
      </c>
      <c r="AN558" s="67">
        <f>IF(AND(N558="Clarification required",AI558=1,AJ558=0),1,0)</f>
        <v/>
      </c>
      <c r="AO558" s="67">
        <f>IF(AK558=1,SUM(AK$5:AK558),"")</f>
        <v/>
      </c>
      <c r="AP558" s="67">
        <f>IF(AL558=1,SUM(AL$5:AL558),"")</f>
        <v/>
      </c>
      <c r="AQ558" s="67" t="n">
        <v>0</v>
      </c>
      <c r="AR558" s="67" t="n">
        <v>0</v>
      </c>
      <c r="AS558" s="67" t="n">
        <v>0</v>
      </c>
      <c r="AT558" s="67" t="n">
        <v>1</v>
      </c>
    </row>
    <row r="559" ht="104" customHeight="1">
      <c r="A559" s="63" t="inlineStr">
        <is>
          <t>F17-T12-18</t>
        </is>
      </c>
      <c r="B559" s="63" t="inlineStr">
        <is>
          <t>F17</t>
        </is>
      </c>
      <c r="C559" s="63">
        <f>Flights!$F$21</f>
        <v/>
      </c>
      <c r="D559" s="64">
        <f>Flights!$D$21</f>
        <v/>
      </c>
      <c r="E559" s="63">
        <f>Flights!$G$21&amp;"-"&amp;Flights!$H$21</f>
        <v/>
      </c>
      <c r="F559" s="63">
        <f>Flights!$K$21</f>
        <v/>
      </c>
      <c r="G559" s="63" t="inlineStr">
        <is>
          <t>T-12H PREP</t>
        </is>
      </c>
      <c r="H559" s="63" t="inlineStr">
        <is>
          <t>Preparation</t>
        </is>
      </c>
      <c r="I559" s="63" t="inlineStr">
        <is>
          <t>Sales Cart</t>
        </is>
      </c>
      <c r="J559" s="63" t="inlineStr">
        <is>
          <t>Sales cart (caterer MCAT) - prepared</t>
        </is>
      </c>
      <c r="K559" s="73" t="inlineStr">
        <is>
          <t>Location 210A (B7M8)</t>
        </is>
      </c>
      <c r="L559" s="73" t="inlineStr">
        <is>
          <t>STD UPLIFT INFORMATION.xlsx &gt; SALES CART!F21:F35 / C28 / M7:M37 / C40</t>
        </is>
      </c>
      <c r="M559" s="73" t="inlineStr">
        <is>
          <t>Not stated in reference</t>
        </is>
      </c>
      <c r="N559" s="73" t="inlineStr">
        <is>
          <t>Clarification required</t>
        </is>
      </c>
      <c r="O559" s="73" t="inlineStr">
        <is>
          <t>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is>
      </c>
      <c r="P559" s="63" t="inlineStr">
        <is>
          <t>HKG</t>
        </is>
      </c>
      <c r="Q559" s="65">
        <f>Flights!$AE$21</f>
        <v/>
      </c>
      <c r="R559" s="65">
        <f>Q559+(IF(AND(INDEX(TZ_DSTS,MATCH(P559,TZ_STN,0))&lt;&gt;"",Q559&gt;=INDEX(TZ_DSTS,MATCH(P559,TZ_STN,0)),Q559&lt;INDEX(TZ_DSTE,MATCH(P559,TZ_STN,0))),INDEX(TZ_DST,MATCH(P559,TZ_STN,0)),INDEX(TZ_STD,MATCH(P559,TZ_STN,0))))/24</f>
        <v/>
      </c>
      <c r="S559" s="65">
        <f>Q559-T12EarlyH/24</f>
        <v/>
      </c>
      <c r="T559" s="66" t="n"/>
      <c r="U559" s="66" t="n"/>
      <c r="V559" s="66" t="n"/>
      <c r="W559" s="67" t="n"/>
      <c r="X559" s="66" t="n"/>
      <c r="Y559" s="66" t="n"/>
      <c r="Z559" s="66" t="n"/>
      <c r="AA559" s="66" t="n"/>
      <c r="AB559" s="66" t="n"/>
      <c r="AC559" s="66" t="n"/>
      <c r="AD559" s="72" t="n"/>
      <c r="AE559" s="66" t="n"/>
      <c r="AF559" s="67">
        <f>IF(AND(ISNUMBER(X559),ISNUMBER(Y559)),Y559-X559,"")</f>
        <v/>
      </c>
      <c r="AG559" s="68">
        <f>IF(ISNUMBER(AD559),AD559-(IF(AND(INDEX(TZ_DSTS,MATCH(P559,TZ_STN,0))&lt;&gt;"",(AD559-INDEX(TZ_STD,MATCH(P559,TZ_STN,0))/24)&gt;=INDEX(TZ_DSTS,MATCH(P559,TZ_STN,0)),(AD559-INDEX(TZ_STD,MATCH(P559,TZ_STN,0))/24)&lt;INDEX(TZ_DSTE,MATCH(P559,TZ_STN,0))),INDEX(TZ_DST,MATCH(P559,TZ_STN,0)),INDEX(TZ_STD,MATCH(P559,TZ_STN,0))))/24,"")</f>
        <v/>
      </c>
      <c r="AH559" s="71">
        <f>IF(N559="N/A – rule","N/A – RULE",IF(TRIM(U559)="N/A",IF(AT559=0,"INVALID – N/A not permitted for this mandatory check",IF(AND(TRIM(AC559)&lt;&gt;"",TRIM(AE559)&lt;&gt;"",TRIM(T559)&lt;&gt;""),"N/A – JUSTIFIED","INVALID – N/A needs justification, PIC and verifier")),IF(OR(TRIM(U559)="Pass",TRIM(U559)="Pass after CA"),IF(NOT(ISNUMBER(AD559)),"INVALID – completion time missing",IF(TRIM(T559)="","INVALID – PIC missing",IF(TRIM(Z559)="","INVALID – evidence missing",IF(TRIM(AE559)="","INVALID – verifier missing",IF(AND(AQ559=1,TRIM(W559)=""),"INVALID – batch ID missing",IF(AND(AR559=1,OR(NOT(ISNUMBER(X559)),NOT(ISNUMBER(Y559)))),"INVALID – expected/actual qty missing",IF(IF(AND(TRIM(U559)="Pass",ISNUMBER(AF559)),IF(AF559&lt;&gt;0,"INVALID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recorded/closed","")&lt;&gt;"",IF(AND(TRIM(U559)="Pass",ISNUMBER(AF559)),IF(AF559&lt;&gt;0,"INVALID – qty variance: use Fail or Pass after CA",""),"")&amp;IF(AND(TRIM(U559)="Pass",AB559="Open"),"INVALID – corrective action still open: use Fail, then Pass after CA","")&amp;IF(AND(TRIM(U559)="Pass after CA",OR(TRIM(AA559)="",AB559&lt;&gt;"Closed")),"INVALID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window"),IF(AG559&gt;Flights!$AA$21,"INVALID – completed after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f>
        <v/>
      </c>
      <c r="AI559" s="67">
        <f>IF(OR(AH559="N/A – RULE",AH559="N/A – JUSTIFIED"),0,1)</f>
        <v/>
      </c>
      <c r="AJ559" s="67">
        <f>IF(LEFT(AH559,8)="COMPLETE",1,0)</f>
        <v/>
      </c>
      <c r="AK559" s="67">
        <f>IF(AND(AI559=1,AJ559=0,AsOfUTC&gt;Q559),1,0)</f>
        <v/>
      </c>
      <c r="AL559" s="67">
        <f>IF(AND(AI559=1,OR(TRIM(U559)="Fail",AB559="Open",AND(ISNUMBER(AF559),AF559&lt;&gt;0,TRIM(U559)&lt;&gt;"Pass after CA"))),1,0)</f>
        <v/>
      </c>
      <c r="AM559" s="67">
        <f>IF(LEFT(AH559,7)="INVALID",1,0)</f>
        <v/>
      </c>
      <c r="AN559" s="67">
        <f>IF(AND(N559="Clarification required",AI559=1,AJ559=0),1,0)</f>
        <v/>
      </c>
      <c r="AO559" s="67">
        <f>IF(AK559=1,SUM(AK$5:AK559),"")</f>
        <v/>
      </c>
      <c r="AP559" s="67">
        <f>IF(AL559=1,SUM(AL$5:AL559),"")</f>
        <v/>
      </c>
      <c r="AQ559" s="67" t="n">
        <v>0</v>
      </c>
      <c r="AR559" s="67" t="n">
        <v>0</v>
      </c>
      <c r="AS559" s="67" t="n">
        <v>0</v>
      </c>
      <c r="AT559" s="67" t="n">
        <v>1</v>
      </c>
    </row>
    <row r="560" ht="40" customHeight="1">
      <c r="A560" s="63" t="inlineStr">
        <is>
          <t>F17-UPL-01</t>
        </is>
      </c>
      <c r="B560" s="63" t="inlineStr">
        <is>
          <t>F17</t>
        </is>
      </c>
      <c r="C560" s="63">
        <f>Flights!$F$21</f>
        <v/>
      </c>
      <c r="D560" s="64">
        <f>Flights!$D$21</f>
        <v/>
      </c>
      <c r="E560" s="63">
        <f>Flights!$G$21&amp;"-"&amp;Flights!$H$21</f>
        <v/>
      </c>
      <c r="F560" s="63">
        <f>Flights!$K$21</f>
        <v/>
      </c>
      <c r="G560" s="63" t="inlineStr">
        <is>
          <t>UPLIFT</t>
        </is>
      </c>
      <c r="H560" s="63" t="inlineStr">
        <is>
          <t>Physical uplift</t>
        </is>
      </c>
      <c r="I560" s="63" t="inlineStr">
        <is>
          <t>Meal</t>
        </is>
      </c>
      <c r="J560" s="63" t="inlineStr">
        <is>
          <t>Meals physically uplifted on board - quantity vs menu checklist</t>
        </is>
      </c>
      <c r="K560" s="73" t="inlineStr">
        <is>
          <t>Enter expected &amp; actual</t>
        </is>
      </c>
      <c r="L560" s="73" t="inlineStr">
        <is>
          <t>User brief (T-12 hours - physical uplift)</t>
        </is>
      </c>
      <c r="M560" s="73" t="inlineStr"/>
      <c r="N560" s="73" t="inlineStr">
        <is>
          <t>Required</t>
        </is>
      </c>
      <c r="O560" s="73" t="inlineStr">
        <is>
          <t>Confirm on board before departure; completion time must fall inside the uplift window.</t>
        </is>
      </c>
      <c r="P560" s="63" t="inlineStr">
        <is>
          <t>HKG</t>
        </is>
      </c>
      <c r="Q560" s="65">
        <f>Flights!$AF$21</f>
        <v/>
      </c>
      <c r="R560" s="65">
        <f>Q560+(IF(AND(INDEX(TZ_DSTS,MATCH(P560,TZ_STN,0))&lt;&gt;"",Q560&gt;=INDEX(TZ_DSTS,MATCH(P560,TZ_STN,0)),Q560&lt;INDEX(TZ_DSTE,MATCH(P560,TZ_STN,0))),INDEX(TZ_DST,MATCH(P560,TZ_STN,0)),INDEX(TZ_STD,MATCH(P560,TZ_STN,0))))/24</f>
        <v/>
      </c>
      <c r="S560" s="65">
        <f>Q560-UpliftWindowH/24</f>
        <v/>
      </c>
      <c r="T560" s="66" t="n"/>
      <c r="U560" s="66" t="n"/>
      <c r="V560" s="66" t="n"/>
      <c r="W560" s="67" t="n"/>
      <c r="X560" s="66" t="n"/>
      <c r="Y560" s="66" t="n"/>
      <c r="Z560" s="66" t="n"/>
      <c r="AA560" s="66" t="n"/>
      <c r="AB560" s="66" t="n"/>
      <c r="AC560" s="66" t="n"/>
      <c r="AD560" s="72" t="n"/>
      <c r="AE560" s="66" t="n"/>
      <c r="AF560" s="67">
        <f>IF(AND(ISNUMBER(X560),ISNUMBER(Y560)),Y560-X560,"")</f>
        <v/>
      </c>
      <c r="AG560" s="68">
        <f>IF(ISNUMBER(AD560),AD560-(IF(AND(INDEX(TZ_DSTS,MATCH(P560,TZ_STN,0))&lt;&gt;"",(AD560-INDEX(TZ_STD,MATCH(P560,TZ_STN,0))/24)&gt;=INDEX(TZ_DSTS,MATCH(P560,TZ_STN,0)),(AD560-INDEX(TZ_STD,MATCH(P560,TZ_STN,0))/24)&lt;INDEX(TZ_DSTE,MATCH(P560,TZ_STN,0))),INDEX(TZ_DST,MATCH(P560,TZ_STN,0)),INDEX(TZ_STD,MATCH(P560,TZ_STN,0))))/24,"")</f>
        <v/>
      </c>
      <c r="AH560" s="71">
        <f>IF(N560="N/A – rule","N/A – RULE",IF(TRIM(U560)="N/A",IF(AT560=0,"INVALID – N/A not permitted for this mandatory check",IF(AND(TRIM(AC560)&lt;&gt;"",TRIM(AE560)&lt;&gt;"",TRIM(T560)&lt;&gt;""),"N/A – JUSTIFIED","INVALID – N/A needs justification, PIC and verifier")),IF(OR(TRIM(U560)="Pass",TRIM(U560)="Pass after CA"),IF(NOT(ISNUMBER(AD560)),"INVALID – completion time missing",IF(TRIM(T560)="","INVALID – PIC missing",IF(TRIM(Z560)="","INVALID – evidence missing",IF(TRIM(AE560)="","INVALID – verifier missing",IF(AND(AQ560=1,TRIM(W560)=""),"INVALID – batch ID missing",IF(AND(AR560=1,OR(NOT(ISNUMBER(X560)),NOT(ISNUMBER(Y560)))),"INVALID – expected/actual qty missing",IF(IF(AND(TRIM(U560)="Pass",ISNUMBER(AF560)),IF(AF560&lt;&gt;0,"INVALID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recorded/closed","")&lt;&gt;"",IF(AND(TRIM(U560)="Pass",ISNUMBER(AF560)),IF(AF560&lt;&gt;0,"INVALID – qty variance: use Fail or Pass after CA",""),"")&amp;IF(AND(TRIM(U560)="Pass",AB560="Open"),"INVALID – corrective action still open: use Fail, then Pass after CA","")&amp;IF(AND(TRIM(U560)="Pass after CA",OR(TRIM(AA560)="",AB560&lt;&gt;"Closed")),"INVALID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window"),IF(AG560&gt;Flights!$AA$21,"INVALID – completed after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f>
        <v/>
      </c>
      <c r="AI560" s="67">
        <f>IF(OR(AH560="N/A – RULE",AH560="N/A – JUSTIFIED"),0,1)</f>
        <v/>
      </c>
      <c r="AJ560" s="67">
        <f>IF(LEFT(AH560,8)="COMPLETE",1,0)</f>
        <v/>
      </c>
      <c r="AK560" s="67">
        <f>IF(AND(AI560=1,AJ560=0,AsOfUTC&gt;Q560),1,0)</f>
        <v/>
      </c>
      <c r="AL560" s="67">
        <f>IF(AND(AI560=1,OR(TRIM(U560)="Fail",AB560="Open",AND(ISNUMBER(AF560),AF560&lt;&gt;0,TRIM(U560)&lt;&gt;"Pass after CA"))),1,0)</f>
        <v/>
      </c>
      <c r="AM560" s="67">
        <f>IF(LEFT(AH560,7)="INVALID",1,0)</f>
        <v/>
      </c>
      <c r="AN560" s="67">
        <f>IF(AND(N560="Clarification required",AI560=1,AJ560=0),1,0)</f>
        <v/>
      </c>
      <c r="AO560" s="67">
        <f>IF(AK560=1,SUM(AK$5:AK560),"")</f>
        <v/>
      </c>
      <c r="AP560" s="67">
        <f>IF(AL560=1,SUM(AL$5:AL560),"")</f>
        <v/>
      </c>
      <c r="AQ560" s="67" t="n">
        <v>0</v>
      </c>
      <c r="AR560" s="67" t="n">
        <v>1</v>
      </c>
      <c r="AS560" s="67" t="n">
        <v>0</v>
      </c>
      <c r="AT560" s="67" t="n">
        <v>0</v>
      </c>
    </row>
    <row r="561" ht="40" customHeight="1">
      <c r="A561" s="63" t="inlineStr">
        <is>
          <t>F17-UPL-02</t>
        </is>
      </c>
      <c r="B561" s="63" t="inlineStr">
        <is>
          <t>F17</t>
        </is>
      </c>
      <c r="C561" s="63">
        <f>Flights!$F$21</f>
        <v/>
      </c>
      <c r="D561" s="64">
        <f>Flights!$D$21</f>
        <v/>
      </c>
      <c r="E561" s="63">
        <f>Flights!$G$21&amp;"-"&amp;Flights!$H$21</f>
        <v/>
      </c>
      <c r="F561" s="63">
        <f>Flights!$K$21</f>
        <v/>
      </c>
      <c r="G561" s="63" t="inlineStr">
        <is>
          <t>UPLIFT</t>
        </is>
      </c>
      <c r="H561" s="63" t="inlineStr">
        <is>
          <t>Physical uplift</t>
        </is>
      </c>
      <c r="I561" s="63" t="inlineStr">
        <is>
          <t>Equipment</t>
        </is>
      </c>
      <c r="J561" s="63" t="inlineStr">
        <is>
          <t>Equipment physically loaded at GLD positions - quantity &amp; positions</t>
        </is>
      </c>
      <c r="K561" s="73" t="inlineStr">
        <is>
          <t>Enter expected &amp; actual</t>
        </is>
      </c>
      <c r="L561" s="73" t="inlineStr">
        <is>
          <t>User brief (T-12 hours - physical uplift)</t>
        </is>
      </c>
      <c r="M561" s="73" t="inlineStr"/>
      <c r="N561" s="73" t="inlineStr">
        <is>
          <t>Required</t>
        </is>
      </c>
      <c r="O561" s="73" t="inlineStr">
        <is>
          <t>Confirm on board before departure; completion time must fall inside the uplift window.</t>
        </is>
      </c>
      <c r="P561" s="63" t="inlineStr">
        <is>
          <t>HKG</t>
        </is>
      </c>
      <c r="Q561" s="65">
        <f>Flights!$AF$21</f>
        <v/>
      </c>
      <c r="R561" s="65">
        <f>Q561+(IF(AND(INDEX(TZ_DSTS,MATCH(P561,TZ_STN,0))&lt;&gt;"",Q561&gt;=INDEX(TZ_DSTS,MATCH(P561,TZ_STN,0)),Q561&lt;INDEX(TZ_DSTE,MATCH(P561,TZ_STN,0))),INDEX(TZ_DST,MATCH(P561,TZ_STN,0)),INDEX(TZ_STD,MATCH(P561,TZ_STN,0))))/24</f>
        <v/>
      </c>
      <c r="S561" s="65">
        <f>Q561-UpliftWindowH/24</f>
        <v/>
      </c>
      <c r="T561" s="66" t="n"/>
      <c r="U561" s="66" t="n"/>
      <c r="V561" s="66" t="n"/>
      <c r="W561" s="67" t="n"/>
      <c r="X561" s="66" t="n"/>
      <c r="Y561" s="66" t="n"/>
      <c r="Z561" s="66" t="n"/>
      <c r="AA561" s="66" t="n"/>
      <c r="AB561" s="66" t="n"/>
      <c r="AC561" s="66" t="n"/>
      <c r="AD561" s="72" t="n"/>
      <c r="AE561" s="66" t="n"/>
      <c r="AF561" s="67">
        <f>IF(AND(ISNUMBER(X561),ISNUMBER(Y561)),Y561-X561,"")</f>
        <v/>
      </c>
      <c r="AG561" s="68">
        <f>IF(ISNUMBER(AD561),AD561-(IF(AND(INDEX(TZ_DSTS,MATCH(P561,TZ_STN,0))&lt;&gt;"",(AD561-INDEX(TZ_STD,MATCH(P561,TZ_STN,0))/24)&gt;=INDEX(TZ_DSTS,MATCH(P561,TZ_STN,0)),(AD561-INDEX(TZ_STD,MATCH(P561,TZ_STN,0))/24)&lt;INDEX(TZ_DSTE,MATCH(P561,TZ_STN,0))),INDEX(TZ_DST,MATCH(P561,TZ_STN,0)),INDEX(TZ_STD,MATCH(P561,TZ_STN,0))))/24,"")</f>
        <v/>
      </c>
      <c r="AH561" s="71">
        <f>IF(N561="N/A – rule","N/A – RULE",IF(TRIM(U561)="N/A",IF(AT561=0,"INVALID – N/A not permitted for this mandatory check",IF(AND(TRIM(AC561)&lt;&gt;"",TRIM(AE561)&lt;&gt;"",TRIM(T561)&lt;&gt;""),"N/A – JUSTIFIED","INVALID – N/A needs justification, PIC and verifier")),IF(OR(TRIM(U561)="Pass",TRIM(U561)="Pass after CA"),IF(NOT(ISNUMBER(AD561)),"INVALID – completion time missing",IF(TRIM(T561)="","INVALID – PIC missing",IF(TRIM(Z561)="","INVALID – evidence missing",IF(TRIM(AE561)="","INVALID – verifier missing",IF(AND(AQ561=1,TRIM(W561)=""),"INVALID – batch ID missing",IF(AND(AR561=1,OR(NOT(ISNUMBER(X561)),NOT(ISNUMBER(Y561)))),"INVALID – expected/actual qty missing",IF(IF(AND(TRIM(U561)="Pass",ISNUMBER(AF561)),IF(AF561&lt;&gt;0,"INVALID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recorded/closed","")&lt;&gt;"",IF(AND(TRIM(U561)="Pass",ISNUMBER(AF561)),IF(AF561&lt;&gt;0,"INVALID – qty variance: use Fail or Pass after CA",""),"")&amp;IF(AND(TRIM(U561)="Pass",AB561="Open"),"INVALID – corrective action still open: use Fail, then Pass after CA","")&amp;IF(AND(TRIM(U561)="Pass after CA",OR(TRIM(AA561)="",AB561&lt;&gt;"Closed")),"INVALID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window"),IF(AG561&gt;Flights!$AA$21,"INVALID – completed after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f>
        <v/>
      </c>
      <c r="AI561" s="67">
        <f>IF(OR(AH561="N/A – RULE",AH561="N/A – JUSTIFIED"),0,1)</f>
        <v/>
      </c>
      <c r="AJ561" s="67">
        <f>IF(LEFT(AH561,8)="COMPLETE",1,0)</f>
        <v/>
      </c>
      <c r="AK561" s="67">
        <f>IF(AND(AI561=1,AJ561=0,AsOfUTC&gt;Q561),1,0)</f>
        <v/>
      </c>
      <c r="AL561" s="67">
        <f>IF(AND(AI561=1,OR(TRIM(U561)="Fail",AB561="Open",AND(ISNUMBER(AF561),AF561&lt;&gt;0,TRIM(U561)&lt;&gt;"Pass after CA"))),1,0)</f>
        <v/>
      </c>
      <c r="AM561" s="67">
        <f>IF(LEFT(AH561,7)="INVALID",1,0)</f>
        <v/>
      </c>
      <c r="AN561" s="67">
        <f>IF(AND(N561="Clarification required",AI561=1,AJ561=0),1,0)</f>
        <v/>
      </c>
      <c r="AO561" s="67">
        <f>IF(AK561=1,SUM(AK$5:AK561),"")</f>
        <v/>
      </c>
      <c r="AP561" s="67">
        <f>IF(AL561=1,SUM(AL$5:AL561),"")</f>
        <v/>
      </c>
      <c r="AQ561" s="67" t="n">
        <v>0</v>
      </c>
      <c r="AR561" s="67" t="n">
        <v>1</v>
      </c>
      <c r="AS561" s="67" t="n">
        <v>0</v>
      </c>
      <c r="AT561" s="67" t="n">
        <v>0</v>
      </c>
    </row>
    <row r="562" ht="41.5" customHeight="1">
      <c r="A562" s="63" t="inlineStr">
        <is>
          <t>F17-UPL-03</t>
        </is>
      </c>
      <c r="B562" s="63" t="inlineStr">
        <is>
          <t>F17</t>
        </is>
      </c>
      <c r="C562" s="63">
        <f>Flights!$F$21</f>
        <v/>
      </c>
      <c r="D562" s="64">
        <f>Flights!$D$21</f>
        <v/>
      </c>
      <c r="E562" s="63">
        <f>Flights!$G$21&amp;"-"&amp;Flights!$H$21</f>
        <v/>
      </c>
      <c r="F562" s="63">
        <f>Flights!$K$21</f>
        <v/>
      </c>
      <c r="G562" s="63" t="inlineStr">
        <is>
          <t>UPLIFT</t>
        </is>
      </c>
      <c r="H562" s="63" t="inlineStr">
        <is>
          <t>Physical uplift</t>
        </is>
      </c>
      <c r="I562" s="63" t="inlineStr">
        <is>
          <t>Uplift plan</t>
        </is>
      </c>
      <c r="J562" s="63" t="inlineStr">
        <is>
          <t>KUL-sourced items physically loaded at KUL on the inbound KUL-HKG flight</t>
        </is>
      </c>
      <c r="K562" s="73" t="inlineStr">
        <is>
          <t>Items: Slippers (BS/BC) - Dispo slipper. Quantities as per Requirements</t>
        </is>
      </c>
      <c r="L562" s="73" t="inlineStr">
        <is>
          <t>STD UPLIFT INFORMATION.xlsx &gt; item uplift stn columns</t>
        </is>
      </c>
      <c r="M562" s="73" t="inlineStr"/>
      <c r="N562" s="73" t="inlineStr">
        <is>
          <t>Required</t>
        </is>
      </c>
      <c r="O562" s="73" t="inlineStr">
        <is>
          <t>Confirmed at KUL inside the uplift window before the carrying flight's KUL departure (Flights AX).</t>
        </is>
      </c>
      <c r="P562" s="63" t="inlineStr">
        <is>
          <t>KUL</t>
        </is>
      </c>
      <c r="Q562" s="65">
        <f>Flights!$AY$21+UpliftWindowH/24</f>
        <v/>
      </c>
      <c r="R562" s="65">
        <f>Q562+(IF(AND(INDEX(TZ_DSTS,MATCH(P562,TZ_STN,0))&lt;&gt;"",Q562&gt;=INDEX(TZ_DSTS,MATCH(P562,TZ_STN,0)),Q562&lt;INDEX(TZ_DSTE,MATCH(P562,TZ_STN,0))),INDEX(TZ_DST,MATCH(P562,TZ_STN,0)),INDEX(TZ_STD,MATCH(P562,TZ_STN,0))))/24</f>
        <v/>
      </c>
      <c r="S562" s="65">
        <f>Q562-UpliftWindowH/24</f>
        <v/>
      </c>
      <c r="T562" s="66" t="n"/>
      <c r="U562" s="66" t="n"/>
      <c r="V562" s="66" t="n"/>
      <c r="W562" s="67" t="n"/>
      <c r="X562" s="66" t="n"/>
      <c r="Y562" s="66" t="n"/>
      <c r="Z562" s="66" t="n"/>
      <c r="AA562" s="66" t="n"/>
      <c r="AB562" s="66" t="n"/>
      <c r="AC562" s="66" t="n"/>
      <c r="AD562" s="72" t="n"/>
      <c r="AE562" s="66" t="n"/>
      <c r="AF562" s="67">
        <f>IF(AND(ISNUMBER(X562),ISNUMBER(Y562)),Y562-X562,"")</f>
        <v/>
      </c>
      <c r="AG562" s="68">
        <f>IF(ISNUMBER(AD562),AD562-(IF(AND(INDEX(TZ_DSTS,MATCH(P562,TZ_STN,0))&lt;&gt;"",(AD562-INDEX(TZ_STD,MATCH(P562,TZ_STN,0))/24)&gt;=INDEX(TZ_DSTS,MATCH(P562,TZ_STN,0)),(AD562-INDEX(TZ_STD,MATCH(P562,TZ_STN,0))/24)&lt;INDEX(TZ_DSTE,MATCH(P562,TZ_STN,0))),INDEX(TZ_DST,MATCH(P562,TZ_STN,0)),INDEX(TZ_STD,MATCH(P562,TZ_STN,0))))/24,"")</f>
        <v/>
      </c>
      <c r="AH562" s="71">
        <f>IF(N562="N/A – rule","N/A – RULE",IF(TRIM(U562)="N/A",IF(AT562=0,"INVALID – N/A not permitted for this mandatory check",IF(AND(TRIM(AC562)&lt;&gt;"",TRIM(AE562)&lt;&gt;"",TRIM(T562)&lt;&gt;""),"N/A – JUSTIFIED","INVALID – N/A needs justification, PIC and verifier")),IF(OR(TRIM(U562)="Pass",TRIM(U562)="Pass after CA"),IF(NOT(ISNUMBER(AD562)),"INVALID – completion time missing",IF(TRIM(T562)="","INVALID – PIC missing",IF(TRIM(Z562)="","INVALID – evidence missing",IF(TRIM(AE562)="","INVALID – verifier missing",IF(AND(AQ562=1,TRIM(W562)=""),"INVALID – batch ID missing",IF(AND(AR562=1,OR(NOT(ISNUMBER(X562)),NOT(ISNUMBER(Y562)))),"INVALID – expected/actual qty missing",IF(IF(AND(TRIM(U562)="Pass",ISNUMBER(AF562)),IF(AF562&lt;&gt;0,"INVALID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recorded/closed","")&lt;&gt;"",IF(AND(TRIM(U562)="Pass",ISNUMBER(AF562)),IF(AF562&lt;&gt;0,"INVALID – qty variance: use Fail or Pass after CA",""),"")&amp;IF(AND(TRIM(U562)="Pass",AB562="Open"),"INVALID – corrective action still open: use Fail, then Pass after CA","")&amp;IF(AND(TRIM(U562)="Pass after CA",OR(TRIM(AA562)="",AB562&lt;&gt;"Closed")),"INVALID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window"),IF(AG562&gt;Flights!$AA$21,"INVALID – completed after departure (cannot establish readiness)",IF(AND(H562="Physical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f>
        <v/>
      </c>
      <c r="AI562" s="67">
        <f>IF(OR(AH562="N/A – RULE",AH562="N/A – JUSTIFIED"),0,1)</f>
        <v/>
      </c>
      <c r="AJ562" s="67">
        <f>IF(LEFT(AH562,8)="COMPLETE",1,0)</f>
        <v/>
      </c>
      <c r="AK562" s="67">
        <f>IF(AND(AI562=1,AJ562=0,AsOfUTC&gt;Q562),1,0)</f>
        <v/>
      </c>
      <c r="AL562" s="67">
        <f>IF(AND(AI562=1,OR(TRIM(U562)="Fail",AB562="Open",AND(ISNUMBER(AF562),AF562&lt;&gt;0,TRIM(U562)&lt;&gt;"Pass after CA"))),1,0)</f>
        <v/>
      </c>
      <c r="AM562" s="67">
        <f>IF(LEFT(AH562,7)="INVALID",1,0)</f>
        <v/>
      </c>
      <c r="AN562" s="67">
        <f>IF(AND(N562="Clarification required",AI562=1,AJ562=0),1,0)</f>
        <v/>
      </c>
      <c r="AO562" s="67">
        <f>IF(AK562=1,SUM(AK$5:AK562),"")</f>
        <v/>
      </c>
      <c r="AP562" s="67">
        <f>IF(AL562=1,SUM(AL$5:AL562),"")</f>
        <v/>
      </c>
      <c r="AQ562" s="67" t="n">
        <v>0</v>
      </c>
      <c r="AR562" s="67" t="n">
        <v>0</v>
      </c>
      <c r="AS562" s="67" t="n">
        <v>0</v>
      </c>
      <c r="AT562" s="67" t="n">
        <v>0</v>
      </c>
    </row>
    <row r="563" ht="40" customHeight="1">
      <c r="A563" s="63" t="inlineStr">
        <is>
          <t>F17-UPL-04</t>
        </is>
      </c>
      <c r="B563" s="63" t="inlineStr">
        <is>
          <t>F17</t>
        </is>
      </c>
      <c r="C563" s="63">
        <f>Flights!$F$21</f>
        <v/>
      </c>
      <c r="D563" s="64">
        <f>Flights!$D$21</f>
        <v/>
      </c>
      <c r="E563" s="63">
        <f>Flights!$G$21&amp;"-"&amp;Flights!$H$21</f>
        <v/>
      </c>
      <c r="F563" s="63">
        <f>Flights!$K$21</f>
        <v/>
      </c>
      <c r="G563" s="63" t="inlineStr">
        <is>
          <t>UPLIFT</t>
        </is>
      </c>
      <c r="H563" s="63" t="inlineStr">
        <is>
          <t>Physical uplift</t>
        </is>
      </c>
      <c r="I563" s="63" t="inlineStr">
        <is>
          <t>Amenities</t>
        </is>
      </c>
      <c r="J563" s="63" t="inlineStr">
        <is>
          <t>Slippers (BS/BC) - Dispo slipper - on board</t>
        </is>
      </c>
      <c r="K563" s="73" t="inlineStr">
        <is>
          <t>Available (ticked in reference)</t>
        </is>
      </c>
      <c r="L563" s="73" t="inlineStr">
        <is>
          <t>STD UPLIFT INFORMATION.xlsx &gt; AMENITIES!G39 / H39 / I39</t>
        </is>
      </c>
      <c r="M563" s="73" t="inlineStr">
        <is>
          <t>KUL</t>
        </is>
      </c>
      <c r="N563" s="73" t="inlineStr">
        <is>
          <t>Required</t>
        </is>
      </c>
      <c r="O563" s="73" t="inlineStr"/>
      <c r="P563" s="63" t="inlineStr">
        <is>
          <t>HKG</t>
        </is>
      </c>
      <c r="Q563" s="65">
        <f>Flights!$AF$21</f>
        <v/>
      </c>
      <c r="R563" s="65">
        <f>Q563+(IF(AND(INDEX(TZ_DSTS,MATCH(P563,TZ_STN,0))&lt;&gt;"",Q563&gt;=INDEX(TZ_DSTS,MATCH(P563,TZ_STN,0)),Q563&lt;INDEX(TZ_DSTE,MATCH(P563,TZ_STN,0))),INDEX(TZ_DST,MATCH(P563,TZ_STN,0)),INDEX(TZ_STD,MATCH(P563,TZ_STN,0))))/24</f>
        <v/>
      </c>
      <c r="S563" s="65">
        <f>Q563-UpliftWindowH/24</f>
        <v/>
      </c>
      <c r="T563" s="66" t="n"/>
      <c r="U563" s="66" t="n"/>
      <c r="V563" s="66" t="n"/>
      <c r="W563" s="67" t="n"/>
      <c r="X563" s="66" t="n"/>
      <c r="Y563" s="66" t="n"/>
      <c r="Z563" s="66" t="n"/>
      <c r="AA563" s="66" t="n"/>
      <c r="AB563" s="66" t="n"/>
      <c r="AC563" s="66" t="n"/>
      <c r="AD563" s="72" t="n"/>
      <c r="AE563" s="66" t="n"/>
      <c r="AF563" s="67">
        <f>IF(AND(ISNUMBER(X563),ISNUMBER(Y563)),Y563-X563,"")</f>
        <v/>
      </c>
      <c r="AG563" s="68">
        <f>IF(ISNUMBER(AD563),AD563-(IF(AND(INDEX(TZ_DSTS,MATCH(P563,TZ_STN,0))&lt;&gt;"",(AD563-INDEX(TZ_STD,MATCH(P563,TZ_STN,0))/24)&gt;=INDEX(TZ_DSTS,MATCH(P563,TZ_STN,0)),(AD563-INDEX(TZ_STD,MATCH(P563,TZ_STN,0))/24)&lt;INDEX(TZ_DSTE,MATCH(P563,TZ_STN,0))),INDEX(TZ_DST,MATCH(P563,TZ_STN,0)),INDEX(TZ_STD,MATCH(P563,TZ_STN,0))))/24,"")</f>
        <v/>
      </c>
      <c r="AH563" s="71">
        <f>IF(N563="N/A – rule","N/A – RULE",IF(TRIM(U563)="N/A",IF(AT563=0,"INVALID – N/A not permitted for this mandatory check",IF(AND(TRIM(AC563)&lt;&gt;"",TRIM(AE563)&lt;&gt;"",TRIM(T563)&lt;&gt;""),"N/A – JUSTIFIED","INVALID – N/A needs justification, PIC and verifier")),IF(OR(TRIM(U563)="Pass",TRIM(U563)="Pass after CA"),IF(NOT(ISNUMBER(AD563)),"INVALID – completion time missing",IF(TRIM(T563)="","INVALID – PIC missing",IF(TRIM(Z563)="","INVALID – evidence missing",IF(TRIM(AE563)="","INVALID – verifier missing",IF(AND(AQ563=1,TRIM(W563)=""),"INVALID – batch ID missing",IF(AND(AR563=1,OR(NOT(ISNUMBER(X563)),NOT(ISNUMBER(Y563)))),"INVALID – expected/actual qty missing",IF(IF(AND(TRIM(U563)="Pass",ISNUMBER(AF563)),IF(AF563&lt;&gt;0,"INVALID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recorded/closed","")&lt;&gt;"",IF(AND(TRIM(U563)="Pass",ISNUMBER(AF563)),IF(AF563&lt;&gt;0,"INVALID – qty variance: use Fail or Pass after CA",""),"")&amp;IF(AND(TRIM(U563)="Pass",AB563="Open"),"INVALID – corrective action still open: use Fail, then Pass after CA","")&amp;IF(AND(TRIM(U563)="Pass after CA",OR(TRIM(AA563)="",AB563&lt;&gt;"Closed")),"INVALID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window"),IF(AG563&gt;Flights!$AA$21,"INVALID – completed after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f>
        <v/>
      </c>
      <c r="AI563" s="67">
        <f>IF(OR(AH563="N/A – RULE",AH563="N/A – JUSTIFIED"),0,1)</f>
        <v/>
      </c>
      <c r="AJ563" s="67">
        <f>IF(LEFT(AH563,8)="COMPLETE",1,0)</f>
        <v/>
      </c>
      <c r="AK563" s="67">
        <f>IF(AND(AI563=1,AJ563=0,AsOfUTC&gt;Q563),1,0)</f>
        <v/>
      </c>
      <c r="AL563" s="67">
        <f>IF(AND(AI563=1,OR(TRIM(U563)="Fail",AB563="Open",AND(ISNUMBER(AF563),AF563&lt;&gt;0,TRIM(U563)&lt;&gt;"Pass after CA"))),1,0)</f>
        <v/>
      </c>
      <c r="AM563" s="67">
        <f>IF(LEFT(AH563,7)="INVALID",1,0)</f>
        <v/>
      </c>
      <c r="AN563" s="67">
        <f>IF(AND(N563="Clarification required",AI563=1,AJ563=0),1,0)</f>
        <v/>
      </c>
      <c r="AO563" s="67">
        <f>IF(AK563=1,SUM(AK$5:AK563),"")</f>
        <v/>
      </c>
      <c r="AP563" s="67">
        <f>IF(AL563=1,SUM(AL$5:AL563),"")</f>
        <v/>
      </c>
      <c r="AQ563" s="67" t="n">
        <v>0</v>
      </c>
      <c r="AR563" s="67" t="n">
        <v>0</v>
      </c>
      <c r="AS563" s="67" t="n">
        <v>0</v>
      </c>
      <c r="AT563" s="67" t="n">
        <v>1</v>
      </c>
    </row>
    <row r="564" ht="40" customHeight="1">
      <c r="A564" s="63" t="inlineStr">
        <is>
          <t>F17-UPL-05</t>
        </is>
      </c>
      <c r="B564" s="63" t="inlineStr">
        <is>
          <t>F17</t>
        </is>
      </c>
      <c r="C564" s="63">
        <f>Flights!$F$21</f>
        <v/>
      </c>
      <c r="D564" s="64">
        <f>Flights!$D$21</f>
        <v/>
      </c>
      <c r="E564" s="63">
        <f>Flights!$G$21&amp;"-"&amp;Flights!$H$21</f>
        <v/>
      </c>
      <c r="F564" s="63">
        <f>Flights!$K$21</f>
        <v/>
      </c>
      <c r="G564" s="63" t="inlineStr">
        <is>
          <t>UPLIFT</t>
        </is>
      </c>
      <c r="H564" s="63" t="inlineStr">
        <is>
          <t>Physical uplift</t>
        </is>
      </c>
      <c r="I564" s="63" t="inlineStr">
        <is>
          <t>F&amp;B Linen</t>
        </is>
      </c>
      <c r="J564" s="63" t="inlineStr">
        <is>
          <t>Towel - on board</t>
        </is>
      </c>
      <c r="K564" s="73" t="inlineStr">
        <is>
          <t>Available (ticked in reference)</t>
        </is>
      </c>
      <c r="L564" s="73" t="inlineStr">
        <is>
          <t>STD UPLIFT INFORMATION.xlsx &gt; F&amp;B LINEN!D31</t>
        </is>
      </c>
      <c r="M564" s="73" t="inlineStr">
        <is>
          <t>Not stated in reference</t>
        </is>
      </c>
      <c r="N564" s="73" t="inlineStr">
        <is>
          <t>Required</t>
        </is>
      </c>
      <c r="O564" s="73" t="inlineStr"/>
      <c r="P564" s="63" t="inlineStr">
        <is>
          <t>HKG</t>
        </is>
      </c>
      <c r="Q564" s="65">
        <f>Flights!$AF$21</f>
        <v/>
      </c>
      <c r="R564" s="65">
        <f>Q564+(IF(AND(INDEX(TZ_DSTS,MATCH(P564,TZ_STN,0))&lt;&gt;"",Q564&gt;=INDEX(TZ_DSTS,MATCH(P564,TZ_STN,0)),Q564&lt;INDEX(TZ_DSTE,MATCH(P564,TZ_STN,0))),INDEX(TZ_DST,MATCH(P564,TZ_STN,0)),INDEX(TZ_STD,MATCH(P564,TZ_STN,0))))/24</f>
        <v/>
      </c>
      <c r="S564" s="65">
        <f>Q564-UpliftWindowH/24</f>
        <v/>
      </c>
      <c r="T564" s="66" t="n"/>
      <c r="U564" s="66" t="n"/>
      <c r="V564" s="66" t="n"/>
      <c r="W564" s="67" t="n"/>
      <c r="X564" s="66" t="n"/>
      <c r="Y564" s="66" t="n"/>
      <c r="Z564" s="66" t="n"/>
      <c r="AA564" s="66" t="n"/>
      <c r="AB564" s="66" t="n"/>
      <c r="AC564" s="66" t="n"/>
      <c r="AD564" s="72" t="n"/>
      <c r="AE564" s="66" t="n"/>
      <c r="AF564" s="67">
        <f>IF(AND(ISNUMBER(X564),ISNUMBER(Y564)),Y564-X564,"")</f>
        <v/>
      </c>
      <c r="AG564" s="68">
        <f>IF(ISNUMBER(AD564),AD564-(IF(AND(INDEX(TZ_DSTS,MATCH(P564,TZ_STN,0))&lt;&gt;"",(AD564-INDEX(TZ_STD,MATCH(P564,TZ_STN,0))/24)&gt;=INDEX(TZ_DSTS,MATCH(P564,TZ_STN,0)),(AD564-INDEX(TZ_STD,MATCH(P564,TZ_STN,0))/24)&lt;INDEX(TZ_DSTE,MATCH(P564,TZ_STN,0))),INDEX(TZ_DST,MATCH(P564,TZ_STN,0)),INDEX(TZ_STD,MATCH(P564,TZ_STN,0))))/24,"")</f>
        <v/>
      </c>
      <c r="AH564" s="71">
        <f>IF(N564="N/A – rule","N/A – RULE",IF(TRIM(U564)="N/A",IF(AT564=0,"INVALID – N/A not permitted for this mandatory check",IF(AND(TRIM(AC564)&lt;&gt;"",TRIM(AE564)&lt;&gt;"",TRIM(T564)&lt;&gt;""),"N/A – JUSTIFIED","INVALID – N/A needs justification, PIC and verifier")),IF(OR(TRIM(U564)="Pass",TRIM(U564)="Pass after CA"),IF(NOT(ISNUMBER(AD564)),"INVALID – completion time missing",IF(TRIM(T564)="","INVALID – PIC missing",IF(TRIM(Z564)="","INVALID – evidence missing",IF(TRIM(AE564)="","INVALID – verifier missing",IF(AND(AQ564=1,TRIM(W564)=""),"INVALID – batch ID missing",IF(AND(AR564=1,OR(NOT(ISNUMBER(X564)),NOT(ISNUMBER(Y564)))),"INVALID – expected/actual qty missing",IF(IF(AND(TRIM(U564)="Pass",ISNUMBER(AF564)),IF(AF564&lt;&gt;0,"INVALID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recorded/closed","")&lt;&gt;"",IF(AND(TRIM(U564)="Pass",ISNUMBER(AF564)),IF(AF564&lt;&gt;0,"INVALID – qty variance: use Fail or Pass after CA",""),"")&amp;IF(AND(TRIM(U564)="Pass",AB564="Open"),"INVALID – corrective action still open: use Fail, then Pass after CA","")&amp;IF(AND(TRIM(U564)="Pass after CA",OR(TRIM(AA564)="",AB564&lt;&gt;"Closed")),"INVALID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window"),IF(AG564&gt;Flights!$AA$21,"INVALID – completed after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f>
        <v/>
      </c>
      <c r="AI564" s="67">
        <f>IF(OR(AH564="N/A – RULE",AH564="N/A – JUSTIFIED"),0,1)</f>
        <v/>
      </c>
      <c r="AJ564" s="67">
        <f>IF(LEFT(AH564,8)="COMPLETE",1,0)</f>
        <v/>
      </c>
      <c r="AK564" s="67">
        <f>IF(AND(AI564=1,AJ564=0,AsOfUTC&gt;Q564),1,0)</f>
        <v/>
      </c>
      <c r="AL564" s="67">
        <f>IF(AND(AI564=1,OR(TRIM(U564)="Fail",AB564="Open",AND(ISNUMBER(AF564),AF564&lt;&gt;0,TRIM(U564)&lt;&gt;"Pass after CA"))),1,0)</f>
        <v/>
      </c>
      <c r="AM564" s="67">
        <f>IF(LEFT(AH564,7)="INVALID",1,0)</f>
        <v/>
      </c>
      <c r="AN564" s="67">
        <f>IF(AND(N564="Clarification required",AI564=1,AJ564=0),1,0)</f>
        <v/>
      </c>
      <c r="AO564" s="67">
        <f>IF(AK564=1,SUM(AK$5:AK564),"")</f>
        <v/>
      </c>
      <c r="AP564" s="67">
        <f>IF(AL564=1,SUM(AL$5:AL564),"")</f>
        <v/>
      </c>
      <c r="AQ564" s="67" t="n">
        <v>0</v>
      </c>
      <c r="AR564" s="67" t="n">
        <v>0</v>
      </c>
      <c r="AS564" s="67" t="n">
        <v>0</v>
      </c>
      <c r="AT564" s="67" t="n">
        <v>1</v>
      </c>
    </row>
    <row r="565" ht="40" customHeight="1">
      <c r="A565" s="63" t="inlineStr">
        <is>
          <t>F17-UPL-06</t>
        </is>
      </c>
      <c r="B565" s="63" t="inlineStr">
        <is>
          <t>F17</t>
        </is>
      </c>
      <c r="C565" s="63">
        <f>Flights!$F$21</f>
        <v/>
      </c>
      <c r="D565" s="64">
        <f>Flights!$D$21</f>
        <v/>
      </c>
      <c r="E565" s="63">
        <f>Flights!$G$21&amp;"-"&amp;Flights!$H$21</f>
        <v/>
      </c>
      <c r="F565" s="63">
        <f>Flights!$K$21</f>
        <v/>
      </c>
      <c r="G565" s="63" t="inlineStr">
        <is>
          <t>UPLIFT</t>
        </is>
      </c>
      <c r="H565" s="63" t="inlineStr">
        <is>
          <t>Physical uplift</t>
        </is>
      </c>
      <c r="I565" s="63" t="inlineStr">
        <is>
          <t>F&amp;B Linen</t>
        </is>
      </c>
      <c r="J565" s="63" t="inlineStr">
        <is>
          <t>Tray cloth - on board</t>
        </is>
      </c>
      <c r="K565" s="73" t="inlineStr">
        <is>
          <t>Available (ticked in reference)</t>
        </is>
      </c>
      <c r="L565" s="73" t="inlineStr">
        <is>
          <t>STD UPLIFT INFORMATION.xlsx &gt; F&amp;B LINEN!E31</t>
        </is>
      </c>
      <c r="M565" s="73" t="inlineStr">
        <is>
          <t>Not stated in reference</t>
        </is>
      </c>
      <c r="N565" s="73" t="inlineStr">
        <is>
          <t>Required</t>
        </is>
      </c>
      <c r="O565" s="73" t="inlineStr"/>
      <c r="P565" s="63" t="inlineStr">
        <is>
          <t>HKG</t>
        </is>
      </c>
      <c r="Q565" s="65">
        <f>Flights!$AF$21</f>
        <v/>
      </c>
      <c r="R565" s="65">
        <f>Q565+(IF(AND(INDEX(TZ_DSTS,MATCH(P565,TZ_STN,0))&lt;&gt;"",Q565&gt;=INDEX(TZ_DSTS,MATCH(P565,TZ_STN,0)),Q565&lt;INDEX(TZ_DSTE,MATCH(P565,TZ_STN,0))),INDEX(TZ_DST,MATCH(P565,TZ_STN,0)),INDEX(TZ_STD,MATCH(P565,TZ_STN,0))))/24</f>
        <v/>
      </c>
      <c r="S565" s="65">
        <f>Q565-UpliftWindowH/24</f>
        <v/>
      </c>
      <c r="T565" s="66" t="n"/>
      <c r="U565" s="66" t="n"/>
      <c r="V565" s="66" t="n"/>
      <c r="W565" s="67" t="n"/>
      <c r="X565" s="66" t="n"/>
      <c r="Y565" s="66" t="n"/>
      <c r="Z565" s="66" t="n"/>
      <c r="AA565" s="66" t="n"/>
      <c r="AB565" s="66" t="n"/>
      <c r="AC565" s="66" t="n"/>
      <c r="AD565" s="72" t="n"/>
      <c r="AE565" s="66" t="n"/>
      <c r="AF565" s="67">
        <f>IF(AND(ISNUMBER(X565),ISNUMBER(Y565)),Y565-X565,"")</f>
        <v/>
      </c>
      <c r="AG565" s="68">
        <f>IF(ISNUMBER(AD565),AD565-(IF(AND(INDEX(TZ_DSTS,MATCH(P565,TZ_STN,0))&lt;&gt;"",(AD565-INDEX(TZ_STD,MATCH(P565,TZ_STN,0))/24)&gt;=INDEX(TZ_DSTS,MATCH(P565,TZ_STN,0)),(AD565-INDEX(TZ_STD,MATCH(P565,TZ_STN,0))/24)&lt;INDEX(TZ_DSTE,MATCH(P565,TZ_STN,0))),INDEX(TZ_DST,MATCH(P565,TZ_STN,0)),INDEX(TZ_STD,MATCH(P565,TZ_STN,0))))/24,"")</f>
        <v/>
      </c>
      <c r="AH565" s="71">
        <f>IF(N565="N/A – rule","N/A – RULE",IF(TRIM(U565)="N/A",IF(AT565=0,"INVALID – N/A not permitted for this mandatory check",IF(AND(TRIM(AC565)&lt;&gt;"",TRIM(AE565)&lt;&gt;"",TRIM(T565)&lt;&gt;""),"N/A – JUSTIFIED","INVALID – N/A needs justification, PIC and verifier")),IF(OR(TRIM(U565)="Pass",TRIM(U565)="Pass after CA"),IF(NOT(ISNUMBER(AD565)),"INVALID – completion time missing",IF(TRIM(T565)="","INVALID – PIC missing",IF(TRIM(Z565)="","INVALID – evidence missing",IF(TRIM(AE565)="","INVALID – verifier missing",IF(AND(AQ565=1,TRIM(W565)=""),"INVALID – batch ID missing",IF(AND(AR565=1,OR(NOT(ISNUMBER(X565)),NOT(ISNUMBER(Y565)))),"INVALID – expected/actual qty missing",IF(IF(AND(TRIM(U565)="Pass",ISNUMBER(AF565)),IF(AF565&lt;&gt;0,"INVALID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recorded/closed","")&lt;&gt;"",IF(AND(TRIM(U565)="Pass",ISNUMBER(AF565)),IF(AF565&lt;&gt;0,"INVALID – qty variance: use Fail or Pass after CA",""),"")&amp;IF(AND(TRIM(U565)="Pass",AB565="Open"),"INVALID – corrective action still open: use Fail, then Pass after CA","")&amp;IF(AND(TRIM(U565)="Pass after CA",OR(TRIM(AA565)="",AB565&lt;&gt;"Closed")),"INVALID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window"),IF(AG565&gt;Flights!$AA$21,"INVALID – completed after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f>
        <v/>
      </c>
      <c r="AI565" s="67">
        <f>IF(OR(AH565="N/A – RULE",AH565="N/A – JUSTIFIED"),0,1)</f>
        <v/>
      </c>
      <c r="AJ565" s="67">
        <f>IF(LEFT(AH565,8)="COMPLETE",1,0)</f>
        <v/>
      </c>
      <c r="AK565" s="67">
        <f>IF(AND(AI565=1,AJ565=0,AsOfUTC&gt;Q565),1,0)</f>
        <v/>
      </c>
      <c r="AL565" s="67">
        <f>IF(AND(AI565=1,OR(TRIM(U565)="Fail",AB565="Open",AND(ISNUMBER(AF565),AF565&lt;&gt;0,TRIM(U565)&lt;&gt;"Pass after CA"))),1,0)</f>
        <v/>
      </c>
      <c r="AM565" s="67">
        <f>IF(LEFT(AH565,7)="INVALID",1,0)</f>
        <v/>
      </c>
      <c r="AN565" s="67">
        <f>IF(AND(N565="Clarification required",AI565=1,AJ565=0),1,0)</f>
        <v/>
      </c>
      <c r="AO565" s="67">
        <f>IF(AK565=1,SUM(AK$5:AK565),"")</f>
        <v/>
      </c>
      <c r="AP565" s="67">
        <f>IF(AL565=1,SUM(AL$5:AL565),"")</f>
        <v/>
      </c>
      <c r="AQ565" s="67" t="n">
        <v>0</v>
      </c>
      <c r="AR565" s="67" t="n">
        <v>0</v>
      </c>
      <c r="AS565" s="67" t="n">
        <v>0</v>
      </c>
      <c r="AT565" s="67" t="n">
        <v>1</v>
      </c>
    </row>
    <row r="566" ht="40" customHeight="1">
      <c r="A566" s="63" t="inlineStr">
        <is>
          <t>F17-UPL-07</t>
        </is>
      </c>
      <c r="B566" s="63" t="inlineStr">
        <is>
          <t>F17</t>
        </is>
      </c>
      <c r="C566" s="63">
        <f>Flights!$F$21</f>
        <v/>
      </c>
      <c r="D566" s="64">
        <f>Flights!$D$21</f>
        <v/>
      </c>
      <c r="E566" s="63">
        <f>Flights!$G$21&amp;"-"&amp;Flights!$H$21</f>
        <v/>
      </c>
      <c r="F566" s="63">
        <f>Flights!$K$21</f>
        <v/>
      </c>
      <c r="G566" s="63" t="inlineStr">
        <is>
          <t>UPLIFT</t>
        </is>
      </c>
      <c r="H566" s="63" t="inlineStr">
        <is>
          <t>Physical uplift</t>
        </is>
      </c>
      <c r="I566" s="63" t="inlineStr">
        <is>
          <t>F&amp;B Linen</t>
        </is>
      </c>
      <c r="J566" s="63" t="inlineStr">
        <is>
          <t>Napkin - on board</t>
        </is>
      </c>
      <c r="K566" s="73" t="inlineStr">
        <is>
          <t>Available (ticked in reference)</t>
        </is>
      </c>
      <c r="L566" s="73" t="inlineStr">
        <is>
          <t>STD UPLIFT INFORMATION.xlsx &gt; F&amp;B LINEN!F31</t>
        </is>
      </c>
      <c r="M566" s="73" t="inlineStr">
        <is>
          <t>Not stated in reference</t>
        </is>
      </c>
      <c r="N566" s="73" t="inlineStr">
        <is>
          <t>Required</t>
        </is>
      </c>
      <c r="O566" s="73" t="inlineStr"/>
      <c r="P566" s="63" t="inlineStr">
        <is>
          <t>HKG</t>
        </is>
      </c>
      <c r="Q566" s="65">
        <f>Flights!$AF$21</f>
        <v/>
      </c>
      <c r="R566" s="65">
        <f>Q566+(IF(AND(INDEX(TZ_DSTS,MATCH(P566,TZ_STN,0))&lt;&gt;"",Q566&gt;=INDEX(TZ_DSTS,MATCH(P566,TZ_STN,0)),Q566&lt;INDEX(TZ_DSTE,MATCH(P566,TZ_STN,0))),INDEX(TZ_DST,MATCH(P566,TZ_STN,0)),INDEX(TZ_STD,MATCH(P566,TZ_STN,0))))/24</f>
        <v/>
      </c>
      <c r="S566" s="65">
        <f>Q566-UpliftWindowH/24</f>
        <v/>
      </c>
      <c r="T566" s="66" t="n"/>
      <c r="U566" s="66" t="n"/>
      <c r="V566" s="66" t="n"/>
      <c r="W566" s="67" t="n"/>
      <c r="X566" s="66" t="n"/>
      <c r="Y566" s="66" t="n"/>
      <c r="Z566" s="66" t="n"/>
      <c r="AA566" s="66" t="n"/>
      <c r="AB566" s="66" t="n"/>
      <c r="AC566" s="66" t="n"/>
      <c r="AD566" s="72" t="n"/>
      <c r="AE566" s="66" t="n"/>
      <c r="AF566" s="67">
        <f>IF(AND(ISNUMBER(X566),ISNUMBER(Y566)),Y566-X566,"")</f>
        <v/>
      </c>
      <c r="AG566" s="68">
        <f>IF(ISNUMBER(AD566),AD566-(IF(AND(INDEX(TZ_DSTS,MATCH(P566,TZ_STN,0))&lt;&gt;"",(AD566-INDEX(TZ_STD,MATCH(P566,TZ_STN,0))/24)&gt;=INDEX(TZ_DSTS,MATCH(P566,TZ_STN,0)),(AD566-INDEX(TZ_STD,MATCH(P566,TZ_STN,0))/24)&lt;INDEX(TZ_DSTE,MATCH(P566,TZ_STN,0))),INDEX(TZ_DST,MATCH(P566,TZ_STN,0)),INDEX(TZ_STD,MATCH(P566,TZ_STN,0))))/24,"")</f>
        <v/>
      </c>
      <c r="AH566" s="71">
        <f>IF(N566="N/A – rule","N/A – RULE",IF(TRIM(U566)="N/A",IF(AT566=0,"INVALID – N/A not permitted for this mandatory check",IF(AND(TRIM(AC566)&lt;&gt;"",TRIM(AE566)&lt;&gt;"",TRIM(T566)&lt;&gt;""),"N/A – JUSTIFIED","INVALID – N/A needs justification, PIC and verifier")),IF(OR(TRIM(U566)="Pass",TRIM(U566)="Pass after CA"),IF(NOT(ISNUMBER(AD566)),"INVALID – completion time missing",IF(TRIM(T566)="","INVALID – PIC missing",IF(TRIM(Z566)="","INVALID – evidence missing",IF(TRIM(AE566)="","INVALID – verifier missing",IF(AND(AQ566=1,TRIM(W566)=""),"INVALID – batch ID missing",IF(AND(AR566=1,OR(NOT(ISNUMBER(X566)),NOT(ISNUMBER(Y566)))),"INVALID – expected/actual qty missing",IF(IF(AND(TRIM(U566)="Pass",ISNUMBER(AF566)),IF(AF566&lt;&gt;0,"INVALID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recorded/closed","")&lt;&gt;"",IF(AND(TRIM(U566)="Pass",ISNUMBER(AF566)),IF(AF566&lt;&gt;0,"INVALID – qty variance: use Fail or Pass after CA",""),"")&amp;IF(AND(TRIM(U566)="Pass",AB566="Open"),"INVALID – corrective action still open: use Fail, then Pass after CA","")&amp;IF(AND(TRIM(U566)="Pass after CA",OR(TRIM(AA566)="",AB566&lt;&gt;"Closed")),"INVALID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window"),IF(AG566&gt;Flights!$AA$21,"INVALID – completed after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f>
        <v/>
      </c>
      <c r="AI566" s="67">
        <f>IF(OR(AH566="N/A – RULE",AH566="N/A – JUSTIFIED"),0,1)</f>
        <v/>
      </c>
      <c r="AJ566" s="67">
        <f>IF(LEFT(AH566,8)="COMPLETE",1,0)</f>
        <v/>
      </c>
      <c r="AK566" s="67">
        <f>IF(AND(AI566=1,AJ566=0,AsOfUTC&gt;Q566),1,0)</f>
        <v/>
      </c>
      <c r="AL566" s="67">
        <f>IF(AND(AI566=1,OR(TRIM(U566)="Fail",AB566="Open",AND(ISNUMBER(AF566),AF566&lt;&gt;0,TRIM(U566)&lt;&gt;"Pass after CA"))),1,0)</f>
        <v/>
      </c>
      <c r="AM566" s="67">
        <f>IF(LEFT(AH566,7)="INVALID",1,0)</f>
        <v/>
      </c>
      <c r="AN566" s="67">
        <f>IF(AND(N566="Clarification required",AI566=1,AJ566=0),1,0)</f>
        <v/>
      </c>
      <c r="AO566" s="67">
        <f>IF(AK566=1,SUM(AK$5:AK566),"")</f>
        <v/>
      </c>
      <c r="AP566" s="67">
        <f>IF(AL566=1,SUM(AL$5:AL566),"")</f>
        <v/>
      </c>
      <c r="AQ566" s="67" t="n">
        <v>0</v>
      </c>
      <c r="AR566" s="67" t="n">
        <v>0</v>
      </c>
      <c r="AS566" s="67" t="n">
        <v>0</v>
      </c>
      <c r="AT566" s="67" t="n">
        <v>1</v>
      </c>
    </row>
    <row r="567" ht="79" customHeight="1">
      <c r="A567" s="63" t="inlineStr">
        <is>
          <t>F17-UPL-08</t>
        </is>
      </c>
      <c r="B567" s="63" t="inlineStr">
        <is>
          <t>F17</t>
        </is>
      </c>
      <c r="C567" s="63">
        <f>Flights!$F$21</f>
        <v/>
      </c>
      <c r="D567" s="64">
        <f>Flights!$D$21</f>
        <v/>
      </c>
      <c r="E567" s="63">
        <f>Flights!$G$21&amp;"-"&amp;Flights!$H$21</f>
        <v/>
      </c>
      <c r="F567" s="63">
        <f>Flights!$K$21</f>
        <v/>
      </c>
      <c r="G567" s="63" t="inlineStr">
        <is>
          <t>UPLIFT</t>
        </is>
      </c>
      <c r="H567" s="63" t="inlineStr">
        <is>
          <t>Physical uplift</t>
        </is>
      </c>
      <c r="I567" s="63" t="inlineStr">
        <is>
          <t>F&amp;B Linen</t>
        </is>
      </c>
      <c r="J567" s="63" t="inlineStr">
        <is>
          <t>Table cloth - on board</t>
        </is>
      </c>
      <c r="K567" s="73" t="inlineStr">
        <is>
          <t>Available (ticked in reference)</t>
        </is>
      </c>
      <c r="L567" s="73" t="inlineStr">
        <is>
          <t>STD UPLIFT INFORMATION.xlsx &gt; F&amp;B LINEN!G31</t>
        </is>
      </c>
      <c r="M567" s="73" t="inlineStr">
        <is>
          <t>Not stated in reference</t>
        </is>
      </c>
      <c r="N567" s="73" t="inlineStr">
        <is>
          <t>Clarification required</t>
        </is>
      </c>
      <c r="O567" s="73" t="inlineStr">
        <is>
          <t>Reference contradicts itself: matrix shows _/ for this sector but note F&amp;B LINEN!B78:C78 says table cloth is 'Not Applicable for Domestic/Asean &amp; Regional' (ORIENTAL). Confirm before loading; if not carried, mark N/A with the confirmation as justification.</t>
        </is>
      </c>
      <c r="P567" s="63" t="inlineStr">
        <is>
          <t>HKG</t>
        </is>
      </c>
      <c r="Q567" s="65">
        <f>Flights!$AF$21</f>
        <v/>
      </c>
      <c r="R567" s="65">
        <f>Q567+(IF(AND(INDEX(TZ_DSTS,MATCH(P567,TZ_STN,0))&lt;&gt;"",Q567&gt;=INDEX(TZ_DSTS,MATCH(P567,TZ_STN,0)),Q567&lt;INDEX(TZ_DSTE,MATCH(P567,TZ_STN,0))),INDEX(TZ_DST,MATCH(P567,TZ_STN,0)),INDEX(TZ_STD,MATCH(P567,TZ_STN,0))))/24</f>
        <v/>
      </c>
      <c r="S567" s="65">
        <f>Q567-UpliftWindowH/24</f>
        <v/>
      </c>
      <c r="T567" s="66" t="n"/>
      <c r="U567" s="66" t="n"/>
      <c r="V567" s="66" t="n"/>
      <c r="W567" s="67" t="n"/>
      <c r="X567" s="66" t="n"/>
      <c r="Y567" s="66" t="n"/>
      <c r="Z567" s="66" t="n"/>
      <c r="AA567" s="66" t="n"/>
      <c r="AB567" s="66" t="n"/>
      <c r="AC567" s="66" t="n"/>
      <c r="AD567" s="72" t="n"/>
      <c r="AE567" s="66" t="n"/>
      <c r="AF567" s="67">
        <f>IF(AND(ISNUMBER(X567),ISNUMBER(Y567)),Y567-X567,"")</f>
        <v/>
      </c>
      <c r="AG567" s="68">
        <f>IF(ISNUMBER(AD567),AD567-(IF(AND(INDEX(TZ_DSTS,MATCH(P567,TZ_STN,0))&lt;&gt;"",(AD567-INDEX(TZ_STD,MATCH(P567,TZ_STN,0))/24)&gt;=INDEX(TZ_DSTS,MATCH(P567,TZ_STN,0)),(AD567-INDEX(TZ_STD,MATCH(P567,TZ_STN,0))/24)&lt;INDEX(TZ_DSTE,MATCH(P567,TZ_STN,0))),INDEX(TZ_DST,MATCH(P567,TZ_STN,0)),INDEX(TZ_STD,MATCH(P567,TZ_STN,0))))/24,"")</f>
        <v/>
      </c>
      <c r="AH567" s="71">
        <f>IF(N567="N/A – rule","N/A – RULE",IF(TRIM(U567)="N/A",IF(AT567=0,"INVALID – N/A not permitted for this mandatory check",IF(AND(TRIM(AC567)&lt;&gt;"",TRIM(AE567)&lt;&gt;"",TRIM(T567)&lt;&gt;""),"N/A – JUSTIFIED","INVALID – N/A needs justification, PIC and verifier")),IF(OR(TRIM(U567)="Pass",TRIM(U567)="Pass after CA"),IF(NOT(ISNUMBER(AD567)),"INVALID – completion time missing",IF(TRIM(T567)="","INVALID – PIC missing",IF(TRIM(Z567)="","INVALID – evidence missing",IF(TRIM(AE567)="","INVALID – verifier missing",IF(AND(AQ567=1,TRIM(W567)=""),"INVALID – batch ID missing",IF(AND(AR567=1,OR(NOT(ISNUMBER(X567)),NOT(ISNUMBER(Y567)))),"INVALID – expected/actual qty missing",IF(IF(AND(TRIM(U567)="Pass",ISNUMBER(AF567)),IF(AF567&lt;&gt;0,"INVALID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recorded/closed","")&lt;&gt;"",IF(AND(TRIM(U567)="Pass",ISNUMBER(AF567)),IF(AF567&lt;&gt;0,"INVALID – qty variance: use Fail or Pass after CA",""),"")&amp;IF(AND(TRIM(U567)="Pass",AB567="Open"),"INVALID – corrective action still open: use Fail, then Pass after CA","")&amp;IF(AND(TRIM(U567)="Pass after CA",OR(TRIM(AA567)="",AB567&lt;&gt;"Closed")),"INVALID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window"),IF(AG567&gt;Flights!$AA$21,"INVALID – completed after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f>
        <v/>
      </c>
      <c r="AI567" s="67">
        <f>IF(OR(AH567="N/A – RULE",AH567="N/A – JUSTIFIED"),0,1)</f>
        <v/>
      </c>
      <c r="AJ567" s="67">
        <f>IF(LEFT(AH567,8)="COMPLETE",1,0)</f>
        <v/>
      </c>
      <c r="AK567" s="67">
        <f>IF(AND(AI567=1,AJ567=0,AsOfUTC&gt;Q567),1,0)</f>
        <v/>
      </c>
      <c r="AL567" s="67">
        <f>IF(AND(AI567=1,OR(TRIM(U567)="Fail",AB567="Open",AND(ISNUMBER(AF567),AF567&lt;&gt;0,TRIM(U567)&lt;&gt;"Pass after CA"))),1,0)</f>
        <v/>
      </c>
      <c r="AM567" s="67">
        <f>IF(LEFT(AH567,7)="INVALID",1,0)</f>
        <v/>
      </c>
      <c r="AN567" s="67">
        <f>IF(AND(N567="Clarification required",AI567=1,AJ567=0),1,0)</f>
        <v/>
      </c>
      <c r="AO567" s="67">
        <f>IF(AK567=1,SUM(AK$5:AK567),"")</f>
        <v/>
      </c>
      <c r="AP567" s="67">
        <f>IF(AL567=1,SUM(AL$5:AL567),"")</f>
        <v/>
      </c>
      <c r="AQ567" s="67" t="n">
        <v>0</v>
      </c>
      <c r="AR567" s="67" t="n">
        <v>0</v>
      </c>
      <c r="AS567" s="67" t="n">
        <v>0</v>
      </c>
      <c r="AT567" s="67" t="n">
        <v>1</v>
      </c>
    </row>
    <row r="568" ht="79" customHeight="1">
      <c r="A568" s="63" t="inlineStr">
        <is>
          <t>F17-UPL-09</t>
        </is>
      </c>
      <c r="B568" s="63" t="inlineStr">
        <is>
          <t>F17</t>
        </is>
      </c>
      <c r="C568" s="63">
        <f>Flights!$F$21</f>
        <v/>
      </c>
      <c r="D568" s="64">
        <f>Flights!$D$21</f>
        <v/>
      </c>
      <c r="E568" s="63">
        <f>Flights!$G$21&amp;"-"&amp;Flights!$H$21</f>
        <v/>
      </c>
      <c r="F568" s="63">
        <f>Flights!$K$21</f>
        <v/>
      </c>
      <c r="G568" s="63" t="inlineStr">
        <is>
          <t>UPLIFT</t>
        </is>
      </c>
      <c r="H568" s="63" t="inlineStr">
        <is>
          <t>Physical uplift</t>
        </is>
      </c>
      <c r="I568" s="63" t="inlineStr">
        <is>
          <t>F&amp;B Linen</t>
        </is>
      </c>
      <c r="J568" s="63" t="inlineStr">
        <is>
          <t>Bread linen (using table cloth) - on board</t>
        </is>
      </c>
      <c r="K568" s="73" t="inlineStr">
        <is>
          <t>Available (ticked in reference)</t>
        </is>
      </c>
      <c r="L568" s="73" t="inlineStr">
        <is>
          <t>STD UPLIFT INFORMATION.xlsx &gt; F&amp;B LINEN!H31</t>
        </is>
      </c>
      <c r="M568" s="73" t="inlineStr">
        <is>
          <t>Not stated in reference</t>
        </is>
      </c>
      <c r="N568" s="73" t="inlineStr">
        <is>
          <t>Clarification required</t>
        </is>
      </c>
      <c r="O568" s="73" t="inlineStr">
        <is>
          <t>Reference contradicts itself: matrix shows _/ for this sector but note F&amp;B LINEN!B78:C78 says table cloth is 'Not Applicable for Domestic/Asean &amp; Regional' (ORIENTAL). Confirm before loading; if not carried, mark N/A with the confirmation as justification.</t>
        </is>
      </c>
      <c r="P568" s="63" t="inlineStr">
        <is>
          <t>HKG</t>
        </is>
      </c>
      <c r="Q568" s="65">
        <f>Flights!$AF$21</f>
        <v/>
      </c>
      <c r="R568" s="65">
        <f>Q568+(IF(AND(INDEX(TZ_DSTS,MATCH(P568,TZ_STN,0))&lt;&gt;"",Q568&gt;=INDEX(TZ_DSTS,MATCH(P568,TZ_STN,0)),Q568&lt;INDEX(TZ_DSTE,MATCH(P568,TZ_STN,0))),INDEX(TZ_DST,MATCH(P568,TZ_STN,0)),INDEX(TZ_STD,MATCH(P568,TZ_STN,0))))/24</f>
        <v/>
      </c>
      <c r="S568" s="65">
        <f>Q568-UpliftWindowH/24</f>
        <v/>
      </c>
      <c r="T568" s="66" t="n"/>
      <c r="U568" s="66" t="n"/>
      <c r="V568" s="66" t="n"/>
      <c r="W568" s="67" t="n"/>
      <c r="X568" s="66" t="n"/>
      <c r="Y568" s="66" t="n"/>
      <c r="Z568" s="66" t="n"/>
      <c r="AA568" s="66" t="n"/>
      <c r="AB568" s="66" t="n"/>
      <c r="AC568" s="66" t="n"/>
      <c r="AD568" s="72" t="n"/>
      <c r="AE568" s="66" t="n"/>
      <c r="AF568" s="67">
        <f>IF(AND(ISNUMBER(X568),ISNUMBER(Y568)),Y568-X568,"")</f>
        <v/>
      </c>
      <c r="AG568" s="68">
        <f>IF(ISNUMBER(AD568),AD568-(IF(AND(INDEX(TZ_DSTS,MATCH(P568,TZ_STN,0))&lt;&gt;"",(AD568-INDEX(TZ_STD,MATCH(P568,TZ_STN,0))/24)&gt;=INDEX(TZ_DSTS,MATCH(P568,TZ_STN,0)),(AD568-INDEX(TZ_STD,MATCH(P568,TZ_STN,0))/24)&lt;INDEX(TZ_DSTE,MATCH(P568,TZ_STN,0))),INDEX(TZ_DST,MATCH(P568,TZ_STN,0)),INDEX(TZ_STD,MATCH(P568,TZ_STN,0))))/24,"")</f>
        <v/>
      </c>
      <c r="AH568" s="71">
        <f>IF(N568="N/A – rule","N/A – RULE",IF(TRIM(U568)="N/A",IF(AT568=0,"INVALID – N/A not permitted for this mandatory check",IF(AND(TRIM(AC568)&lt;&gt;"",TRIM(AE568)&lt;&gt;"",TRIM(T568)&lt;&gt;""),"N/A – JUSTIFIED","INVALID – N/A needs justification, PIC and verifier")),IF(OR(TRIM(U568)="Pass",TRIM(U568)="Pass after CA"),IF(NOT(ISNUMBER(AD568)),"INVALID – completion time missing",IF(TRIM(T568)="","INVALID – PIC missing",IF(TRIM(Z568)="","INVALID – evidence missing",IF(TRIM(AE568)="","INVALID – verifier missing",IF(AND(AQ568=1,TRIM(W568)=""),"INVALID – batch ID missing",IF(AND(AR568=1,OR(NOT(ISNUMBER(X568)),NOT(ISNUMBER(Y568)))),"INVALID – expected/actual qty missing",IF(IF(AND(TRIM(U568)="Pass",ISNUMBER(AF568)),IF(AF568&lt;&gt;0,"INVALID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recorded/closed","")&lt;&gt;"",IF(AND(TRIM(U568)="Pass",ISNUMBER(AF568)),IF(AF568&lt;&gt;0,"INVALID – qty variance: use Fail or Pass after CA",""),"")&amp;IF(AND(TRIM(U568)="Pass",AB568="Open"),"INVALID – corrective action still open: use Fail, then Pass after CA","")&amp;IF(AND(TRIM(U568)="Pass after CA",OR(TRIM(AA568)="",AB568&lt;&gt;"Closed")),"INVALID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window"),IF(AG568&gt;Flights!$AA$21,"INVALID – completed after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f>
        <v/>
      </c>
      <c r="AI568" s="67">
        <f>IF(OR(AH568="N/A – RULE",AH568="N/A – JUSTIFIED"),0,1)</f>
        <v/>
      </c>
      <c r="AJ568" s="67">
        <f>IF(LEFT(AH568,8)="COMPLETE",1,0)</f>
        <v/>
      </c>
      <c r="AK568" s="67">
        <f>IF(AND(AI568=1,AJ568=0,AsOfUTC&gt;Q568),1,0)</f>
        <v/>
      </c>
      <c r="AL568" s="67">
        <f>IF(AND(AI568=1,OR(TRIM(U568)="Fail",AB568="Open",AND(ISNUMBER(AF568),AF568&lt;&gt;0,TRIM(U568)&lt;&gt;"Pass after CA"))),1,0)</f>
        <v/>
      </c>
      <c r="AM568" s="67">
        <f>IF(LEFT(AH568,7)="INVALID",1,0)</f>
        <v/>
      </c>
      <c r="AN568" s="67">
        <f>IF(AND(N568="Clarification required",AI568=1,AJ568=0),1,0)</f>
        <v/>
      </c>
      <c r="AO568" s="67">
        <f>IF(AK568=1,SUM(AK$5:AK568),"")</f>
        <v/>
      </c>
      <c r="AP568" s="67">
        <f>IF(AL568=1,SUM(AL$5:AL568),"")</f>
        <v/>
      </c>
      <c r="AQ568" s="67" t="n">
        <v>0</v>
      </c>
      <c r="AR568" s="67" t="n">
        <v>0</v>
      </c>
      <c r="AS568" s="67" t="n">
        <v>0</v>
      </c>
      <c r="AT568" s="67" t="n">
        <v>1</v>
      </c>
    </row>
    <row r="569" ht="40" customHeight="1">
      <c r="A569" s="63" t="inlineStr">
        <is>
          <t>F17-UPL-10</t>
        </is>
      </c>
      <c r="B569" s="63" t="inlineStr">
        <is>
          <t>F17</t>
        </is>
      </c>
      <c r="C569" s="63">
        <f>Flights!$F$21</f>
        <v/>
      </c>
      <c r="D569" s="64">
        <f>Flights!$D$21</f>
        <v/>
      </c>
      <c r="E569" s="63">
        <f>Flights!$G$21&amp;"-"&amp;Flights!$H$21</f>
        <v/>
      </c>
      <c r="F569" s="63">
        <f>Flights!$K$21</f>
        <v/>
      </c>
      <c r="G569" s="63" t="inlineStr">
        <is>
          <t>UPLIFT</t>
        </is>
      </c>
      <c r="H569" s="63" t="inlineStr">
        <is>
          <t>Physical uplift</t>
        </is>
      </c>
      <c r="I569" s="63" t="inlineStr">
        <is>
          <t>F&amp;B Linen</t>
        </is>
      </c>
      <c r="J569" s="63" t="inlineStr">
        <is>
          <t>Trolley cloth - on board</t>
        </is>
      </c>
      <c r="K569" s="73" t="inlineStr">
        <is>
          <t>Narrow body: Top only</t>
        </is>
      </c>
      <c r="L569" s="73" t="inlineStr">
        <is>
          <t>STD UPLIFT INFORMATION.xlsx &gt; F&amp;B LINEN!I31</t>
        </is>
      </c>
      <c r="M569" s="73" t="inlineStr">
        <is>
          <t>Not stated in reference</t>
        </is>
      </c>
      <c r="N569" s="73" t="inlineStr">
        <is>
          <t>Required</t>
        </is>
      </c>
      <c r="O569" s="73" t="inlineStr">
        <is>
          <t>Per note F&amp;B LINEN!B79:C80.</t>
        </is>
      </c>
      <c r="P569" s="63" t="inlineStr">
        <is>
          <t>HKG</t>
        </is>
      </c>
      <c r="Q569" s="65">
        <f>Flights!$AF$21</f>
        <v/>
      </c>
      <c r="R569" s="65">
        <f>Q569+(IF(AND(INDEX(TZ_DSTS,MATCH(P569,TZ_STN,0))&lt;&gt;"",Q569&gt;=INDEX(TZ_DSTS,MATCH(P569,TZ_STN,0)),Q569&lt;INDEX(TZ_DSTE,MATCH(P569,TZ_STN,0))),INDEX(TZ_DST,MATCH(P569,TZ_STN,0)),INDEX(TZ_STD,MATCH(P569,TZ_STN,0))))/24</f>
        <v/>
      </c>
      <c r="S569" s="65">
        <f>Q569-UpliftWindowH/24</f>
        <v/>
      </c>
      <c r="T569" s="66" t="n"/>
      <c r="U569" s="66" t="n"/>
      <c r="V569" s="66" t="n"/>
      <c r="W569" s="67" t="n"/>
      <c r="X569" s="66" t="n"/>
      <c r="Y569" s="66" t="n"/>
      <c r="Z569" s="66" t="n"/>
      <c r="AA569" s="66" t="n"/>
      <c r="AB569" s="66" t="n"/>
      <c r="AC569" s="66" t="n"/>
      <c r="AD569" s="72" t="n"/>
      <c r="AE569" s="66" t="n"/>
      <c r="AF569" s="67">
        <f>IF(AND(ISNUMBER(X569),ISNUMBER(Y569)),Y569-X569,"")</f>
        <v/>
      </c>
      <c r="AG569" s="68">
        <f>IF(ISNUMBER(AD569),AD569-(IF(AND(INDEX(TZ_DSTS,MATCH(P569,TZ_STN,0))&lt;&gt;"",(AD569-INDEX(TZ_STD,MATCH(P569,TZ_STN,0))/24)&gt;=INDEX(TZ_DSTS,MATCH(P569,TZ_STN,0)),(AD569-INDEX(TZ_STD,MATCH(P569,TZ_STN,0))/24)&lt;INDEX(TZ_DSTE,MATCH(P569,TZ_STN,0))),INDEX(TZ_DST,MATCH(P569,TZ_STN,0)),INDEX(TZ_STD,MATCH(P569,TZ_STN,0))))/24,"")</f>
        <v/>
      </c>
      <c r="AH569" s="71">
        <f>IF(N569="N/A – rule","N/A – RULE",IF(TRIM(U569)="N/A",IF(AT569=0,"INVALID – N/A not permitted for this mandatory check",IF(AND(TRIM(AC569)&lt;&gt;"",TRIM(AE569)&lt;&gt;"",TRIM(T569)&lt;&gt;""),"N/A – JUSTIFIED","INVALID – N/A needs justification, PIC and verifier")),IF(OR(TRIM(U569)="Pass",TRIM(U569)="Pass after CA"),IF(NOT(ISNUMBER(AD569)),"INVALID – completion time missing",IF(TRIM(T569)="","INVALID – PIC missing",IF(TRIM(Z569)="","INVALID – evidence missing",IF(TRIM(AE569)="","INVALID – verifier missing",IF(AND(AQ569=1,TRIM(W569)=""),"INVALID – batch ID missing",IF(AND(AR569=1,OR(NOT(ISNUMBER(X569)),NOT(ISNUMBER(Y569)))),"INVALID – expected/actual qty missing",IF(IF(AND(TRIM(U569)="Pass",ISNUMBER(AF569)),IF(AF569&lt;&gt;0,"INVALID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recorded/closed","")&lt;&gt;"",IF(AND(TRIM(U569)="Pass",ISNUMBER(AF569)),IF(AF569&lt;&gt;0,"INVALID – qty variance: use Fail or Pass after CA",""),"")&amp;IF(AND(TRIM(U569)="Pass",AB569="Open"),"INVALID – corrective action still open: use Fail, then Pass after CA","")&amp;IF(AND(TRIM(U569)="Pass after CA",OR(TRIM(AA569)="",AB569&lt;&gt;"Closed")),"INVALID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window"),IF(AG569&gt;Flights!$AA$21,"INVALID – completed after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f>
        <v/>
      </c>
      <c r="AI569" s="67">
        <f>IF(OR(AH569="N/A – RULE",AH569="N/A – JUSTIFIED"),0,1)</f>
        <v/>
      </c>
      <c r="AJ569" s="67">
        <f>IF(LEFT(AH569,8)="COMPLETE",1,0)</f>
        <v/>
      </c>
      <c r="AK569" s="67">
        <f>IF(AND(AI569=1,AJ569=0,AsOfUTC&gt;Q569),1,0)</f>
        <v/>
      </c>
      <c r="AL569" s="67">
        <f>IF(AND(AI569=1,OR(TRIM(U569)="Fail",AB569="Open",AND(ISNUMBER(AF569),AF569&lt;&gt;0,TRIM(U569)&lt;&gt;"Pass after CA"))),1,0)</f>
        <v/>
      </c>
      <c r="AM569" s="67">
        <f>IF(LEFT(AH569,7)="INVALID",1,0)</f>
        <v/>
      </c>
      <c r="AN569" s="67">
        <f>IF(AND(N569="Clarification required",AI569=1,AJ569=0),1,0)</f>
        <v/>
      </c>
      <c r="AO569" s="67">
        <f>IF(AK569=1,SUM(AK$5:AK569),"")</f>
        <v/>
      </c>
      <c r="AP569" s="67">
        <f>IF(AL569=1,SUM(AL$5:AL569),"")</f>
        <v/>
      </c>
      <c r="AQ569" s="67" t="n">
        <v>0</v>
      </c>
      <c r="AR569" s="67" t="n">
        <v>0</v>
      </c>
      <c r="AS569" s="67" t="n">
        <v>0</v>
      </c>
      <c r="AT569" s="67" t="n">
        <v>1</v>
      </c>
    </row>
    <row r="570" ht="40" customHeight="1">
      <c r="A570" s="63" t="inlineStr">
        <is>
          <t>F17-UPL-11</t>
        </is>
      </c>
      <c r="B570" s="63" t="inlineStr">
        <is>
          <t>F17</t>
        </is>
      </c>
      <c r="C570" s="63">
        <f>Flights!$F$21</f>
        <v/>
      </c>
      <c r="D570" s="64">
        <f>Flights!$D$21</f>
        <v/>
      </c>
      <c r="E570" s="63">
        <f>Flights!$G$21&amp;"-"&amp;Flights!$H$21</f>
        <v/>
      </c>
      <c r="F570" s="63">
        <f>Flights!$K$21</f>
        <v/>
      </c>
      <c r="G570" s="63" t="inlineStr">
        <is>
          <t>UPLIFT</t>
        </is>
      </c>
      <c r="H570" s="63" t="inlineStr">
        <is>
          <t>Physical uplift</t>
        </is>
      </c>
      <c r="I570" s="63" t="inlineStr">
        <is>
          <t>F&amp;B Linen</t>
        </is>
      </c>
      <c r="J570" s="63" t="inlineStr">
        <is>
          <t>Linen bag - on board</t>
        </is>
      </c>
      <c r="K570" s="73" t="inlineStr">
        <is>
          <t>Available (ticked in reference)</t>
        </is>
      </c>
      <c r="L570" s="73" t="inlineStr">
        <is>
          <t>STD UPLIFT INFORMATION.xlsx &gt; F&amp;B LINEN!J31</t>
        </is>
      </c>
      <c r="M570" s="73" t="inlineStr">
        <is>
          <t>Not stated in reference</t>
        </is>
      </c>
      <c r="N570" s="73" t="inlineStr">
        <is>
          <t>Required</t>
        </is>
      </c>
      <c r="O570" s="73" t="inlineStr"/>
      <c r="P570" s="63" t="inlineStr">
        <is>
          <t>HKG</t>
        </is>
      </c>
      <c r="Q570" s="65">
        <f>Flights!$AF$21</f>
        <v/>
      </c>
      <c r="R570" s="65">
        <f>Q570+(IF(AND(INDEX(TZ_DSTS,MATCH(P570,TZ_STN,0))&lt;&gt;"",Q570&gt;=INDEX(TZ_DSTS,MATCH(P570,TZ_STN,0)),Q570&lt;INDEX(TZ_DSTE,MATCH(P570,TZ_STN,0))),INDEX(TZ_DST,MATCH(P570,TZ_STN,0)),INDEX(TZ_STD,MATCH(P570,TZ_STN,0))))/24</f>
        <v/>
      </c>
      <c r="S570" s="65">
        <f>Q570-UpliftWindowH/24</f>
        <v/>
      </c>
      <c r="T570" s="66" t="n"/>
      <c r="U570" s="66" t="n"/>
      <c r="V570" s="66" t="n"/>
      <c r="W570" s="67" t="n"/>
      <c r="X570" s="66" t="n"/>
      <c r="Y570" s="66" t="n"/>
      <c r="Z570" s="66" t="n"/>
      <c r="AA570" s="66" t="n"/>
      <c r="AB570" s="66" t="n"/>
      <c r="AC570" s="66" t="n"/>
      <c r="AD570" s="72" t="n"/>
      <c r="AE570" s="66" t="n"/>
      <c r="AF570" s="67">
        <f>IF(AND(ISNUMBER(X570),ISNUMBER(Y570)),Y570-X570,"")</f>
        <v/>
      </c>
      <c r="AG570" s="68">
        <f>IF(ISNUMBER(AD570),AD570-(IF(AND(INDEX(TZ_DSTS,MATCH(P570,TZ_STN,0))&lt;&gt;"",(AD570-INDEX(TZ_STD,MATCH(P570,TZ_STN,0))/24)&gt;=INDEX(TZ_DSTS,MATCH(P570,TZ_STN,0)),(AD570-INDEX(TZ_STD,MATCH(P570,TZ_STN,0))/24)&lt;INDEX(TZ_DSTE,MATCH(P570,TZ_STN,0))),INDEX(TZ_DST,MATCH(P570,TZ_STN,0)),INDEX(TZ_STD,MATCH(P570,TZ_STN,0))))/24,"")</f>
        <v/>
      </c>
      <c r="AH570" s="71">
        <f>IF(N570="N/A – rule","N/A – RULE",IF(TRIM(U570)="N/A",IF(AT570=0,"INVALID – N/A not permitted for this mandatory check",IF(AND(TRIM(AC570)&lt;&gt;"",TRIM(AE570)&lt;&gt;"",TRIM(T570)&lt;&gt;""),"N/A – JUSTIFIED","INVALID – N/A needs justification, PIC and verifier")),IF(OR(TRIM(U570)="Pass",TRIM(U570)="Pass after CA"),IF(NOT(ISNUMBER(AD570)),"INVALID – completion time missing",IF(TRIM(T570)="","INVALID – PIC missing",IF(TRIM(Z570)="","INVALID – evidence missing",IF(TRIM(AE570)="","INVALID – verifier missing",IF(AND(AQ570=1,TRIM(W570)=""),"INVALID – batch ID missing",IF(AND(AR570=1,OR(NOT(ISNUMBER(X570)),NOT(ISNUMBER(Y570)))),"INVALID – expected/actual qty missing",IF(IF(AND(TRIM(U570)="Pass",ISNUMBER(AF570)),IF(AF570&lt;&gt;0,"INVALID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recorded/closed","")&lt;&gt;"",IF(AND(TRIM(U570)="Pass",ISNUMBER(AF570)),IF(AF570&lt;&gt;0,"INVALID – qty variance: use Fail or Pass after CA",""),"")&amp;IF(AND(TRIM(U570)="Pass",AB570="Open"),"INVALID – corrective action still open: use Fail, then Pass after CA","")&amp;IF(AND(TRIM(U570)="Pass after CA",OR(TRIM(AA570)="",AB570&lt;&gt;"Closed")),"INVALID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window"),IF(AG570&gt;Flights!$AA$21,"INVALID – completed after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f>
        <v/>
      </c>
      <c r="AI570" s="67">
        <f>IF(OR(AH570="N/A – RULE",AH570="N/A – JUSTIFIED"),0,1)</f>
        <v/>
      </c>
      <c r="AJ570" s="67">
        <f>IF(LEFT(AH570,8)="COMPLETE",1,0)</f>
        <v/>
      </c>
      <c r="AK570" s="67">
        <f>IF(AND(AI570=1,AJ570=0,AsOfUTC&gt;Q570),1,0)</f>
        <v/>
      </c>
      <c r="AL570" s="67">
        <f>IF(AND(AI570=1,OR(TRIM(U570)="Fail",AB570="Open",AND(ISNUMBER(AF570),AF570&lt;&gt;0,TRIM(U570)&lt;&gt;"Pass after CA"))),1,0)</f>
        <v/>
      </c>
      <c r="AM570" s="67">
        <f>IF(LEFT(AH570,7)="INVALID",1,0)</f>
        <v/>
      </c>
      <c r="AN570" s="67">
        <f>IF(AND(N570="Clarification required",AI570=1,AJ570=0),1,0)</f>
        <v/>
      </c>
      <c r="AO570" s="67">
        <f>IF(AK570=1,SUM(AK$5:AK570),"")</f>
        <v/>
      </c>
      <c r="AP570" s="67">
        <f>IF(AL570=1,SUM(AL$5:AL570),"")</f>
        <v/>
      </c>
      <c r="AQ570" s="67" t="n">
        <v>0</v>
      </c>
      <c r="AR570" s="67" t="n">
        <v>0</v>
      </c>
      <c r="AS570" s="67" t="n">
        <v>0</v>
      </c>
      <c r="AT570" s="67" t="n">
        <v>1</v>
      </c>
    </row>
    <row r="571" ht="40" customHeight="1">
      <c r="A571" s="63" t="inlineStr">
        <is>
          <t>F17-UPL-12</t>
        </is>
      </c>
      <c r="B571" s="63" t="inlineStr">
        <is>
          <t>F17</t>
        </is>
      </c>
      <c r="C571" s="63">
        <f>Flights!$F$21</f>
        <v/>
      </c>
      <c r="D571" s="64">
        <f>Flights!$D$21</f>
        <v/>
      </c>
      <c r="E571" s="63">
        <f>Flights!$G$21&amp;"-"&amp;Flights!$H$21</f>
        <v/>
      </c>
      <c r="F571" s="63">
        <f>Flights!$K$21</f>
        <v/>
      </c>
      <c r="G571" s="63" t="inlineStr">
        <is>
          <t>UPLIFT</t>
        </is>
      </c>
      <c r="H571" s="63" t="inlineStr">
        <is>
          <t>Physical uplift</t>
        </is>
      </c>
      <c r="I571" s="63" t="inlineStr">
        <is>
          <t>Seat Linen</t>
        </is>
      </c>
      <c r="J571" s="63" t="inlineStr">
        <is>
          <t>Seat pillow (BS &amp; BC) - on board</t>
        </is>
      </c>
      <c r="K571" s="73" t="inlineStr">
        <is>
          <t>Available 100% (ticked in reference)</t>
        </is>
      </c>
      <c r="L571" s="73" t="inlineStr">
        <is>
          <t>STD UPLIFT INFORMATION.xlsx &gt; SEAT LINEN!E30</t>
        </is>
      </c>
      <c r="M571" s="73" t="inlineStr">
        <is>
          <t>Not stated in reference</t>
        </is>
      </c>
      <c r="N571" s="73" t="inlineStr">
        <is>
          <t>Required</t>
        </is>
      </c>
      <c r="O571" s="73" t="inlineStr"/>
      <c r="P571" s="63" t="inlineStr">
        <is>
          <t>HKG</t>
        </is>
      </c>
      <c r="Q571" s="65">
        <f>Flights!$AF$21</f>
        <v/>
      </c>
      <c r="R571" s="65">
        <f>Q571+(IF(AND(INDEX(TZ_DSTS,MATCH(P571,TZ_STN,0))&lt;&gt;"",Q571&gt;=INDEX(TZ_DSTS,MATCH(P571,TZ_STN,0)),Q571&lt;INDEX(TZ_DSTE,MATCH(P571,TZ_STN,0))),INDEX(TZ_DST,MATCH(P571,TZ_STN,0)),INDEX(TZ_STD,MATCH(P571,TZ_STN,0))))/24</f>
        <v/>
      </c>
      <c r="S571" s="65">
        <f>Q571-UpliftWindowH/24</f>
        <v/>
      </c>
      <c r="T571" s="66" t="n"/>
      <c r="U571" s="66" t="n"/>
      <c r="V571" s="66" t="n"/>
      <c r="W571" s="67" t="n"/>
      <c r="X571" s="66" t="n"/>
      <c r="Y571" s="66" t="n"/>
      <c r="Z571" s="66" t="n"/>
      <c r="AA571" s="66" t="n"/>
      <c r="AB571" s="66" t="n"/>
      <c r="AC571" s="66" t="n"/>
      <c r="AD571" s="72" t="n"/>
      <c r="AE571" s="66" t="n"/>
      <c r="AF571" s="67">
        <f>IF(AND(ISNUMBER(X571),ISNUMBER(Y571)),Y571-X571,"")</f>
        <v/>
      </c>
      <c r="AG571" s="68">
        <f>IF(ISNUMBER(AD571),AD571-(IF(AND(INDEX(TZ_DSTS,MATCH(P571,TZ_STN,0))&lt;&gt;"",(AD571-INDEX(TZ_STD,MATCH(P571,TZ_STN,0))/24)&gt;=INDEX(TZ_DSTS,MATCH(P571,TZ_STN,0)),(AD571-INDEX(TZ_STD,MATCH(P571,TZ_STN,0))/24)&lt;INDEX(TZ_DSTE,MATCH(P571,TZ_STN,0))),INDEX(TZ_DST,MATCH(P571,TZ_STN,0)),INDEX(TZ_STD,MATCH(P571,TZ_STN,0))))/24,"")</f>
        <v/>
      </c>
      <c r="AH571" s="71">
        <f>IF(N571="N/A – rule","N/A – RULE",IF(TRIM(U571)="N/A",IF(AT571=0,"INVALID – N/A not permitted for this mandatory check",IF(AND(TRIM(AC571)&lt;&gt;"",TRIM(AE571)&lt;&gt;"",TRIM(T571)&lt;&gt;""),"N/A – JUSTIFIED","INVALID – N/A needs justification, PIC and verifier")),IF(OR(TRIM(U571)="Pass",TRIM(U571)="Pass after CA"),IF(NOT(ISNUMBER(AD571)),"INVALID – completion time missing",IF(TRIM(T571)="","INVALID – PIC missing",IF(TRIM(Z571)="","INVALID – evidence missing",IF(TRIM(AE571)="","INVALID – verifier missing",IF(AND(AQ571=1,TRIM(W571)=""),"INVALID – batch ID missing",IF(AND(AR571=1,OR(NOT(ISNUMBER(X571)),NOT(ISNUMBER(Y571)))),"INVALID – expected/actual qty missing",IF(IF(AND(TRIM(U571)="Pass",ISNUMBER(AF571)),IF(AF571&lt;&gt;0,"INVALID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recorded/closed","")&lt;&gt;"",IF(AND(TRIM(U571)="Pass",ISNUMBER(AF571)),IF(AF571&lt;&gt;0,"INVALID – qty variance: use Fail or Pass after CA",""),"")&amp;IF(AND(TRIM(U571)="Pass",AB571="Open"),"INVALID – corrective action still open: use Fail, then Pass after CA","")&amp;IF(AND(TRIM(U571)="Pass after CA",OR(TRIM(AA571)="",AB571&lt;&gt;"Closed")),"INVALID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window"),IF(AG571&gt;Flights!$AA$21,"INVALID – completed after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f>
        <v/>
      </c>
      <c r="AI571" s="67">
        <f>IF(OR(AH571="N/A – RULE",AH571="N/A – JUSTIFIED"),0,1)</f>
        <v/>
      </c>
      <c r="AJ571" s="67">
        <f>IF(LEFT(AH571,8)="COMPLETE",1,0)</f>
        <v/>
      </c>
      <c r="AK571" s="67">
        <f>IF(AND(AI571=1,AJ571=0,AsOfUTC&gt;Q571),1,0)</f>
        <v/>
      </c>
      <c r="AL571" s="67">
        <f>IF(AND(AI571=1,OR(TRIM(U571)="Fail",AB571="Open",AND(ISNUMBER(AF571),AF571&lt;&gt;0,TRIM(U571)&lt;&gt;"Pass after CA"))),1,0)</f>
        <v/>
      </c>
      <c r="AM571" s="67">
        <f>IF(LEFT(AH571,7)="INVALID",1,0)</f>
        <v/>
      </c>
      <c r="AN571" s="67">
        <f>IF(AND(N571="Clarification required",AI571=1,AJ571=0),1,0)</f>
        <v/>
      </c>
      <c r="AO571" s="67">
        <f>IF(AK571=1,SUM(AK$5:AK571),"")</f>
        <v/>
      </c>
      <c r="AP571" s="67">
        <f>IF(AL571=1,SUM(AL$5:AL571),"")</f>
        <v/>
      </c>
      <c r="AQ571" s="67" t="n">
        <v>0</v>
      </c>
      <c r="AR571" s="67" t="n">
        <v>0</v>
      </c>
      <c r="AS571" s="67" t="n">
        <v>0</v>
      </c>
      <c r="AT571" s="67" t="n">
        <v>1</v>
      </c>
    </row>
    <row r="572" ht="40" customHeight="1">
      <c r="A572" s="63" t="inlineStr">
        <is>
          <t>F17-UPL-13</t>
        </is>
      </c>
      <c r="B572" s="63" t="inlineStr">
        <is>
          <t>F17</t>
        </is>
      </c>
      <c r="C572" s="63">
        <f>Flights!$F$21</f>
        <v/>
      </c>
      <c r="D572" s="64">
        <f>Flights!$D$21</f>
        <v/>
      </c>
      <c r="E572" s="63">
        <f>Flights!$G$21&amp;"-"&amp;Flights!$H$21</f>
        <v/>
      </c>
      <c r="F572" s="63">
        <f>Flights!$K$21</f>
        <v/>
      </c>
      <c r="G572" s="63" t="inlineStr">
        <is>
          <t>UPLIFT</t>
        </is>
      </c>
      <c r="H572" s="63" t="inlineStr">
        <is>
          <t>Physical uplift</t>
        </is>
      </c>
      <c r="I572" s="63" t="inlineStr">
        <is>
          <t>Seat Linen</t>
        </is>
      </c>
      <c r="J572" s="63" t="inlineStr">
        <is>
          <t>Blanket (BS &amp; BC) - on board</t>
        </is>
      </c>
      <c r="K572" s="73" t="inlineStr">
        <is>
          <t>Available 100% (ticked in reference)</t>
        </is>
      </c>
      <c r="L572" s="73" t="inlineStr">
        <is>
          <t>STD UPLIFT INFORMATION.xlsx &gt; SEAT LINEN!H30</t>
        </is>
      </c>
      <c r="M572" s="73" t="inlineStr">
        <is>
          <t>Not stated in reference</t>
        </is>
      </c>
      <c r="N572" s="73" t="inlineStr">
        <is>
          <t>Required</t>
        </is>
      </c>
      <c r="O572" s="73" t="inlineStr"/>
      <c r="P572" s="63" t="inlineStr">
        <is>
          <t>HKG</t>
        </is>
      </c>
      <c r="Q572" s="65">
        <f>Flights!$AF$21</f>
        <v/>
      </c>
      <c r="R572" s="65">
        <f>Q572+(IF(AND(INDEX(TZ_DSTS,MATCH(P572,TZ_STN,0))&lt;&gt;"",Q572&gt;=INDEX(TZ_DSTS,MATCH(P572,TZ_STN,0)),Q572&lt;INDEX(TZ_DSTE,MATCH(P572,TZ_STN,0))),INDEX(TZ_DST,MATCH(P572,TZ_STN,0)),INDEX(TZ_STD,MATCH(P572,TZ_STN,0))))/24</f>
        <v/>
      </c>
      <c r="S572" s="65">
        <f>Q572-UpliftWindowH/24</f>
        <v/>
      </c>
      <c r="T572" s="66" t="n"/>
      <c r="U572" s="66" t="n"/>
      <c r="V572" s="66" t="n"/>
      <c r="W572" s="67" t="n"/>
      <c r="X572" s="66" t="n"/>
      <c r="Y572" s="66" t="n"/>
      <c r="Z572" s="66" t="n"/>
      <c r="AA572" s="66" t="n"/>
      <c r="AB572" s="66" t="n"/>
      <c r="AC572" s="66" t="n"/>
      <c r="AD572" s="72" t="n"/>
      <c r="AE572" s="66" t="n"/>
      <c r="AF572" s="67">
        <f>IF(AND(ISNUMBER(X572),ISNUMBER(Y572)),Y572-X572,"")</f>
        <v/>
      </c>
      <c r="AG572" s="68">
        <f>IF(ISNUMBER(AD572),AD572-(IF(AND(INDEX(TZ_DSTS,MATCH(P572,TZ_STN,0))&lt;&gt;"",(AD572-INDEX(TZ_STD,MATCH(P572,TZ_STN,0))/24)&gt;=INDEX(TZ_DSTS,MATCH(P572,TZ_STN,0)),(AD572-INDEX(TZ_STD,MATCH(P572,TZ_STN,0))/24)&lt;INDEX(TZ_DSTE,MATCH(P572,TZ_STN,0))),INDEX(TZ_DST,MATCH(P572,TZ_STN,0)),INDEX(TZ_STD,MATCH(P572,TZ_STN,0))))/24,"")</f>
        <v/>
      </c>
      <c r="AH572" s="71">
        <f>IF(N572="N/A – rule","N/A – RULE",IF(TRIM(U572)="N/A",IF(AT572=0,"INVALID – N/A not permitted for this mandatory check",IF(AND(TRIM(AC572)&lt;&gt;"",TRIM(AE572)&lt;&gt;"",TRIM(T572)&lt;&gt;""),"N/A – JUSTIFIED","INVALID – N/A needs justification, PIC and verifier")),IF(OR(TRIM(U572)="Pass",TRIM(U572)="Pass after CA"),IF(NOT(ISNUMBER(AD572)),"INVALID – completion time missing",IF(TRIM(T572)="","INVALID – PIC missing",IF(TRIM(Z572)="","INVALID – evidence missing",IF(TRIM(AE572)="","INVALID – verifier missing",IF(AND(AQ572=1,TRIM(W572)=""),"INVALID – batch ID missing",IF(AND(AR572=1,OR(NOT(ISNUMBER(X572)),NOT(ISNUMBER(Y572)))),"INVALID – expected/actual qty missing",IF(IF(AND(TRIM(U572)="Pass",ISNUMBER(AF572)),IF(AF572&lt;&gt;0,"INVALID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recorded/closed","")&lt;&gt;"",IF(AND(TRIM(U572)="Pass",ISNUMBER(AF572)),IF(AF572&lt;&gt;0,"INVALID – qty variance: use Fail or Pass after CA",""),"")&amp;IF(AND(TRIM(U572)="Pass",AB572="Open"),"INVALID – corrective action still open: use Fail, then Pass after CA","")&amp;IF(AND(TRIM(U572)="Pass after CA",OR(TRIM(AA572)="",AB572&lt;&gt;"Closed")),"INVALID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window"),IF(AG572&gt;Flights!$AA$21,"INVALID – completed after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f>
        <v/>
      </c>
      <c r="AI572" s="67">
        <f>IF(OR(AH572="N/A – RULE",AH572="N/A – JUSTIFIED"),0,1)</f>
        <v/>
      </c>
      <c r="AJ572" s="67">
        <f>IF(LEFT(AH572,8)="COMPLETE",1,0)</f>
        <v/>
      </c>
      <c r="AK572" s="67">
        <f>IF(AND(AI572=1,AJ572=0,AsOfUTC&gt;Q572),1,0)</f>
        <v/>
      </c>
      <c r="AL572" s="67">
        <f>IF(AND(AI572=1,OR(TRIM(U572)="Fail",AB572="Open",AND(ISNUMBER(AF572),AF572&lt;&gt;0,TRIM(U572)&lt;&gt;"Pass after CA"))),1,0)</f>
        <v/>
      </c>
      <c r="AM572" s="67">
        <f>IF(LEFT(AH572,7)="INVALID",1,0)</f>
        <v/>
      </c>
      <c r="AN572" s="67">
        <f>IF(AND(N572="Clarification required",AI572=1,AJ572=0),1,0)</f>
        <v/>
      </c>
      <c r="AO572" s="67">
        <f>IF(AK572=1,SUM(AK$5:AK572),"")</f>
        <v/>
      </c>
      <c r="AP572" s="67">
        <f>IF(AL572=1,SUM(AL$5:AL572),"")</f>
        <v/>
      </c>
      <c r="AQ572" s="67" t="n">
        <v>0</v>
      </c>
      <c r="AR572" s="67" t="n">
        <v>0</v>
      </c>
      <c r="AS572" s="67" t="n">
        <v>0</v>
      </c>
      <c r="AT572" s="67" t="n">
        <v>1</v>
      </c>
    </row>
    <row r="573" ht="66.5" customHeight="1">
      <c r="A573" s="63" t="inlineStr">
        <is>
          <t>F17-UPL-14</t>
        </is>
      </c>
      <c r="B573" s="63" t="inlineStr">
        <is>
          <t>F17</t>
        </is>
      </c>
      <c r="C573" s="63">
        <f>Flights!$F$21</f>
        <v/>
      </c>
      <c r="D573" s="64">
        <f>Flights!$D$21</f>
        <v/>
      </c>
      <c r="E573" s="63">
        <f>Flights!$G$21&amp;"-"&amp;Flights!$H$21</f>
        <v/>
      </c>
      <c r="F573" s="63">
        <f>Flights!$K$21</f>
        <v/>
      </c>
      <c r="G573" s="63" t="inlineStr">
        <is>
          <t>UPLIFT</t>
        </is>
      </c>
      <c r="H573" s="63" t="inlineStr">
        <is>
          <t>Physical uplift</t>
        </is>
      </c>
      <c r="I573" s="63" t="inlineStr">
        <is>
          <t>Sales Cart</t>
        </is>
      </c>
      <c r="J573" s="63" t="inlineStr">
        <is>
          <t>Sales cart (caterer MCAT) - on board</t>
        </is>
      </c>
      <c r="K573" s="73" t="inlineStr">
        <is>
          <t>Location 210A (B7M8)</t>
        </is>
      </c>
      <c r="L573" s="73" t="inlineStr">
        <is>
          <t>STD UPLIFT INFORMATION.xlsx &gt; SALES CART!F21:F35 / C28 / M7:M37 / C40</t>
        </is>
      </c>
      <c r="M573" s="73" t="inlineStr">
        <is>
          <t>Not stated in reference</t>
        </is>
      </c>
      <c r="N573" s="73" t="inlineStr">
        <is>
          <t>Clarification required</t>
        </is>
      </c>
      <c r="O573" s="73" t="inlineStr">
        <is>
          <t>Block 4.08 h &gt;= 4 h (note SALES CART!C40). Reference names caterer MCAT (KUL) for the KUL/HKG/KUL sector but no uplift station: confirm whether the HKG-KUL sales cart is loaded at KUL (round trip) or at HKG.</t>
        </is>
      </c>
      <c r="P573" s="63" t="inlineStr">
        <is>
          <t>HKG</t>
        </is>
      </c>
      <c r="Q573" s="65">
        <f>Flights!$AF$21</f>
        <v/>
      </c>
      <c r="R573" s="65">
        <f>Q573+(IF(AND(INDEX(TZ_DSTS,MATCH(P573,TZ_STN,0))&lt;&gt;"",Q573&gt;=INDEX(TZ_DSTS,MATCH(P573,TZ_STN,0)),Q573&lt;INDEX(TZ_DSTE,MATCH(P573,TZ_STN,0))),INDEX(TZ_DST,MATCH(P573,TZ_STN,0)),INDEX(TZ_STD,MATCH(P573,TZ_STN,0))))/24</f>
        <v/>
      </c>
      <c r="S573" s="65">
        <f>Q573-UpliftWindowH/24</f>
        <v/>
      </c>
      <c r="T573" s="66" t="n"/>
      <c r="U573" s="66" t="n"/>
      <c r="V573" s="66" t="n"/>
      <c r="W573" s="67" t="n"/>
      <c r="X573" s="66" t="n"/>
      <c r="Y573" s="66" t="n"/>
      <c r="Z573" s="66" t="n"/>
      <c r="AA573" s="66" t="n"/>
      <c r="AB573" s="66" t="n"/>
      <c r="AC573" s="66" t="n"/>
      <c r="AD573" s="72" t="n"/>
      <c r="AE573" s="66" t="n"/>
      <c r="AF573" s="67">
        <f>IF(AND(ISNUMBER(X573),ISNUMBER(Y573)),Y573-X573,"")</f>
        <v/>
      </c>
      <c r="AG573" s="68">
        <f>IF(ISNUMBER(AD573),AD573-(IF(AND(INDEX(TZ_DSTS,MATCH(P573,TZ_STN,0))&lt;&gt;"",(AD573-INDEX(TZ_STD,MATCH(P573,TZ_STN,0))/24)&gt;=INDEX(TZ_DSTS,MATCH(P573,TZ_STN,0)),(AD573-INDEX(TZ_STD,MATCH(P573,TZ_STN,0))/24)&lt;INDEX(TZ_DSTE,MATCH(P573,TZ_STN,0))),INDEX(TZ_DST,MATCH(P573,TZ_STN,0)),INDEX(TZ_STD,MATCH(P573,TZ_STN,0))))/24,"")</f>
        <v/>
      </c>
      <c r="AH573" s="71">
        <f>IF(N573="N/A – rule","N/A – RULE",IF(TRIM(U573)="N/A",IF(AT573=0,"INVALID – N/A not permitted for this mandatory check",IF(AND(TRIM(AC573)&lt;&gt;"",TRIM(AE573)&lt;&gt;"",TRIM(T573)&lt;&gt;""),"N/A – JUSTIFIED","INVALID – N/A needs justification, PIC and verifier")),IF(OR(TRIM(U573)="Pass",TRIM(U573)="Pass after CA"),IF(NOT(ISNUMBER(AD573)),"INVALID – completion time missing",IF(TRIM(T573)="","INVALID – PIC missing",IF(TRIM(Z573)="","INVALID – evidence missing",IF(TRIM(AE573)="","INVALID – verifier missing",IF(AND(AQ573=1,TRIM(W573)=""),"INVALID – batch ID missing",IF(AND(AR573=1,OR(NOT(ISNUMBER(X573)),NOT(ISNUMBER(Y573)))),"INVALID – expected/actual qty missing",IF(IF(AND(TRIM(U573)="Pass",ISNUMBER(AF573)),IF(AF573&lt;&gt;0,"INVALID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recorded/closed","")&lt;&gt;"",IF(AND(TRIM(U573)="Pass",ISNUMBER(AF573)),IF(AF573&lt;&gt;0,"INVALID – qty variance: use Fail or Pass after CA",""),"")&amp;IF(AND(TRIM(U573)="Pass",AB573="Open"),"INVALID – corrective action still open: use Fail, then Pass after CA","")&amp;IF(AND(TRIM(U573)="Pass after CA",OR(TRIM(AA573)="",AB573&lt;&gt;"Closed")),"INVALID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window"),IF(AG573&gt;Flights!$AA$21,"INVALID – completed after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f>
        <v/>
      </c>
      <c r="AI573" s="67">
        <f>IF(OR(AH573="N/A – RULE",AH573="N/A – JUSTIFIED"),0,1)</f>
        <v/>
      </c>
      <c r="AJ573" s="67">
        <f>IF(LEFT(AH573,8)="COMPLETE",1,0)</f>
        <v/>
      </c>
      <c r="AK573" s="67">
        <f>IF(AND(AI573=1,AJ573=0,AsOfUTC&gt;Q573),1,0)</f>
        <v/>
      </c>
      <c r="AL573" s="67">
        <f>IF(AND(AI573=1,OR(TRIM(U573)="Fail",AB573="Open",AND(ISNUMBER(AF573),AF573&lt;&gt;0,TRIM(U573)&lt;&gt;"Pass after CA"))),1,0)</f>
        <v/>
      </c>
      <c r="AM573" s="67">
        <f>IF(LEFT(AH573,7)="INVALID",1,0)</f>
        <v/>
      </c>
      <c r="AN573" s="67">
        <f>IF(AND(N573="Clarification required",AI573=1,AJ573=0),1,0)</f>
        <v/>
      </c>
      <c r="AO573" s="67">
        <f>IF(AK573=1,SUM(AK$5:AK573),"")</f>
        <v/>
      </c>
      <c r="AP573" s="67">
        <f>IF(AL573=1,SUM(AL$5:AL573),"")</f>
        <v/>
      </c>
      <c r="AQ573" s="67" t="n">
        <v>0</v>
      </c>
      <c r="AR573" s="67" t="n">
        <v>0</v>
      </c>
      <c r="AS573" s="67" t="n">
        <v>0</v>
      </c>
      <c r="AT573" s="67" t="n">
        <v>1</v>
      </c>
    </row>
    <row r="574" ht="40" customHeight="1">
      <c r="A574" s="63" t="inlineStr">
        <is>
          <t>F18-T7-01</t>
        </is>
      </c>
      <c r="B574" s="63" t="inlineStr">
        <is>
          <t>F18</t>
        </is>
      </c>
      <c r="C574" s="63">
        <f>Flights!$F$22</f>
        <v/>
      </c>
      <c r="D574" s="64">
        <f>Flights!$D$22</f>
        <v/>
      </c>
      <c r="E574" s="63">
        <f>Flights!$G$22&amp;"-"&amp;Flights!$H$22</f>
        <v/>
      </c>
      <c r="F574" s="63">
        <f>Flights!$K$22</f>
        <v/>
      </c>
      <c r="G574" s="63" t="inlineStr">
        <is>
          <t>T-7D</t>
        </is>
      </c>
      <c r="H574" s="63" t="inlineStr">
        <is>
          <t>Preparation</t>
        </is>
      </c>
      <c r="I574" s="63" t="inlineStr">
        <is>
          <t>Meal</t>
        </is>
      </c>
      <c r="J574" s="63" t="inlineStr">
        <is>
          <t>Meal sensory testing completed for this flight's menu cycle (assessed class)</t>
        </is>
      </c>
      <c r="K574" s="73" t="inlineStr">
        <is>
          <t>Record panel result / score in Result</t>
        </is>
      </c>
      <c r="L574" s="73" t="inlineStr">
        <is>
          <t>User brief (T-7 days)</t>
        </is>
      </c>
      <c r="M574" s="73" t="inlineStr"/>
      <c r="N574" s="73" t="inlineStr">
        <is>
          <t>Required</t>
        </is>
      </c>
      <c r="O574" s="73" t="inlineStr"/>
      <c r="P574" s="63" t="inlineStr">
        <is>
          <t>KUL</t>
        </is>
      </c>
      <c r="Q574" s="65">
        <f>Flights!$AC$22</f>
        <v/>
      </c>
      <c r="R574" s="65">
        <f>Q574+(IF(AND(INDEX(TZ_DSTS,MATCH(P574,TZ_STN,0))&lt;&gt;"",Q574&gt;=INDEX(TZ_DSTS,MATCH(P574,TZ_STN,0)),Q574&lt;INDEX(TZ_DSTE,MATCH(P574,TZ_STN,0))),INDEX(TZ_DST,MATCH(P574,TZ_STN,0)),INDEX(TZ_STD,MATCH(P574,TZ_STN,0))))/24</f>
        <v/>
      </c>
      <c r="S574" s="65" t="inlineStr"/>
      <c r="T574" s="66" t="n"/>
      <c r="U574" s="66" t="n"/>
      <c r="V574" s="66" t="n"/>
      <c r="W574" s="67" t="n"/>
      <c r="X574" s="66" t="n"/>
      <c r="Y574" s="66" t="n"/>
      <c r="Z574" s="66" t="n"/>
      <c r="AA574" s="66" t="n"/>
      <c r="AB574" s="66" t="n"/>
      <c r="AC574" s="66" t="n"/>
      <c r="AD574" s="72" t="n"/>
      <c r="AE574" s="66" t="n"/>
      <c r="AF574" s="67">
        <f>IF(AND(ISNUMBER(X574),ISNUMBER(Y574)),Y574-X574,"")</f>
        <v/>
      </c>
      <c r="AG574" s="68">
        <f>IF(ISNUMBER(AD574),AD574-(IF(AND(INDEX(TZ_DSTS,MATCH(P574,TZ_STN,0))&lt;&gt;"",(AD574-INDEX(TZ_STD,MATCH(P574,TZ_STN,0))/24)&gt;=INDEX(TZ_DSTS,MATCH(P574,TZ_STN,0)),(AD574-INDEX(TZ_STD,MATCH(P574,TZ_STN,0))/24)&lt;INDEX(TZ_DSTE,MATCH(P574,TZ_STN,0))),INDEX(TZ_DST,MATCH(P574,TZ_STN,0)),INDEX(TZ_STD,MATCH(P574,TZ_STN,0))))/24,"")</f>
        <v/>
      </c>
      <c r="AH574" s="71">
        <f>IF(N574="N/A – rule","N/A – RULE",IF(TRIM(U574)="N/A",IF(AT574=0,"INVALID – N/A not permitted for this mandatory check",IF(AND(TRIM(AC574)&lt;&gt;"",TRIM(AE574)&lt;&gt;"",TRIM(T574)&lt;&gt;""),"N/A – JUSTIFIED","INVALID – N/A needs justification, PIC and verifier")),IF(OR(TRIM(U574)="Pass",TRIM(U574)="Pass after CA"),IF(NOT(ISNUMBER(AD574)),"INVALID – completion time missing",IF(TRIM(T574)="","INVALID – PIC missing",IF(TRIM(Z574)="","INVALID – evidence missing",IF(TRIM(AE574)="","INVALID – verifier missing",IF(AND(AQ574=1,TRIM(W574)=""),"INVALID – batch ID missing",IF(AND(AR574=1,OR(NOT(ISNUMBER(X574)),NOT(ISNUMBER(Y574)))),"INVALID – expected/actual qty missing",IF(IF(AND(TRIM(U574)="Pass",ISNUMBER(AF574)),IF(AF574&lt;&gt;0,"INVALID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recorded/closed","")&lt;&gt;"",IF(AND(TRIM(U574)="Pass",ISNUMBER(AF574)),IF(AF574&lt;&gt;0,"INVALID – qty variance: use Fail or Pass after CA",""),"")&amp;IF(AND(TRIM(U574)="Pass",AB574="Open"),"INVALID – corrective action still open: use Fail, then Pass after CA","")&amp;IF(AND(TRIM(U574)="Pass after CA",OR(TRIM(AA574)="",AB574&lt;&gt;"Closed")),"INVALID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window"),IF(AG574&gt;Flights!$AA$22,"INVALID – completed after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f>
        <v/>
      </c>
      <c r="AI574" s="67">
        <f>IF(OR(AH574="N/A – RULE",AH574="N/A – JUSTIFIED"),0,1)</f>
        <v/>
      </c>
      <c r="AJ574" s="67">
        <f>IF(LEFT(AH574,8)="COMPLETE",1,0)</f>
        <v/>
      </c>
      <c r="AK574" s="67">
        <f>IF(AND(AI574=1,AJ574=0,AsOfUTC&gt;Q574),1,0)</f>
        <v/>
      </c>
      <c r="AL574" s="67">
        <f>IF(AND(AI574=1,OR(TRIM(U574)="Fail",AB574="Open",AND(ISNUMBER(AF574),AF574&lt;&gt;0,TRIM(U574)&lt;&gt;"Pass after CA"))),1,0)</f>
        <v/>
      </c>
      <c r="AM574" s="67">
        <f>IF(LEFT(AH574,7)="INVALID",1,0)</f>
        <v/>
      </c>
      <c r="AN574" s="67">
        <f>IF(AND(N574="Clarification required",AI574=1,AJ574=0),1,0)</f>
        <v/>
      </c>
      <c r="AO574" s="67">
        <f>IF(AK574=1,SUM(AK$5:AK574),"")</f>
        <v/>
      </c>
      <c r="AP574" s="67">
        <f>IF(AL574=1,SUM(AL$5:AL574),"")</f>
        <v/>
      </c>
      <c r="AQ574" s="67" t="n">
        <v>0</v>
      </c>
      <c r="AR574" s="67" t="n">
        <v>0</v>
      </c>
      <c r="AS574" s="67" t="n">
        <v>0</v>
      </c>
      <c r="AT574" s="67" t="n">
        <v>0</v>
      </c>
    </row>
    <row r="575" ht="40" customHeight="1">
      <c r="A575" s="63" t="inlineStr">
        <is>
          <t>F18-T7-02</t>
        </is>
      </c>
      <c r="B575" s="63" t="inlineStr">
        <is>
          <t>F18</t>
        </is>
      </c>
      <c r="C575" s="63">
        <f>Flights!$F$22</f>
        <v/>
      </c>
      <c r="D575" s="64">
        <f>Flights!$D$22</f>
        <v/>
      </c>
      <c r="E575" s="63">
        <f>Flights!$G$22&amp;"-"&amp;Flights!$H$22</f>
        <v/>
      </c>
      <c r="F575" s="63">
        <f>Flights!$K$22</f>
        <v/>
      </c>
      <c r="G575" s="63" t="inlineStr">
        <is>
          <t>T-7D</t>
        </is>
      </c>
      <c r="H575" s="63" t="inlineStr">
        <is>
          <t>Preparation</t>
        </is>
      </c>
      <c r="I575" s="63" t="inlineStr">
        <is>
          <t>Menu</t>
        </is>
      </c>
      <c r="J575" s="63" t="inlineStr">
        <is>
          <t>Printed menu cards confirmed (content, cycle, language, quantity)</t>
        </is>
      </c>
      <c r="K575" s="73" t="inlineStr">
        <is>
          <t>Menu card matches approved menu for this flight</t>
        </is>
      </c>
      <c r="L575" s="73" t="inlineStr">
        <is>
          <t>User brief (T-7 days)</t>
        </is>
      </c>
      <c r="M575" s="73" t="inlineStr"/>
      <c r="N575" s="73" t="inlineStr">
        <is>
          <t>Required</t>
        </is>
      </c>
      <c r="O575" s="73" t="inlineStr"/>
      <c r="P575" s="63" t="inlineStr">
        <is>
          <t>KUL</t>
        </is>
      </c>
      <c r="Q575" s="65">
        <f>Flights!$AC$22</f>
        <v/>
      </c>
      <c r="R575" s="65">
        <f>Q575+(IF(AND(INDEX(TZ_DSTS,MATCH(P575,TZ_STN,0))&lt;&gt;"",Q575&gt;=INDEX(TZ_DSTS,MATCH(P575,TZ_STN,0)),Q575&lt;INDEX(TZ_DSTE,MATCH(P575,TZ_STN,0))),INDEX(TZ_DST,MATCH(P575,TZ_STN,0)),INDEX(TZ_STD,MATCH(P575,TZ_STN,0))))/24</f>
        <v/>
      </c>
      <c r="S575" s="65" t="inlineStr"/>
      <c r="T575" s="66" t="n"/>
      <c r="U575" s="66" t="n"/>
      <c r="V575" s="66" t="n"/>
      <c r="W575" s="67" t="n"/>
      <c r="X575" s="66" t="n"/>
      <c r="Y575" s="66" t="n"/>
      <c r="Z575" s="66" t="n"/>
      <c r="AA575" s="66" t="n"/>
      <c r="AB575" s="66" t="n"/>
      <c r="AC575" s="66" t="n"/>
      <c r="AD575" s="72" t="n"/>
      <c r="AE575" s="66" t="n"/>
      <c r="AF575" s="67">
        <f>IF(AND(ISNUMBER(X575),ISNUMBER(Y575)),Y575-X575,"")</f>
        <v/>
      </c>
      <c r="AG575" s="68">
        <f>IF(ISNUMBER(AD575),AD575-(IF(AND(INDEX(TZ_DSTS,MATCH(P575,TZ_STN,0))&lt;&gt;"",(AD575-INDEX(TZ_STD,MATCH(P575,TZ_STN,0))/24)&gt;=INDEX(TZ_DSTS,MATCH(P575,TZ_STN,0)),(AD575-INDEX(TZ_STD,MATCH(P575,TZ_STN,0))/24)&lt;INDEX(TZ_DSTE,MATCH(P575,TZ_STN,0))),INDEX(TZ_DST,MATCH(P575,TZ_STN,0)),INDEX(TZ_STD,MATCH(P575,TZ_STN,0))))/24,"")</f>
        <v/>
      </c>
      <c r="AH575" s="71">
        <f>IF(N575="N/A – rule","N/A – RULE",IF(TRIM(U575)="N/A",IF(AT575=0,"INVALID – N/A not permitted for this mandatory check",IF(AND(TRIM(AC575)&lt;&gt;"",TRIM(AE575)&lt;&gt;"",TRIM(T575)&lt;&gt;""),"N/A – JUSTIFIED","INVALID – N/A needs justification, PIC and verifier")),IF(OR(TRIM(U575)="Pass",TRIM(U575)="Pass after CA"),IF(NOT(ISNUMBER(AD575)),"INVALID – completion time missing",IF(TRIM(T575)="","INVALID – PIC missing",IF(TRIM(Z575)="","INVALID – evidence missing",IF(TRIM(AE575)="","INVALID – verifier missing",IF(AND(AQ575=1,TRIM(W575)=""),"INVALID – batch ID missing",IF(AND(AR575=1,OR(NOT(ISNUMBER(X575)),NOT(ISNUMBER(Y575)))),"INVALID – expected/actual qty missing",IF(IF(AND(TRIM(U575)="Pass",ISNUMBER(AF575)),IF(AF575&lt;&gt;0,"INVALID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recorded/closed","")&lt;&gt;"",IF(AND(TRIM(U575)="Pass",ISNUMBER(AF575)),IF(AF575&lt;&gt;0,"INVALID – qty variance: use Fail or Pass after CA",""),"")&amp;IF(AND(TRIM(U575)="Pass",AB575="Open"),"INVALID – corrective action still open: use Fail, then Pass after CA","")&amp;IF(AND(TRIM(U575)="Pass after CA",OR(TRIM(AA575)="",AB575&lt;&gt;"Closed")),"INVALID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window"),IF(AG575&gt;Flights!$AA$22,"INVALID – completed after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f>
        <v/>
      </c>
      <c r="AI575" s="67">
        <f>IF(OR(AH575="N/A – RULE",AH575="N/A – JUSTIFIED"),0,1)</f>
        <v/>
      </c>
      <c r="AJ575" s="67">
        <f>IF(LEFT(AH575,8)="COMPLETE",1,0)</f>
        <v/>
      </c>
      <c r="AK575" s="67">
        <f>IF(AND(AI575=1,AJ575=0,AsOfUTC&gt;Q575),1,0)</f>
        <v/>
      </c>
      <c r="AL575" s="67">
        <f>IF(AND(AI575=1,OR(TRIM(U575)="Fail",AB575="Open",AND(ISNUMBER(AF575),AF575&lt;&gt;0,TRIM(U575)&lt;&gt;"Pass after CA"))),1,0)</f>
        <v/>
      </c>
      <c r="AM575" s="67">
        <f>IF(LEFT(AH575,7)="INVALID",1,0)</f>
        <v/>
      </c>
      <c r="AN575" s="67">
        <f>IF(AND(N575="Clarification required",AI575=1,AJ575=0),1,0)</f>
        <v/>
      </c>
      <c r="AO575" s="67">
        <f>IF(AK575=1,SUM(AK$5:AK575),"")</f>
        <v/>
      </c>
      <c r="AP575" s="67">
        <f>IF(AL575=1,SUM(AL$5:AL575),"")</f>
        <v/>
      </c>
      <c r="AQ575" s="67" t="n">
        <v>0</v>
      </c>
      <c r="AR575" s="67" t="n">
        <v>0</v>
      </c>
      <c r="AS575" s="67" t="n">
        <v>0</v>
      </c>
      <c r="AT575" s="67" t="n">
        <v>1</v>
      </c>
    </row>
    <row r="576" ht="41.5" customHeight="1">
      <c r="A576" s="63" t="inlineStr">
        <is>
          <t>F18-T7-03</t>
        </is>
      </c>
      <c r="B576" s="63" t="inlineStr">
        <is>
          <t>F18</t>
        </is>
      </c>
      <c r="C576" s="63">
        <f>Flights!$F$22</f>
        <v/>
      </c>
      <c r="D576" s="64">
        <f>Flights!$D$22</f>
        <v/>
      </c>
      <c r="E576" s="63">
        <f>Flights!$G$22&amp;"-"&amp;Flights!$H$22</f>
        <v/>
      </c>
      <c r="F576" s="63">
        <f>Flights!$K$22</f>
        <v/>
      </c>
      <c r="G576" s="63" t="inlineStr">
        <is>
          <t>T-7D</t>
        </is>
      </c>
      <c r="H576" s="63" t="inlineStr">
        <is>
          <t>Preparation</t>
        </is>
      </c>
      <c r="I576" s="63" t="inlineStr">
        <is>
          <t>IFE</t>
        </is>
      </c>
      <c r="J576" s="63" t="inlineStr">
        <is>
          <t>Digital menu in IFE confirmed (A339 only)</t>
        </is>
      </c>
      <c r="K576" s="73" t="inlineStr">
        <is>
          <t>Applies when fleet = A339</t>
        </is>
      </c>
      <c r="L576" s="73" t="inlineStr">
        <is>
          <t>User brief (T-7 days)</t>
        </is>
      </c>
      <c r="M576" s="73" t="inlineStr"/>
      <c r="N576" s="73">
        <f>IF(TRIM(Flights!$L$22)="A339","Required","N/A – rule")</f>
        <v/>
      </c>
      <c r="O576" s="73" t="inlineStr">
        <is>
          <t>Digital IFE menu applies to A339 only (user brief). Applicability follows the Fleet cell on Flights.</t>
        </is>
      </c>
      <c r="P576" s="63" t="inlineStr">
        <is>
          <t>KUL</t>
        </is>
      </c>
      <c r="Q576" s="65">
        <f>Flights!$AC$22</f>
        <v/>
      </c>
      <c r="R576" s="65">
        <f>Q576+(IF(AND(INDEX(TZ_DSTS,MATCH(P576,TZ_STN,0))&lt;&gt;"",Q576&gt;=INDEX(TZ_DSTS,MATCH(P576,TZ_STN,0)),Q576&lt;INDEX(TZ_DSTE,MATCH(P576,TZ_STN,0))),INDEX(TZ_DST,MATCH(P576,TZ_STN,0)),INDEX(TZ_STD,MATCH(P576,TZ_STN,0))))/24</f>
        <v/>
      </c>
      <c r="S576" s="65" t="inlineStr"/>
      <c r="T576" s="66" t="n"/>
      <c r="U576" s="66" t="n"/>
      <c r="V576" s="66" t="n"/>
      <c r="W576" s="67" t="n"/>
      <c r="X576" s="66" t="n"/>
      <c r="Y576" s="66" t="n"/>
      <c r="Z576" s="66" t="n"/>
      <c r="AA576" s="66" t="n"/>
      <c r="AB576" s="66" t="n"/>
      <c r="AC576" s="66" t="n"/>
      <c r="AD576" s="72" t="n"/>
      <c r="AE576" s="66" t="n"/>
      <c r="AF576" s="67">
        <f>IF(AND(ISNUMBER(X576),ISNUMBER(Y576)),Y576-X576,"")</f>
        <v/>
      </c>
      <c r="AG576" s="68">
        <f>IF(ISNUMBER(AD576),AD576-(IF(AND(INDEX(TZ_DSTS,MATCH(P576,TZ_STN,0))&lt;&gt;"",(AD576-INDEX(TZ_STD,MATCH(P576,TZ_STN,0))/24)&gt;=INDEX(TZ_DSTS,MATCH(P576,TZ_STN,0)),(AD576-INDEX(TZ_STD,MATCH(P576,TZ_STN,0))/24)&lt;INDEX(TZ_DSTE,MATCH(P576,TZ_STN,0))),INDEX(TZ_DST,MATCH(P576,TZ_STN,0)),INDEX(TZ_STD,MATCH(P576,TZ_STN,0))))/24,"")</f>
        <v/>
      </c>
      <c r="AH576" s="71">
        <f>IF(N576="N/A – rule","N/A – RULE",IF(TRIM(U576)="N/A",IF(AT576=0,"INVALID – N/A not permitted for this mandatory check",IF(AND(TRIM(AC576)&lt;&gt;"",TRIM(AE576)&lt;&gt;"",TRIM(T576)&lt;&gt;""),"N/A – JUSTIFIED","INVALID – N/A needs justification, PIC and verifier")),IF(OR(TRIM(U576)="Pass",TRIM(U576)="Pass after CA"),IF(NOT(ISNUMBER(AD576)),"INVALID – completion time missing",IF(TRIM(T576)="","INVALID – PIC missing",IF(TRIM(Z576)="","INVALID – evidence missing",IF(TRIM(AE576)="","INVALID – verifier missing",IF(AND(AQ576=1,TRIM(W576)=""),"INVALID – batch ID missing",IF(AND(AR576=1,OR(NOT(ISNUMBER(X576)),NOT(ISNUMBER(Y576)))),"INVALID – expected/actual qty missing",IF(IF(AND(TRIM(U576)="Pass",ISNUMBER(AF576)),IF(AF576&lt;&gt;0,"INVALID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recorded/closed","")&lt;&gt;"",IF(AND(TRIM(U576)="Pass",ISNUMBER(AF576)),IF(AF576&lt;&gt;0,"INVALID – qty variance: use Fail or Pass after CA",""),"")&amp;IF(AND(TRIM(U576)="Pass",AB576="Open"),"INVALID – corrective action still open: use Fail, then Pass after CA","")&amp;IF(AND(TRIM(U576)="Pass after CA",OR(TRIM(AA576)="",AB576&lt;&gt;"Closed")),"INVALID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window"),IF(AG576&gt;Flights!$AA$22,"INVALID – completed after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f>
        <v/>
      </c>
      <c r="AI576" s="67">
        <f>IF(OR(AH576="N/A – RULE",AH576="N/A – JUSTIFIED"),0,1)</f>
        <v/>
      </c>
      <c r="AJ576" s="67">
        <f>IF(LEFT(AH576,8)="COMPLETE",1,0)</f>
        <v/>
      </c>
      <c r="AK576" s="67">
        <f>IF(AND(AI576=1,AJ576=0,AsOfUTC&gt;Q576),1,0)</f>
        <v/>
      </c>
      <c r="AL576" s="67">
        <f>IF(AND(AI576=1,OR(TRIM(U576)="Fail",AB576="Open",AND(ISNUMBER(AF576),AF576&lt;&gt;0,TRIM(U576)&lt;&gt;"Pass after CA"))),1,0)</f>
        <v/>
      </c>
      <c r="AM576" s="67">
        <f>IF(LEFT(AH576,7)="INVALID",1,0)</f>
        <v/>
      </c>
      <c r="AN576" s="67">
        <f>IF(AND(N576="Clarification required",AI576=1,AJ576=0),1,0)</f>
        <v/>
      </c>
      <c r="AO576" s="67">
        <f>IF(AK576=1,SUM(AK$5:AK576),"")</f>
        <v/>
      </c>
      <c r="AP576" s="67">
        <f>IF(AL576=1,SUM(AL$5:AL576),"")</f>
        <v/>
      </c>
      <c r="AQ576" s="67" t="n">
        <v>0</v>
      </c>
      <c r="AR576" s="67" t="n">
        <v>0</v>
      </c>
      <c r="AS576" s="67" t="n">
        <v>0</v>
      </c>
      <c r="AT576" s="67" t="n">
        <v>0</v>
      </c>
    </row>
    <row r="577" ht="40" customHeight="1">
      <c r="A577" s="63" t="inlineStr">
        <is>
          <t>F18-T7-04</t>
        </is>
      </c>
      <c r="B577" s="63" t="inlineStr">
        <is>
          <t>F18</t>
        </is>
      </c>
      <c r="C577" s="63">
        <f>Flights!$F$22</f>
        <v/>
      </c>
      <c r="D577" s="64">
        <f>Flights!$D$22</f>
        <v/>
      </c>
      <c r="E577" s="63">
        <f>Flights!$G$22&amp;"-"&amp;Flights!$H$22</f>
        <v/>
      </c>
      <c r="F577" s="63">
        <f>Flights!$K$22</f>
        <v/>
      </c>
      <c r="G577" s="63" t="inlineStr">
        <is>
          <t>T-7D</t>
        </is>
      </c>
      <c r="H577" s="63" t="inlineStr">
        <is>
          <t>Preparation</t>
        </is>
      </c>
      <c r="I577" s="63" t="inlineStr">
        <is>
          <t>Staffing</t>
        </is>
      </c>
      <c r="J577" s="63" t="inlineStr">
        <is>
          <t>Experienced catering officer assigned to this flight</t>
        </is>
      </c>
      <c r="K577" s="73" t="inlineStr">
        <is>
          <t>Record officer name in Result</t>
        </is>
      </c>
      <c r="L577" s="73" t="inlineStr">
        <is>
          <t>User brief (T-7 days)</t>
        </is>
      </c>
      <c r="M577" s="73" t="inlineStr"/>
      <c r="N577" s="73" t="inlineStr">
        <is>
          <t>Required</t>
        </is>
      </c>
      <c r="O577" s="73" t="inlineStr"/>
      <c r="P577" s="63" t="inlineStr">
        <is>
          <t>KUL</t>
        </is>
      </c>
      <c r="Q577" s="65">
        <f>Flights!$AC$22</f>
        <v/>
      </c>
      <c r="R577" s="65">
        <f>Q577+(IF(AND(INDEX(TZ_DSTS,MATCH(P577,TZ_STN,0))&lt;&gt;"",Q577&gt;=INDEX(TZ_DSTS,MATCH(P577,TZ_STN,0)),Q577&lt;INDEX(TZ_DSTE,MATCH(P577,TZ_STN,0))),INDEX(TZ_DST,MATCH(P577,TZ_STN,0)),INDEX(TZ_STD,MATCH(P577,TZ_STN,0))))/24</f>
        <v/>
      </c>
      <c r="S577" s="65" t="inlineStr"/>
      <c r="T577" s="66" t="n"/>
      <c r="U577" s="66" t="n"/>
      <c r="V577" s="66" t="n"/>
      <c r="W577" s="67" t="n"/>
      <c r="X577" s="66" t="n"/>
      <c r="Y577" s="66" t="n"/>
      <c r="Z577" s="66" t="n"/>
      <c r="AA577" s="66" t="n"/>
      <c r="AB577" s="66" t="n"/>
      <c r="AC577" s="66" t="n"/>
      <c r="AD577" s="72" t="n"/>
      <c r="AE577" s="66" t="n"/>
      <c r="AF577" s="67">
        <f>IF(AND(ISNUMBER(X577),ISNUMBER(Y577)),Y577-X577,"")</f>
        <v/>
      </c>
      <c r="AG577" s="68">
        <f>IF(ISNUMBER(AD577),AD577-(IF(AND(INDEX(TZ_DSTS,MATCH(P577,TZ_STN,0))&lt;&gt;"",(AD577-INDEX(TZ_STD,MATCH(P577,TZ_STN,0))/24)&gt;=INDEX(TZ_DSTS,MATCH(P577,TZ_STN,0)),(AD577-INDEX(TZ_STD,MATCH(P577,TZ_STN,0))/24)&lt;INDEX(TZ_DSTE,MATCH(P577,TZ_STN,0))),INDEX(TZ_DST,MATCH(P577,TZ_STN,0)),INDEX(TZ_STD,MATCH(P577,TZ_STN,0))))/24,"")</f>
        <v/>
      </c>
      <c r="AH577" s="71">
        <f>IF(N577="N/A – rule","N/A – RULE",IF(TRIM(U577)="N/A",IF(AT577=0,"INVALID – N/A not permitted for this mandatory check",IF(AND(TRIM(AC577)&lt;&gt;"",TRIM(AE577)&lt;&gt;"",TRIM(T577)&lt;&gt;""),"N/A – JUSTIFIED","INVALID – N/A needs justification, PIC and verifier")),IF(OR(TRIM(U577)="Pass",TRIM(U577)="Pass after CA"),IF(NOT(ISNUMBER(AD577)),"INVALID – completion time missing",IF(TRIM(T577)="","INVALID – PIC missing",IF(TRIM(Z577)="","INVALID – evidence missing",IF(TRIM(AE577)="","INVALID – verifier missing",IF(AND(AQ577=1,TRIM(W577)=""),"INVALID – batch ID missing",IF(AND(AR577=1,OR(NOT(ISNUMBER(X577)),NOT(ISNUMBER(Y577)))),"INVALID – expected/actual qty missing",IF(IF(AND(TRIM(U577)="Pass",ISNUMBER(AF577)),IF(AF577&lt;&gt;0,"INVALID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recorded/closed","")&lt;&gt;"",IF(AND(TRIM(U577)="Pass",ISNUMBER(AF577)),IF(AF577&lt;&gt;0,"INVALID – qty variance: use Fail or Pass after CA",""),"")&amp;IF(AND(TRIM(U577)="Pass",AB577="Open"),"INVALID – corrective action still open: use Fail, then Pass after CA","")&amp;IF(AND(TRIM(U577)="Pass after CA",OR(TRIM(AA577)="",AB577&lt;&gt;"Closed")),"INVALID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window"),IF(AG577&gt;Flights!$AA$22,"INVALID – completed after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f>
        <v/>
      </c>
      <c r="AI577" s="67">
        <f>IF(OR(AH577="N/A – RULE",AH577="N/A – JUSTIFIED"),0,1)</f>
        <v/>
      </c>
      <c r="AJ577" s="67">
        <f>IF(LEFT(AH577,8)="COMPLETE",1,0)</f>
        <v/>
      </c>
      <c r="AK577" s="67">
        <f>IF(AND(AI577=1,AJ577=0,AsOfUTC&gt;Q577),1,0)</f>
        <v/>
      </c>
      <c r="AL577" s="67">
        <f>IF(AND(AI577=1,OR(TRIM(U577)="Fail",AB577="Open",AND(ISNUMBER(AF577),AF577&lt;&gt;0,TRIM(U577)&lt;&gt;"Pass after CA"))),1,0)</f>
        <v/>
      </c>
      <c r="AM577" s="67">
        <f>IF(LEFT(AH577,7)="INVALID",1,0)</f>
        <v/>
      </c>
      <c r="AN577" s="67">
        <f>IF(AND(N577="Clarification required",AI577=1,AJ577=0),1,0)</f>
        <v/>
      </c>
      <c r="AO577" s="67">
        <f>IF(AK577=1,SUM(AK$5:AK577),"")</f>
        <v/>
      </c>
      <c r="AP577" s="67">
        <f>IF(AL577=1,SUM(AL$5:AL577),"")</f>
        <v/>
      </c>
      <c r="AQ577" s="67" t="n">
        <v>0</v>
      </c>
      <c r="AR577" s="67" t="n">
        <v>0</v>
      </c>
      <c r="AS577" s="67" t="n">
        <v>0</v>
      </c>
      <c r="AT577" s="67" t="n">
        <v>0</v>
      </c>
    </row>
    <row r="578" ht="40" customHeight="1">
      <c r="A578" s="63" t="inlineStr">
        <is>
          <t>F18-T7-05</t>
        </is>
      </c>
      <c r="B578" s="63" t="inlineStr">
        <is>
          <t>F18</t>
        </is>
      </c>
      <c r="C578" s="63">
        <f>Flights!$F$22</f>
        <v/>
      </c>
      <c r="D578" s="64">
        <f>Flights!$D$22</f>
        <v/>
      </c>
      <c r="E578" s="63">
        <f>Flights!$G$22&amp;"-"&amp;Flights!$H$22</f>
        <v/>
      </c>
      <c r="F578" s="63">
        <f>Flights!$K$22</f>
        <v/>
      </c>
      <c r="G578" s="63" t="inlineStr">
        <is>
          <t>T-7D</t>
        </is>
      </c>
      <c r="H578" s="63" t="inlineStr">
        <is>
          <t>Preparation</t>
        </is>
      </c>
      <c r="I578" s="63" t="inlineStr">
        <is>
          <t>ISOP</t>
        </is>
      </c>
      <c r="J578" s="63" t="inlineStr">
        <is>
          <t>All latest applicable ISOP revisions communicated to caterer</t>
        </is>
      </c>
      <c r="K578" s="73" t="inlineStr">
        <is>
          <t>List revision numbers in Result (see ISOP register)</t>
        </is>
      </c>
      <c r="L578" s="73" t="inlineStr">
        <is>
          <t>User brief (T-7 days)</t>
        </is>
      </c>
      <c r="M578" s="73" t="inlineStr"/>
      <c r="N578" s="73" t="inlineStr">
        <is>
          <t>Required</t>
        </is>
      </c>
      <c r="O578" s="73" t="inlineStr"/>
      <c r="P578" s="63" t="inlineStr">
        <is>
          <t>KUL</t>
        </is>
      </c>
      <c r="Q578" s="65">
        <f>Flights!$AC$22</f>
        <v/>
      </c>
      <c r="R578" s="65">
        <f>Q578+(IF(AND(INDEX(TZ_DSTS,MATCH(P578,TZ_STN,0))&lt;&gt;"",Q578&gt;=INDEX(TZ_DSTS,MATCH(P578,TZ_STN,0)),Q578&lt;INDEX(TZ_DSTE,MATCH(P578,TZ_STN,0))),INDEX(TZ_DST,MATCH(P578,TZ_STN,0)),INDEX(TZ_STD,MATCH(P578,TZ_STN,0))))/24</f>
        <v/>
      </c>
      <c r="S578" s="65" t="inlineStr"/>
      <c r="T578" s="66" t="n"/>
      <c r="U578" s="66" t="n"/>
      <c r="V578" s="66" t="n"/>
      <c r="W578" s="67" t="n"/>
      <c r="X578" s="66" t="n"/>
      <c r="Y578" s="66" t="n"/>
      <c r="Z578" s="66" t="n"/>
      <c r="AA578" s="66" t="n"/>
      <c r="AB578" s="66" t="n"/>
      <c r="AC578" s="66" t="n"/>
      <c r="AD578" s="72" t="n"/>
      <c r="AE578" s="66" t="n"/>
      <c r="AF578" s="67">
        <f>IF(AND(ISNUMBER(X578),ISNUMBER(Y578)),Y578-X578,"")</f>
        <v/>
      </c>
      <c r="AG578" s="68">
        <f>IF(ISNUMBER(AD578),AD578-(IF(AND(INDEX(TZ_DSTS,MATCH(P578,TZ_STN,0))&lt;&gt;"",(AD578-INDEX(TZ_STD,MATCH(P578,TZ_STN,0))/24)&gt;=INDEX(TZ_DSTS,MATCH(P578,TZ_STN,0)),(AD578-INDEX(TZ_STD,MATCH(P578,TZ_STN,0))/24)&lt;INDEX(TZ_DSTE,MATCH(P578,TZ_STN,0))),INDEX(TZ_DST,MATCH(P578,TZ_STN,0)),INDEX(TZ_STD,MATCH(P578,TZ_STN,0))))/24,"")</f>
        <v/>
      </c>
      <c r="AH578" s="71">
        <f>IF(N578="N/A – rule","N/A – RULE",IF(TRIM(U578)="N/A",IF(AT578=0,"INVALID – N/A not permitted for this mandatory check",IF(AND(TRIM(AC578)&lt;&gt;"",TRIM(AE578)&lt;&gt;"",TRIM(T578)&lt;&gt;""),"N/A – JUSTIFIED","INVALID – N/A needs justification, PIC and verifier")),IF(OR(TRIM(U578)="Pass",TRIM(U578)="Pass after CA"),IF(NOT(ISNUMBER(AD578)),"INVALID – completion time missing",IF(TRIM(T578)="","INVALID – PIC missing",IF(TRIM(Z578)="","INVALID – evidence missing",IF(TRIM(AE578)="","INVALID – verifier missing",IF(AND(AQ578=1,TRIM(W578)=""),"INVALID – batch ID missing",IF(AND(AR578=1,OR(NOT(ISNUMBER(X578)),NOT(ISNUMBER(Y578)))),"INVALID – expected/actual qty missing",IF(IF(AND(TRIM(U578)="Pass",ISNUMBER(AF578)),IF(AF578&lt;&gt;0,"INVALID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recorded/closed","")&lt;&gt;"",IF(AND(TRIM(U578)="Pass",ISNUMBER(AF578)),IF(AF578&lt;&gt;0,"INVALID – qty variance: use Fail or Pass after CA",""),"")&amp;IF(AND(TRIM(U578)="Pass",AB578="Open"),"INVALID – corrective action still open: use Fail, then Pass after CA","")&amp;IF(AND(TRIM(U578)="Pass after CA",OR(TRIM(AA578)="",AB578&lt;&gt;"Closed")),"INVALID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window"),IF(AG578&gt;Flights!$AA$22,"INVALID – completed after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f>
        <v/>
      </c>
      <c r="AI578" s="67">
        <f>IF(OR(AH578="N/A – RULE",AH578="N/A – JUSTIFIED"),0,1)</f>
        <v/>
      </c>
      <c r="AJ578" s="67">
        <f>IF(LEFT(AH578,8)="COMPLETE",1,0)</f>
        <v/>
      </c>
      <c r="AK578" s="67">
        <f>IF(AND(AI578=1,AJ578=0,AsOfUTC&gt;Q578),1,0)</f>
        <v/>
      </c>
      <c r="AL578" s="67">
        <f>IF(AND(AI578=1,OR(TRIM(U578)="Fail",AB578="Open",AND(ISNUMBER(AF578),AF578&lt;&gt;0,TRIM(U578)&lt;&gt;"Pass after CA"))),1,0)</f>
        <v/>
      </c>
      <c r="AM578" s="67">
        <f>IF(LEFT(AH578,7)="INVALID",1,0)</f>
        <v/>
      </c>
      <c r="AN578" s="67">
        <f>IF(AND(N578="Clarification required",AI578=1,AJ578=0),1,0)</f>
        <v/>
      </c>
      <c r="AO578" s="67">
        <f>IF(AK578=1,SUM(AK$5:AK578),"")</f>
        <v/>
      </c>
      <c r="AP578" s="67">
        <f>IF(AL578=1,SUM(AL$5:AL578),"")</f>
        <v/>
      </c>
      <c r="AQ578" s="67" t="n">
        <v>0</v>
      </c>
      <c r="AR578" s="67" t="n">
        <v>0</v>
      </c>
      <c r="AS578" s="67" t="n">
        <v>0</v>
      </c>
      <c r="AT578" s="67" t="n">
        <v>0</v>
      </c>
    </row>
    <row r="579" ht="40" customHeight="1">
      <c r="A579" s="63" t="inlineStr">
        <is>
          <t>F18-T7-06</t>
        </is>
      </c>
      <c r="B579" s="63" t="inlineStr">
        <is>
          <t>F18</t>
        </is>
      </c>
      <c r="C579" s="63">
        <f>Flights!$F$22</f>
        <v/>
      </c>
      <c r="D579" s="64">
        <f>Flights!$D$22</f>
        <v/>
      </c>
      <c r="E579" s="63">
        <f>Flights!$G$22&amp;"-"&amp;Flights!$H$22</f>
        <v/>
      </c>
      <c r="F579" s="63">
        <f>Flights!$K$22</f>
        <v/>
      </c>
      <c r="G579" s="63" t="inlineStr">
        <is>
          <t>T-7D</t>
        </is>
      </c>
      <c r="H579" s="63" t="inlineStr">
        <is>
          <t>Preparation</t>
        </is>
      </c>
      <c r="I579" s="63" t="inlineStr">
        <is>
          <t>ISOP</t>
        </is>
      </c>
      <c r="J579" s="63" t="inlineStr">
        <is>
          <t>Caterer acknowledgement of ISOP revisions recorded</t>
        </is>
      </c>
      <c r="K579" s="73" t="inlineStr">
        <is>
          <t>Record acknowledgement ref in Evidence</t>
        </is>
      </c>
      <c r="L579" s="73" t="inlineStr">
        <is>
          <t>User brief (T-7 days)</t>
        </is>
      </c>
      <c r="M579" s="73" t="inlineStr"/>
      <c r="N579" s="73" t="inlineStr">
        <is>
          <t>Required</t>
        </is>
      </c>
      <c r="O579" s="73" t="inlineStr"/>
      <c r="P579" s="63" t="inlineStr">
        <is>
          <t>KUL</t>
        </is>
      </c>
      <c r="Q579" s="65">
        <f>Flights!$AC$22</f>
        <v/>
      </c>
      <c r="R579" s="65">
        <f>Q579+(IF(AND(INDEX(TZ_DSTS,MATCH(P579,TZ_STN,0))&lt;&gt;"",Q579&gt;=INDEX(TZ_DSTS,MATCH(P579,TZ_STN,0)),Q579&lt;INDEX(TZ_DSTE,MATCH(P579,TZ_STN,0))),INDEX(TZ_DST,MATCH(P579,TZ_STN,0)),INDEX(TZ_STD,MATCH(P579,TZ_STN,0))))/24</f>
        <v/>
      </c>
      <c r="S579" s="65" t="inlineStr"/>
      <c r="T579" s="66" t="n"/>
      <c r="U579" s="66" t="n"/>
      <c r="V579" s="66" t="n"/>
      <c r="W579" s="67" t="n"/>
      <c r="X579" s="66" t="n"/>
      <c r="Y579" s="66" t="n"/>
      <c r="Z579" s="66" t="n"/>
      <c r="AA579" s="66" t="n"/>
      <c r="AB579" s="66" t="n"/>
      <c r="AC579" s="66" t="n"/>
      <c r="AD579" s="72" t="n"/>
      <c r="AE579" s="66" t="n"/>
      <c r="AF579" s="67">
        <f>IF(AND(ISNUMBER(X579),ISNUMBER(Y579)),Y579-X579,"")</f>
        <v/>
      </c>
      <c r="AG579" s="68">
        <f>IF(ISNUMBER(AD579),AD579-(IF(AND(INDEX(TZ_DSTS,MATCH(P579,TZ_STN,0))&lt;&gt;"",(AD579-INDEX(TZ_STD,MATCH(P579,TZ_STN,0))/24)&gt;=INDEX(TZ_DSTS,MATCH(P579,TZ_STN,0)),(AD579-INDEX(TZ_STD,MATCH(P579,TZ_STN,0))/24)&lt;INDEX(TZ_DSTE,MATCH(P579,TZ_STN,0))),INDEX(TZ_DST,MATCH(P579,TZ_STN,0)),INDEX(TZ_STD,MATCH(P579,TZ_STN,0))))/24,"")</f>
        <v/>
      </c>
      <c r="AH579" s="71">
        <f>IF(N579="N/A – rule","N/A – RULE",IF(TRIM(U579)="N/A",IF(AT579=0,"INVALID – N/A not permitted for this mandatory check",IF(AND(TRIM(AC579)&lt;&gt;"",TRIM(AE579)&lt;&gt;"",TRIM(T579)&lt;&gt;""),"N/A – JUSTIFIED","INVALID – N/A needs justification, PIC and verifier")),IF(OR(TRIM(U579)="Pass",TRIM(U579)="Pass after CA"),IF(NOT(ISNUMBER(AD579)),"INVALID – completion time missing",IF(TRIM(T579)="","INVALID – PIC missing",IF(TRIM(Z579)="","INVALID – evidence missing",IF(TRIM(AE579)="","INVALID – verifier missing",IF(AND(AQ579=1,TRIM(W579)=""),"INVALID – batch ID missing",IF(AND(AR579=1,OR(NOT(ISNUMBER(X579)),NOT(ISNUMBER(Y579)))),"INVALID – expected/actual qty missing",IF(IF(AND(TRIM(U579)="Pass",ISNUMBER(AF579)),IF(AF579&lt;&gt;0,"INVALID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recorded/closed","")&lt;&gt;"",IF(AND(TRIM(U579)="Pass",ISNUMBER(AF579)),IF(AF579&lt;&gt;0,"INVALID – qty variance: use Fail or Pass after CA",""),"")&amp;IF(AND(TRIM(U579)="Pass",AB579="Open"),"INVALID – corrective action still open: use Fail, then Pass after CA","")&amp;IF(AND(TRIM(U579)="Pass after CA",OR(TRIM(AA579)="",AB579&lt;&gt;"Closed")),"INVALID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window"),IF(AG579&gt;Flights!$AA$22,"INVALID – completed after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f>
        <v/>
      </c>
      <c r="AI579" s="67">
        <f>IF(OR(AH579="N/A – RULE",AH579="N/A – JUSTIFIED"),0,1)</f>
        <v/>
      </c>
      <c r="AJ579" s="67">
        <f>IF(LEFT(AH579,8)="COMPLETE",1,0)</f>
        <v/>
      </c>
      <c r="AK579" s="67">
        <f>IF(AND(AI579=1,AJ579=0,AsOfUTC&gt;Q579),1,0)</f>
        <v/>
      </c>
      <c r="AL579" s="67">
        <f>IF(AND(AI579=1,OR(TRIM(U579)="Fail",AB579="Open",AND(ISNUMBER(AF579),AF579&lt;&gt;0,TRIM(U579)&lt;&gt;"Pass after CA"))),1,0)</f>
        <v/>
      </c>
      <c r="AM579" s="67">
        <f>IF(LEFT(AH579,7)="INVALID",1,0)</f>
        <v/>
      </c>
      <c r="AN579" s="67">
        <f>IF(AND(N579="Clarification required",AI579=1,AJ579=0),1,0)</f>
        <v/>
      </c>
      <c r="AO579" s="67">
        <f>IF(AK579=1,SUM(AK$5:AK579),"")</f>
        <v/>
      </c>
      <c r="AP579" s="67">
        <f>IF(AL579=1,SUM(AL$5:AL579),"")</f>
        <v/>
      </c>
      <c r="AQ579" s="67" t="n">
        <v>0</v>
      </c>
      <c r="AR579" s="67" t="n">
        <v>0</v>
      </c>
      <c r="AS579" s="67" t="n">
        <v>0</v>
      </c>
      <c r="AT579" s="67" t="n">
        <v>0</v>
      </c>
    </row>
    <row r="580" ht="40" customHeight="1">
      <c r="A580" s="63" t="inlineStr">
        <is>
          <t>F18-T7-07</t>
        </is>
      </c>
      <c r="B580" s="63" t="inlineStr">
        <is>
          <t>F18</t>
        </is>
      </c>
      <c r="C580" s="63">
        <f>Flights!$F$22</f>
        <v/>
      </c>
      <c r="D580" s="64">
        <f>Flights!$D$22</f>
        <v/>
      </c>
      <c r="E580" s="63">
        <f>Flights!$G$22&amp;"-"&amp;Flights!$H$22</f>
        <v/>
      </c>
      <c r="F580" s="63">
        <f>Flights!$K$22</f>
        <v/>
      </c>
      <c r="G580" s="63" t="inlineStr">
        <is>
          <t>T-7D</t>
        </is>
      </c>
      <c r="H580" s="63" t="inlineStr">
        <is>
          <t>Preparation</t>
        </is>
      </c>
      <c r="I580" s="63" t="inlineStr">
        <is>
          <t>Documents</t>
        </is>
      </c>
      <c r="J580" s="63" t="inlineStr">
        <is>
          <t>Galley loading diagram (GLD) received, revision recorded &amp; attached</t>
        </is>
      </c>
      <c r="K580" s="73" t="inlineStr">
        <is>
          <t>Documents sheet row complete</t>
        </is>
      </c>
      <c r="L580" s="73" t="inlineStr">
        <is>
          <t>User brief (T-7 days)</t>
        </is>
      </c>
      <c r="M580" s="73" t="inlineStr"/>
      <c r="N580" s="73" t="inlineStr">
        <is>
          <t>Required</t>
        </is>
      </c>
      <c r="O580" s="73" t="inlineStr"/>
      <c r="P580" s="63" t="inlineStr">
        <is>
          <t>KUL</t>
        </is>
      </c>
      <c r="Q580" s="65">
        <f>Flights!$AC$22</f>
        <v/>
      </c>
      <c r="R580" s="65">
        <f>Q580+(IF(AND(INDEX(TZ_DSTS,MATCH(P580,TZ_STN,0))&lt;&gt;"",Q580&gt;=INDEX(TZ_DSTS,MATCH(P580,TZ_STN,0)),Q580&lt;INDEX(TZ_DSTE,MATCH(P580,TZ_STN,0))),INDEX(TZ_DST,MATCH(P580,TZ_STN,0)),INDEX(TZ_STD,MATCH(P580,TZ_STN,0))))/24</f>
        <v/>
      </c>
      <c r="S580" s="65" t="inlineStr"/>
      <c r="T580" s="66" t="n"/>
      <c r="U580" s="66" t="n"/>
      <c r="V580" s="66" t="n"/>
      <c r="W580" s="67" t="n"/>
      <c r="X580" s="66" t="n"/>
      <c r="Y580" s="66" t="n"/>
      <c r="Z580" s="66" t="n"/>
      <c r="AA580" s="66" t="n"/>
      <c r="AB580" s="66" t="n"/>
      <c r="AC580" s="66" t="n"/>
      <c r="AD580" s="72" t="n"/>
      <c r="AE580" s="66" t="n"/>
      <c r="AF580" s="67">
        <f>IF(AND(ISNUMBER(X580),ISNUMBER(Y580)),Y580-X580,"")</f>
        <v/>
      </c>
      <c r="AG580" s="68">
        <f>IF(ISNUMBER(AD580),AD580-(IF(AND(INDEX(TZ_DSTS,MATCH(P580,TZ_STN,0))&lt;&gt;"",(AD580-INDEX(TZ_STD,MATCH(P580,TZ_STN,0))/24)&gt;=INDEX(TZ_DSTS,MATCH(P580,TZ_STN,0)),(AD580-INDEX(TZ_STD,MATCH(P580,TZ_STN,0))/24)&lt;INDEX(TZ_DSTE,MATCH(P580,TZ_STN,0))),INDEX(TZ_DST,MATCH(P580,TZ_STN,0)),INDEX(TZ_STD,MATCH(P580,TZ_STN,0))))/24,"")</f>
        <v/>
      </c>
      <c r="AH580" s="71">
        <f>IF(N580="N/A – rule","N/A – RULE",IF(TRIM(U580)="N/A",IF(AT580=0,"INVALID – N/A not permitted for this mandatory check",IF(AND(TRIM(AC580)&lt;&gt;"",TRIM(AE580)&lt;&gt;"",TRIM(T580)&lt;&gt;""),"N/A – JUSTIFIED","INVALID – N/A needs justification, PIC and verifier")),IF(OR(TRIM(U580)="Pass",TRIM(U580)="Pass after CA"),IF(NOT(ISNUMBER(AD580)),"INVALID – completion time missing",IF(TRIM(T580)="","INVALID – PIC missing",IF(TRIM(Z580)="","INVALID – evidence missing",IF(TRIM(AE580)="","INVALID – verifier missing",IF(AND(AQ580=1,TRIM(W580)=""),"INVALID – batch ID missing",IF(AND(AR580=1,OR(NOT(ISNUMBER(X580)),NOT(ISNUMBER(Y580)))),"INVALID – expected/actual qty missing",IF(IF(AND(TRIM(U580)="Pass",ISNUMBER(AF580)),IF(AF580&lt;&gt;0,"INVALID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recorded/closed","")&lt;&gt;"",IF(AND(TRIM(U580)="Pass",ISNUMBER(AF580)),IF(AF580&lt;&gt;0,"INVALID – qty variance: use Fail or Pass after CA",""),"")&amp;IF(AND(TRIM(U580)="Pass",AB580="Open"),"INVALID – corrective action still open: use Fail, then Pass after CA","")&amp;IF(AND(TRIM(U580)="Pass after CA",OR(TRIM(AA580)="",AB580&lt;&gt;"Closed")),"INVALID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window"),IF(AG580&gt;Flights!$AA$22,"INVALID – completed after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f>
        <v/>
      </c>
      <c r="AI580" s="67">
        <f>IF(OR(AH580="N/A – RULE",AH580="N/A – JUSTIFIED"),0,1)</f>
        <v/>
      </c>
      <c r="AJ580" s="67">
        <f>IF(LEFT(AH580,8)="COMPLETE",1,0)</f>
        <v/>
      </c>
      <c r="AK580" s="67">
        <f>IF(AND(AI580=1,AJ580=0,AsOfUTC&gt;Q580),1,0)</f>
        <v/>
      </c>
      <c r="AL580" s="67">
        <f>IF(AND(AI580=1,OR(TRIM(U580)="Fail",AB580="Open",AND(ISNUMBER(AF580),AF580&lt;&gt;0,TRIM(U580)&lt;&gt;"Pass after CA"))),1,0)</f>
        <v/>
      </c>
      <c r="AM580" s="67">
        <f>IF(LEFT(AH580,7)="INVALID",1,0)</f>
        <v/>
      </c>
      <c r="AN580" s="67">
        <f>IF(AND(N580="Clarification required",AI580=1,AJ580=0),1,0)</f>
        <v/>
      </c>
      <c r="AO580" s="67">
        <f>IF(AK580=1,SUM(AK$5:AK580),"")</f>
        <v/>
      </c>
      <c r="AP580" s="67">
        <f>IF(AL580=1,SUM(AL$5:AL580),"")</f>
        <v/>
      </c>
      <c r="AQ580" s="67" t="n">
        <v>0</v>
      </c>
      <c r="AR580" s="67" t="n">
        <v>0</v>
      </c>
      <c r="AS580" s="67" t="n">
        <v>1</v>
      </c>
      <c r="AT580" s="67" t="n">
        <v>0</v>
      </c>
    </row>
    <row r="581" ht="40" customHeight="1">
      <c r="A581" s="63" t="inlineStr">
        <is>
          <t>F18-T7-08</t>
        </is>
      </c>
      <c r="B581" s="63" t="inlineStr">
        <is>
          <t>F18</t>
        </is>
      </c>
      <c r="C581" s="63">
        <f>Flights!$F$22</f>
        <v/>
      </c>
      <c r="D581" s="64">
        <f>Flights!$D$22</f>
        <v/>
      </c>
      <c r="E581" s="63">
        <f>Flights!$G$22&amp;"-"&amp;Flights!$H$22</f>
        <v/>
      </c>
      <c r="F581" s="63">
        <f>Flights!$K$22</f>
        <v/>
      </c>
      <c r="G581" s="63" t="inlineStr">
        <is>
          <t>T-7D</t>
        </is>
      </c>
      <c r="H581" s="63" t="inlineStr">
        <is>
          <t>Preparation</t>
        </is>
      </c>
      <c r="I581" s="63" t="inlineStr">
        <is>
          <t>Documents</t>
        </is>
      </c>
      <c r="J581" s="63" t="inlineStr">
        <is>
          <t>Menu checklist received, revision recorded &amp; attached</t>
        </is>
      </c>
      <c r="K581" s="73" t="inlineStr">
        <is>
          <t>Documents sheet row complete</t>
        </is>
      </c>
      <c r="L581" s="73" t="inlineStr">
        <is>
          <t>User brief (T-7 days)</t>
        </is>
      </c>
      <c r="M581" s="73" t="inlineStr"/>
      <c r="N581" s="73" t="inlineStr">
        <is>
          <t>Required</t>
        </is>
      </c>
      <c r="O581" s="73" t="inlineStr"/>
      <c r="P581" s="63" t="inlineStr">
        <is>
          <t>KUL</t>
        </is>
      </c>
      <c r="Q581" s="65">
        <f>Flights!$AC$22</f>
        <v/>
      </c>
      <c r="R581" s="65">
        <f>Q581+(IF(AND(INDEX(TZ_DSTS,MATCH(P581,TZ_STN,0))&lt;&gt;"",Q581&gt;=INDEX(TZ_DSTS,MATCH(P581,TZ_STN,0)),Q581&lt;INDEX(TZ_DSTE,MATCH(P581,TZ_STN,0))),INDEX(TZ_DST,MATCH(P581,TZ_STN,0)),INDEX(TZ_STD,MATCH(P581,TZ_STN,0))))/24</f>
        <v/>
      </c>
      <c r="S581" s="65" t="inlineStr"/>
      <c r="T581" s="66" t="n"/>
      <c r="U581" s="66" t="n"/>
      <c r="V581" s="66" t="n"/>
      <c r="W581" s="67" t="n"/>
      <c r="X581" s="66" t="n"/>
      <c r="Y581" s="66" t="n"/>
      <c r="Z581" s="66" t="n"/>
      <c r="AA581" s="66" t="n"/>
      <c r="AB581" s="66" t="n"/>
      <c r="AC581" s="66" t="n"/>
      <c r="AD581" s="72" t="n"/>
      <c r="AE581" s="66" t="n"/>
      <c r="AF581" s="67">
        <f>IF(AND(ISNUMBER(X581),ISNUMBER(Y581)),Y581-X581,"")</f>
        <v/>
      </c>
      <c r="AG581" s="68">
        <f>IF(ISNUMBER(AD581),AD581-(IF(AND(INDEX(TZ_DSTS,MATCH(P581,TZ_STN,0))&lt;&gt;"",(AD581-INDEX(TZ_STD,MATCH(P581,TZ_STN,0))/24)&gt;=INDEX(TZ_DSTS,MATCH(P581,TZ_STN,0)),(AD581-INDEX(TZ_STD,MATCH(P581,TZ_STN,0))/24)&lt;INDEX(TZ_DSTE,MATCH(P581,TZ_STN,0))),INDEX(TZ_DST,MATCH(P581,TZ_STN,0)),INDEX(TZ_STD,MATCH(P581,TZ_STN,0))))/24,"")</f>
        <v/>
      </c>
      <c r="AH581" s="71">
        <f>IF(N581="N/A – rule","N/A – RULE",IF(TRIM(U581)="N/A",IF(AT581=0,"INVALID – N/A not permitted for this mandatory check",IF(AND(TRIM(AC581)&lt;&gt;"",TRIM(AE581)&lt;&gt;"",TRIM(T581)&lt;&gt;""),"N/A – JUSTIFIED","INVALID – N/A needs justification, PIC and verifier")),IF(OR(TRIM(U581)="Pass",TRIM(U581)="Pass after CA"),IF(NOT(ISNUMBER(AD581)),"INVALID – completion time missing",IF(TRIM(T581)="","INVALID – PIC missing",IF(TRIM(Z581)="","INVALID – evidence missing",IF(TRIM(AE581)="","INVALID – verifier missing",IF(AND(AQ581=1,TRIM(W581)=""),"INVALID – batch ID missing",IF(AND(AR581=1,OR(NOT(ISNUMBER(X581)),NOT(ISNUMBER(Y581)))),"INVALID – expected/actual qty missing",IF(IF(AND(TRIM(U581)="Pass",ISNUMBER(AF581)),IF(AF581&lt;&gt;0,"INVALID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recorded/closed","")&lt;&gt;"",IF(AND(TRIM(U581)="Pass",ISNUMBER(AF581)),IF(AF581&lt;&gt;0,"INVALID – qty variance: use Fail or Pass after CA",""),"")&amp;IF(AND(TRIM(U581)="Pass",AB581="Open"),"INVALID – corrective action still open: use Fail, then Pass after CA","")&amp;IF(AND(TRIM(U581)="Pass after CA",OR(TRIM(AA581)="",AB581&lt;&gt;"Closed")),"INVALID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window"),IF(AG581&gt;Flights!$AA$22,"INVALID – completed after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f>
        <v/>
      </c>
      <c r="AI581" s="67">
        <f>IF(OR(AH581="N/A – RULE",AH581="N/A – JUSTIFIED"),0,1)</f>
        <v/>
      </c>
      <c r="AJ581" s="67">
        <f>IF(LEFT(AH581,8)="COMPLETE",1,0)</f>
        <v/>
      </c>
      <c r="AK581" s="67">
        <f>IF(AND(AI581=1,AJ581=0,AsOfUTC&gt;Q581),1,0)</f>
        <v/>
      </c>
      <c r="AL581" s="67">
        <f>IF(AND(AI581=1,OR(TRIM(U581)="Fail",AB581="Open",AND(ISNUMBER(AF581),AF581&lt;&gt;0,TRIM(U581)&lt;&gt;"Pass after CA"))),1,0)</f>
        <v/>
      </c>
      <c r="AM581" s="67">
        <f>IF(LEFT(AH581,7)="INVALID",1,0)</f>
        <v/>
      </c>
      <c r="AN581" s="67">
        <f>IF(AND(N581="Clarification required",AI581=1,AJ581=0),1,0)</f>
        <v/>
      </c>
      <c r="AO581" s="67">
        <f>IF(AK581=1,SUM(AK$5:AK581),"")</f>
        <v/>
      </c>
      <c r="AP581" s="67">
        <f>IF(AL581=1,SUM(AL$5:AL581),"")</f>
        <v/>
      </c>
      <c r="AQ581" s="67" t="n">
        <v>0</v>
      </c>
      <c r="AR581" s="67" t="n">
        <v>0</v>
      </c>
      <c r="AS581" s="67" t="n">
        <v>2</v>
      </c>
      <c r="AT581" s="67" t="n">
        <v>0</v>
      </c>
    </row>
    <row r="582" ht="40" customHeight="1">
      <c r="A582" s="63" t="inlineStr">
        <is>
          <t>F18-T7-09</t>
        </is>
      </c>
      <c r="B582" s="63" t="inlineStr">
        <is>
          <t>F18</t>
        </is>
      </c>
      <c r="C582" s="63">
        <f>Flights!$F$22</f>
        <v/>
      </c>
      <c r="D582" s="64">
        <f>Flights!$D$22</f>
        <v/>
      </c>
      <c r="E582" s="63">
        <f>Flights!$G$22&amp;"-"&amp;Flights!$H$22</f>
        <v/>
      </c>
      <c r="F582" s="63">
        <f>Flights!$K$22</f>
        <v/>
      </c>
      <c r="G582" s="63" t="inlineStr">
        <is>
          <t>T-7D</t>
        </is>
      </c>
      <c r="H582" s="63" t="inlineStr">
        <is>
          <t>Preparation</t>
        </is>
      </c>
      <c r="I582" s="63" t="inlineStr">
        <is>
          <t>Uplift plan</t>
        </is>
      </c>
      <c r="J582" s="63" t="inlineStr">
        <is>
          <t>Uplift plan confirmed with caterer vs STD Uplift Information</t>
        </is>
      </c>
      <c r="K582" s="73" t="inlineStr">
        <is>
          <t>Service: 1.5 Meal (Meal); meal uplift stn KUL (ref lists KUL/KIX)</t>
        </is>
      </c>
      <c r="L582" s="73" t="inlineStr">
        <is>
          <t>STD UPLIFT INFORMATION.xlsx &gt; CATERING UPLIFT STN!C17:G17</t>
        </is>
      </c>
      <c r="M582" s="73" t="inlineStr"/>
      <c r="N582" s="73" t="inlineStr">
        <is>
          <t>Required</t>
        </is>
      </c>
      <c r="O582" s="73" t="inlineStr"/>
      <c r="P582" s="63" t="inlineStr">
        <is>
          <t>KUL</t>
        </is>
      </c>
      <c r="Q582" s="65">
        <f>Flights!$AC$22</f>
        <v/>
      </c>
      <c r="R582" s="65">
        <f>Q582+(IF(AND(INDEX(TZ_DSTS,MATCH(P582,TZ_STN,0))&lt;&gt;"",Q582&gt;=INDEX(TZ_DSTS,MATCH(P582,TZ_STN,0)),Q582&lt;INDEX(TZ_DSTE,MATCH(P582,TZ_STN,0))),INDEX(TZ_DST,MATCH(P582,TZ_STN,0)),INDEX(TZ_STD,MATCH(P582,TZ_STN,0))))/24</f>
        <v/>
      </c>
      <c r="S582" s="65" t="inlineStr"/>
      <c r="T582" s="66" t="n"/>
      <c r="U582" s="66" t="n"/>
      <c r="V582" s="66" t="n"/>
      <c r="W582" s="67" t="n"/>
      <c r="X582" s="66" t="n"/>
      <c r="Y582" s="66" t="n"/>
      <c r="Z582" s="66" t="n"/>
      <c r="AA582" s="66" t="n"/>
      <c r="AB582" s="66" t="n"/>
      <c r="AC582" s="66" t="n"/>
      <c r="AD582" s="72" t="n"/>
      <c r="AE582" s="66" t="n"/>
      <c r="AF582" s="67">
        <f>IF(AND(ISNUMBER(X582),ISNUMBER(Y582)),Y582-X582,"")</f>
        <v/>
      </c>
      <c r="AG582" s="68">
        <f>IF(ISNUMBER(AD582),AD582-(IF(AND(INDEX(TZ_DSTS,MATCH(P582,TZ_STN,0))&lt;&gt;"",(AD582-INDEX(TZ_STD,MATCH(P582,TZ_STN,0))/24)&gt;=INDEX(TZ_DSTS,MATCH(P582,TZ_STN,0)),(AD582-INDEX(TZ_STD,MATCH(P582,TZ_STN,0))/24)&lt;INDEX(TZ_DSTE,MATCH(P582,TZ_STN,0))),INDEX(TZ_DST,MATCH(P582,TZ_STN,0)),INDEX(TZ_STD,MATCH(P582,TZ_STN,0))))/24,"")</f>
        <v/>
      </c>
      <c r="AH582" s="71">
        <f>IF(N582="N/A – rule","N/A – RULE",IF(TRIM(U582)="N/A",IF(AT582=0,"INVALID – N/A not permitted for this mandatory check",IF(AND(TRIM(AC582)&lt;&gt;"",TRIM(AE582)&lt;&gt;"",TRIM(T582)&lt;&gt;""),"N/A – JUSTIFIED","INVALID – N/A needs justification, PIC and verifier")),IF(OR(TRIM(U582)="Pass",TRIM(U582)="Pass after CA"),IF(NOT(ISNUMBER(AD582)),"INVALID – completion time missing",IF(TRIM(T582)="","INVALID – PIC missing",IF(TRIM(Z582)="","INVALID – evidence missing",IF(TRIM(AE582)="","INVALID – verifier missing",IF(AND(AQ582=1,TRIM(W582)=""),"INVALID – batch ID missing",IF(AND(AR582=1,OR(NOT(ISNUMBER(X582)),NOT(ISNUMBER(Y582)))),"INVALID – expected/actual qty missing",IF(IF(AND(TRIM(U582)="Pass",ISNUMBER(AF582)),IF(AF582&lt;&gt;0,"INVALID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recorded/closed","")&lt;&gt;"",IF(AND(TRIM(U582)="Pass",ISNUMBER(AF582)),IF(AF582&lt;&gt;0,"INVALID – qty variance: use Fail or Pass after CA",""),"")&amp;IF(AND(TRIM(U582)="Pass",AB582="Open"),"INVALID – corrective action still open: use Fail, then Pass after CA","")&amp;IF(AND(TRIM(U582)="Pass after CA",OR(TRIM(AA582)="",AB582&lt;&gt;"Closed")),"INVALID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window"),IF(AG582&gt;Flights!$AA$22,"INVALID – completed after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f>
        <v/>
      </c>
      <c r="AI582" s="67">
        <f>IF(OR(AH582="N/A – RULE",AH582="N/A – JUSTIFIED"),0,1)</f>
        <v/>
      </c>
      <c r="AJ582" s="67">
        <f>IF(LEFT(AH582,8)="COMPLETE",1,0)</f>
        <v/>
      </c>
      <c r="AK582" s="67">
        <f>IF(AND(AI582=1,AJ582=0,AsOfUTC&gt;Q582),1,0)</f>
        <v/>
      </c>
      <c r="AL582" s="67">
        <f>IF(AND(AI582=1,OR(TRIM(U582)="Fail",AB582="Open",AND(ISNUMBER(AF582),AF582&lt;&gt;0,TRIM(U582)&lt;&gt;"Pass after CA"))),1,0)</f>
        <v/>
      </c>
      <c r="AM582" s="67">
        <f>IF(LEFT(AH582,7)="INVALID",1,0)</f>
        <v/>
      </c>
      <c r="AN582" s="67">
        <f>IF(AND(N582="Clarification required",AI582=1,AJ582=0),1,0)</f>
        <v/>
      </c>
      <c r="AO582" s="67">
        <f>IF(AK582=1,SUM(AK$5:AK582),"")</f>
        <v/>
      </c>
      <c r="AP582" s="67">
        <f>IF(AL582=1,SUM(AL$5:AL582),"")</f>
        <v/>
      </c>
      <c r="AQ582" s="67" t="n">
        <v>0</v>
      </c>
      <c r="AR582" s="67" t="n">
        <v>0</v>
      </c>
      <c r="AS582" s="67" t="n">
        <v>0</v>
      </c>
      <c r="AT582" s="67" t="n">
        <v>0</v>
      </c>
    </row>
    <row r="583" ht="40" customHeight="1">
      <c r="A583" s="63" t="inlineStr">
        <is>
          <t>F18-T24-01</t>
        </is>
      </c>
      <c r="B583" s="63" t="inlineStr">
        <is>
          <t>F18</t>
        </is>
      </c>
      <c r="C583" s="63">
        <f>Flights!$F$22</f>
        <v/>
      </c>
      <c r="D583" s="64">
        <f>Flights!$D$22</f>
        <v/>
      </c>
      <c r="E583" s="63">
        <f>Flights!$G$22&amp;"-"&amp;Flights!$H$22</f>
        <v/>
      </c>
      <c r="F583" s="63">
        <f>Flights!$K$22</f>
        <v/>
      </c>
      <c r="G583" s="63" t="inlineStr">
        <is>
          <t>T-24H</t>
        </is>
      </c>
      <c r="H583" s="63" t="inlineStr">
        <is>
          <t>Preparation</t>
        </is>
      </c>
      <c r="I583" s="63" t="inlineStr">
        <is>
          <t>Meal</t>
        </is>
      </c>
      <c r="J583" s="63" t="inlineStr">
        <is>
          <t>Sensory test repeated on ACTUAL production batch for this flight</t>
        </is>
      </c>
      <c r="K583" s="73" t="inlineStr">
        <is>
          <t>Batch ID, result, CA and acceptance mandatory</t>
        </is>
      </c>
      <c r="L583" s="73" t="inlineStr">
        <is>
          <t>User brief (T-24 hours)</t>
        </is>
      </c>
      <c r="M583" s="73" t="inlineStr"/>
      <c r="N583" s="73" t="inlineStr">
        <is>
          <t>Required</t>
        </is>
      </c>
      <c r="O583" s="73" t="inlineStr"/>
      <c r="P583" s="63" t="inlineStr">
        <is>
          <t>KUL</t>
        </is>
      </c>
      <c r="Q583" s="65">
        <f>Flights!$AD$22</f>
        <v/>
      </c>
      <c r="R583" s="65">
        <f>Q583+(IF(AND(INDEX(TZ_DSTS,MATCH(P583,TZ_STN,0))&lt;&gt;"",Q583&gt;=INDEX(TZ_DSTS,MATCH(P583,TZ_STN,0)),Q583&lt;INDEX(TZ_DSTE,MATCH(P583,TZ_STN,0))),INDEX(TZ_DST,MATCH(P583,TZ_STN,0)),INDEX(TZ_STD,MATCH(P583,TZ_STN,0))))/24</f>
        <v/>
      </c>
      <c r="S583" s="65">
        <f>Q583-T24EarlyH/24</f>
        <v/>
      </c>
      <c r="T583" s="66" t="n"/>
      <c r="U583" s="66" t="n"/>
      <c r="V583" s="66" t="n"/>
      <c r="W583" s="66" t="n"/>
      <c r="X583" s="66" t="n"/>
      <c r="Y583" s="66" t="n"/>
      <c r="Z583" s="66" t="n"/>
      <c r="AA583" s="66" t="n"/>
      <c r="AB583" s="66" t="n"/>
      <c r="AC583" s="66" t="n"/>
      <c r="AD583" s="72" t="n"/>
      <c r="AE583" s="66" t="n"/>
      <c r="AF583" s="67">
        <f>IF(AND(ISNUMBER(X583),ISNUMBER(Y583)),Y583-X583,"")</f>
        <v/>
      </c>
      <c r="AG583" s="68">
        <f>IF(ISNUMBER(AD583),AD583-(IF(AND(INDEX(TZ_DSTS,MATCH(P583,TZ_STN,0))&lt;&gt;"",(AD583-INDEX(TZ_STD,MATCH(P583,TZ_STN,0))/24)&gt;=INDEX(TZ_DSTS,MATCH(P583,TZ_STN,0)),(AD583-INDEX(TZ_STD,MATCH(P583,TZ_STN,0))/24)&lt;INDEX(TZ_DSTE,MATCH(P583,TZ_STN,0))),INDEX(TZ_DST,MATCH(P583,TZ_STN,0)),INDEX(TZ_STD,MATCH(P583,TZ_STN,0))))/24,"")</f>
        <v/>
      </c>
      <c r="AH583" s="71">
        <f>IF(N583="N/A – rule","N/A – RULE",IF(TRIM(U583)="N/A",IF(AT583=0,"INVALID – N/A not permitted for this mandatory check",IF(AND(TRIM(AC583)&lt;&gt;"",TRIM(AE583)&lt;&gt;"",TRIM(T583)&lt;&gt;""),"N/A – JUSTIFIED","INVALID – N/A needs justification, PIC and verifier")),IF(OR(TRIM(U583)="Pass",TRIM(U583)="Pass after CA"),IF(NOT(ISNUMBER(AD583)),"INVALID – completion time missing",IF(TRIM(T583)="","INVALID – PIC missing",IF(TRIM(Z583)="","INVALID – evidence missing",IF(TRIM(AE583)="","INVALID – verifier missing",IF(AND(AQ583=1,TRIM(W583)=""),"INVALID – batch ID missing",IF(AND(AR583=1,OR(NOT(ISNUMBER(X583)),NOT(ISNUMBER(Y583)))),"INVALID – expected/actual qty missing",IF(IF(AND(TRIM(U583)="Pass",ISNUMBER(AF583)),IF(AF583&lt;&gt;0,"INVALID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recorded/closed","")&lt;&gt;"",IF(AND(TRIM(U583)="Pass",ISNUMBER(AF583)),IF(AF583&lt;&gt;0,"INVALID – qty variance: use Fail or Pass after CA",""),"")&amp;IF(AND(TRIM(U583)="Pass",AB583="Open"),"INVALID – corrective action still open: use Fail, then Pass after CA","")&amp;IF(AND(TRIM(U583)="Pass after CA",OR(TRIM(AA583)="",AB583&lt;&gt;"Closed")),"INVALID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window"),IF(AG583&gt;Flights!$AA$22,"INVALID – completed after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f>
        <v/>
      </c>
      <c r="AI583" s="67">
        <f>IF(OR(AH583="N/A – RULE",AH583="N/A – JUSTIFIED"),0,1)</f>
        <v/>
      </c>
      <c r="AJ583" s="67">
        <f>IF(LEFT(AH583,8)="COMPLETE",1,0)</f>
        <v/>
      </c>
      <c r="AK583" s="67">
        <f>IF(AND(AI583=1,AJ583=0,AsOfUTC&gt;Q583),1,0)</f>
        <v/>
      </c>
      <c r="AL583" s="67">
        <f>IF(AND(AI583=1,OR(TRIM(U583)="Fail",AB583="Open",AND(ISNUMBER(AF583),AF583&lt;&gt;0,TRIM(U583)&lt;&gt;"Pass after CA"))),1,0)</f>
        <v/>
      </c>
      <c r="AM583" s="67">
        <f>IF(LEFT(AH583,7)="INVALID",1,0)</f>
        <v/>
      </c>
      <c r="AN583" s="67">
        <f>IF(AND(N583="Clarification required",AI583=1,AJ583=0),1,0)</f>
        <v/>
      </c>
      <c r="AO583" s="67">
        <f>IF(AK583=1,SUM(AK$5:AK583),"")</f>
        <v/>
      </c>
      <c r="AP583" s="67">
        <f>IF(AL583=1,SUM(AL$5:AL583),"")</f>
        <v/>
      </c>
      <c r="AQ583" s="67" t="n">
        <v>1</v>
      </c>
      <c r="AR583" s="67" t="n">
        <v>0</v>
      </c>
      <c r="AS583" s="67" t="n">
        <v>0</v>
      </c>
      <c r="AT583" s="67" t="n">
        <v>0</v>
      </c>
    </row>
    <row r="584" ht="40" customHeight="1">
      <c r="A584" s="63" t="inlineStr">
        <is>
          <t>F18-T12-01</t>
        </is>
      </c>
      <c r="B584" s="63" t="inlineStr">
        <is>
          <t>F18</t>
        </is>
      </c>
      <c r="C584" s="63">
        <f>Flights!$F$22</f>
        <v/>
      </c>
      <c r="D584" s="64">
        <f>Flights!$D$22</f>
        <v/>
      </c>
      <c r="E584" s="63">
        <f>Flights!$G$22&amp;"-"&amp;Flights!$H$22</f>
        <v/>
      </c>
      <c r="F584" s="63">
        <f>Flights!$K$22</f>
        <v/>
      </c>
      <c r="G584" s="63" t="inlineStr">
        <is>
          <t>T-12H PREP</t>
        </is>
      </c>
      <c r="H584" s="63" t="inlineStr">
        <is>
          <t>Preparation</t>
        </is>
      </c>
      <c r="I584" s="63" t="inlineStr">
        <is>
          <t>Meal</t>
        </is>
      </c>
      <c r="J584" s="63" t="inlineStr">
        <is>
          <t>Meal quality vs menu checklist</t>
        </is>
      </c>
      <c r="K584" s="73" t="inlineStr"/>
      <c r="L584" s="73" t="inlineStr">
        <is>
          <t>User brief (T-12 hours)</t>
        </is>
      </c>
      <c r="M584" s="73" t="inlineStr"/>
      <c r="N584" s="73" t="inlineStr">
        <is>
          <t>Required</t>
        </is>
      </c>
      <c r="O584" s="73" t="inlineStr">
        <is>
          <t>Preparation check at caterer - does NOT confirm loading.</t>
        </is>
      </c>
      <c r="P584" s="63" t="inlineStr">
        <is>
          <t>KUL</t>
        </is>
      </c>
      <c r="Q584" s="65">
        <f>Flights!$AE$22</f>
        <v/>
      </c>
      <c r="R584" s="65">
        <f>Q584+(IF(AND(INDEX(TZ_DSTS,MATCH(P584,TZ_STN,0))&lt;&gt;"",Q584&gt;=INDEX(TZ_DSTS,MATCH(P584,TZ_STN,0)),Q584&lt;INDEX(TZ_DSTE,MATCH(P584,TZ_STN,0))),INDEX(TZ_DST,MATCH(P584,TZ_STN,0)),INDEX(TZ_STD,MATCH(P584,TZ_STN,0))))/24</f>
        <v/>
      </c>
      <c r="S584" s="65">
        <f>Q584-T12EarlyH/24</f>
        <v/>
      </c>
      <c r="T584" s="66" t="n"/>
      <c r="U584" s="66" t="n"/>
      <c r="V584" s="66" t="n"/>
      <c r="W584" s="67" t="n"/>
      <c r="X584" s="66" t="n"/>
      <c r="Y584" s="66" t="n"/>
      <c r="Z584" s="66" t="n"/>
      <c r="AA584" s="66" t="n"/>
      <c r="AB584" s="66" t="n"/>
      <c r="AC584" s="66" t="n"/>
      <c r="AD584" s="72" t="n"/>
      <c r="AE584" s="66" t="n"/>
      <c r="AF584" s="67">
        <f>IF(AND(ISNUMBER(X584),ISNUMBER(Y584)),Y584-X584,"")</f>
        <v/>
      </c>
      <c r="AG584" s="68">
        <f>IF(ISNUMBER(AD584),AD584-(IF(AND(INDEX(TZ_DSTS,MATCH(P584,TZ_STN,0))&lt;&gt;"",(AD584-INDEX(TZ_STD,MATCH(P584,TZ_STN,0))/24)&gt;=INDEX(TZ_DSTS,MATCH(P584,TZ_STN,0)),(AD584-INDEX(TZ_STD,MATCH(P584,TZ_STN,0))/24)&lt;INDEX(TZ_DSTE,MATCH(P584,TZ_STN,0))),INDEX(TZ_DST,MATCH(P584,TZ_STN,0)),INDEX(TZ_STD,MATCH(P584,TZ_STN,0))))/24,"")</f>
        <v/>
      </c>
      <c r="AH584" s="71">
        <f>IF(N584="N/A – rule","N/A – RULE",IF(TRIM(U584)="N/A",IF(AT584=0,"INVALID – N/A not permitted for this mandatory check",IF(AND(TRIM(AC584)&lt;&gt;"",TRIM(AE584)&lt;&gt;"",TRIM(T584)&lt;&gt;""),"N/A – JUSTIFIED","INVALID – N/A needs justification, PIC and verifier")),IF(OR(TRIM(U584)="Pass",TRIM(U584)="Pass after CA"),IF(NOT(ISNUMBER(AD584)),"INVALID – completion time missing",IF(TRIM(T584)="","INVALID – PIC missing",IF(TRIM(Z584)="","INVALID – evidence missing",IF(TRIM(AE584)="","INVALID – verifier missing",IF(AND(AQ584=1,TRIM(W584)=""),"INVALID – batch ID missing",IF(AND(AR584=1,OR(NOT(ISNUMBER(X584)),NOT(ISNUMBER(Y584)))),"INVALID – expected/actual qty missing",IF(IF(AND(TRIM(U584)="Pass",ISNUMBER(AF584)),IF(AF584&lt;&gt;0,"INVALID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recorded/closed","")&lt;&gt;"",IF(AND(TRIM(U584)="Pass",ISNUMBER(AF584)),IF(AF584&lt;&gt;0,"INVALID – qty variance: use Fail or Pass after CA",""),"")&amp;IF(AND(TRIM(U584)="Pass",AB584="Open"),"INVALID – corrective action still open: use Fail, then Pass after CA","")&amp;IF(AND(TRIM(U584)="Pass after CA",OR(TRIM(AA584)="",AB584&lt;&gt;"Closed")),"INVALID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window"),IF(AG584&gt;Flights!$AA$22,"INVALID – completed after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f>
        <v/>
      </c>
      <c r="AI584" s="67">
        <f>IF(OR(AH584="N/A – RULE",AH584="N/A – JUSTIFIED"),0,1)</f>
        <v/>
      </c>
      <c r="AJ584" s="67">
        <f>IF(LEFT(AH584,8)="COMPLETE",1,0)</f>
        <v/>
      </c>
      <c r="AK584" s="67">
        <f>IF(AND(AI584=1,AJ584=0,AsOfUTC&gt;Q584),1,0)</f>
        <v/>
      </c>
      <c r="AL584" s="67">
        <f>IF(AND(AI584=1,OR(TRIM(U584)="Fail",AB584="Open",AND(ISNUMBER(AF584),AF584&lt;&gt;0,TRIM(U584)&lt;&gt;"Pass after CA"))),1,0)</f>
        <v/>
      </c>
      <c r="AM584" s="67">
        <f>IF(LEFT(AH584,7)="INVALID",1,0)</f>
        <v/>
      </c>
      <c r="AN584" s="67">
        <f>IF(AND(N584="Clarification required",AI584=1,AJ584=0),1,0)</f>
        <v/>
      </c>
      <c r="AO584" s="67">
        <f>IF(AK584=1,SUM(AK$5:AK584),"")</f>
        <v/>
      </c>
      <c r="AP584" s="67">
        <f>IF(AL584=1,SUM(AL$5:AL584),"")</f>
        <v/>
      </c>
      <c r="AQ584" s="67" t="n">
        <v>0</v>
      </c>
      <c r="AR584" s="67" t="n">
        <v>0</v>
      </c>
      <c r="AS584" s="67" t="n">
        <v>0</v>
      </c>
      <c r="AT584" s="67" t="n">
        <v>0</v>
      </c>
    </row>
    <row r="585" ht="40" customHeight="1">
      <c r="A585" s="63" t="inlineStr">
        <is>
          <t>F18-T12-02</t>
        </is>
      </c>
      <c r="B585" s="63" t="inlineStr">
        <is>
          <t>F18</t>
        </is>
      </c>
      <c r="C585" s="63">
        <f>Flights!$F$22</f>
        <v/>
      </c>
      <c r="D585" s="64">
        <f>Flights!$D$22</f>
        <v/>
      </c>
      <c r="E585" s="63">
        <f>Flights!$G$22&amp;"-"&amp;Flights!$H$22</f>
        <v/>
      </c>
      <c r="F585" s="63">
        <f>Flights!$K$22</f>
        <v/>
      </c>
      <c r="G585" s="63" t="inlineStr">
        <is>
          <t>T-12H PREP</t>
        </is>
      </c>
      <c r="H585" s="63" t="inlineStr">
        <is>
          <t>Preparation</t>
        </is>
      </c>
      <c r="I585" s="63" t="inlineStr">
        <is>
          <t>Meal</t>
        </is>
      </c>
      <c r="J585" s="63" t="inlineStr">
        <is>
          <t>Meal quantities vs menu checklist</t>
        </is>
      </c>
      <c r="K585" s="73" t="inlineStr">
        <is>
          <t>Enter expected &amp; actual</t>
        </is>
      </c>
      <c r="L585" s="73" t="inlineStr">
        <is>
          <t>User brief (T-12 hours)</t>
        </is>
      </c>
      <c r="M585" s="73" t="inlineStr"/>
      <c r="N585" s="73" t="inlineStr">
        <is>
          <t>Required</t>
        </is>
      </c>
      <c r="O585" s="73" t="inlineStr">
        <is>
          <t>Preparation check at caterer - does NOT confirm loading.</t>
        </is>
      </c>
      <c r="P585" s="63" t="inlineStr">
        <is>
          <t>KUL</t>
        </is>
      </c>
      <c r="Q585" s="65">
        <f>Flights!$AE$22</f>
        <v/>
      </c>
      <c r="R585" s="65">
        <f>Q585+(IF(AND(INDEX(TZ_DSTS,MATCH(P585,TZ_STN,0))&lt;&gt;"",Q585&gt;=INDEX(TZ_DSTS,MATCH(P585,TZ_STN,0)),Q585&lt;INDEX(TZ_DSTE,MATCH(P585,TZ_STN,0))),INDEX(TZ_DST,MATCH(P585,TZ_STN,0)),INDEX(TZ_STD,MATCH(P585,TZ_STN,0))))/24</f>
        <v/>
      </c>
      <c r="S585" s="65">
        <f>Q585-T12EarlyH/24</f>
        <v/>
      </c>
      <c r="T585" s="66" t="n"/>
      <c r="U585" s="66" t="n"/>
      <c r="V585" s="66" t="n"/>
      <c r="W585" s="67" t="n"/>
      <c r="X585" s="66" t="n"/>
      <c r="Y585" s="66" t="n"/>
      <c r="Z585" s="66" t="n"/>
      <c r="AA585" s="66" t="n"/>
      <c r="AB585" s="66" t="n"/>
      <c r="AC585" s="66" t="n"/>
      <c r="AD585" s="72" t="n"/>
      <c r="AE585" s="66" t="n"/>
      <c r="AF585" s="67">
        <f>IF(AND(ISNUMBER(X585),ISNUMBER(Y585)),Y585-X585,"")</f>
        <v/>
      </c>
      <c r="AG585" s="68">
        <f>IF(ISNUMBER(AD585),AD585-(IF(AND(INDEX(TZ_DSTS,MATCH(P585,TZ_STN,0))&lt;&gt;"",(AD585-INDEX(TZ_STD,MATCH(P585,TZ_STN,0))/24)&gt;=INDEX(TZ_DSTS,MATCH(P585,TZ_STN,0)),(AD585-INDEX(TZ_STD,MATCH(P585,TZ_STN,0))/24)&lt;INDEX(TZ_DSTE,MATCH(P585,TZ_STN,0))),INDEX(TZ_DST,MATCH(P585,TZ_STN,0)),INDEX(TZ_STD,MATCH(P585,TZ_STN,0))))/24,"")</f>
        <v/>
      </c>
      <c r="AH585" s="71">
        <f>IF(N585="N/A – rule","N/A – RULE",IF(TRIM(U585)="N/A",IF(AT585=0,"INVALID – N/A not permitted for this mandatory check",IF(AND(TRIM(AC585)&lt;&gt;"",TRIM(AE585)&lt;&gt;"",TRIM(T585)&lt;&gt;""),"N/A – JUSTIFIED","INVALID – N/A needs justification, PIC and verifier")),IF(OR(TRIM(U585)="Pass",TRIM(U585)="Pass after CA"),IF(NOT(ISNUMBER(AD585)),"INVALID – completion time missing",IF(TRIM(T585)="","INVALID – PIC missing",IF(TRIM(Z585)="","INVALID – evidence missing",IF(TRIM(AE585)="","INVALID – verifier missing",IF(AND(AQ585=1,TRIM(W585)=""),"INVALID – batch ID missing",IF(AND(AR585=1,OR(NOT(ISNUMBER(X585)),NOT(ISNUMBER(Y585)))),"INVALID – expected/actual qty missing",IF(IF(AND(TRIM(U585)="Pass",ISNUMBER(AF585)),IF(AF585&lt;&gt;0,"INVALID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recorded/closed","")&lt;&gt;"",IF(AND(TRIM(U585)="Pass",ISNUMBER(AF585)),IF(AF585&lt;&gt;0,"INVALID – qty variance: use Fail or Pass after CA",""),"")&amp;IF(AND(TRIM(U585)="Pass",AB585="Open"),"INVALID – corrective action still open: use Fail, then Pass after CA","")&amp;IF(AND(TRIM(U585)="Pass after CA",OR(TRIM(AA585)="",AB585&lt;&gt;"Closed")),"INVALID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window"),IF(AG585&gt;Flights!$AA$22,"INVALID – completed after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f>
        <v/>
      </c>
      <c r="AI585" s="67">
        <f>IF(OR(AH585="N/A – RULE",AH585="N/A – JUSTIFIED"),0,1)</f>
        <v/>
      </c>
      <c r="AJ585" s="67">
        <f>IF(LEFT(AH585,8)="COMPLETE",1,0)</f>
        <v/>
      </c>
      <c r="AK585" s="67">
        <f>IF(AND(AI585=1,AJ585=0,AsOfUTC&gt;Q585),1,0)</f>
        <v/>
      </c>
      <c r="AL585" s="67">
        <f>IF(AND(AI585=1,OR(TRIM(U585)="Fail",AB585="Open",AND(ISNUMBER(AF585),AF585&lt;&gt;0,TRIM(U585)&lt;&gt;"Pass after CA"))),1,0)</f>
        <v/>
      </c>
      <c r="AM585" s="67">
        <f>IF(LEFT(AH585,7)="INVALID",1,0)</f>
        <v/>
      </c>
      <c r="AN585" s="67">
        <f>IF(AND(N585="Clarification required",AI585=1,AJ585=0),1,0)</f>
        <v/>
      </c>
      <c r="AO585" s="67">
        <f>IF(AK585=1,SUM(AK$5:AK585),"")</f>
        <v/>
      </c>
      <c r="AP585" s="67">
        <f>IF(AL585=1,SUM(AL$5:AL585),"")</f>
        <v/>
      </c>
      <c r="AQ585" s="67" t="n">
        <v>0</v>
      </c>
      <c r="AR585" s="67" t="n">
        <v>1</v>
      </c>
      <c r="AS585" s="67" t="n">
        <v>0</v>
      </c>
      <c r="AT585" s="67" t="n">
        <v>0</v>
      </c>
    </row>
    <row r="586" ht="40" customHeight="1">
      <c r="A586" s="63" t="inlineStr">
        <is>
          <t>F18-T12-03</t>
        </is>
      </c>
      <c r="B586" s="63" t="inlineStr">
        <is>
          <t>F18</t>
        </is>
      </c>
      <c r="C586" s="63">
        <f>Flights!$F$22</f>
        <v/>
      </c>
      <c r="D586" s="64">
        <f>Flights!$D$22</f>
        <v/>
      </c>
      <c r="E586" s="63">
        <f>Flights!$G$22&amp;"-"&amp;Flights!$H$22</f>
        <v/>
      </c>
      <c r="F586" s="63">
        <f>Flights!$K$22</f>
        <v/>
      </c>
      <c r="G586" s="63" t="inlineStr">
        <is>
          <t>T-12H PREP</t>
        </is>
      </c>
      <c r="H586" s="63" t="inlineStr">
        <is>
          <t>Preparation</t>
        </is>
      </c>
      <c r="I586" s="63" t="inlineStr">
        <is>
          <t>Equipment</t>
        </is>
      </c>
      <c r="J586" s="63" t="inlineStr">
        <is>
          <t>Equipment cleanliness vs GLD</t>
        </is>
      </c>
      <c r="K586" s="73" t="inlineStr"/>
      <c r="L586" s="73" t="inlineStr">
        <is>
          <t>User brief (T-12 hours)</t>
        </is>
      </c>
      <c r="M586" s="73" t="inlineStr"/>
      <c r="N586" s="73" t="inlineStr">
        <is>
          <t>Required</t>
        </is>
      </c>
      <c r="O586" s="73" t="inlineStr">
        <is>
          <t>Preparation check at caterer - does NOT confirm loading.</t>
        </is>
      </c>
      <c r="P586" s="63" t="inlineStr">
        <is>
          <t>KUL</t>
        </is>
      </c>
      <c r="Q586" s="65">
        <f>Flights!$AE$22</f>
        <v/>
      </c>
      <c r="R586" s="65">
        <f>Q586+(IF(AND(INDEX(TZ_DSTS,MATCH(P586,TZ_STN,0))&lt;&gt;"",Q586&gt;=INDEX(TZ_DSTS,MATCH(P586,TZ_STN,0)),Q586&lt;INDEX(TZ_DSTE,MATCH(P586,TZ_STN,0))),INDEX(TZ_DST,MATCH(P586,TZ_STN,0)),INDEX(TZ_STD,MATCH(P586,TZ_STN,0))))/24</f>
        <v/>
      </c>
      <c r="S586" s="65">
        <f>Q586-T12EarlyH/24</f>
        <v/>
      </c>
      <c r="T586" s="66" t="n"/>
      <c r="U586" s="66" t="n"/>
      <c r="V586" s="66" t="n"/>
      <c r="W586" s="67" t="n"/>
      <c r="X586" s="66" t="n"/>
      <c r="Y586" s="66" t="n"/>
      <c r="Z586" s="66" t="n"/>
      <c r="AA586" s="66" t="n"/>
      <c r="AB586" s="66" t="n"/>
      <c r="AC586" s="66" t="n"/>
      <c r="AD586" s="72" t="n"/>
      <c r="AE586" s="66" t="n"/>
      <c r="AF586" s="67">
        <f>IF(AND(ISNUMBER(X586),ISNUMBER(Y586)),Y586-X586,"")</f>
        <v/>
      </c>
      <c r="AG586" s="68">
        <f>IF(ISNUMBER(AD586),AD586-(IF(AND(INDEX(TZ_DSTS,MATCH(P586,TZ_STN,0))&lt;&gt;"",(AD586-INDEX(TZ_STD,MATCH(P586,TZ_STN,0))/24)&gt;=INDEX(TZ_DSTS,MATCH(P586,TZ_STN,0)),(AD586-INDEX(TZ_STD,MATCH(P586,TZ_STN,0))/24)&lt;INDEX(TZ_DSTE,MATCH(P586,TZ_STN,0))),INDEX(TZ_DST,MATCH(P586,TZ_STN,0)),INDEX(TZ_STD,MATCH(P586,TZ_STN,0))))/24,"")</f>
        <v/>
      </c>
      <c r="AH586" s="71">
        <f>IF(N586="N/A – rule","N/A – RULE",IF(TRIM(U586)="N/A",IF(AT586=0,"INVALID – N/A not permitted for this mandatory check",IF(AND(TRIM(AC586)&lt;&gt;"",TRIM(AE586)&lt;&gt;"",TRIM(T586)&lt;&gt;""),"N/A – JUSTIFIED","INVALID – N/A needs justification, PIC and verifier")),IF(OR(TRIM(U586)="Pass",TRIM(U586)="Pass after CA"),IF(NOT(ISNUMBER(AD586)),"INVALID – completion time missing",IF(TRIM(T586)="","INVALID – PIC missing",IF(TRIM(Z586)="","INVALID – evidence missing",IF(TRIM(AE586)="","INVALID – verifier missing",IF(AND(AQ586=1,TRIM(W586)=""),"INVALID – batch ID missing",IF(AND(AR586=1,OR(NOT(ISNUMBER(X586)),NOT(ISNUMBER(Y586)))),"INVALID – expected/actual qty missing",IF(IF(AND(TRIM(U586)="Pass",ISNUMBER(AF586)),IF(AF586&lt;&gt;0,"INVALID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recorded/closed","")&lt;&gt;"",IF(AND(TRIM(U586)="Pass",ISNUMBER(AF586)),IF(AF586&lt;&gt;0,"INVALID – qty variance: use Fail or Pass after CA",""),"")&amp;IF(AND(TRIM(U586)="Pass",AB586="Open"),"INVALID – corrective action still open: use Fail, then Pass after CA","")&amp;IF(AND(TRIM(U586)="Pass after CA",OR(TRIM(AA586)="",AB586&lt;&gt;"Closed")),"INVALID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window"),IF(AG586&gt;Flights!$AA$22,"INVALID – completed after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f>
        <v/>
      </c>
      <c r="AI586" s="67">
        <f>IF(OR(AH586="N/A – RULE",AH586="N/A – JUSTIFIED"),0,1)</f>
        <v/>
      </c>
      <c r="AJ586" s="67">
        <f>IF(LEFT(AH586,8)="COMPLETE",1,0)</f>
        <v/>
      </c>
      <c r="AK586" s="67">
        <f>IF(AND(AI586=1,AJ586=0,AsOfUTC&gt;Q586),1,0)</f>
        <v/>
      </c>
      <c r="AL586" s="67">
        <f>IF(AND(AI586=1,OR(TRIM(U586)="Fail",AB586="Open",AND(ISNUMBER(AF586),AF586&lt;&gt;0,TRIM(U586)&lt;&gt;"Pass after CA"))),1,0)</f>
        <v/>
      </c>
      <c r="AM586" s="67">
        <f>IF(LEFT(AH586,7)="INVALID",1,0)</f>
        <v/>
      </c>
      <c r="AN586" s="67">
        <f>IF(AND(N586="Clarification required",AI586=1,AJ586=0),1,0)</f>
        <v/>
      </c>
      <c r="AO586" s="67">
        <f>IF(AK586=1,SUM(AK$5:AK586),"")</f>
        <v/>
      </c>
      <c r="AP586" s="67">
        <f>IF(AL586=1,SUM(AL$5:AL586),"")</f>
        <v/>
      </c>
      <c r="AQ586" s="67" t="n">
        <v>0</v>
      </c>
      <c r="AR586" s="67" t="n">
        <v>0</v>
      </c>
      <c r="AS586" s="67" t="n">
        <v>0</v>
      </c>
      <c r="AT586" s="67" t="n">
        <v>0</v>
      </c>
    </row>
    <row r="587" ht="40" customHeight="1">
      <c r="A587" s="63" t="inlineStr">
        <is>
          <t>F18-T12-04</t>
        </is>
      </c>
      <c r="B587" s="63" t="inlineStr">
        <is>
          <t>F18</t>
        </is>
      </c>
      <c r="C587" s="63">
        <f>Flights!$F$22</f>
        <v/>
      </c>
      <c r="D587" s="64">
        <f>Flights!$D$22</f>
        <v/>
      </c>
      <c r="E587" s="63">
        <f>Flights!$G$22&amp;"-"&amp;Flights!$H$22</f>
        <v/>
      </c>
      <c r="F587" s="63">
        <f>Flights!$K$22</f>
        <v/>
      </c>
      <c r="G587" s="63" t="inlineStr">
        <is>
          <t>T-12H PREP</t>
        </is>
      </c>
      <c r="H587" s="63" t="inlineStr">
        <is>
          <t>Preparation</t>
        </is>
      </c>
      <c r="I587" s="63" t="inlineStr">
        <is>
          <t>Equipment</t>
        </is>
      </c>
      <c r="J587" s="63" t="inlineStr">
        <is>
          <t>Equipment presentation vs GLD</t>
        </is>
      </c>
      <c r="K587" s="73" t="inlineStr"/>
      <c r="L587" s="73" t="inlineStr">
        <is>
          <t>User brief (T-12 hours)</t>
        </is>
      </c>
      <c r="M587" s="73" t="inlineStr"/>
      <c r="N587" s="73" t="inlineStr">
        <is>
          <t>Required</t>
        </is>
      </c>
      <c r="O587" s="73" t="inlineStr">
        <is>
          <t>Preparation check at caterer - does NOT confirm loading.</t>
        </is>
      </c>
      <c r="P587" s="63" t="inlineStr">
        <is>
          <t>KUL</t>
        </is>
      </c>
      <c r="Q587" s="65">
        <f>Flights!$AE$22</f>
        <v/>
      </c>
      <c r="R587" s="65">
        <f>Q587+(IF(AND(INDEX(TZ_DSTS,MATCH(P587,TZ_STN,0))&lt;&gt;"",Q587&gt;=INDEX(TZ_DSTS,MATCH(P587,TZ_STN,0)),Q587&lt;INDEX(TZ_DSTE,MATCH(P587,TZ_STN,0))),INDEX(TZ_DST,MATCH(P587,TZ_STN,0)),INDEX(TZ_STD,MATCH(P587,TZ_STN,0))))/24</f>
        <v/>
      </c>
      <c r="S587" s="65">
        <f>Q587-T12EarlyH/24</f>
        <v/>
      </c>
      <c r="T587" s="66" t="n"/>
      <c r="U587" s="66" t="n"/>
      <c r="V587" s="66" t="n"/>
      <c r="W587" s="67" t="n"/>
      <c r="X587" s="66" t="n"/>
      <c r="Y587" s="66" t="n"/>
      <c r="Z587" s="66" t="n"/>
      <c r="AA587" s="66" t="n"/>
      <c r="AB587" s="66" t="n"/>
      <c r="AC587" s="66" t="n"/>
      <c r="AD587" s="72" t="n"/>
      <c r="AE587" s="66" t="n"/>
      <c r="AF587" s="67">
        <f>IF(AND(ISNUMBER(X587),ISNUMBER(Y587)),Y587-X587,"")</f>
        <v/>
      </c>
      <c r="AG587" s="68">
        <f>IF(ISNUMBER(AD587),AD587-(IF(AND(INDEX(TZ_DSTS,MATCH(P587,TZ_STN,0))&lt;&gt;"",(AD587-INDEX(TZ_STD,MATCH(P587,TZ_STN,0))/24)&gt;=INDEX(TZ_DSTS,MATCH(P587,TZ_STN,0)),(AD587-INDEX(TZ_STD,MATCH(P587,TZ_STN,0))/24)&lt;INDEX(TZ_DSTE,MATCH(P587,TZ_STN,0))),INDEX(TZ_DST,MATCH(P587,TZ_STN,0)),INDEX(TZ_STD,MATCH(P587,TZ_STN,0))))/24,"")</f>
        <v/>
      </c>
      <c r="AH587" s="71">
        <f>IF(N587="N/A – rule","N/A – RULE",IF(TRIM(U587)="N/A",IF(AT587=0,"INVALID – N/A not permitted for this mandatory check",IF(AND(TRIM(AC587)&lt;&gt;"",TRIM(AE587)&lt;&gt;"",TRIM(T587)&lt;&gt;""),"N/A – JUSTIFIED","INVALID – N/A needs justification, PIC and verifier")),IF(OR(TRIM(U587)="Pass",TRIM(U587)="Pass after CA"),IF(NOT(ISNUMBER(AD587)),"INVALID – completion time missing",IF(TRIM(T587)="","INVALID – PIC missing",IF(TRIM(Z587)="","INVALID – evidence missing",IF(TRIM(AE587)="","INVALID – verifier missing",IF(AND(AQ587=1,TRIM(W587)=""),"INVALID – batch ID missing",IF(AND(AR587=1,OR(NOT(ISNUMBER(X587)),NOT(ISNUMBER(Y587)))),"INVALID – expected/actual qty missing",IF(IF(AND(TRIM(U587)="Pass",ISNUMBER(AF587)),IF(AF587&lt;&gt;0,"INVALID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recorded/closed","")&lt;&gt;"",IF(AND(TRIM(U587)="Pass",ISNUMBER(AF587)),IF(AF587&lt;&gt;0,"INVALID – qty variance: use Fail or Pass after CA",""),"")&amp;IF(AND(TRIM(U587)="Pass",AB587="Open"),"INVALID – corrective action still open: use Fail, then Pass after CA","")&amp;IF(AND(TRIM(U587)="Pass after CA",OR(TRIM(AA587)="",AB587&lt;&gt;"Closed")),"INVALID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window"),IF(AG587&gt;Flights!$AA$22,"INVALID – completed after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f>
        <v/>
      </c>
      <c r="AI587" s="67">
        <f>IF(OR(AH587="N/A – RULE",AH587="N/A – JUSTIFIED"),0,1)</f>
        <v/>
      </c>
      <c r="AJ587" s="67">
        <f>IF(LEFT(AH587,8)="COMPLETE",1,0)</f>
        <v/>
      </c>
      <c r="AK587" s="67">
        <f>IF(AND(AI587=1,AJ587=0,AsOfUTC&gt;Q587),1,0)</f>
        <v/>
      </c>
      <c r="AL587" s="67">
        <f>IF(AND(AI587=1,OR(TRIM(U587)="Fail",AB587="Open",AND(ISNUMBER(AF587),AF587&lt;&gt;0,TRIM(U587)&lt;&gt;"Pass after CA"))),1,0)</f>
        <v/>
      </c>
      <c r="AM587" s="67">
        <f>IF(LEFT(AH587,7)="INVALID",1,0)</f>
        <v/>
      </c>
      <c r="AN587" s="67">
        <f>IF(AND(N587="Clarification required",AI587=1,AJ587=0),1,0)</f>
        <v/>
      </c>
      <c r="AO587" s="67">
        <f>IF(AK587=1,SUM(AK$5:AK587),"")</f>
        <v/>
      </c>
      <c r="AP587" s="67">
        <f>IF(AL587=1,SUM(AL$5:AL587),"")</f>
        <v/>
      </c>
      <c r="AQ587" s="67" t="n">
        <v>0</v>
      </c>
      <c r="AR587" s="67" t="n">
        <v>0</v>
      </c>
      <c r="AS587" s="67" t="n">
        <v>0</v>
      </c>
      <c r="AT587" s="67" t="n">
        <v>0</v>
      </c>
    </row>
    <row r="588" ht="40" customHeight="1">
      <c r="A588" s="63" t="inlineStr">
        <is>
          <t>F18-T12-05</t>
        </is>
      </c>
      <c r="B588" s="63" t="inlineStr">
        <is>
          <t>F18</t>
        </is>
      </c>
      <c r="C588" s="63">
        <f>Flights!$F$22</f>
        <v/>
      </c>
      <c r="D588" s="64">
        <f>Flights!$D$22</f>
        <v/>
      </c>
      <c r="E588" s="63">
        <f>Flights!$G$22&amp;"-"&amp;Flights!$H$22</f>
        <v/>
      </c>
      <c r="F588" s="63">
        <f>Flights!$K$22</f>
        <v/>
      </c>
      <c r="G588" s="63" t="inlineStr">
        <is>
          <t>T-12H PREP</t>
        </is>
      </c>
      <c r="H588" s="63" t="inlineStr">
        <is>
          <t>Preparation</t>
        </is>
      </c>
      <c r="I588" s="63" t="inlineStr">
        <is>
          <t>Equipment</t>
        </is>
      </c>
      <c r="J588" s="63" t="inlineStr">
        <is>
          <t>Equipment serviceability vs GLD</t>
        </is>
      </c>
      <c r="K588" s="73" t="inlineStr"/>
      <c r="L588" s="73" t="inlineStr">
        <is>
          <t>User brief (T-12 hours)</t>
        </is>
      </c>
      <c r="M588" s="73" t="inlineStr"/>
      <c r="N588" s="73" t="inlineStr">
        <is>
          <t>Required</t>
        </is>
      </c>
      <c r="O588" s="73" t="inlineStr">
        <is>
          <t>Preparation check at caterer - does NOT confirm loading.</t>
        </is>
      </c>
      <c r="P588" s="63" t="inlineStr">
        <is>
          <t>KUL</t>
        </is>
      </c>
      <c r="Q588" s="65">
        <f>Flights!$AE$22</f>
        <v/>
      </c>
      <c r="R588" s="65">
        <f>Q588+(IF(AND(INDEX(TZ_DSTS,MATCH(P588,TZ_STN,0))&lt;&gt;"",Q588&gt;=INDEX(TZ_DSTS,MATCH(P588,TZ_STN,0)),Q588&lt;INDEX(TZ_DSTE,MATCH(P588,TZ_STN,0))),INDEX(TZ_DST,MATCH(P588,TZ_STN,0)),INDEX(TZ_STD,MATCH(P588,TZ_STN,0))))/24</f>
        <v/>
      </c>
      <c r="S588" s="65">
        <f>Q588-T12EarlyH/24</f>
        <v/>
      </c>
      <c r="T588" s="66" t="n"/>
      <c r="U588" s="66" t="n"/>
      <c r="V588" s="66" t="n"/>
      <c r="W588" s="67" t="n"/>
      <c r="X588" s="66" t="n"/>
      <c r="Y588" s="66" t="n"/>
      <c r="Z588" s="66" t="n"/>
      <c r="AA588" s="66" t="n"/>
      <c r="AB588" s="66" t="n"/>
      <c r="AC588" s="66" t="n"/>
      <c r="AD588" s="72" t="n"/>
      <c r="AE588" s="66" t="n"/>
      <c r="AF588" s="67">
        <f>IF(AND(ISNUMBER(X588),ISNUMBER(Y588)),Y588-X588,"")</f>
        <v/>
      </c>
      <c r="AG588" s="68">
        <f>IF(ISNUMBER(AD588),AD588-(IF(AND(INDEX(TZ_DSTS,MATCH(P588,TZ_STN,0))&lt;&gt;"",(AD588-INDEX(TZ_STD,MATCH(P588,TZ_STN,0))/24)&gt;=INDEX(TZ_DSTS,MATCH(P588,TZ_STN,0)),(AD588-INDEX(TZ_STD,MATCH(P588,TZ_STN,0))/24)&lt;INDEX(TZ_DSTE,MATCH(P588,TZ_STN,0))),INDEX(TZ_DST,MATCH(P588,TZ_STN,0)),INDEX(TZ_STD,MATCH(P588,TZ_STN,0))))/24,"")</f>
        <v/>
      </c>
      <c r="AH588" s="71">
        <f>IF(N588="N/A – rule","N/A – RULE",IF(TRIM(U588)="N/A",IF(AT588=0,"INVALID – N/A not permitted for this mandatory check",IF(AND(TRIM(AC588)&lt;&gt;"",TRIM(AE588)&lt;&gt;"",TRIM(T588)&lt;&gt;""),"N/A – JUSTIFIED","INVALID – N/A needs justification, PIC and verifier")),IF(OR(TRIM(U588)="Pass",TRIM(U588)="Pass after CA"),IF(NOT(ISNUMBER(AD588)),"INVALID – completion time missing",IF(TRIM(T588)="","INVALID – PIC missing",IF(TRIM(Z588)="","INVALID – evidence missing",IF(TRIM(AE588)="","INVALID – verifier missing",IF(AND(AQ588=1,TRIM(W588)=""),"INVALID – batch ID missing",IF(AND(AR588=1,OR(NOT(ISNUMBER(X588)),NOT(ISNUMBER(Y588)))),"INVALID – expected/actual qty missing",IF(IF(AND(TRIM(U588)="Pass",ISNUMBER(AF588)),IF(AF588&lt;&gt;0,"INVALID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recorded/closed","")&lt;&gt;"",IF(AND(TRIM(U588)="Pass",ISNUMBER(AF588)),IF(AF588&lt;&gt;0,"INVALID – qty variance: use Fail or Pass after CA",""),"")&amp;IF(AND(TRIM(U588)="Pass",AB588="Open"),"INVALID – corrective action still open: use Fail, then Pass after CA","")&amp;IF(AND(TRIM(U588)="Pass after CA",OR(TRIM(AA588)="",AB588&lt;&gt;"Closed")),"INVALID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window"),IF(AG588&gt;Flights!$AA$22,"INVALID – completed after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f>
        <v/>
      </c>
      <c r="AI588" s="67">
        <f>IF(OR(AH588="N/A – RULE",AH588="N/A – JUSTIFIED"),0,1)</f>
        <v/>
      </c>
      <c r="AJ588" s="67">
        <f>IF(LEFT(AH588,8)="COMPLETE",1,0)</f>
        <v/>
      </c>
      <c r="AK588" s="67">
        <f>IF(AND(AI588=1,AJ588=0,AsOfUTC&gt;Q588),1,0)</f>
        <v/>
      </c>
      <c r="AL588" s="67">
        <f>IF(AND(AI588=1,OR(TRIM(U588)="Fail",AB588="Open",AND(ISNUMBER(AF588),AF588&lt;&gt;0,TRIM(U588)&lt;&gt;"Pass after CA"))),1,0)</f>
        <v/>
      </c>
      <c r="AM588" s="67">
        <f>IF(LEFT(AH588,7)="INVALID",1,0)</f>
        <v/>
      </c>
      <c r="AN588" s="67">
        <f>IF(AND(N588="Clarification required",AI588=1,AJ588=0),1,0)</f>
        <v/>
      </c>
      <c r="AO588" s="67">
        <f>IF(AK588=1,SUM(AK$5:AK588),"")</f>
        <v/>
      </c>
      <c r="AP588" s="67">
        <f>IF(AL588=1,SUM(AL$5:AL588),"")</f>
        <v/>
      </c>
      <c r="AQ588" s="67" t="n">
        <v>0</v>
      </c>
      <c r="AR588" s="67" t="n">
        <v>0</v>
      </c>
      <c r="AS588" s="67" t="n">
        <v>0</v>
      </c>
      <c r="AT588" s="67" t="n">
        <v>0</v>
      </c>
    </row>
    <row r="589" ht="79" customHeight="1">
      <c r="A589" s="63" t="inlineStr">
        <is>
          <t>F18-T12-06</t>
        </is>
      </c>
      <c r="B589" s="63" t="inlineStr">
        <is>
          <t>F18</t>
        </is>
      </c>
      <c r="C589" s="63">
        <f>Flights!$F$22</f>
        <v/>
      </c>
      <c r="D589" s="64">
        <f>Flights!$D$22</f>
        <v/>
      </c>
      <c r="E589" s="63">
        <f>Flights!$G$22&amp;"-"&amp;Flights!$H$22</f>
        <v/>
      </c>
      <c r="F589" s="63">
        <f>Flights!$K$22</f>
        <v/>
      </c>
      <c r="G589" s="63" t="inlineStr">
        <is>
          <t>T-12H PREP</t>
        </is>
      </c>
      <c r="H589" s="63" t="inlineStr">
        <is>
          <t>Preparation</t>
        </is>
      </c>
      <c r="I589" s="63" t="inlineStr">
        <is>
          <t>Equipment</t>
        </is>
      </c>
      <c r="J589" s="63" t="inlineStr">
        <is>
          <t>Equipment quantities vs GLD</t>
        </is>
      </c>
      <c r="K589" s="73" t="inlineStr">
        <is>
          <t>Enter expected &amp; actual. Aircraft galley data: A330-300 (A333): carts 42.5, SU 100, ovens 12, warming ovens 4, fridges 4, water heaters 6, beverage makers -, espresso -, folding trolleys 4, headsets BC &amp; EY: Dual Pin (AIRCRAFT TYPE!C9:R9)</t>
        </is>
      </c>
      <c r="L589" s="73" t="inlineStr">
        <is>
          <t>User brief (T-12 hours)</t>
        </is>
      </c>
      <c r="M589" s="73" t="inlineStr"/>
      <c r="N589" s="73" t="inlineStr">
        <is>
          <t>Required</t>
        </is>
      </c>
      <c r="O589" s="73" t="inlineStr">
        <is>
          <t>Preparation check at caterer - does NOT confirm loading.</t>
        </is>
      </c>
      <c r="P589" s="63" t="inlineStr">
        <is>
          <t>KUL</t>
        </is>
      </c>
      <c r="Q589" s="65">
        <f>Flights!$AE$22</f>
        <v/>
      </c>
      <c r="R589" s="65">
        <f>Q589+(IF(AND(INDEX(TZ_DSTS,MATCH(P589,TZ_STN,0))&lt;&gt;"",Q589&gt;=INDEX(TZ_DSTS,MATCH(P589,TZ_STN,0)),Q589&lt;INDEX(TZ_DSTE,MATCH(P589,TZ_STN,0))),INDEX(TZ_DST,MATCH(P589,TZ_STN,0)),INDEX(TZ_STD,MATCH(P589,TZ_STN,0))))/24</f>
        <v/>
      </c>
      <c r="S589" s="65">
        <f>Q589-T12EarlyH/24</f>
        <v/>
      </c>
      <c r="T589" s="66" t="n"/>
      <c r="U589" s="66" t="n"/>
      <c r="V589" s="66" t="n"/>
      <c r="W589" s="67" t="n"/>
      <c r="X589" s="66" t="n"/>
      <c r="Y589" s="66" t="n"/>
      <c r="Z589" s="66" t="n"/>
      <c r="AA589" s="66" t="n"/>
      <c r="AB589" s="66" t="n"/>
      <c r="AC589" s="66" t="n"/>
      <c r="AD589" s="72" t="n"/>
      <c r="AE589" s="66" t="n"/>
      <c r="AF589" s="67">
        <f>IF(AND(ISNUMBER(X589),ISNUMBER(Y589)),Y589-X589,"")</f>
        <v/>
      </c>
      <c r="AG589" s="68">
        <f>IF(ISNUMBER(AD589),AD589-(IF(AND(INDEX(TZ_DSTS,MATCH(P589,TZ_STN,0))&lt;&gt;"",(AD589-INDEX(TZ_STD,MATCH(P589,TZ_STN,0))/24)&gt;=INDEX(TZ_DSTS,MATCH(P589,TZ_STN,0)),(AD589-INDEX(TZ_STD,MATCH(P589,TZ_STN,0))/24)&lt;INDEX(TZ_DSTE,MATCH(P589,TZ_STN,0))),INDEX(TZ_DST,MATCH(P589,TZ_STN,0)),INDEX(TZ_STD,MATCH(P589,TZ_STN,0))))/24,"")</f>
        <v/>
      </c>
      <c r="AH589" s="71">
        <f>IF(N589="N/A – rule","N/A – RULE",IF(TRIM(U589)="N/A",IF(AT589=0,"INVALID – N/A not permitted for this mandatory check",IF(AND(TRIM(AC589)&lt;&gt;"",TRIM(AE589)&lt;&gt;"",TRIM(T589)&lt;&gt;""),"N/A – JUSTIFIED","INVALID – N/A needs justification, PIC and verifier")),IF(OR(TRIM(U589)="Pass",TRIM(U589)="Pass after CA"),IF(NOT(ISNUMBER(AD589)),"INVALID – completion time missing",IF(TRIM(T589)="","INVALID – PIC missing",IF(TRIM(Z589)="","INVALID – evidence missing",IF(TRIM(AE589)="","INVALID – verifier missing",IF(AND(AQ589=1,TRIM(W589)=""),"INVALID – batch ID missing",IF(AND(AR589=1,OR(NOT(ISNUMBER(X589)),NOT(ISNUMBER(Y589)))),"INVALID – expected/actual qty missing",IF(IF(AND(TRIM(U589)="Pass",ISNUMBER(AF589)),IF(AF589&lt;&gt;0,"INVALID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recorded/closed","")&lt;&gt;"",IF(AND(TRIM(U589)="Pass",ISNUMBER(AF589)),IF(AF589&lt;&gt;0,"INVALID – qty variance: use Fail or Pass after CA",""),"")&amp;IF(AND(TRIM(U589)="Pass",AB589="Open"),"INVALID – corrective action still open: use Fail, then Pass after CA","")&amp;IF(AND(TRIM(U589)="Pass after CA",OR(TRIM(AA589)="",AB589&lt;&gt;"Closed")),"INVALID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window"),IF(AG589&gt;Flights!$AA$22,"INVALID – completed after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f>
        <v/>
      </c>
      <c r="AI589" s="67">
        <f>IF(OR(AH589="N/A – RULE",AH589="N/A – JUSTIFIED"),0,1)</f>
        <v/>
      </c>
      <c r="AJ589" s="67">
        <f>IF(LEFT(AH589,8)="COMPLETE",1,0)</f>
        <v/>
      </c>
      <c r="AK589" s="67">
        <f>IF(AND(AI589=1,AJ589=0,AsOfUTC&gt;Q589),1,0)</f>
        <v/>
      </c>
      <c r="AL589" s="67">
        <f>IF(AND(AI589=1,OR(TRIM(U589)="Fail",AB589="Open",AND(ISNUMBER(AF589),AF589&lt;&gt;0,TRIM(U589)&lt;&gt;"Pass after CA"))),1,0)</f>
        <v/>
      </c>
      <c r="AM589" s="67">
        <f>IF(LEFT(AH589,7)="INVALID",1,0)</f>
        <v/>
      </c>
      <c r="AN589" s="67">
        <f>IF(AND(N589="Clarification required",AI589=1,AJ589=0),1,0)</f>
        <v/>
      </c>
      <c r="AO589" s="67">
        <f>IF(AK589=1,SUM(AK$5:AK589),"")</f>
        <v/>
      </c>
      <c r="AP589" s="67">
        <f>IF(AL589=1,SUM(AL$5:AL589),"")</f>
        <v/>
      </c>
      <c r="AQ589" s="67" t="n">
        <v>0</v>
      </c>
      <c r="AR589" s="67" t="n">
        <v>1</v>
      </c>
      <c r="AS589" s="67" t="n">
        <v>0</v>
      </c>
      <c r="AT589" s="67" t="n">
        <v>0</v>
      </c>
    </row>
    <row r="590" ht="40" customHeight="1">
      <c r="A590" s="63" t="inlineStr">
        <is>
          <t>F18-T12-07</t>
        </is>
      </c>
      <c r="B590" s="63" t="inlineStr">
        <is>
          <t>F18</t>
        </is>
      </c>
      <c r="C590" s="63">
        <f>Flights!$F$22</f>
        <v/>
      </c>
      <c r="D590" s="64">
        <f>Flights!$D$22</f>
        <v/>
      </c>
      <c r="E590" s="63">
        <f>Flights!$G$22&amp;"-"&amp;Flights!$H$22</f>
        <v/>
      </c>
      <c r="F590" s="63">
        <f>Flights!$K$22</f>
        <v/>
      </c>
      <c r="G590" s="63" t="inlineStr">
        <is>
          <t>T-12H PREP</t>
        </is>
      </c>
      <c r="H590" s="63" t="inlineStr">
        <is>
          <t>Preparation</t>
        </is>
      </c>
      <c r="I590" s="63" t="inlineStr">
        <is>
          <t>Equipment</t>
        </is>
      </c>
      <c r="J590" s="63" t="inlineStr">
        <is>
          <t>Loading positions planned vs GLD</t>
        </is>
      </c>
      <c r="K590" s="73" t="inlineStr"/>
      <c r="L590" s="73" t="inlineStr">
        <is>
          <t>User brief (T-12 hours)</t>
        </is>
      </c>
      <c r="M590" s="73" t="inlineStr"/>
      <c r="N590" s="73" t="inlineStr">
        <is>
          <t>Required</t>
        </is>
      </c>
      <c r="O590" s="73" t="inlineStr">
        <is>
          <t>Preparation check at caterer - does NOT confirm loading.</t>
        </is>
      </c>
      <c r="P590" s="63" t="inlineStr">
        <is>
          <t>KUL</t>
        </is>
      </c>
      <c r="Q590" s="65">
        <f>Flights!$AE$22</f>
        <v/>
      </c>
      <c r="R590" s="65">
        <f>Q590+(IF(AND(INDEX(TZ_DSTS,MATCH(P590,TZ_STN,0))&lt;&gt;"",Q590&gt;=INDEX(TZ_DSTS,MATCH(P590,TZ_STN,0)),Q590&lt;INDEX(TZ_DSTE,MATCH(P590,TZ_STN,0))),INDEX(TZ_DST,MATCH(P590,TZ_STN,0)),INDEX(TZ_STD,MATCH(P590,TZ_STN,0))))/24</f>
        <v/>
      </c>
      <c r="S590" s="65">
        <f>Q590-T12EarlyH/24</f>
        <v/>
      </c>
      <c r="T590" s="66" t="n"/>
      <c r="U590" s="66" t="n"/>
      <c r="V590" s="66" t="n"/>
      <c r="W590" s="67" t="n"/>
      <c r="X590" s="66" t="n"/>
      <c r="Y590" s="66" t="n"/>
      <c r="Z590" s="66" t="n"/>
      <c r="AA590" s="66" t="n"/>
      <c r="AB590" s="66" t="n"/>
      <c r="AC590" s="66" t="n"/>
      <c r="AD590" s="72" t="n"/>
      <c r="AE590" s="66" t="n"/>
      <c r="AF590" s="67">
        <f>IF(AND(ISNUMBER(X590),ISNUMBER(Y590)),Y590-X590,"")</f>
        <v/>
      </c>
      <c r="AG590" s="68">
        <f>IF(ISNUMBER(AD590),AD590-(IF(AND(INDEX(TZ_DSTS,MATCH(P590,TZ_STN,0))&lt;&gt;"",(AD590-INDEX(TZ_STD,MATCH(P590,TZ_STN,0))/24)&gt;=INDEX(TZ_DSTS,MATCH(P590,TZ_STN,0)),(AD590-INDEX(TZ_STD,MATCH(P590,TZ_STN,0))/24)&lt;INDEX(TZ_DSTE,MATCH(P590,TZ_STN,0))),INDEX(TZ_DST,MATCH(P590,TZ_STN,0)),INDEX(TZ_STD,MATCH(P590,TZ_STN,0))))/24,"")</f>
        <v/>
      </c>
      <c r="AH590" s="71">
        <f>IF(N590="N/A – rule","N/A – RULE",IF(TRIM(U590)="N/A",IF(AT590=0,"INVALID – N/A not permitted for this mandatory check",IF(AND(TRIM(AC590)&lt;&gt;"",TRIM(AE590)&lt;&gt;"",TRIM(T590)&lt;&gt;""),"N/A – JUSTIFIED","INVALID – N/A needs justification, PIC and verifier")),IF(OR(TRIM(U590)="Pass",TRIM(U590)="Pass after CA"),IF(NOT(ISNUMBER(AD590)),"INVALID – completion time missing",IF(TRIM(T590)="","INVALID – PIC missing",IF(TRIM(Z590)="","INVALID – evidence missing",IF(TRIM(AE590)="","INVALID – verifier missing",IF(AND(AQ590=1,TRIM(W590)=""),"INVALID – batch ID missing",IF(AND(AR590=1,OR(NOT(ISNUMBER(X590)),NOT(ISNUMBER(Y590)))),"INVALID – expected/actual qty missing",IF(IF(AND(TRIM(U590)="Pass",ISNUMBER(AF590)),IF(AF590&lt;&gt;0,"INVALID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recorded/closed","")&lt;&gt;"",IF(AND(TRIM(U590)="Pass",ISNUMBER(AF590)),IF(AF590&lt;&gt;0,"INVALID – qty variance: use Fail or Pass after CA",""),"")&amp;IF(AND(TRIM(U590)="Pass",AB590="Open"),"INVALID – corrective action still open: use Fail, then Pass after CA","")&amp;IF(AND(TRIM(U590)="Pass after CA",OR(TRIM(AA590)="",AB590&lt;&gt;"Closed")),"INVALID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window"),IF(AG590&gt;Flights!$AA$22,"INVALID – completed after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f>
        <v/>
      </c>
      <c r="AI590" s="67">
        <f>IF(OR(AH590="N/A – RULE",AH590="N/A – JUSTIFIED"),0,1)</f>
        <v/>
      </c>
      <c r="AJ590" s="67">
        <f>IF(LEFT(AH590,8)="COMPLETE",1,0)</f>
        <v/>
      </c>
      <c r="AK590" s="67">
        <f>IF(AND(AI590=1,AJ590=0,AsOfUTC&gt;Q590),1,0)</f>
        <v/>
      </c>
      <c r="AL590" s="67">
        <f>IF(AND(AI590=1,OR(TRIM(U590)="Fail",AB590="Open",AND(ISNUMBER(AF590),AF590&lt;&gt;0,TRIM(U590)&lt;&gt;"Pass after CA"))),1,0)</f>
        <v/>
      </c>
      <c r="AM590" s="67">
        <f>IF(LEFT(AH590,7)="INVALID",1,0)</f>
        <v/>
      </c>
      <c r="AN590" s="67">
        <f>IF(AND(N590="Clarification required",AI590=1,AJ590=0),1,0)</f>
        <v/>
      </c>
      <c r="AO590" s="67">
        <f>IF(AK590=1,SUM(AK$5:AK590),"")</f>
        <v/>
      </c>
      <c r="AP590" s="67">
        <f>IF(AL590=1,SUM(AL$5:AL590),"")</f>
        <v/>
      </c>
      <c r="AQ590" s="67" t="n">
        <v>0</v>
      </c>
      <c r="AR590" s="67" t="n">
        <v>0</v>
      </c>
      <c r="AS590" s="67" t="n">
        <v>0</v>
      </c>
      <c r="AT590" s="67" t="n">
        <v>0</v>
      </c>
    </row>
    <row r="591" ht="40" customHeight="1">
      <c r="A591" s="63" t="inlineStr">
        <is>
          <t>F18-T12-08</t>
        </is>
      </c>
      <c r="B591" s="63" t="inlineStr">
        <is>
          <t>F18</t>
        </is>
      </c>
      <c r="C591" s="63">
        <f>Flights!$F$22</f>
        <v/>
      </c>
      <c r="D591" s="64">
        <f>Flights!$D$22</f>
        <v/>
      </c>
      <c r="E591" s="63">
        <f>Flights!$G$22&amp;"-"&amp;Flights!$H$22</f>
        <v/>
      </c>
      <c r="F591" s="63">
        <f>Flights!$K$22</f>
        <v/>
      </c>
      <c r="G591" s="63" t="inlineStr">
        <is>
          <t>T-12H PREP</t>
        </is>
      </c>
      <c r="H591" s="63" t="inlineStr">
        <is>
          <t>Preparation</t>
        </is>
      </c>
      <c r="I591" s="63" t="inlineStr">
        <is>
          <t>Amenities</t>
        </is>
      </c>
      <c r="J591" s="63" t="inlineStr">
        <is>
          <t>Slippers (BS/BC) - prepared</t>
        </is>
      </c>
      <c r="K591" s="73" t="inlineStr">
        <is>
          <t>Available (ticked in reference)</t>
        </is>
      </c>
      <c r="L591" s="73" t="inlineStr">
        <is>
          <t>STD UPLIFT INFORMATION.xlsx &gt; AMENITIES!G24 / H24</t>
        </is>
      </c>
      <c r="M591" s="73" t="inlineStr">
        <is>
          <t>KUL</t>
        </is>
      </c>
      <c r="N591" s="73" t="inlineStr">
        <is>
          <t>Required</t>
        </is>
      </c>
      <c r="O591" s="73" t="inlineStr"/>
      <c r="P591" s="63" t="inlineStr">
        <is>
          <t>KUL</t>
        </is>
      </c>
      <c r="Q591" s="65">
        <f>Flights!$AE$22</f>
        <v/>
      </c>
      <c r="R591" s="65">
        <f>Q591+(IF(AND(INDEX(TZ_DSTS,MATCH(P591,TZ_STN,0))&lt;&gt;"",Q591&gt;=INDEX(TZ_DSTS,MATCH(P591,TZ_STN,0)),Q591&lt;INDEX(TZ_DSTE,MATCH(P591,TZ_STN,0))),INDEX(TZ_DST,MATCH(P591,TZ_STN,0)),INDEX(TZ_STD,MATCH(P591,TZ_STN,0))))/24</f>
        <v/>
      </c>
      <c r="S591" s="65">
        <f>Q591-T12EarlyH/24</f>
        <v/>
      </c>
      <c r="T591" s="66" t="n"/>
      <c r="U591" s="66" t="n"/>
      <c r="V591" s="66" t="n"/>
      <c r="W591" s="67" t="n"/>
      <c r="X591" s="66" t="n"/>
      <c r="Y591" s="66" t="n"/>
      <c r="Z591" s="66" t="n"/>
      <c r="AA591" s="66" t="n"/>
      <c r="AB591" s="66" t="n"/>
      <c r="AC591" s="66" t="n"/>
      <c r="AD591" s="72" t="n"/>
      <c r="AE591" s="66" t="n"/>
      <c r="AF591" s="67">
        <f>IF(AND(ISNUMBER(X591),ISNUMBER(Y591)),Y591-X591,"")</f>
        <v/>
      </c>
      <c r="AG591" s="68">
        <f>IF(ISNUMBER(AD591),AD591-(IF(AND(INDEX(TZ_DSTS,MATCH(P591,TZ_STN,0))&lt;&gt;"",(AD591-INDEX(TZ_STD,MATCH(P591,TZ_STN,0))/24)&gt;=INDEX(TZ_DSTS,MATCH(P591,TZ_STN,0)),(AD591-INDEX(TZ_STD,MATCH(P591,TZ_STN,0))/24)&lt;INDEX(TZ_DSTE,MATCH(P591,TZ_STN,0))),INDEX(TZ_DST,MATCH(P591,TZ_STN,0)),INDEX(TZ_STD,MATCH(P591,TZ_STN,0))))/24,"")</f>
        <v/>
      </c>
      <c r="AH591" s="71">
        <f>IF(N591="N/A – rule","N/A – RULE",IF(TRIM(U591)="N/A",IF(AT591=0,"INVALID – N/A not permitted for this mandatory check",IF(AND(TRIM(AC591)&lt;&gt;"",TRIM(AE591)&lt;&gt;"",TRIM(T591)&lt;&gt;""),"N/A – JUSTIFIED","INVALID – N/A needs justification, PIC and verifier")),IF(OR(TRIM(U591)="Pass",TRIM(U591)="Pass after CA"),IF(NOT(ISNUMBER(AD591)),"INVALID – completion time missing",IF(TRIM(T591)="","INVALID – PIC missing",IF(TRIM(Z591)="","INVALID – evidence missing",IF(TRIM(AE591)="","INVALID – verifier missing",IF(AND(AQ591=1,TRIM(W591)=""),"INVALID – batch ID missing",IF(AND(AR591=1,OR(NOT(ISNUMBER(X591)),NOT(ISNUMBER(Y591)))),"INVALID – expected/actual qty missing",IF(IF(AND(TRIM(U591)="Pass",ISNUMBER(AF591)),IF(AF591&lt;&gt;0,"INVALID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recorded/closed","")&lt;&gt;"",IF(AND(TRIM(U591)="Pass",ISNUMBER(AF591)),IF(AF591&lt;&gt;0,"INVALID – qty variance: use Fail or Pass after CA",""),"")&amp;IF(AND(TRIM(U591)="Pass",AB591="Open"),"INVALID – corrective action still open: use Fail, then Pass after CA","")&amp;IF(AND(TRIM(U591)="Pass after CA",OR(TRIM(AA591)="",AB591&lt;&gt;"Closed")),"INVALID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window"),IF(AG591&gt;Flights!$AA$22,"INVALID – completed after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f>
        <v/>
      </c>
      <c r="AI591" s="67">
        <f>IF(OR(AH591="N/A – RULE",AH591="N/A – JUSTIFIED"),0,1)</f>
        <v/>
      </c>
      <c r="AJ591" s="67">
        <f>IF(LEFT(AH591,8)="COMPLETE",1,0)</f>
        <v/>
      </c>
      <c r="AK591" s="67">
        <f>IF(AND(AI591=1,AJ591=0,AsOfUTC&gt;Q591),1,0)</f>
        <v/>
      </c>
      <c r="AL591" s="67">
        <f>IF(AND(AI591=1,OR(TRIM(U591)="Fail",AB591="Open",AND(ISNUMBER(AF591),AF591&lt;&gt;0,TRIM(U591)&lt;&gt;"Pass after CA"))),1,0)</f>
        <v/>
      </c>
      <c r="AM591" s="67">
        <f>IF(LEFT(AH591,7)="INVALID",1,0)</f>
        <v/>
      </c>
      <c r="AN591" s="67">
        <f>IF(AND(N591="Clarification required",AI591=1,AJ591=0),1,0)</f>
        <v/>
      </c>
      <c r="AO591" s="67">
        <f>IF(AK591=1,SUM(AK$5:AK591),"")</f>
        <v/>
      </c>
      <c r="AP591" s="67">
        <f>IF(AL591=1,SUM(AL$5:AL591),"")</f>
        <v/>
      </c>
      <c r="AQ591" s="67" t="n">
        <v>0</v>
      </c>
      <c r="AR591" s="67" t="n">
        <v>0</v>
      </c>
      <c r="AS591" s="67" t="n">
        <v>0</v>
      </c>
      <c r="AT591" s="67" t="n">
        <v>1</v>
      </c>
    </row>
    <row r="592" ht="41.5" customHeight="1">
      <c r="A592" s="63" t="inlineStr">
        <is>
          <t>F18-T12-09</t>
        </is>
      </c>
      <c r="B592" s="63" t="inlineStr">
        <is>
          <t>F18</t>
        </is>
      </c>
      <c r="C592" s="63">
        <f>Flights!$F$22</f>
        <v/>
      </c>
      <c r="D592" s="64">
        <f>Flights!$D$22</f>
        <v/>
      </c>
      <c r="E592" s="63">
        <f>Flights!$G$22&amp;"-"&amp;Flights!$H$22</f>
        <v/>
      </c>
      <c r="F592" s="63">
        <f>Flights!$K$22</f>
        <v/>
      </c>
      <c r="G592" s="63" t="inlineStr">
        <is>
          <t>T-12H PREP</t>
        </is>
      </c>
      <c r="H592" s="63" t="inlineStr">
        <is>
          <t>Preparation</t>
        </is>
      </c>
      <c r="I592" s="63" t="inlineStr">
        <is>
          <t>F&amp;B Linen</t>
        </is>
      </c>
      <c r="J592" s="63" t="inlineStr">
        <is>
          <t>Towel - prepared</t>
        </is>
      </c>
      <c r="K592" s="73" t="inlineStr">
        <is>
          <t>Available (ticked in reference)</t>
        </is>
      </c>
      <c r="L592" s="73" t="inlineStr">
        <is>
          <t>STD UPLIFT INFORMATION.xlsx &gt; F&amp;B LINEN!D15</t>
        </is>
      </c>
      <c r="M592" s="73" t="inlineStr">
        <is>
          <t>Not stated in reference</t>
        </is>
      </c>
      <c r="N592" s="73" t="inlineStr">
        <is>
          <t>Required</t>
        </is>
      </c>
      <c r="O592" s="73" t="inlineStr">
        <is>
          <t>Reference gives no uplift stn for this item: preparation checked at the meal uplift stn (KUL) - confirm with caterer.</t>
        </is>
      </c>
      <c r="P592" s="63" t="inlineStr">
        <is>
          <t>KUL</t>
        </is>
      </c>
      <c r="Q592" s="65">
        <f>Flights!$AE$22</f>
        <v/>
      </c>
      <c r="R592" s="65">
        <f>Q592+(IF(AND(INDEX(TZ_DSTS,MATCH(P592,TZ_STN,0))&lt;&gt;"",Q592&gt;=INDEX(TZ_DSTS,MATCH(P592,TZ_STN,0)),Q592&lt;INDEX(TZ_DSTE,MATCH(P592,TZ_STN,0))),INDEX(TZ_DST,MATCH(P592,TZ_STN,0)),INDEX(TZ_STD,MATCH(P592,TZ_STN,0))))/24</f>
        <v/>
      </c>
      <c r="S592" s="65">
        <f>Q592-T12EarlyH/24</f>
        <v/>
      </c>
      <c r="T592" s="66" t="n"/>
      <c r="U592" s="66" t="n"/>
      <c r="V592" s="66" t="n"/>
      <c r="W592" s="67" t="n"/>
      <c r="X592" s="66" t="n"/>
      <c r="Y592" s="66" t="n"/>
      <c r="Z592" s="66" t="n"/>
      <c r="AA592" s="66" t="n"/>
      <c r="AB592" s="66" t="n"/>
      <c r="AC592" s="66" t="n"/>
      <c r="AD592" s="72" t="n"/>
      <c r="AE592" s="66" t="n"/>
      <c r="AF592" s="67">
        <f>IF(AND(ISNUMBER(X592),ISNUMBER(Y592)),Y592-X592,"")</f>
        <v/>
      </c>
      <c r="AG592" s="68">
        <f>IF(ISNUMBER(AD592),AD592-(IF(AND(INDEX(TZ_DSTS,MATCH(P592,TZ_STN,0))&lt;&gt;"",(AD592-INDEX(TZ_STD,MATCH(P592,TZ_STN,0))/24)&gt;=INDEX(TZ_DSTS,MATCH(P592,TZ_STN,0)),(AD592-INDEX(TZ_STD,MATCH(P592,TZ_STN,0))/24)&lt;INDEX(TZ_DSTE,MATCH(P592,TZ_STN,0))),INDEX(TZ_DST,MATCH(P592,TZ_STN,0)),INDEX(TZ_STD,MATCH(P592,TZ_STN,0))))/24,"")</f>
        <v/>
      </c>
      <c r="AH592" s="71">
        <f>IF(N592="N/A – rule","N/A – RULE",IF(TRIM(U592)="N/A",IF(AT592=0,"INVALID – N/A not permitted for this mandatory check",IF(AND(TRIM(AC592)&lt;&gt;"",TRIM(AE592)&lt;&gt;"",TRIM(T592)&lt;&gt;""),"N/A – JUSTIFIED","INVALID – N/A needs justification, PIC and verifier")),IF(OR(TRIM(U592)="Pass",TRIM(U592)="Pass after CA"),IF(NOT(ISNUMBER(AD592)),"INVALID – completion time missing",IF(TRIM(T592)="","INVALID – PIC missing",IF(TRIM(Z592)="","INVALID – evidence missing",IF(TRIM(AE592)="","INVALID – verifier missing",IF(AND(AQ592=1,TRIM(W592)=""),"INVALID – batch ID missing",IF(AND(AR592=1,OR(NOT(ISNUMBER(X592)),NOT(ISNUMBER(Y592)))),"INVALID – expected/actual qty missing",IF(IF(AND(TRIM(U592)="Pass",ISNUMBER(AF592)),IF(AF592&lt;&gt;0,"INVALID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recorded/closed","")&lt;&gt;"",IF(AND(TRIM(U592)="Pass",ISNUMBER(AF592)),IF(AF592&lt;&gt;0,"INVALID – qty variance: use Fail or Pass after CA",""),"")&amp;IF(AND(TRIM(U592)="Pass",AB592="Open"),"INVALID – corrective action still open: use Fail, then Pass after CA","")&amp;IF(AND(TRIM(U592)="Pass after CA",OR(TRIM(AA592)="",AB592&lt;&gt;"Closed")),"INVALID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window"),IF(AG592&gt;Flights!$AA$22,"INVALID – completed after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f>
        <v/>
      </c>
      <c r="AI592" s="67">
        <f>IF(OR(AH592="N/A – RULE",AH592="N/A – JUSTIFIED"),0,1)</f>
        <v/>
      </c>
      <c r="AJ592" s="67">
        <f>IF(LEFT(AH592,8)="COMPLETE",1,0)</f>
        <v/>
      </c>
      <c r="AK592" s="67">
        <f>IF(AND(AI592=1,AJ592=0,AsOfUTC&gt;Q592),1,0)</f>
        <v/>
      </c>
      <c r="AL592" s="67">
        <f>IF(AND(AI592=1,OR(TRIM(U592)="Fail",AB592="Open",AND(ISNUMBER(AF592),AF592&lt;&gt;0,TRIM(U592)&lt;&gt;"Pass after CA"))),1,0)</f>
        <v/>
      </c>
      <c r="AM592" s="67">
        <f>IF(LEFT(AH592,7)="INVALID",1,0)</f>
        <v/>
      </c>
      <c r="AN592" s="67">
        <f>IF(AND(N592="Clarification required",AI592=1,AJ592=0),1,0)</f>
        <v/>
      </c>
      <c r="AO592" s="67">
        <f>IF(AK592=1,SUM(AK$5:AK592),"")</f>
        <v/>
      </c>
      <c r="AP592" s="67">
        <f>IF(AL592=1,SUM(AL$5:AL592),"")</f>
        <v/>
      </c>
      <c r="AQ592" s="67" t="n">
        <v>0</v>
      </c>
      <c r="AR592" s="67" t="n">
        <v>0</v>
      </c>
      <c r="AS592" s="67" t="n">
        <v>0</v>
      </c>
      <c r="AT592" s="67" t="n">
        <v>1</v>
      </c>
    </row>
    <row r="593" ht="41.5" customHeight="1">
      <c r="A593" s="63" t="inlineStr">
        <is>
          <t>F18-T12-10</t>
        </is>
      </c>
      <c r="B593" s="63" t="inlineStr">
        <is>
          <t>F18</t>
        </is>
      </c>
      <c r="C593" s="63">
        <f>Flights!$F$22</f>
        <v/>
      </c>
      <c r="D593" s="64">
        <f>Flights!$D$22</f>
        <v/>
      </c>
      <c r="E593" s="63">
        <f>Flights!$G$22&amp;"-"&amp;Flights!$H$22</f>
        <v/>
      </c>
      <c r="F593" s="63">
        <f>Flights!$K$22</f>
        <v/>
      </c>
      <c r="G593" s="63" t="inlineStr">
        <is>
          <t>T-12H PREP</t>
        </is>
      </c>
      <c r="H593" s="63" t="inlineStr">
        <is>
          <t>Preparation</t>
        </is>
      </c>
      <c r="I593" s="63" t="inlineStr">
        <is>
          <t>F&amp;B Linen</t>
        </is>
      </c>
      <c r="J593" s="63" t="inlineStr">
        <is>
          <t>Tray cloth - prepared</t>
        </is>
      </c>
      <c r="K593" s="73" t="inlineStr">
        <is>
          <t>Available (ticked in reference)</t>
        </is>
      </c>
      <c r="L593" s="73" t="inlineStr">
        <is>
          <t>STD UPLIFT INFORMATION.xlsx &gt; F&amp;B LINEN!E15</t>
        </is>
      </c>
      <c r="M593" s="73" t="inlineStr">
        <is>
          <t>Not stated in reference</t>
        </is>
      </c>
      <c r="N593" s="73" t="inlineStr">
        <is>
          <t>Required</t>
        </is>
      </c>
      <c r="O593" s="73" t="inlineStr">
        <is>
          <t>Reference gives no uplift stn for this item: preparation checked at the meal uplift stn (KUL) - confirm with caterer.</t>
        </is>
      </c>
      <c r="P593" s="63" t="inlineStr">
        <is>
          <t>KUL</t>
        </is>
      </c>
      <c r="Q593" s="65">
        <f>Flights!$AE$22</f>
        <v/>
      </c>
      <c r="R593" s="65">
        <f>Q593+(IF(AND(INDEX(TZ_DSTS,MATCH(P593,TZ_STN,0))&lt;&gt;"",Q593&gt;=INDEX(TZ_DSTS,MATCH(P593,TZ_STN,0)),Q593&lt;INDEX(TZ_DSTE,MATCH(P593,TZ_STN,0))),INDEX(TZ_DST,MATCH(P593,TZ_STN,0)),INDEX(TZ_STD,MATCH(P593,TZ_STN,0))))/24</f>
        <v/>
      </c>
      <c r="S593" s="65">
        <f>Q593-T12EarlyH/24</f>
        <v/>
      </c>
      <c r="T593" s="66" t="n"/>
      <c r="U593" s="66" t="n"/>
      <c r="V593" s="66" t="n"/>
      <c r="W593" s="67" t="n"/>
      <c r="X593" s="66" t="n"/>
      <c r="Y593" s="66" t="n"/>
      <c r="Z593" s="66" t="n"/>
      <c r="AA593" s="66" t="n"/>
      <c r="AB593" s="66" t="n"/>
      <c r="AC593" s="66" t="n"/>
      <c r="AD593" s="72" t="n"/>
      <c r="AE593" s="66" t="n"/>
      <c r="AF593" s="67">
        <f>IF(AND(ISNUMBER(X593),ISNUMBER(Y593)),Y593-X593,"")</f>
        <v/>
      </c>
      <c r="AG593" s="68">
        <f>IF(ISNUMBER(AD593),AD593-(IF(AND(INDEX(TZ_DSTS,MATCH(P593,TZ_STN,0))&lt;&gt;"",(AD593-INDEX(TZ_STD,MATCH(P593,TZ_STN,0))/24)&gt;=INDEX(TZ_DSTS,MATCH(P593,TZ_STN,0)),(AD593-INDEX(TZ_STD,MATCH(P593,TZ_STN,0))/24)&lt;INDEX(TZ_DSTE,MATCH(P593,TZ_STN,0))),INDEX(TZ_DST,MATCH(P593,TZ_STN,0)),INDEX(TZ_STD,MATCH(P593,TZ_STN,0))))/24,"")</f>
        <v/>
      </c>
      <c r="AH593" s="71">
        <f>IF(N593="N/A – rule","N/A – RULE",IF(TRIM(U593)="N/A",IF(AT593=0,"INVALID – N/A not permitted for this mandatory check",IF(AND(TRIM(AC593)&lt;&gt;"",TRIM(AE593)&lt;&gt;"",TRIM(T593)&lt;&gt;""),"N/A – JUSTIFIED","INVALID – N/A needs justification, PIC and verifier")),IF(OR(TRIM(U593)="Pass",TRIM(U593)="Pass after CA"),IF(NOT(ISNUMBER(AD593)),"INVALID – completion time missing",IF(TRIM(T593)="","INVALID – PIC missing",IF(TRIM(Z593)="","INVALID – evidence missing",IF(TRIM(AE593)="","INVALID – verifier missing",IF(AND(AQ593=1,TRIM(W593)=""),"INVALID – batch ID missing",IF(AND(AR593=1,OR(NOT(ISNUMBER(X593)),NOT(ISNUMBER(Y593)))),"INVALID – expected/actual qty missing",IF(IF(AND(TRIM(U593)="Pass",ISNUMBER(AF593)),IF(AF593&lt;&gt;0,"INVALID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recorded/closed","")&lt;&gt;"",IF(AND(TRIM(U593)="Pass",ISNUMBER(AF593)),IF(AF593&lt;&gt;0,"INVALID – qty variance: use Fail or Pass after CA",""),"")&amp;IF(AND(TRIM(U593)="Pass",AB593="Open"),"INVALID – corrective action still open: use Fail, then Pass after CA","")&amp;IF(AND(TRIM(U593)="Pass after CA",OR(TRIM(AA593)="",AB593&lt;&gt;"Closed")),"INVALID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window"),IF(AG593&gt;Flights!$AA$22,"INVALID – completed after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f>
        <v/>
      </c>
      <c r="AI593" s="67">
        <f>IF(OR(AH593="N/A – RULE",AH593="N/A – JUSTIFIED"),0,1)</f>
        <v/>
      </c>
      <c r="AJ593" s="67">
        <f>IF(LEFT(AH593,8)="COMPLETE",1,0)</f>
        <v/>
      </c>
      <c r="AK593" s="67">
        <f>IF(AND(AI593=1,AJ593=0,AsOfUTC&gt;Q593),1,0)</f>
        <v/>
      </c>
      <c r="AL593" s="67">
        <f>IF(AND(AI593=1,OR(TRIM(U593)="Fail",AB593="Open",AND(ISNUMBER(AF593),AF593&lt;&gt;0,TRIM(U593)&lt;&gt;"Pass after CA"))),1,0)</f>
        <v/>
      </c>
      <c r="AM593" s="67">
        <f>IF(LEFT(AH593,7)="INVALID",1,0)</f>
        <v/>
      </c>
      <c r="AN593" s="67">
        <f>IF(AND(N593="Clarification required",AI593=1,AJ593=0),1,0)</f>
        <v/>
      </c>
      <c r="AO593" s="67">
        <f>IF(AK593=1,SUM(AK$5:AK593),"")</f>
        <v/>
      </c>
      <c r="AP593" s="67">
        <f>IF(AL593=1,SUM(AL$5:AL593),"")</f>
        <v/>
      </c>
      <c r="AQ593" s="67" t="n">
        <v>0</v>
      </c>
      <c r="AR593" s="67" t="n">
        <v>0</v>
      </c>
      <c r="AS593" s="67" t="n">
        <v>0</v>
      </c>
      <c r="AT593" s="67" t="n">
        <v>1</v>
      </c>
    </row>
    <row r="594" ht="41.5" customHeight="1">
      <c r="A594" s="63" t="inlineStr">
        <is>
          <t>F18-T12-11</t>
        </is>
      </c>
      <c r="B594" s="63" t="inlineStr">
        <is>
          <t>F18</t>
        </is>
      </c>
      <c r="C594" s="63">
        <f>Flights!$F$22</f>
        <v/>
      </c>
      <c r="D594" s="64">
        <f>Flights!$D$22</f>
        <v/>
      </c>
      <c r="E594" s="63">
        <f>Flights!$G$22&amp;"-"&amp;Flights!$H$22</f>
        <v/>
      </c>
      <c r="F594" s="63">
        <f>Flights!$K$22</f>
        <v/>
      </c>
      <c r="G594" s="63" t="inlineStr">
        <is>
          <t>T-12H PREP</t>
        </is>
      </c>
      <c r="H594" s="63" t="inlineStr">
        <is>
          <t>Preparation</t>
        </is>
      </c>
      <c r="I594" s="63" t="inlineStr">
        <is>
          <t>F&amp;B Linen</t>
        </is>
      </c>
      <c r="J594" s="63" t="inlineStr">
        <is>
          <t>Napkin - prepared</t>
        </is>
      </c>
      <c r="K594" s="73" t="inlineStr">
        <is>
          <t>Available (ticked in reference)</t>
        </is>
      </c>
      <c r="L594" s="73" t="inlineStr">
        <is>
          <t>STD UPLIFT INFORMATION.xlsx &gt; F&amp;B LINEN!F15</t>
        </is>
      </c>
      <c r="M594" s="73" t="inlineStr">
        <is>
          <t>Not stated in reference</t>
        </is>
      </c>
      <c r="N594" s="73" t="inlineStr">
        <is>
          <t>Required</t>
        </is>
      </c>
      <c r="O594" s="73" t="inlineStr">
        <is>
          <t>Reference gives no uplift stn for this item: preparation checked at the meal uplift stn (KUL) - confirm with caterer.</t>
        </is>
      </c>
      <c r="P594" s="63" t="inlineStr">
        <is>
          <t>KUL</t>
        </is>
      </c>
      <c r="Q594" s="65">
        <f>Flights!$AE$22</f>
        <v/>
      </c>
      <c r="R594" s="65">
        <f>Q594+(IF(AND(INDEX(TZ_DSTS,MATCH(P594,TZ_STN,0))&lt;&gt;"",Q594&gt;=INDEX(TZ_DSTS,MATCH(P594,TZ_STN,0)),Q594&lt;INDEX(TZ_DSTE,MATCH(P594,TZ_STN,0))),INDEX(TZ_DST,MATCH(P594,TZ_STN,0)),INDEX(TZ_STD,MATCH(P594,TZ_STN,0))))/24</f>
        <v/>
      </c>
      <c r="S594" s="65">
        <f>Q594-T12EarlyH/24</f>
        <v/>
      </c>
      <c r="T594" s="66" t="n"/>
      <c r="U594" s="66" t="n"/>
      <c r="V594" s="66" t="n"/>
      <c r="W594" s="67" t="n"/>
      <c r="X594" s="66" t="n"/>
      <c r="Y594" s="66" t="n"/>
      <c r="Z594" s="66" t="n"/>
      <c r="AA594" s="66" t="n"/>
      <c r="AB594" s="66" t="n"/>
      <c r="AC594" s="66" t="n"/>
      <c r="AD594" s="72" t="n"/>
      <c r="AE594" s="66" t="n"/>
      <c r="AF594" s="67">
        <f>IF(AND(ISNUMBER(X594),ISNUMBER(Y594)),Y594-X594,"")</f>
        <v/>
      </c>
      <c r="AG594" s="68">
        <f>IF(ISNUMBER(AD594),AD594-(IF(AND(INDEX(TZ_DSTS,MATCH(P594,TZ_STN,0))&lt;&gt;"",(AD594-INDEX(TZ_STD,MATCH(P594,TZ_STN,0))/24)&gt;=INDEX(TZ_DSTS,MATCH(P594,TZ_STN,0)),(AD594-INDEX(TZ_STD,MATCH(P594,TZ_STN,0))/24)&lt;INDEX(TZ_DSTE,MATCH(P594,TZ_STN,0))),INDEX(TZ_DST,MATCH(P594,TZ_STN,0)),INDEX(TZ_STD,MATCH(P594,TZ_STN,0))))/24,"")</f>
        <v/>
      </c>
      <c r="AH594" s="71">
        <f>IF(N594="N/A – rule","N/A – RULE",IF(TRIM(U594)="N/A",IF(AT594=0,"INVALID – N/A not permitted for this mandatory check",IF(AND(TRIM(AC594)&lt;&gt;"",TRIM(AE594)&lt;&gt;"",TRIM(T594)&lt;&gt;""),"N/A – JUSTIFIED","INVALID – N/A needs justification, PIC and verifier")),IF(OR(TRIM(U594)="Pass",TRIM(U594)="Pass after CA"),IF(NOT(ISNUMBER(AD594)),"INVALID – completion time missing",IF(TRIM(T594)="","INVALID – PIC missing",IF(TRIM(Z594)="","INVALID – evidence missing",IF(TRIM(AE594)="","INVALID – verifier missing",IF(AND(AQ594=1,TRIM(W594)=""),"INVALID – batch ID missing",IF(AND(AR594=1,OR(NOT(ISNUMBER(X594)),NOT(ISNUMBER(Y594)))),"INVALID – expected/actual qty missing",IF(IF(AND(TRIM(U594)="Pass",ISNUMBER(AF594)),IF(AF594&lt;&gt;0,"INVALID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recorded/closed","")&lt;&gt;"",IF(AND(TRIM(U594)="Pass",ISNUMBER(AF594)),IF(AF594&lt;&gt;0,"INVALID – qty variance: use Fail or Pass after CA",""),"")&amp;IF(AND(TRIM(U594)="Pass",AB594="Open"),"INVALID – corrective action still open: use Fail, then Pass after CA","")&amp;IF(AND(TRIM(U594)="Pass after CA",OR(TRIM(AA594)="",AB594&lt;&gt;"Closed")),"INVALID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window"),IF(AG594&gt;Flights!$AA$22,"INVALID – completed after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f>
        <v/>
      </c>
      <c r="AI594" s="67">
        <f>IF(OR(AH594="N/A – RULE",AH594="N/A – JUSTIFIED"),0,1)</f>
        <v/>
      </c>
      <c r="AJ594" s="67">
        <f>IF(LEFT(AH594,8)="COMPLETE",1,0)</f>
        <v/>
      </c>
      <c r="AK594" s="67">
        <f>IF(AND(AI594=1,AJ594=0,AsOfUTC&gt;Q594),1,0)</f>
        <v/>
      </c>
      <c r="AL594" s="67">
        <f>IF(AND(AI594=1,OR(TRIM(U594)="Fail",AB594="Open",AND(ISNUMBER(AF594),AF594&lt;&gt;0,TRIM(U594)&lt;&gt;"Pass after CA"))),1,0)</f>
        <v/>
      </c>
      <c r="AM594" s="67">
        <f>IF(LEFT(AH594,7)="INVALID",1,0)</f>
        <v/>
      </c>
      <c r="AN594" s="67">
        <f>IF(AND(N594="Clarification required",AI594=1,AJ594=0),1,0)</f>
        <v/>
      </c>
      <c r="AO594" s="67">
        <f>IF(AK594=1,SUM(AK$5:AK594),"")</f>
        <v/>
      </c>
      <c r="AP594" s="67">
        <f>IF(AL594=1,SUM(AL$5:AL594),"")</f>
        <v/>
      </c>
      <c r="AQ594" s="67" t="n">
        <v>0</v>
      </c>
      <c r="AR594" s="67" t="n">
        <v>0</v>
      </c>
      <c r="AS594" s="67" t="n">
        <v>0</v>
      </c>
      <c r="AT594" s="67" t="n">
        <v>1</v>
      </c>
    </row>
    <row r="595" ht="41.5" customHeight="1">
      <c r="A595" s="63" t="inlineStr">
        <is>
          <t>F18-T12-12</t>
        </is>
      </c>
      <c r="B595" s="63" t="inlineStr">
        <is>
          <t>F18</t>
        </is>
      </c>
      <c r="C595" s="63">
        <f>Flights!$F$22</f>
        <v/>
      </c>
      <c r="D595" s="64">
        <f>Flights!$D$22</f>
        <v/>
      </c>
      <c r="E595" s="63">
        <f>Flights!$G$22&amp;"-"&amp;Flights!$H$22</f>
        <v/>
      </c>
      <c r="F595" s="63">
        <f>Flights!$K$22</f>
        <v/>
      </c>
      <c r="G595" s="63" t="inlineStr">
        <is>
          <t>T-12H PREP</t>
        </is>
      </c>
      <c r="H595" s="63" t="inlineStr">
        <is>
          <t>Preparation</t>
        </is>
      </c>
      <c r="I595" s="63" t="inlineStr">
        <is>
          <t>F&amp;B Linen</t>
        </is>
      </c>
      <c r="J595" s="63" t="inlineStr">
        <is>
          <t>Table cloth - prepared</t>
        </is>
      </c>
      <c r="K595" s="73" t="inlineStr">
        <is>
          <t>Available (ticked in reference)</t>
        </is>
      </c>
      <c r="L595" s="73" t="inlineStr">
        <is>
          <t>STD UPLIFT INFORMATION.xlsx &gt; F&amp;B LINEN!G15</t>
        </is>
      </c>
      <c r="M595" s="73" t="inlineStr">
        <is>
          <t>Not stated in reference</t>
        </is>
      </c>
      <c r="N595" s="73" t="inlineStr">
        <is>
          <t>Required</t>
        </is>
      </c>
      <c r="O595" s="73" t="inlineStr">
        <is>
          <t>Reference gives no uplift stn for this item: preparation checked at the meal uplift stn (KUL) - confirm with caterer.</t>
        </is>
      </c>
      <c r="P595" s="63" t="inlineStr">
        <is>
          <t>KUL</t>
        </is>
      </c>
      <c r="Q595" s="65">
        <f>Flights!$AE$22</f>
        <v/>
      </c>
      <c r="R595" s="65">
        <f>Q595+(IF(AND(INDEX(TZ_DSTS,MATCH(P595,TZ_STN,0))&lt;&gt;"",Q595&gt;=INDEX(TZ_DSTS,MATCH(P595,TZ_STN,0)),Q595&lt;INDEX(TZ_DSTE,MATCH(P595,TZ_STN,0))),INDEX(TZ_DST,MATCH(P595,TZ_STN,0)),INDEX(TZ_STD,MATCH(P595,TZ_STN,0))))/24</f>
        <v/>
      </c>
      <c r="S595" s="65">
        <f>Q595-T12EarlyH/24</f>
        <v/>
      </c>
      <c r="T595" s="66" t="n"/>
      <c r="U595" s="66" t="n"/>
      <c r="V595" s="66" t="n"/>
      <c r="W595" s="67" t="n"/>
      <c r="X595" s="66" t="n"/>
      <c r="Y595" s="66" t="n"/>
      <c r="Z595" s="66" t="n"/>
      <c r="AA595" s="66" t="n"/>
      <c r="AB595" s="66" t="n"/>
      <c r="AC595" s="66" t="n"/>
      <c r="AD595" s="72" t="n"/>
      <c r="AE595" s="66" t="n"/>
      <c r="AF595" s="67">
        <f>IF(AND(ISNUMBER(X595),ISNUMBER(Y595)),Y595-X595,"")</f>
        <v/>
      </c>
      <c r="AG595" s="68">
        <f>IF(ISNUMBER(AD595),AD595-(IF(AND(INDEX(TZ_DSTS,MATCH(P595,TZ_STN,0))&lt;&gt;"",(AD595-INDEX(TZ_STD,MATCH(P595,TZ_STN,0))/24)&gt;=INDEX(TZ_DSTS,MATCH(P595,TZ_STN,0)),(AD595-INDEX(TZ_STD,MATCH(P595,TZ_STN,0))/24)&lt;INDEX(TZ_DSTE,MATCH(P595,TZ_STN,0))),INDEX(TZ_DST,MATCH(P595,TZ_STN,0)),INDEX(TZ_STD,MATCH(P595,TZ_STN,0))))/24,"")</f>
        <v/>
      </c>
      <c r="AH595" s="71">
        <f>IF(N595="N/A – rule","N/A – RULE",IF(TRIM(U595)="N/A",IF(AT595=0,"INVALID – N/A not permitted for this mandatory check",IF(AND(TRIM(AC595)&lt;&gt;"",TRIM(AE595)&lt;&gt;"",TRIM(T595)&lt;&gt;""),"N/A – JUSTIFIED","INVALID – N/A needs justification, PIC and verifier")),IF(OR(TRIM(U595)="Pass",TRIM(U595)="Pass after CA"),IF(NOT(ISNUMBER(AD595)),"INVALID – completion time missing",IF(TRIM(T595)="","INVALID – PIC missing",IF(TRIM(Z595)="","INVALID – evidence missing",IF(TRIM(AE595)="","INVALID – verifier missing",IF(AND(AQ595=1,TRIM(W595)=""),"INVALID – batch ID missing",IF(AND(AR595=1,OR(NOT(ISNUMBER(X595)),NOT(ISNUMBER(Y595)))),"INVALID – expected/actual qty missing",IF(IF(AND(TRIM(U595)="Pass",ISNUMBER(AF595)),IF(AF595&lt;&gt;0,"INVALID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recorded/closed","")&lt;&gt;"",IF(AND(TRIM(U595)="Pass",ISNUMBER(AF595)),IF(AF595&lt;&gt;0,"INVALID – qty variance: use Fail or Pass after CA",""),"")&amp;IF(AND(TRIM(U595)="Pass",AB595="Open"),"INVALID – corrective action still open: use Fail, then Pass after CA","")&amp;IF(AND(TRIM(U595)="Pass after CA",OR(TRIM(AA595)="",AB595&lt;&gt;"Closed")),"INVALID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window"),IF(AG595&gt;Flights!$AA$22,"INVALID – completed after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f>
        <v/>
      </c>
      <c r="AI595" s="67">
        <f>IF(OR(AH595="N/A – RULE",AH595="N/A – JUSTIFIED"),0,1)</f>
        <v/>
      </c>
      <c r="AJ595" s="67">
        <f>IF(LEFT(AH595,8)="COMPLETE",1,0)</f>
        <v/>
      </c>
      <c r="AK595" s="67">
        <f>IF(AND(AI595=1,AJ595=0,AsOfUTC&gt;Q595),1,0)</f>
        <v/>
      </c>
      <c r="AL595" s="67">
        <f>IF(AND(AI595=1,OR(TRIM(U595)="Fail",AB595="Open",AND(ISNUMBER(AF595),AF595&lt;&gt;0,TRIM(U595)&lt;&gt;"Pass after CA"))),1,0)</f>
        <v/>
      </c>
      <c r="AM595" s="67">
        <f>IF(LEFT(AH595,7)="INVALID",1,0)</f>
        <v/>
      </c>
      <c r="AN595" s="67">
        <f>IF(AND(N595="Clarification required",AI595=1,AJ595=0),1,0)</f>
        <v/>
      </c>
      <c r="AO595" s="67">
        <f>IF(AK595=1,SUM(AK$5:AK595),"")</f>
        <v/>
      </c>
      <c r="AP595" s="67">
        <f>IF(AL595=1,SUM(AL$5:AL595),"")</f>
        <v/>
      </c>
      <c r="AQ595" s="67" t="n">
        <v>0</v>
      </c>
      <c r="AR595" s="67" t="n">
        <v>0</v>
      </c>
      <c r="AS595" s="67" t="n">
        <v>0</v>
      </c>
      <c r="AT595" s="67" t="n">
        <v>1</v>
      </c>
    </row>
    <row r="596" ht="41.5" customHeight="1">
      <c r="A596" s="63" t="inlineStr">
        <is>
          <t>F18-T12-13</t>
        </is>
      </c>
      <c r="B596" s="63" t="inlineStr">
        <is>
          <t>F18</t>
        </is>
      </c>
      <c r="C596" s="63">
        <f>Flights!$F$22</f>
        <v/>
      </c>
      <c r="D596" s="64">
        <f>Flights!$D$22</f>
        <v/>
      </c>
      <c r="E596" s="63">
        <f>Flights!$G$22&amp;"-"&amp;Flights!$H$22</f>
        <v/>
      </c>
      <c r="F596" s="63">
        <f>Flights!$K$22</f>
        <v/>
      </c>
      <c r="G596" s="63" t="inlineStr">
        <is>
          <t>T-12H PREP</t>
        </is>
      </c>
      <c r="H596" s="63" t="inlineStr">
        <is>
          <t>Preparation</t>
        </is>
      </c>
      <c r="I596" s="63" t="inlineStr">
        <is>
          <t>F&amp;B Linen</t>
        </is>
      </c>
      <c r="J596" s="63" t="inlineStr">
        <is>
          <t>Bread linen (using table cloth) - prepared</t>
        </is>
      </c>
      <c r="K596" s="73" t="inlineStr">
        <is>
          <t>Available (ticked in reference)</t>
        </is>
      </c>
      <c r="L596" s="73" t="inlineStr">
        <is>
          <t>STD UPLIFT INFORMATION.xlsx &gt; F&amp;B LINEN!H15</t>
        </is>
      </c>
      <c r="M596" s="73" t="inlineStr">
        <is>
          <t>Not stated in reference</t>
        </is>
      </c>
      <c r="N596" s="73" t="inlineStr">
        <is>
          <t>Required</t>
        </is>
      </c>
      <c r="O596" s="73" t="inlineStr">
        <is>
          <t>Reference gives no uplift stn for this item: preparation checked at the meal uplift stn (KUL) - confirm with caterer.</t>
        </is>
      </c>
      <c r="P596" s="63" t="inlineStr">
        <is>
          <t>KUL</t>
        </is>
      </c>
      <c r="Q596" s="65">
        <f>Flights!$AE$22</f>
        <v/>
      </c>
      <c r="R596" s="65">
        <f>Q596+(IF(AND(INDEX(TZ_DSTS,MATCH(P596,TZ_STN,0))&lt;&gt;"",Q596&gt;=INDEX(TZ_DSTS,MATCH(P596,TZ_STN,0)),Q596&lt;INDEX(TZ_DSTE,MATCH(P596,TZ_STN,0))),INDEX(TZ_DST,MATCH(P596,TZ_STN,0)),INDEX(TZ_STD,MATCH(P596,TZ_STN,0))))/24</f>
        <v/>
      </c>
      <c r="S596" s="65">
        <f>Q596-T12EarlyH/24</f>
        <v/>
      </c>
      <c r="T596" s="66" t="n"/>
      <c r="U596" s="66" t="n"/>
      <c r="V596" s="66" t="n"/>
      <c r="W596" s="67" t="n"/>
      <c r="X596" s="66" t="n"/>
      <c r="Y596" s="66" t="n"/>
      <c r="Z596" s="66" t="n"/>
      <c r="AA596" s="66" t="n"/>
      <c r="AB596" s="66" t="n"/>
      <c r="AC596" s="66" t="n"/>
      <c r="AD596" s="72" t="n"/>
      <c r="AE596" s="66" t="n"/>
      <c r="AF596" s="67">
        <f>IF(AND(ISNUMBER(X596),ISNUMBER(Y596)),Y596-X596,"")</f>
        <v/>
      </c>
      <c r="AG596" s="68">
        <f>IF(ISNUMBER(AD596),AD596-(IF(AND(INDEX(TZ_DSTS,MATCH(P596,TZ_STN,0))&lt;&gt;"",(AD596-INDEX(TZ_STD,MATCH(P596,TZ_STN,0))/24)&gt;=INDEX(TZ_DSTS,MATCH(P596,TZ_STN,0)),(AD596-INDEX(TZ_STD,MATCH(P596,TZ_STN,0))/24)&lt;INDEX(TZ_DSTE,MATCH(P596,TZ_STN,0))),INDEX(TZ_DST,MATCH(P596,TZ_STN,0)),INDEX(TZ_STD,MATCH(P596,TZ_STN,0))))/24,"")</f>
        <v/>
      </c>
      <c r="AH596" s="71">
        <f>IF(N596="N/A – rule","N/A – RULE",IF(TRIM(U596)="N/A",IF(AT596=0,"INVALID – N/A not permitted for this mandatory check",IF(AND(TRIM(AC596)&lt;&gt;"",TRIM(AE596)&lt;&gt;"",TRIM(T596)&lt;&gt;""),"N/A – JUSTIFIED","INVALID – N/A needs justification, PIC and verifier")),IF(OR(TRIM(U596)="Pass",TRIM(U596)="Pass after CA"),IF(NOT(ISNUMBER(AD596)),"INVALID – completion time missing",IF(TRIM(T596)="","INVALID – PIC missing",IF(TRIM(Z596)="","INVALID – evidence missing",IF(TRIM(AE596)="","INVALID – verifier missing",IF(AND(AQ596=1,TRIM(W596)=""),"INVALID – batch ID missing",IF(AND(AR596=1,OR(NOT(ISNUMBER(X596)),NOT(ISNUMBER(Y596)))),"INVALID – expected/actual qty missing",IF(IF(AND(TRIM(U596)="Pass",ISNUMBER(AF596)),IF(AF596&lt;&gt;0,"INVALID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recorded/closed","")&lt;&gt;"",IF(AND(TRIM(U596)="Pass",ISNUMBER(AF596)),IF(AF596&lt;&gt;0,"INVALID – qty variance: use Fail or Pass after CA",""),"")&amp;IF(AND(TRIM(U596)="Pass",AB596="Open"),"INVALID – corrective action still open: use Fail, then Pass after CA","")&amp;IF(AND(TRIM(U596)="Pass after CA",OR(TRIM(AA596)="",AB596&lt;&gt;"Closed")),"INVALID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window"),IF(AG596&gt;Flights!$AA$22,"INVALID – completed after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f>
        <v/>
      </c>
      <c r="AI596" s="67">
        <f>IF(OR(AH596="N/A – RULE",AH596="N/A – JUSTIFIED"),0,1)</f>
        <v/>
      </c>
      <c r="AJ596" s="67">
        <f>IF(LEFT(AH596,8)="COMPLETE",1,0)</f>
        <v/>
      </c>
      <c r="AK596" s="67">
        <f>IF(AND(AI596=1,AJ596=0,AsOfUTC&gt;Q596),1,0)</f>
        <v/>
      </c>
      <c r="AL596" s="67">
        <f>IF(AND(AI596=1,OR(TRIM(U596)="Fail",AB596="Open",AND(ISNUMBER(AF596),AF596&lt;&gt;0,TRIM(U596)&lt;&gt;"Pass after CA"))),1,0)</f>
        <v/>
      </c>
      <c r="AM596" s="67">
        <f>IF(LEFT(AH596,7)="INVALID",1,0)</f>
        <v/>
      </c>
      <c r="AN596" s="67">
        <f>IF(AND(N596="Clarification required",AI596=1,AJ596=0),1,0)</f>
        <v/>
      </c>
      <c r="AO596" s="67">
        <f>IF(AK596=1,SUM(AK$5:AK596),"")</f>
        <v/>
      </c>
      <c r="AP596" s="67">
        <f>IF(AL596=1,SUM(AL$5:AL596),"")</f>
        <v/>
      </c>
      <c r="AQ596" s="67" t="n">
        <v>0</v>
      </c>
      <c r="AR596" s="67" t="n">
        <v>0</v>
      </c>
      <c r="AS596" s="67" t="n">
        <v>0</v>
      </c>
      <c r="AT596" s="67" t="n">
        <v>1</v>
      </c>
    </row>
    <row r="597" ht="54" customHeight="1">
      <c r="A597" s="63" t="inlineStr">
        <is>
          <t>F18-T12-14</t>
        </is>
      </c>
      <c r="B597" s="63" t="inlineStr">
        <is>
          <t>F18</t>
        </is>
      </c>
      <c r="C597" s="63">
        <f>Flights!$F$22</f>
        <v/>
      </c>
      <c r="D597" s="64">
        <f>Flights!$D$22</f>
        <v/>
      </c>
      <c r="E597" s="63">
        <f>Flights!$G$22&amp;"-"&amp;Flights!$H$22</f>
        <v/>
      </c>
      <c r="F597" s="63">
        <f>Flights!$K$22</f>
        <v/>
      </c>
      <c r="G597" s="63" t="inlineStr">
        <is>
          <t>T-12H PREP</t>
        </is>
      </c>
      <c r="H597" s="63" t="inlineStr">
        <is>
          <t>Preparation</t>
        </is>
      </c>
      <c r="I597" s="63" t="inlineStr">
        <is>
          <t>F&amp;B Linen</t>
        </is>
      </c>
      <c r="J597" s="63" t="inlineStr">
        <is>
          <t>Trolley cloth - prepared</t>
        </is>
      </c>
      <c r="K597" s="73" t="inlineStr">
        <is>
          <t>Wide body: Top/Middle &amp; Bottom</t>
        </is>
      </c>
      <c r="L597" s="73" t="inlineStr">
        <is>
          <t>STD UPLIFT INFORMATION.xlsx &gt; F&amp;B LINEN!I15</t>
        </is>
      </c>
      <c r="M597" s="73" t="inlineStr">
        <is>
          <t>Not stated in reference</t>
        </is>
      </c>
      <c r="N597" s="73" t="inlineStr">
        <is>
          <t>Required</t>
        </is>
      </c>
      <c r="O597" s="73" t="inlineStr">
        <is>
          <t>Per note F&amp;B LINEN!B79:C80. Reference gives no uplift stn for this item: preparation checked at the meal uplift stn (KUL) - confirm with caterer.</t>
        </is>
      </c>
      <c r="P597" s="63" t="inlineStr">
        <is>
          <t>KUL</t>
        </is>
      </c>
      <c r="Q597" s="65">
        <f>Flights!$AE$22</f>
        <v/>
      </c>
      <c r="R597" s="65">
        <f>Q597+(IF(AND(INDEX(TZ_DSTS,MATCH(P597,TZ_STN,0))&lt;&gt;"",Q597&gt;=INDEX(TZ_DSTS,MATCH(P597,TZ_STN,0)),Q597&lt;INDEX(TZ_DSTE,MATCH(P597,TZ_STN,0))),INDEX(TZ_DST,MATCH(P597,TZ_STN,0)),INDEX(TZ_STD,MATCH(P597,TZ_STN,0))))/24</f>
        <v/>
      </c>
      <c r="S597" s="65">
        <f>Q597-T12EarlyH/24</f>
        <v/>
      </c>
      <c r="T597" s="66" t="n"/>
      <c r="U597" s="66" t="n"/>
      <c r="V597" s="66" t="n"/>
      <c r="W597" s="67" t="n"/>
      <c r="X597" s="66" t="n"/>
      <c r="Y597" s="66" t="n"/>
      <c r="Z597" s="66" t="n"/>
      <c r="AA597" s="66" t="n"/>
      <c r="AB597" s="66" t="n"/>
      <c r="AC597" s="66" t="n"/>
      <c r="AD597" s="72" t="n"/>
      <c r="AE597" s="66" t="n"/>
      <c r="AF597" s="67">
        <f>IF(AND(ISNUMBER(X597),ISNUMBER(Y597)),Y597-X597,"")</f>
        <v/>
      </c>
      <c r="AG597" s="68">
        <f>IF(ISNUMBER(AD597),AD597-(IF(AND(INDEX(TZ_DSTS,MATCH(P597,TZ_STN,0))&lt;&gt;"",(AD597-INDEX(TZ_STD,MATCH(P597,TZ_STN,0))/24)&gt;=INDEX(TZ_DSTS,MATCH(P597,TZ_STN,0)),(AD597-INDEX(TZ_STD,MATCH(P597,TZ_STN,0))/24)&lt;INDEX(TZ_DSTE,MATCH(P597,TZ_STN,0))),INDEX(TZ_DST,MATCH(P597,TZ_STN,0)),INDEX(TZ_STD,MATCH(P597,TZ_STN,0))))/24,"")</f>
        <v/>
      </c>
      <c r="AH597" s="71">
        <f>IF(N597="N/A – rule","N/A – RULE",IF(TRIM(U597)="N/A",IF(AT597=0,"INVALID – N/A not permitted for this mandatory check",IF(AND(TRIM(AC597)&lt;&gt;"",TRIM(AE597)&lt;&gt;"",TRIM(T597)&lt;&gt;""),"N/A – JUSTIFIED","INVALID – N/A needs justification, PIC and verifier")),IF(OR(TRIM(U597)="Pass",TRIM(U597)="Pass after CA"),IF(NOT(ISNUMBER(AD597)),"INVALID – completion time missing",IF(TRIM(T597)="","INVALID – PIC missing",IF(TRIM(Z597)="","INVALID – evidence missing",IF(TRIM(AE597)="","INVALID – verifier missing",IF(AND(AQ597=1,TRIM(W597)=""),"INVALID – batch ID missing",IF(AND(AR597=1,OR(NOT(ISNUMBER(X597)),NOT(ISNUMBER(Y597)))),"INVALID – expected/actual qty missing",IF(IF(AND(TRIM(U597)="Pass",ISNUMBER(AF597)),IF(AF597&lt;&gt;0,"INVALID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recorded/closed","")&lt;&gt;"",IF(AND(TRIM(U597)="Pass",ISNUMBER(AF597)),IF(AF597&lt;&gt;0,"INVALID – qty variance: use Fail or Pass after CA",""),"")&amp;IF(AND(TRIM(U597)="Pass",AB597="Open"),"INVALID – corrective action still open: use Fail, then Pass after CA","")&amp;IF(AND(TRIM(U597)="Pass after CA",OR(TRIM(AA597)="",AB597&lt;&gt;"Closed")),"INVALID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window"),IF(AG597&gt;Flights!$AA$22,"INVALID – completed after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f>
        <v/>
      </c>
      <c r="AI597" s="67">
        <f>IF(OR(AH597="N/A – RULE",AH597="N/A – JUSTIFIED"),0,1)</f>
        <v/>
      </c>
      <c r="AJ597" s="67">
        <f>IF(LEFT(AH597,8)="COMPLETE",1,0)</f>
        <v/>
      </c>
      <c r="AK597" s="67">
        <f>IF(AND(AI597=1,AJ597=0,AsOfUTC&gt;Q597),1,0)</f>
        <v/>
      </c>
      <c r="AL597" s="67">
        <f>IF(AND(AI597=1,OR(TRIM(U597)="Fail",AB597="Open",AND(ISNUMBER(AF597),AF597&lt;&gt;0,TRIM(U597)&lt;&gt;"Pass after CA"))),1,0)</f>
        <v/>
      </c>
      <c r="AM597" s="67">
        <f>IF(LEFT(AH597,7)="INVALID",1,0)</f>
        <v/>
      </c>
      <c r="AN597" s="67">
        <f>IF(AND(N597="Clarification required",AI597=1,AJ597=0),1,0)</f>
        <v/>
      </c>
      <c r="AO597" s="67">
        <f>IF(AK597=1,SUM(AK$5:AK597),"")</f>
        <v/>
      </c>
      <c r="AP597" s="67">
        <f>IF(AL597=1,SUM(AL$5:AL597),"")</f>
        <v/>
      </c>
      <c r="AQ597" s="67" t="n">
        <v>0</v>
      </c>
      <c r="AR597" s="67" t="n">
        <v>0</v>
      </c>
      <c r="AS597" s="67" t="n">
        <v>0</v>
      </c>
      <c r="AT597" s="67" t="n">
        <v>1</v>
      </c>
    </row>
    <row r="598" ht="41.5" customHeight="1">
      <c r="A598" s="63" t="inlineStr">
        <is>
          <t>F18-T12-15</t>
        </is>
      </c>
      <c r="B598" s="63" t="inlineStr">
        <is>
          <t>F18</t>
        </is>
      </c>
      <c r="C598" s="63">
        <f>Flights!$F$22</f>
        <v/>
      </c>
      <c r="D598" s="64">
        <f>Flights!$D$22</f>
        <v/>
      </c>
      <c r="E598" s="63">
        <f>Flights!$G$22&amp;"-"&amp;Flights!$H$22</f>
        <v/>
      </c>
      <c r="F598" s="63">
        <f>Flights!$K$22</f>
        <v/>
      </c>
      <c r="G598" s="63" t="inlineStr">
        <is>
          <t>T-12H PREP</t>
        </is>
      </c>
      <c r="H598" s="63" t="inlineStr">
        <is>
          <t>Preparation</t>
        </is>
      </c>
      <c r="I598" s="63" t="inlineStr">
        <is>
          <t>F&amp;B Linen</t>
        </is>
      </c>
      <c r="J598" s="63" t="inlineStr">
        <is>
          <t>Linen bag - prepared</t>
        </is>
      </c>
      <c r="K598" s="73" t="inlineStr">
        <is>
          <t>Available (ticked in reference)</t>
        </is>
      </c>
      <c r="L598" s="73" t="inlineStr">
        <is>
          <t>STD UPLIFT INFORMATION.xlsx &gt; F&amp;B LINEN!J15</t>
        </is>
      </c>
      <c r="M598" s="73" t="inlineStr">
        <is>
          <t>Not stated in reference</t>
        </is>
      </c>
      <c r="N598" s="73" t="inlineStr">
        <is>
          <t>Required</t>
        </is>
      </c>
      <c r="O598" s="73" t="inlineStr">
        <is>
          <t>Reference gives no uplift stn for this item: preparation checked at the meal uplift stn (KUL) - confirm with caterer.</t>
        </is>
      </c>
      <c r="P598" s="63" t="inlineStr">
        <is>
          <t>KUL</t>
        </is>
      </c>
      <c r="Q598" s="65">
        <f>Flights!$AE$22</f>
        <v/>
      </c>
      <c r="R598" s="65">
        <f>Q598+(IF(AND(INDEX(TZ_DSTS,MATCH(P598,TZ_STN,0))&lt;&gt;"",Q598&gt;=INDEX(TZ_DSTS,MATCH(P598,TZ_STN,0)),Q598&lt;INDEX(TZ_DSTE,MATCH(P598,TZ_STN,0))),INDEX(TZ_DST,MATCH(P598,TZ_STN,0)),INDEX(TZ_STD,MATCH(P598,TZ_STN,0))))/24</f>
        <v/>
      </c>
      <c r="S598" s="65">
        <f>Q598-T12EarlyH/24</f>
        <v/>
      </c>
      <c r="T598" s="66" t="n"/>
      <c r="U598" s="66" t="n"/>
      <c r="V598" s="66" t="n"/>
      <c r="W598" s="67" t="n"/>
      <c r="X598" s="66" t="n"/>
      <c r="Y598" s="66" t="n"/>
      <c r="Z598" s="66" t="n"/>
      <c r="AA598" s="66" t="n"/>
      <c r="AB598" s="66" t="n"/>
      <c r="AC598" s="66" t="n"/>
      <c r="AD598" s="72" t="n"/>
      <c r="AE598" s="66" t="n"/>
      <c r="AF598" s="67">
        <f>IF(AND(ISNUMBER(X598),ISNUMBER(Y598)),Y598-X598,"")</f>
        <v/>
      </c>
      <c r="AG598" s="68">
        <f>IF(ISNUMBER(AD598),AD598-(IF(AND(INDEX(TZ_DSTS,MATCH(P598,TZ_STN,0))&lt;&gt;"",(AD598-INDEX(TZ_STD,MATCH(P598,TZ_STN,0))/24)&gt;=INDEX(TZ_DSTS,MATCH(P598,TZ_STN,0)),(AD598-INDEX(TZ_STD,MATCH(P598,TZ_STN,0))/24)&lt;INDEX(TZ_DSTE,MATCH(P598,TZ_STN,0))),INDEX(TZ_DST,MATCH(P598,TZ_STN,0)),INDEX(TZ_STD,MATCH(P598,TZ_STN,0))))/24,"")</f>
        <v/>
      </c>
      <c r="AH598" s="71">
        <f>IF(N598="N/A – rule","N/A – RULE",IF(TRIM(U598)="N/A",IF(AT598=0,"INVALID – N/A not permitted for this mandatory check",IF(AND(TRIM(AC598)&lt;&gt;"",TRIM(AE598)&lt;&gt;"",TRIM(T598)&lt;&gt;""),"N/A – JUSTIFIED","INVALID – N/A needs justification, PIC and verifier")),IF(OR(TRIM(U598)="Pass",TRIM(U598)="Pass after CA"),IF(NOT(ISNUMBER(AD598)),"INVALID – completion time missing",IF(TRIM(T598)="","INVALID – PIC missing",IF(TRIM(Z598)="","INVALID – evidence missing",IF(TRIM(AE598)="","INVALID – verifier missing",IF(AND(AQ598=1,TRIM(W598)=""),"INVALID – batch ID missing",IF(AND(AR598=1,OR(NOT(ISNUMBER(X598)),NOT(ISNUMBER(Y598)))),"INVALID – expected/actual qty missing",IF(IF(AND(TRIM(U598)="Pass",ISNUMBER(AF598)),IF(AF598&lt;&gt;0,"INVALID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recorded/closed","")&lt;&gt;"",IF(AND(TRIM(U598)="Pass",ISNUMBER(AF598)),IF(AF598&lt;&gt;0,"INVALID – qty variance: use Fail or Pass after CA",""),"")&amp;IF(AND(TRIM(U598)="Pass",AB598="Open"),"INVALID – corrective action still open: use Fail, then Pass after CA","")&amp;IF(AND(TRIM(U598)="Pass after CA",OR(TRIM(AA598)="",AB598&lt;&gt;"Closed")),"INVALID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window"),IF(AG598&gt;Flights!$AA$22,"INVALID – completed after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f>
        <v/>
      </c>
      <c r="AI598" s="67">
        <f>IF(OR(AH598="N/A – RULE",AH598="N/A – JUSTIFIED"),0,1)</f>
        <v/>
      </c>
      <c r="AJ598" s="67">
        <f>IF(LEFT(AH598,8)="COMPLETE",1,0)</f>
        <v/>
      </c>
      <c r="AK598" s="67">
        <f>IF(AND(AI598=1,AJ598=0,AsOfUTC&gt;Q598),1,0)</f>
        <v/>
      </c>
      <c r="AL598" s="67">
        <f>IF(AND(AI598=1,OR(TRIM(U598)="Fail",AB598="Open",AND(ISNUMBER(AF598),AF598&lt;&gt;0,TRIM(U598)&lt;&gt;"Pass after CA"))),1,0)</f>
        <v/>
      </c>
      <c r="AM598" s="67">
        <f>IF(LEFT(AH598,7)="INVALID",1,0)</f>
        <v/>
      </c>
      <c r="AN598" s="67">
        <f>IF(AND(N598="Clarification required",AI598=1,AJ598=0),1,0)</f>
        <v/>
      </c>
      <c r="AO598" s="67">
        <f>IF(AK598=1,SUM(AK$5:AK598),"")</f>
        <v/>
      </c>
      <c r="AP598" s="67">
        <f>IF(AL598=1,SUM(AL$5:AL598),"")</f>
        <v/>
      </c>
      <c r="AQ598" s="67" t="n">
        <v>0</v>
      </c>
      <c r="AR598" s="67" t="n">
        <v>0</v>
      </c>
      <c r="AS598" s="67" t="n">
        <v>0</v>
      </c>
      <c r="AT598" s="67" t="n">
        <v>1</v>
      </c>
    </row>
    <row r="599" ht="41.5" customHeight="1">
      <c r="A599" s="63" t="inlineStr">
        <is>
          <t>F18-T12-16</t>
        </is>
      </c>
      <c r="B599" s="63" t="inlineStr">
        <is>
          <t>F18</t>
        </is>
      </c>
      <c r="C599" s="63">
        <f>Flights!$F$22</f>
        <v/>
      </c>
      <c r="D599" s="64">
        <f>Flights!$D$22</f>
        <v/>
      </c>
      <c r="E599" s="63">
        <f>Flights!$G$22&amp;"-"&amp;Flights!$H$22</f>
        <v/>
      </c>
      <c r="F599" s="63">
        <f>Flights!$K$22</f>
        <v/>
      </c>
      <c r="G599" s="63" t="inlineStr">
        <is>
          <t>T-12H PREP</t>
        </is>
      </c>
      <c r="H599" s="63" t="inlineStr">
        <is>
          <t>Preparation</t>
        </is>
      </c>
      <c r="I599" s="63" t="inlineStr">
        <is>
          <t>Seat Linen</t>
        </is>
      </c>
      <c r="J599" s="63" t="inlineStr">
        <is>
          <t>Seat pillow (BS &amp; BC) - prepared</t>
        </is>
      </c>
      <c r="K599" s="73" t="inlineStr">
        <is>
          <t>Available 100% (ticked in reference)</t>
        </is>
      </c>
      <c r="L599" s="73" t="inlineStr">
        <is>
          <t>STD UPLIFT INFORMATION.xlsx &gt; SEAT LINEN!E15</t>
        </is>
      </c>
      <c r="M599" s="73" t="inlineStr">
        <is>
          <t>Not stated in reference</t>
        </is>
      </c>
      <c r="N599" s="73" t="inlineStr">
        <is>
          <t>Required</t>
        </is>
      </c>
      <c r="O599" s="73" t="inlineStr">
        <is>
          <t>Reference gives no uplift stn for this item: preparation checked at the meal uplift stn (KUL) - confirm with caterer.</t>
        </is>
      </c>
      <c r="P599" s="63" t="inlineStr">
        <is>
          <t>KUL</t>
        </is>
      </c>
      <c r="Q599" s="65">
        <f>Flights!$AE$22</f>
        <v/>
      </c>
      <c r="R599" s="65">
        <f>Q599+(IF(AND(INDEX(TZ_DSTS,MATCH(P599,TZ_STN,0))&lt;&gt;"",Q599&gt;=INDEX(TZ_DSTS,MATCH(P599,TZ_STN,0)),Q599&lt;INDEX(TZ_DSTE,MATCH(P599,TZ_STN,0))),INDEX(TZ_DST,MATCH(P599,TZ_STN,0)),INDEX(TZ_STD,MATCH(P599,TZ_STN,0))))/24</f>
        <v/>
      </c>
      <c r="S599" s="65">
        <f>Q599-T12EarlyH/24</f>
        <v/>
      </c>
      <c r="T599" s="66" t="n"/>
      <c r="U599" s="66" t="n"/>
      <c r="V599" s="66" t="n"/>
      <c r="W599" s="67" t="n"/>
      <c r="X599" s="66" t="n"/>
      <c r="Y599" s="66" t="n"/>
      <c r="Z599" s="66" t="n"/>
      <c r="AA599" s="66" t="n"/>
      <c r="AB599" s="66" t="n"/>
      <c r="AC599" s="66" t="n"/>
      <c r="AD599" s="72" t="n"/>
      <c r="AE599" s="66" t="n"/>
      <c r="AF599" s="67">
        <f>IF(AND(ISNUMBER(X599),ISNUMBER(Y599)),Y599-X599,"")</f>
        <v/>
      </c>
      <c r="AG599" s="68">
        <f>IF(ISNUMBER(AD599),AD599-(IF(AND(INDEX(TZ_DSTS,MATCH(P599,TZ_STN,0))&lt;&gt;"",(AD599-INDEX(TZ_STD,MATCH(P599,TZ_STN,0))/24)&gt;=INDEX(TZ_DSTS,MATCH(P599,TZ_STN,0)),(AD599-INDEX(TZ_STD,MATCH(P599,TZ_STN,0))/24)&lt;INDEX(TZ_DSTE,MATCH(P599,TZ_STN,0))),INDEX(TZ_DST,MATCH(P599,TZ_STN,0)),INDEX(TZ_STD,MATCH(P599,TZ_STN,0))))/24,"")</f>
        <v/>
      </c>
      <c r="AH599" s="71">
        <f>IF(N599="N/A – rule","N/A – RULE",IF(TRIM(U599)="N/A",IF(AT599=0,"INVALID – N/A not permitted for this mandatory check",IF(AND(TRIM(AC599)&lt;&gt;"",TRIM(AE599)&lt;&gt;"",TRIM(T599)&lt;&gt;""),"N/A – JUSTIFIED","INVALID – N/A needs justification, PIC and verifier")),IF(OR(TRIM(U599)="Pass",TRIM(U599)="Pass after CA"),IF(NOT(ISNUMBER(AD599)),"INVALID – completion time missing",IF(TRIM(T599)="","INVALID – PIC missing",IF(TRIM(Z599)="","INVALID – evidence missing",IF(TRIM(AE599)="","INVALID – verifier missing",IF(AND(AQ599=1,TRIM(W599)=""),"INVALID – batch ID missing",IF(AND(AR599=1,OR(NOT(ISNUMBER(X599)),NOT(ISNUMBER(Y599)))),"INVALID – expected/actual qty missing",IF(IF(AND(TRIM(U599)="Pass",ISNUMBER(AF599)),IF(AF599&lt;&gt;0,"INVALID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recorded/closed","")&lt;&gt;"",IF(AND(TRIM(U599)="Pass",ISNUMBER(AF599)),IF(AF599&lt;&gt;0,"INVALID – qty variance: use Fail or Pass after CA",""),"")&amp;IF(AND(TRIM(U599)="Pass",AB599="Open"),"INVALID – corrective action still open: use Fail, then Pass after CA","")&amp;IF(AND(TRIM(U599)="Pass after CA",OR(TRIM(AA599)="",AB599&lt;&gt;"Closed")),"INVALID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window"),IF(AG599&gt;Flights!$AA$22,"INVALID – completed after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f>
        <v/>
      </c>
      <c r="AI599" s="67">
        <f>IF(OR(AH599="N/A – RULE",AH599="N/A – JUSTIFIED"),0,1)</f>
        <v/>
      </c>
      <c r="AJ599" s="67">
        <f>IF(LEFT(AH599,8)="COMPLETE",1,0)</f>
        <v/>
      </c>
      <c r="AK599" s="67">
        <f>IF(AND(AI599=1,AJ599=0,AsOfUTC&gt;Q599),1,0)</f>
        <v/>
      </c>
      <c r="AL599" s="67">
        <f>IF(AND(AI599=1,OR(TRIM(U599)="Fail",AB599="Open",AND(ISNUMBER(AF599),AF599&lt;&gt;0,TRIM(U599)&lt;&gt;"Pass after CA"))),1,0)</f>
        <v/>
      </c>
      <c r="AM599" s="67">
        <f>IF(LEFT(AH599,7)="INVALID",1,0)</f>
        <v/>
      </c>
      <c r="AN599" s="67">
        <f>IF(AND(N599="Clarification required",AI599=1,AJ599=0),1,0)</f>
        <v/>
      </c>
      <c r="AO599" s="67">
        <f>IF(AK599=1,SUM(AK$5:AK599),"")</f>
        <v/>
      </c>
      <c r="AP599" s="67">
        <f>IF(AL599=1,SUM(AL$5:AL599),"")</f>
        <v/>
      </c>
      <c r="AQ599" s="67" t="n">
        <v>0</v>
      </c>
      <c r="AR599" s="67" t="n">
        <v>0</v>
      </c>
      <c r="AS599" s="67" t="n">
        <v>0</v>
      </c>
      <c r="AT599" s="67" t="n">
        <v>1</v>
      </c>
    </row>
    <row r="600" ht="41.5" customHeight="1">
      <c r="A600" s="63" t="inlineStr">
        <is>
          <t>F18-T12-17</t>
        </is>
      </c>
      <c r="B600" s="63" t="inlineStr">
        <is>
          <t>F18</t>
        </is>
      </c>
      <c r="C600" s="63">
        <f>Flights!$F$22</f>
        <v/>
      </c>
      <c r="D600" s="64">
        <f>Flights!$D$22</f>
        <v/>
      </c>
      <c r="E600" s="63">
        <f>Flights!$G$22&amp;"-"&amp;Flights!$H$22</f>
        <v/>
      </c>
      <c r="F600" s="63">
        <f>Flights!$K$22</f>
        <v/>
      </c>
      <c r="G600" s="63" t="inlineStr">
        <is>
          <t>T-12H PREP</t>
        </is>
      </c>
      <c r="H600" s="63" t="inlineStr">
        <is>
          <t>Preparation</t>
        </is>
      </c>
      <c r="I600" s="63" t="inlineStr">
        <is>
          <t>Seat Linen</t>
        </is>
      </c>
      <c r="J600" s="63" t="inlineStr">
        <is>
          <t>Duvet (BS &amp; BC) - prepared</t>
        </is>
      </c>
      <c r="K600" s="73" t="inlineStr">
        <is>
          <t>Available 100% (ticked in reference)</t>
        </is>
      </c>
      <c r="L600" s="73" t="inlineStr">
        <is>
          <t>STD UPLIFT INFORMATION.xlsx &gt; SEAT LINEN!F15</t>
        </is>
      </c>
      <c r="M600" s="73" t="inlineStr">
        <is>
          <t>Not stated in reference</t>
        </is>
      </c>
      <c r="N600" s="73" t="inlineStr">
        <is>
          <t>Required</t>
        </is>
      </c>
      <c r="O600" s="73" t="inlineStr">
        <is>
          <t>Reference gives no uplift stn for this item: preparation checked at the meal uplift stn (KUL) - confirm with caterer.</t>
        </is>
      </c>
      <c r="P600" s="63" t="inlineStr">
        <is>
          <t>KUL</t>
        </is>
      </c>
      <c r="Q600" s="65">
        <f>Flights!$AE$22</f>
        <v/>
      </c>
      <c r="R600" s="65">
        <f>Q600+(IF(AND(INDEX(TZ_DSTS,MATCH(P600,TZ_STN,0))&lt;&gt;"",Q600&gt;=INDEX(TZ_DSTS,MATCH(P600,TZ_STN,0)),Q600&lt;INDEX(TZ_DSTE,MATCH(P600,TZ_STN,0))),INDEX(TZ_DST,MATCH(P600,TZ_STN,0)),INDEX(TZ_STD,MATCH(P600,TZ_STN,0))))/24</f>
        <v/>
      </c>
      <c r="S600" s="65">
        <f>Q600-T12EarlyH/24</f>
        <v/>
      </c>
      <c r="T600" s="66" t="n"/>
      <c r="U600" s="66" t="n"/>
      <c r="V600" s="66" t="n"/>
      <c r="W600" s="67" t="n"/>
      <c r="X600" s="66" t="n"/>
      <c r="Y600" s="66" t="n"/>
      <c r="Z600" s="66" t="n"/>
      <c r="AA600" s="66" t="n"/>
      <c r="AB600" s="66" t="n"/>
      <c r="AC600" s="66" t="n"/>
      <c r="AD600" s="72" t="n"/>
      <c r="AE600" s="66" t="n"/>
      <c r="AF600" s="67">
        <f>IF(AND(ISNUMBER(X600),ISNUMBER(Y600)),Y600-X600,"")</f>
        <v/>
      </c>
      <c r="AG600" s="68">
        <f>IF(ISNUMBER(AD600),AD600-(IF(AND(INDEX(TZ_DSTS,MATCH(P600,TZ_STN,0))&lt;&gt;"",(AD600-INDEX(TZ_STD,MATCH(P600,TZ_STN,0))/24)&gt;=INDEX(TZ_DSTS,MATCH(P600,TZ_STN,0)),(AD600-INDEX(TZ_STD,MATCH(P600,TZ_STN,0))/24)&lt;INDEX(TZ_DSTE,MATCH(P600,TZ_STN,0))),INDEX(TZ_DST,MATCH(P600,TZ_STN,0)),INDEX(TZ_STD,MATCH(P600,TZ_STN,0))))/24,"")</f>
        <v/>
      </c>
      <c r="AH600" s="71">
        <f>IF(N600="N/A – rule","N/A – RULE",IF(TRIM(U600)="N/A",IF(AT600=0,"INVALID – N/A not permitted for this mandatory check",IF(AND(TRIM(AC600)&lt;&gt;"",TRIM(AE600)&lt;&gt;"",TRIM(T600)&lt;&gt;""),"N/A – JUSTIFIED","INVALID – N/A needs justification, PIC and verifier")),IF(OR(TRIM(U600)="Pass",TRIM(U600)="Pass after CA"),IF(NOT(ISNUMBER(AD600)),"INVALID – completion time missing",IF(TRIM(T600)="","INVALID – PIC missing",IF(TRIM(Z600)="","INVALID – evidence missing",IF(TRIM(AE600)="","INVALID – verifier missing",IF(AND(AQ600=1,TRIM(W600)=""),"INVALID – batch ID missing",IF(AND(AR600=1,OR(NOT(ISNUMBER(X600)),NOT(ISNUMBER(Y600)))),"INVALID – expected/actual qty missing",IF(IF(AND(TRIM(U600)="Pass",ISNUMBER(AF600)),IF(AF600&lt;&gt;0,"INVALID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recorded/closed","")&lt;&gt;"",IF(AND(TRIM(U600)="Pass",ISNUMBER(AF600)),IF(AF600&lt;&gt;0,"INVALID – qty variance: use Fail or Pass after CA",""),"")&amp;IF(AND(TRIM(U600)="Pass",AB600="Open"),"INVALID – corrective action still open: use Fail, then Pass after CA","")&amp;IF(AND(TRIM(U600)="Pass after CA",OR(TRIM(AA600)="",AB600&lt;&gt;"Closed")),"INVALID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window"),IF(AG600&gt;Flights!$AA$22,"INVALID – completed after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f>
        <v/>
      </c>
      <c r="AI600" s="67">
        <f>IF(OR(AH600="N/A – RULE",AH600="N/A – JUSTIFIED"),0,1)</f>
        <v/>
      </c>
      <c r="AJ600" s="67">
        <f>IF(LEFT(AH600,8)="COMPLETE",1,0)</f>
        <v/>
      </c>
      <c r="AK600" s="67">
        <f>IF(AND(AI600=1,AJ600=0,AsOfUTC&gt;Q600),1,0)</f>
        <v/>
      </c>
      <c r="AL600" s="67">
        <f>IF(AND(AI600=1,OR(TRIM(U600)="Fail",AB600="Open",AND(ISNUMBER(AF600),AF600&lt;&gt;0,TRIM(U600)&lt;&gt;"Pass after CA"))),1,0)</f>
        <v/>
      </c>
      <c r="AM600" s="67">
        <f>IF(LEFT(AH600,7)="INVALID",1,0)</f>
        <v/>
      </c>
      <c r="AN600" s="67">
        <f>IF(AND(N600="Clarification required",AI600=1,AJ600=0),1,0)</f>
        <v/>
      </c>
      <c r="AO600" s="67">
        <f>IF(AK600=1,SUM(AK$5:AK600),"")</f>
        <v/>
      </c>
      <c r="AP600" s="67">
        <f>IF(AL600=1,SUM(AL$5:AL600),"")</f>
        <v/>
      </c>
      <c r="AQ600" s="67" t="n">
        <v>0</v>
      </c>
      <c r="AR600" s="67" t="n">
        <v>0</v>
      </c>
      <c r="AS600" s="67" t="n">
        <v>0</v>
      </c>
      <c r="AT600" s="67" t="n">
        <v>1</v>
      </c>
    </row>
    <row r="601" ht="41.5" customHeight="1">
      <c r="A601" s="63" t="inlineStr">
        <is>
          <t>F18-T12-18</t>
        </is>
      </c>
      <c r="B601" s="63" t="inlineStr">
        <is>
          <t>F18</t>
        </is>
      </c>
      <c r="C601" s="63">
        <f>Flights!$F$22</f>
        <v/>
      </c>
      <c r="D601" s="64">
        <f>Flights!$D$22</f>
        <v/>
      </c>
      <c r="E601" s="63">
        <f>Flights!$G$22&amp;"-"&amp;Flights!$H$22</f>
        <v/>
      </c>
      <c r="F601" s="63">
        <f>Flights!$K$22</f>
        <v/>
      </c>
      <c r="G601" s="63" t="inlineStr">
        <is>
          <t>T-12H PREP</t>
        </is>
      </c>
      <c r="H601" s="63" t="inlineStr">
        <is>
          <t>Preparation</t>
        </is>
      </c>
      <c r="I601" s="63" t="inlineStr">
        <is>
          <t>Seat Linen</t>
        </is>
      </c>
      <c r="J601" s="63" t="inlineStr">
        <is>
          <t>Mattress (BS &amp; BC) - prepared</t>
        </is>
      </c>
      <c r="K601" s="73" t="inlineStr">
        <is>
          <t>Available 100% (ticked in reference)</t>
        </is>
      </c>
      <c r="L601" s="73" t="inlineStr">
        <is>
          <t>STD UPLIFT INFORMATION.xlsx &gt; SEAT LINEN!G15</t>
        </is>
      </c>
      <c r="M601" s="73" t="inlineStr">
        <is>
          <t>Not stated in reference</t>
        </is>
      </c>
      <c r="N601" s="73" t="inlineStr">
        <is>
          <t>Required</t>
        </is>
      </c>
      <c r="O601" s="73" t="inlineStr">
        <is>
          <t>Reference gives no uplift stn for this item: preparation checked at the meal uplift stn (KUL) - confirm with caterer.</t>
        </is>
      </c>
      <c r="P601" s="63" t="inlineStr">
        <is>
          <t>KUL</t>
        </is>
      </c>
      <c r="Q601" s="65">
        <f>Flights!$AE$22</f>
        <v/>
      </c>
      <c r="R601" s="65">
        <f>Q601+(IF(AND(INDEX(TZ_DSTS,MATCH(P601,TZ_STN,0))&lt;&gt;"",Q601&gt;=INDEX(TZ_DSTS,MATCH(P601,TZ_STN,0)),Q601&lt;INDEX(TZ_DSTE,MATCH(P601,TZ_STN,0))),INDEX(TZ_DST,MATCH(P601,TZ_STN,0)),INDEX(TZ_STD,MATCH(P601,TZ_STN,0))))/24</f>
        <v/>
      </c>
      <c r="S601" s="65">
        <f>Q601-T12EarlyH/24</f>
        <v/>
      </c>
      <c r="T601" s="66" t="n"/>
      <c r="U601" s="66" t="n"/>
      <c r="V601" s="66" t="n"/>
      <c r="W601" s="67" t="n"/>
      <c r="X601" s="66" t="n"/>
      <c r="Y601" s="66" t="n"/>
      <c r="Z601" s="66" t="n"/>
      <c r="AA601" s="66" t="n"/>
      <c r="AB601" s="66" t="n"/>
      <c r="AC601" s="66" t="n"/>
      <c r="AD601" s="72" t="n"/>
      <c r="AE601" s="66" t="n"/>
      <c r="AF601" s="67">
        <f>IF(AND(ISNUMBER(X601),ISNUMBER(Y601)),Y601-X601,"")</f>
        <v/>
      </c>
      <c r="AG601" s="68">
        <f>IF(ISNUMBER(AD601),AD601-(IF(AND(INDEX(TZ_DSTS,MATCH(P601,TZ_STN,0))&lt;&gt;"",(AD601-INDEX(TZ_STD,MATCH(P601,TZ_STN,0))/24)&gt;=INDEX(TZ_DSTS,MATCH(P601,TZ_STN,0)),(AD601-INDEX(TZ_STD,MATCH(P601,TZ_STN,0))/24)&lt;INDEX(TZ_DSTE,MATCH(P601,TZ_STN,0))),INDEX(TZ_DST,MATCH(P601,TZ_STN,0)),INDEX(TZ_STD,MATCH(P601,TZ_STN,0))))/24,"")</f>
        <v/>
      </c>
      <c r="AH601" s="71">
        <f>IF(N601="N/A – rule","N/A – RULE",IF(TRIM(U601)="N/A",IF(AT601=0,"INVALID – N/A not permitted for this mandatory check",IF(AND(TRIM(AC601)&lt;&gt;"",TRIM(AE601)&lt;&gt;"",TRIM(T601)&lt;&gt;""),"N/A – JUSTIFIED","INVALID – N/A needs justification, PIC and verifier")),IF(OR(TRIM(U601)="Pass",TRIM(U601)="Pass after CA"),IF(NOT(ISNUMBER(AD601)),"INVALID – completion time missing",IF(TRIM(T601)="","INVALID – PIC missing",IF(TRIM(Z601)="","INVALID – evidence missing",IF(TRIM(AE601)="","INVALID – verifier missing",IF(AND(AQ601=1,TRIM(W601)=""),"INVALID – batch ID missing",IF(AND(AR601=1,OR(NOT(ISNUMBER(X601)),NOT(ISNUMBER(Y601)))),"INVALID – expected/actual qty missing",IF(IF(AND(TRIM(U601)="Pass",ISNUMBER(AF601)),IF(AF601&lt;&gt;0,"INVALID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recorded/closed","")&lt;&gt;"",IF(AND(TRIM(U601)="Pass",ISNUMBER(AF601)),IF(AF601&lt;&gt;0,"INVALID – qty variance: use Fail or Pass after CA",""),"")&amp;IF(AND(TRIM(U601)="Pass",AB601="Open"),"INVALID – corrective action still open: use Fail, then Pass after CA","")&amp;IF(AND(TRIM(U601)="Pass after CA",OR(TRIM(AA601)="",AB601&lt;&gt;"Closed")),"INVALID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window"),IF(AG601&gt;Flights!$AA$22,"INVALID – completed after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f>
        <v/>
      </c>
      <c r="AI601" s="67">
        <f>IF(OR(AH601="N/A – RULE",AH601="N/A – JUSTIFIED"),0,1)</f>
        <v/>
      </c>
      <c r="AJ601" s="67">
        <f>IF(LEFT(AH601,8)="COMPLETE",1,0)</f>
        <v/>
      </c>
      <c r="AK601" s="67">
        <f>IF(AND(AI601=1,AJ601=0,AsOfUTC&gt;Q601),1,0)</f>
        <v/>
      </c>
      <c r="AL601" s="67">
        <f>IF(AND(AI601=1,OR(TRIM(U601)="Fail",AB601="Open",AND(ISNUMBER(AF601),AF601&lt;&gt;0,TRIM(U601)&lt;&gt;"Pass after CA"))),1,0)</f>
        <v/>
      </c>
      <c r="AM601" s="67">
        <f>IF(LEFT(AH601,7)="INVALID",1,0)</f>
        <v/>
      </c>
      <c r="AN601" s="67">
        <f>IF(AND(N601="Clarification required",AI601=1,AJ601=0),1,0)</f>
        <v/>
      </c>
      <c r="AO601" s="67">
        <f>IF(AK601=1,SUM(AK$5:AK601),"")</f>
        <v/>
      </c>
      <c r="AP601" s="67">
        <f>IF(AL601=1,SUM(AL$5:AL601),"")</f>
        <v/>
      </c>
      <c r="AQ601" s="67" t="n">
        <v>0</v>
      </c>
      <c r="AR601" s="67" t="n">
        <v>0</v>
      </c>
      <c r="AS601" s="67" t="n">
        <v>0</v>
      </c>
      <c r="AT601" s="67" t="n">
        <v>1</v>
      </c>
    </row>
    <row r="602" ht="40" customHeight="1">
      <c r="A602" s="63" t="inlineStr">
        <is>
          <t>F18-T12-19</t>
        </is>
      </c>
      <c r="B602" s="63" t="inlineStr">
        <is>
          <t>F18</t>
        </is>
      </c>
      <c r="C602" s="63">
        <f>Flights!$F$22</f>
        <v/>
      </c>
      <c r="D602" s="64">
        <f>Flights!$D$22</f>
        <v/>
      </c>
      <c r="E602" s="63">
        <f>Flights!$G$22&amp;"-"&amp;Flights!$H$22</f>
        <v/>
      </c>
      <c r="F602" s="63">
        <f>Flights!$K$22</f>
        <v/>
      </c>
      <c r="G602" s="63" t="inlineStr">
        <is>
          <t>T-12H PREP</t>
        </is>
      </c>
      <c r="H602" s="63" t="inlineStr">
        <is>
          <t>Preparation</t>
        </is>
      </c>
      <c r="I602" s="63" t="inlineStr">
        <is>
          <t>Signature Drinks</t>
        </is>
      </c>
      <c r="J602" s="63" t="inlineStr">
        <is>
          <t>Signature drink &amp; garnish (BC) - prepared</t>
        </is>
      </c>
      <c r="K602" s="73" t="inlineStr">
        <is>
          <t>Available (ticked in reference)</t>
        </is>
      </c>
      <c r="L602" s="73" t="inlineStr">
        <is>
          <t>STD UPLIFT INFORMATION.xlsx &gt; Signature Drinks!F15 / G15 / D79</t>
        </is>
      </c>
      <c r="M602" s="73" t="inlineStr">
        <is>
          <t>KUL</t>
        </is>
      </c>
      <c r="N602" s="73" t="inlineStr">
        <is>
          <t>Required</t>
        </is>
      </c>
      <c r="O602" s="73" t="inlineStr">
        <is>
          <t>Signature drinks &amp; garnish uplifted from KUL (note D79).</t>
        </is>
      </c>
      <c r="P602" s="63" t="inlineStr">
        <is>
          <t>KUL</t>
        </is>
      </c>
      <c r="Q602" s="65">
        <f>Flights!$AE$22</f>
        <v/>
      </c>
      <c r="R602" s="65">
        <f>Q602+(IF(AND(INDEX(TZ_DSTS,MATCH(P602,TZ_STN,0))&lt;&gt;"",Q602&gt;=INDEX(TZ_DSTS,MATCH(P602,TZ_STN,0)),Q602&lt;INDEX(TZ_DSTE,MATCH(P602,TZ_STN,0))),INDEX(TZ_DST,MATCH(P602,TZ_STN,0)),INDEX(TZ_STD,MATCH(P602,TZ_STN,0))))/24</f>
        <v/>
      </c>
      <c r="S602" s="65">
        <f>Q602-T12EarlyH/24</f>
        <v/>
      </c>
      <c r="T602" s="66" t="n"/>
      <c r="U602" s="66" t="n"/>
      <c r="V602" s="66" t="n"/>
      <c r="W602" s="67" t="n"/>
      <c r="X602" s="66" t="n"/>
      <c r="Y602" s="66" t="n"/>
      <c r="Z602" s="66" t="n"/>
      <c r="AA602" s="66" t="n"/>
      <c r="AB602" s="66" t="n"/>
      <c r="AC602" s="66" t="n"/>
      <c r="AD602" s="72" t="n"/>
      <c r="AE602" s="66" t="n"/>
      <c r="AF602" s="67">
        <f>IF(AND(ISNUMBER(X602),ISNUMBER(Y602)),Y602-X602,"")</f>
        <v/>
      </c>
      <c r="AG602" s="68">
        <f>IF(ISNUMBER(AD602),AD602-(IF(AND(INDEX(TZ_DSTS,MATCH(P602,TZ_STN,0))&lt;&gt;"",(AD602-INDEX(TZ_STD,MATCH(P602,TZ_STN,0))/24)&gt;=INDEX(TZ_DSTS,MATCH(P602,TZ_STN,0)),(AD602-INDEX(TZ_STD,MATCH(P602,TZ_STN,0))/24)&lt;INDEX(TZ_DSTE,MATCH(P602,TZ_STN,0))),INDEX(TZ_DST,MATCH(P602,TZ_STN,0)),INDEX(TZ_STD,MATCH(P602,TZ_STN,0))))/24,"")</f>
        <v/>
      </c>
      <c r="AH602" s="71">
        <f>IF(N602="N/A – rule","N/A – RULE",IF(TRIM(U602)="N/A",IF(AT602=0,"INVALID – N/A not permitted for this mandatory check",IF(AND(TRIM(AC602)&lt;&gt;"",TRIM(AE602)&lt;&gt;"",TRIM(T602)&lt;&gt;""),"N/A – JUSTIFIED","INVALID – N/A needs justification, PIC and verifier")),IF(OR(TRIM(U602)="Pass",TRIM(U602)="Pass after CA"),IF(NOT(ISNUMBER(AD602)),"INVALID – completion time missing",IF(TRIM(T602)="","INVALID – PIC missing",IF(TRIM(Z602)="","INVALID – evidence missing",IF(TRIM(AE602)="","INVALID – verifier missing",IF(AND(AQ602=1,TRIM(W602)=""),"INVALID – batch ID missing",IF(AND(AR602=1,OR(NOT(ISNUMBER(X602)),NOT(ISNUMBER(Y602)))),"INVALID – expected/actual qty missing",IF(IF(AND(TRIM(U602)="Pass",ISNUMBER(AF602)),IF(AF602&lt;&gt;0,"INVALID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recorded/closed","")&lt;&gt;"",IF(AND(TRIM(U602)="Pass",ISNUMBER(AF602)),IF(AF602&lt;&gt;0,"INVALID – qty variance: use Fail or Pass after CA",""),"")&amp;IF(AND(TRIM(U602)="Pass",AB602="Open"),"INVALID – corrective action still open: use Fail, then Pass after CA","")&amp;IF(AND(TRIM(U602)="Pass after CA",OR(TRIM(AA602)="",AB602&lt;&gt;"Closed")),"INVALID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window"),IF(AG602&gt;Flights!$AA$22,"INVALID – completed after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f>
        <v/>
      </c>
      <c r="AI602" s="67">
        <f>IF(OR(AH602="N/A – RULE",AH602="N/A – JUSTIFIED"),0,1)</f>
        <v/>
      </c>
      <c r="AJ602" s="67">
        <f>IF(LEFT(AH602,8)="COMPLETE",1,0)</f>
        <v/>
      </c>
      <c r="AK602" s="67">
        <f>IF(AND(AI602=1,AJ602=0,AsOfUTC&gt;Q602),1,0)</f>
        <v/>
      </c>
      <c r="AL602" s="67">
        <f>IF(AND(AI602=1,OR(TRIM(U602)="Fail",AB602="Open",AND(ISNUMBER(AF602),AF602&lt;&gt;0,TRIM(U602)&lt;&gt;"Pass after CA"))),1,0)</f>
        <v/>
      </c>
      <c r="AM602" s="67">
        <f>IF(LEFT(AH602,7)="INVALID",1,0)</f>
        <v/>
      </c>
      <c r="AN602" s="67">
        <f>IF(AND(N602="Clarification required",AI602=1,AJ602=0),1,0)</f>
        <v/>
      </c>
      <c r="AO602" s="67">
        <f>IF(AK602=1,SUM(AK$5:AK602),"")</f>
        <v/>
      </c>
      <c r="AP602" s="67">
        <f>IF(AL602=1,SUM(AL$5:AL602),"")</f>
        <v/>
      </c>
      <c r="AQ602" s="67" t="n">
        <v>0</v>
      </c>
      <c r="AR602" s="67" t="n">
        <v>0</v>
      </c>
      <c r="AS602" s="67" t="n">
        <v>0</v>
      </c>
      <c r="AT602" s="67" t="n">
        <v>1</v>
      </c>
    </row>
    <row r="603" ht="41.5" customHeight="1">
      <c r="A603" s="63" t="inlineStr">
        <is>
          <t>F18-T12-20</t>
        </is>
      </c>
      <c r="B603" s="63" t="inlineStr">
        <is>
          <t>F18</t>
        </is>
      </c>
      <c r="C603" s="63">
        <f>Flights!$F$22</f>
        <v/>
      </c>
      <c r="D603" s="64">
        <f>Flights!$D$22</f>
        <v/>
      </c>
      <c r="E603" s="63">
        <f>Flights!$G$22&amp;"-"&amp;Flights!$H$22</f>
        <v/>
      </c>
      <c r="F603" s="63">
        <f>Flights!$K$22</f>
        <v/>
      </c>
      <c r="G603" s="63" t="inlineStr">
        <is>
          <t>T-12H PREP</t>
        </is>
      </c>
      <c r="H603" s="63" t="inlineStr">
        <is>
          <t>Preparation</t>
        </is>
      </c>
      <c r="I603" s="63" t="inlineStr">
        <is>
          <t>Sales Cart</t>
        </is>
      </c>
      <c r="J603" s="63" t="inlineStr">
        <is>
          <t>Sales cart (caterer PASB) - prepared</t>
        </is>
      </c>
      <c r="K603" s="73" t="inlineStr">
        <is>
          <t>Location 643 &amp; 947 (A333, full cart)</t>
        </is>
      </c>
      <c r="L603" s="73" t="inlineStr">
        <is>
          <t>STD UPLIFT INFORMATION.xlsx &gt; SALES CART!I8:I37 / C12 / C40</t>
        </is>
      </c>
      <c r="M603" s="73" t="inlineStr">
        <is>
          <t>Not stated in reference</t>
        </is>
      </c>
      <c r="N603" s="73" t="inlineStr">
        <is>
          <t>Required</t>
        </is>
      </c>
      <c r="O603" s="73" t="inlineStr">
        <is>
          <t>Block 6.50 h &gt;= 4 h. Reference gives no uplift stn for this item: preparation checked at the meal uplift stn (KUL) - confirm with caterer.</t>
        </is>
      </c>
      <c r="P603" s="63" t="inlineStr">
        <is>
          <t>KUL</t>
        </is>
      </c>
      <c r="Q603" s="65">
        <f>Flights!$AE$22</f>
        <v/>
      </c>
      <c r="R603" s="65">
        <f>Q603+(IF(AND(INDEX(TZ_DSTS,MATCH(P603,TZ_STN,0))&lt;&gt;"",Q603&gt;=INDEX(TZ_DSTS,MATCH(P603,TZ_STN,0)),Q603&lt;INDEX(TZ_DSTE,MATCH(P603,TZ_STN,0))),INDEX(TZ_DST,MATCH(P603,TZ_STN,0)),INDEX(TZ_STD,MATCH(P603,TZ_STN,0))))/24</f>
        <v/>
      </c>
      <c r="S603" s="65">
        <f>Q603-T12EarlyH/24</f>
        <v/>
      </c>
      <c r="T603" s="66" t="n"/>
      <c r="U603" s="66" t="n"/>
      <c r="V603" s="66" t="n"/>
      <c r="W603" s="67" t="n"/>
      <c r="X603" s="66" t="n"/>
      <c r="Y603" s="66" t="n"/>
      <c r="Z603" s="66" t="n"/>
      <c r="AA603" s="66" t="n"/>
      <c r="AB603" s="66" t="n"/>
      <c r="AC603" s="66" t="n"/>
      <c r="AD603" s="72" t="n"/>
      <c r="AE603" s="66" t="n"/>
      <c r="AF603" s="67">
        <f>IF(AND(ISNUMBER(X603),ISNUMBER(Y603)),Y603-X603,"")</f>
        <v/>
      </c>
      <c r="AG603" s="68">
        <f>IF(ISNUMBER(AD603),AD603-(IF(AND(INDEX(TZ_DSTS,MATCH(P603,TZ_STN,0))&lt;&gt;"",(AD603-INDEX(TZ_STD,MATCH(P603,TZ_STN,0))/24)&gt;=INDEX(TZ_DSTS,MATCH(P603,TZ_STN,0)),(AD603-INDEX(TZ_STD,MATCH(P603,TZ_STN,0))/24)&lt;INDEX(TZ_DSTE,MATCH(P603,TZ_STN,0))),INDEX(TZ_DST,MATCH(P603,TZ_STN,0)),INDEX(TZ_STD,MATCH(P603,TZ_STN,0))))/24,"")</f>
        <v/>
      </c>
      <c r="AH603" s="71">
        <f>IF(N603="N/A – rule","N/A – RULE",IF(TRIM(U603)="N/A",IF(AT603=0,"INVALID – N/A not permitted for this mandatory check",IF(AND(TRIM(AC603)&lt;&gt;"",TRIM(AE603)&lt;&gt;"",TRIM(T603)&lt;&gt;""),"N/A – JUSTIFIED","INVALID – N/A needs justification, PIC and verifier")),IF(OR(TRIM(U603)="Pass",TRIM(U603)="Pass after CA"),IF(NOT(ISNUMBER(AD603)),"INVALID – completion time missing",IF(TRIM(T603)="","INVALID – PIC missing",IF(TRIM(Z603)="","INVALID – evidence missing",IF(TRIM(AE603)="","INVALID – verifier missing",IF(AND(AQ603=1,TRIM(W603)=""),"INVALID – batch ID missing",IF(AND(AR603=1,OR(NOT(ISNUMBER(X603)),NOT(ISNUMBER(Y603)))),"INVALID – expected/actual qty missing",IF(IF(AND(TRIM(U603)="Pass",ISNUMBER(AF603)),IF(AF603&lt;&gt;0,"INVALID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recorded/closed","")&lt;&gt;"",IF(AND(TRIM(U603)="Pass",ISNUMBER(AF603)),IF(AF603&lt;&gt;0,"INVALID – qty variance: use Fail or Pass after CA",""),"")&amp;IF(AND(TRIM(U603)="Pass",AB603="Open"),"INVALID – corrective action still open: use Fail, then Pass after CA","")&amp;IF(AND(TRIM(U603)="Pass after CA",OR(TRIM(AA603)="",AB603&lt;&gt;"Closed")),"INVALID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window"),IF(AG603&gt;Flights!$AA$22,"INVALID – completed after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f>
        <v/>
      </c>
      <c r="AI603" s="67">
        <f>IF(OR(AH603="N/A – RULE",AH603="N/A – JUSTIFIED"),0,1)</f>
        <v/>
      </c>
      <c r="AJ603" s="67">
        <f>IF(LEFT(AH603,8)="COMPLETE",1,0)</f>
        <v/>
      </c>
      <c r="AK603" s="67">
        <f>IF(AND(AI603=1,AJ603=0,AsOfUTC&gt;Q603),1,0)</f>
        <v/>
      </c>
      <c r="AL603" s="67">
        <f>IF(AND(AI603=1,OR(TRIM(U603)="Fail",AB603="Open",AND(ISNUMBER(AF603),AF603&lt;&gt;0,TRIM(U603)&lt;&gt;"Pass after CA"))),1,0)</f>
        <v/>
      </c>
      <c r="AM603" s="67">
        <f>IF(LEFT(AH603,7)="INVALID",1,0)</f>
        <v/>
      </c>
      <c r="AN603" s="67">
        <f>IF(AND(N603="Clarification required",AI603=1,AJ603=0),1,0)</f>
        <v/>
      </c>
      <c r="AO603" s="67">
        <f>IF(AK603=1,SUM(AK$5:AK603),"")</f>
        <v/>
      </c>
      <c r="AP603" s="67">
        <f>IF(AL603=1,SUM(AL$5:AL603),"")</f>
        <v/>
      </c>
      <c r="AQ603" s="67" t="n">
        <v>0</v>
      </c>
      <c r="AR603" s="67" t="n">
        <v>0</v>
      </c>
      <c r="AS603" s="67" t="n">
        <v>0</v>
      </c>
      <c r="AT603" s="67" t="n">
        <v>1</v>
      </c>
    </row>
    <row r="604" ht="40" customHeight="1">
      <c r="A604" s="63" t="inlineStr">
        <is>
          <t>F18-UPL-01</t>
        </is>
      </c>
      <c r="B604" s="63" t="inlineStr">
        <is>
          <t>F18</t>
        </is>
      </c>
      <c r="C604" s="63">
        <f>Flights!$F$22</f>
        <v/>
      </c>
      <c r="D604" s="64">
        <f>Flights!$D$22</f>
        <v/>
      </c>
      <c r="E604" s="63">
        <f>Flights!$G$22&amp;"-"&amp;Flights!$H$22</f>
        <v/>
      </c>
      <c r="F604" s="63">
        <f>Flights!$K$22</f>
        <v/>
      </c>
      <c r="G604" s="63" t="inlineStr">
        <is>
          <t>UPLIFT</t>
        </is>
      </c>
      <c r="H604" s="63" t="inlineStr">
        <is>
          <t>Physical uplift</t>
        </is>
      </c>
      <c r="I604" s="63" t="inlineStr">
        <is>
          <t>Meal</t>
        </is>
      </c>
      <c r="J604" s="63" t="inlineStr">
        <is>
          <t>Meals physically uplifted on board - quantity vs menu checklist</t>
        </is>
      </c>
      <c r="K604" s="73" t="inlineStr">
        <is>
          <t>Enter expected &amp; actual</t>
        </is>
      </c>
      <c r="L604" s="73" t="inlineStr">
        <is>
          <t>User brief (T-12 hours - physical uplift)</t>
        </is>
      </c>
      <c r="M604" s="73" t="inlineStr"/>
      <c r="N604" s="73" t="inlineStr">
        <is>
          <t>Required</t>
        </is>
      </c>
      <c r="O604" s="73" t="inlineStr">
        <is>
          <t>Confirm on board before departure; completion time must fall inside the uplift window.</t>
        </is>
      </c>
      <c r="P604" s="63" t="inlineStr">
        <is>
          <t>KUL</t>
        </is>
      </c>
      <c r="Q604" s="65">
        <f>Flights!$AF$22</f>
        <v/>
      </c>
      <c r="R604" s="65">
        <f>Q604+(IF(AND(INDEX(TZ_DSTS,MATCH(P604,TZ_STN,0))&lt;&gt;"",Q604&gt;=INDEX(TZ_DSTS,MATCH(P604,TZ_STN,0)),Q604&lt;INDEX(TZ_DSTE,MATCH(P604,TZ_STN,0))),INDEX(TZ_DST,MATCH(P604,TZ_STN,0)),INDEX(TZ_STD,MATCH(P604,TZ_STN,0))))/24</f>
        <v/>
      </c>
      <c r="S604" s="65">
        <f>Q604-UpliftWindowH/24</f>
        <v/>
      </c>
      <c r="T604" s="66" t="n"/>
      <c r="U604" s="66" t="n"/>
      <c r="V604" s="66" t="n"/>
      <c r="W604" s="67" t="n"/>
      <c r="X604" s="66" t="n"/>
      <c r="Y604" s="66" t="n"/>
      <c r="Z604" s="66" t="n"/>
      <c r="AA604" s="66" t="n"/>
      <c r="AB604" s="66" t="n"/>
      <c r="AC604" s="66" t="n"/>
      <c r="AD604" s="72" t="n"/>
      <c r="AE604" s="66" t="n"/>
      <c r="AF604" s="67">
        <f>IF(AND(ISNUMBER(X604),ISNUMBER(Y604)),Y604-X604,"")</f>
        <v/>
      </c>
      <c r="AG604" s="68">
        <f>IF(ISNUMBER(AD604),AD604-(IF(AND(INDEX(TZ_DSTS,MATCH(P604,TZ_STN,0))&lt;&gt;"",(AD604-INDEX(TZ_STD,MATCH(P604,TZ_STN,0))/24)&gt;=INDEX(TZ_DSTS,MATCH(P604,TZ_STN,0)),(AD604-INDEX(TZ_STD,MATCH(P604,TZ_STN,0))/24)&lt;INDEX(TZ_DSTE,MATCH(P604,TZ_STN,0))),INDEX(TZ_DST,MATCH(P604,TZ_STN,0)),INDEX(TZ_STD,MATCH(P604,TZ_STN,0))))/24,"")</f>
        <v/>
      </c>
      <c r="AH604" s="71">
        <f>IF(N604="N/A – rule","N/A – RULE",IF(TRIM(U604)="N/A",IF(AT604=0,"INVALID – N/A not permitted for this mandatory check",IF(AND(TRIM(AC604)&lt;&gt;"",TRIM(AE604)&lt;&gt;"",TRIM(T604)&lt;&gt;""),"N/A – JUSTIFIED","INVALID – N/A needs justification, PIC and verifier")),IF(OR(TRIM(U604)="Pass",TRIM(U604)="Pass after CA"),IF(NOT(ISNUMBER(AD604)),"INVALID – completion time missing",IF(TRIM(T604)="","INVALID – PIC missing",IF(TRIM(Z604)="","INVALID – evidence missing",IF(TRIM(AE604)="","INVALID – verifier missing",IF(AND(AQ604=1,TRIM(W604)=""),"INVALID – batch ID missing",IF(AND(AR604=1,OR(NOT(ISNUMBER(X604)),NOT(ISNUMBER(Y604)))),"INVALID – expected/actual qty missing",IF(IF(AND(TRIM(U604)="Pass",ISNUMBER(AF604)),IF(AF604&lt;&gt;0,"INVALID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recorded/closed","")&lt;&gt;"",IF(AND(TRIM(U604)="Pass",ISNUMBER(AF604)),IF(AF604&lt;&gt;0,"INVALID – qty variance: use Fail or Pass after CA",""),"")&amp;IF(AND(TRIM(U604)="Pass",AB604="Open"),"INVALID – corrective action still open: use Fail, then Pass after CA","")&amp;IF(AND(TRIM(U604)="Pass after CA",OR(TRIM(AA604)="",AB604&lt;&gt;"Closed")),"INVALID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window"),IF(AG604&gt;Flights!$AA$22,"INVALID – completed after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f>
        <v/>
      </c>
      <c r="AI604" s="67">
        <f>IF(OR(AH604="N/A – RULE",AH604="N/A – JUSTIFIED"),0,1)</f>
        <v/>
      </c>
      <c r="AJ604" s="67">
        <f>IF(LEFT(AH604,8)="COMPLETE",1,0)</f>
        <v/>
      </c>
      <c r="AK604" s="67">
        <f>IF(AND(AI604=1,AJ604=0,AsOfUTC&gt;Q604),1,0)</f>
        <v/>
      </c>
      <c r="AL604" s="67">
        <f>IF(AND(AI604=1,OR(TRIM(U604)="Fail",AB604="Open",AND(ISNUMBER(AF604),AF604&lt;&gt;0,TRIM(U604)&lt;&gt;"Pass after CA"))),1,0)</f>
        <v/>
      </c>
      <c r="AM604" s="67">
        <f>IF(LEFT(AH604,7)="INVALID",1,0)</f>
        <v/>
      </c>
      <c r="AN604" s="67">
        <f>IF(AND(N604="Clarification required",AI604=1,AJ604=0),1,0)</f>
        <v/>
      </c>
      <c r="AO604" s="67">
        <f>IF(AK604=1,SUM(AK$5:AK604),"")</f>
        <v/>
      </c>
      <c r="AP604" s="67">
        <f>IF(AL604=1,SUM(AL$5:AL604),"")</f>
        <v/>
      </c>
      <c r="AQ604" s="67" t="n">
        <v>0</v>
      </c>
      <c r="AR604" s="67" t="n">
        <v>1</v>
      </c>
      <c r="AS604" s="67" t="n">
        <v>0</v>
      </c>
      <c r="AT604" s="67" t="n">
        <v>0</v>
      </c>
    </row>
    <row r="605" ht="40" customHeight="1">
      <c r="A605" s="63" t="inlineStr">
        <is>
          <t>F18-UPL-02</t>
        </is>
      </c>
      <c r="B605" s="63" t="inlineStr">
        <is>
          <t>F18</t>
        </is>
      </c>
      <c r="C605" s="63">
        <f>Flights!$F$22</f>
        <v/>
      </c>
      <c r="D605" s="64">
        <f>Flights!$D$22</f>
        <v/>
      </c>
      <c r="E605" s="63">
        <f>Flights!$G$22&amp;"-"&amp;Flights!$H$22</f>
        <v/>
      </c>
      <c r="F605" s="63">
        <f>Flights!$K$22</f>
        <v/>
      </c>
      <c r="G605" s="63" t="inlineStr">
        <is>
          <t>UPLIFT</t>
        </is>
      </c>
      <c r="H605" s="63" t="inlineStr">
        <is>
          <t>Physical uplift</t>
        </is>
      </c>
      <c r="I605" s="63" t="inlineStr">
        <is>
          <t>Equipment</t>
        </is>
      </c>
      <c r="J605" s="63" t="inlineStr">
        <is>
          <t>Equipment physically loaded at GLD positions - quantity &amp; positions</t>
        </is>
      </c>
      <c r="K605" s="73" t="inlineStr">
        <is>
          <t>Enter expected &amp; actual</t>
        </is>
      </c>
      <c r="L605" s="73" t="inlineStr">
        <is>
          <t>User brief (T-12 hours - physical uplift)</t>
        </is>
      </c>
      <c r="M605" s="73" t="inlineStr"/>
      <c r="N605" s="73" t="inlineStr">
        <is>
          <t>Required</t>
        </is>
      </c>
      <c r="O605" s="73" t="inlineStr">
        <is>
          <t>Confirm on board before departure; completion time must fall inside the uplift window.</t>
        </is>
      </c>
      <c r="P605" s="63" t="inlineStr">
        <is>
          <t>KUL</t>
        </is>
      </c>
      <c r="Q605" s="65">
        <f>Flights!$AF$22</f>
        <v/>
      </c>
      <c r="R605" s="65">
        <f>Q605+(IF(AND(INDEX(TZ_DSTS,MATCH(P605,TZ_STN,0))&lt;&gt;"",Q605&gt;=INDEX(TZ_DSTS,MATCH(P605,TZ_STN,0)),Q605&lt;INDEX(TZ_DSTE,MATCH(P605,TZ_STN,0))),INDEX(TZ_DST,MATCH(P605,TZ_STN,0)),INDEX(TZ_STD,MATCH(P605,TZ_STN,0))))/24</f>
        <v/>
      </c>
      <c r="S605" s="65">
        <f>Q605-UpliftWindowH/24</f>
        <v/>
      </c>
      <c r="T605" s="66" t="n"/>
      <c r="U605" s="66" t="n"/>
      <c r="V605" s="66" t="n"/>
      <c r="W605" s="67" t="n"/>
      <c r="X605" s="66" t="n"/>
      <c r="Y605" s="66" t="n"/>
      <c r="Z605" s="66" t="n"/>
      <c r="AA605" s="66" t="n"/>
      <c r="AB605" s="66" t="n"/>
      <c r="AC605" s="66" t="n"/>
      <c r="AD605" s="72" t="n"/>
      <c r="AE605" s="66" t="n"/>
      <c r="AF605" s="67">
        <f>IF(AND(ISNUMBER(X605),ISNUMBER(Y605)),Y605-X605,"")</f>
        <v/>
      </c>
      <c r="AG605" s="68">
        <f>IF(ISNUMBER(AD605),AD605-(IF(AND(INDEX(TZ_DSTS,MATCH(P605,TZ_STN,0))&lt;&gt;"",(AD605-INDEX(TZ_STD,MATCH(P605,TZ_STN,0))/24)&gt;=INDEX(TZ_DSTS,MATCH(P605,TZ_STN,0)),(AD605-INDEX(TZ_STD,MATCH(P605,TZ_STN,0))/24)&lt;INDEX(TZ_DSTE,MATCH(P605,TZ_STN,0))),INDEX(TZ_DST,MATCH(P605,TZ_STN,0)),INDEX(TZ_STD,MATCH(P605,TZ_STN,0))))/24,"")</f>
        <v/>
      </c>
      <c r="AH605" s="71">
        <f>IF(N605="N/A – rule","N/A – RULE",IF(TRIM(U605)="N/A",IF(AT605=0,"INVALID – N/A not permitted for this mandatory check",IF(AND(TRIM(AC605)&lt;&gt;"",TRIM(AE605)&lt;&gt;"",TRIM(T605)&lt;&gt;""),"N/A – JUSTIFIED","INVALID – N/A needs justification, PIC and verifier")),IF(OR(TRIM(U605)="Pass",TRIM(U605)="Pass after CA"),IF(NOT(ISNUMBER(AD605)),"INVALID – completion time missing",IF(TRIM(T605)="","INVALID – PIC missing",IF(TRIM(Z605)="","INVALID – evidence missing",IF(TRIM(AE605)="","INVALID – verifier missing",IF(AND(AQ605=1,TRIM(W605)=""),"INVALID – batch ID missing",IF(AND(AR605=1,OR(NOT(ISNUMBER(X605)),NOT(ISNUMBER(Y605)))),"INVALID – expected/actual qty missing",IF(IF(AND(TRIM(U605)="Pass",ISNUMBER(AF605)),IF(AF605&lt;&gt;0,"INVALID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recorded/closed","")&lt;&gt;"",IF(AND(TRIM(U605)="Pass",ISNUMBER(AF605)),IF(AF605&lt;&gt;0,"INVALID – qty variance: use Fail or Pass after CA",""),"")&amp;IF(AND(TRIM(U605)="Pass",AB605="Open"),"INVALID – corrective action still open: use Fail, then Pass after CA","")&amp;IF(AND(TRIM(U605)="Pass after CA",OR(TRIM(AA605)="",AB605&lt;&gt;"Closed")),"INVALID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window"),IF(AG605&gt;Flights!$AA$22,"INVALID – completed after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f>
        <v/>
      </c>
      <c r="AI605" s="67">
        <f>IF(OR(AH605="N/A – RULE",AH605="N/A – JUSTIFIED"),0,1)</f>
        <v/>
      </c>
      <c r="AJ605" s="67">
        <f>IF(LEFT(AH605,8)="COMPLETE",1,0)</f>
        <v/>
      </c>
      <c r="AK605" s="67">
        <f>IF(AND(AI605=1,AJ605=0,AsOfUTC&gt;Q605),1,0)</f>
        <v/>
      </c>
      <c r="AL605" s="67">
        <f>IF(AND(AI605=1,OR(TRIM(U605)="Fail",AB605="Open",AND(ISNUMBER(AF605),AF605&lt;&gt;0,TRIM(U605)&lt;&gt;"Pass after CA"))),1,0)</f>
        <v/>
      </c>
      <c r="AM605" s="67">
        <f>IF(LEFT(AH605,7)="INVALID",1,0)</f>
        <v/>
      </c>
      <c r="AN605" s="67">
        <f>IF(AND(N605="Clarification required",AI605=1,AJ605=0),1,0)</f>
        <v/>
      </c>
      <c r="AO605" s="67">
        <f>IF(AK605=1,SUM(AK$5:AK605),"")</f>
        <v/>
      </c>
      <c r="AP605" s="67">
        <f>IF(AL605=1,SUM(AL$5:AL605),"")</f>
        <v/>
      </c>
      <c r="AQ605" s="67" t="n">
        <v>0</v>
      </c>
      <c r="AR605" s="67" t="n">
        <v>1</v>
      </c>
      <c r="AS605" s="67" t="n">
        <v>0</v>
      </c>
      <c r="AT605" s="67" t="n">
        <v>0</v>
      </c>
    </row>
    <row r="606" ht="40" customHeight="1">
      <c r="A606" s="63" t="inlineStr">
        <is>
          <t>F18-UPL-03</t>
        </is>
      </c>
      <c r="B606" s="63" t="inlineStr">
        <is>
          <t>F18</t>
        </is>
      </c>
      <c r="C606" s="63">
        <f>Flights!$F$22</f>
        <v/>
      </c>
      <c r="D606" s="64">
        <f>Flights!$D$22</f>
        <v/>
      </c>
      <c r="E606" s="63">
        <f>Flights!$G$22&amp;"-"&amp;Flights!$H$22</f>
        <v/>
      </c>
      <c r="F606" s="63">
        <f>Flights!$K$22</f>
        <v/>
      </c>
      <c r="G606" s="63" t="inlineStr">
        <is>
          <t>UPLIFT</t>
        </is>
      </c>
      <c r="H606" s="63" t="inlineStr">
        <is>
          <t>Physical uplift</t>
        </is>
      </c>
      <c r="I606" s="63" t="inlineStr">
        <is>
          <t>Amenities</t>
        </is>
      </c>
      <c r="J606" s="63" t="inlineStr">
        <is>
          <t>Slippers (BS/BC) - on board</t>
        </is>
      </c>
      <c r="K606" s="73" t="inlineStr">
        <is>
          <t>Available (ticked in reference)</t>
        </is>
      </c>
      <c r="L606" s="73" t="inlineStr">
        <is>
          <t>STD UPLIFT INFORMATION.xlsx &gt; AMENITIES!G24 / H24</t>
        </is>
      </c>
      <c r="M606" s="73" t="inlineStr">
        <is>
          <t>KUL</t>
        </is>
      </c>
      <c r="N606" s="73" t="inlineStr">
        <is>
          <t>Required</t>
        </is>
      </c>
      <c r="O606" s="73" t="inlineStr"/>
      <c r="P606" s="63" t="inlineStr">
        <is>
          <t>KUL</t>
        </is>
      </c>
      <c r="Q606" s="65">
        <f>Flights!$AF$22</f>
        <v/>
      </c>
      <c r="R606" s="65">
        <f>Q606+(IF(AND(INDEX(TZ_DSTS,MATCH(P606,TZ_STN,0))&lt;&gt;"",Q606&gt;=INDEX(TZ_DSTS,MATCH(P606,TZ_STN,0)),Q606&lt;INDEX(TZ_DSTE,MATCH(P606,TZ_STN,0))),INDEX(TZ_DST,MATCH(P606,TZ_STN,0)),INDEX(TZ_STD,MATCH(P606,TZ_STN,0))))/24</f>
        <v/>
      </c>
      <c r="S606" s="65">
        <f>Q606-UpliftWindowH/24</f>
        <v/>
      </c>
      <c r="T606" s="66" t="n"/>
      <c r="U606" s="66" t="n"/>
      <c r="V606" s="66" t="n"/>
      <c r="W606" s="67" t="n"/>
      <c r="X606" s="66" t="n"/>
      <c r="Y606" s="66" t="n"/>
      <c r="Z606" s="66" t="n"/>
      <c r="AA606" s="66" t="n"/>
      <c r="AB606" s="66" t="n"/>
      <c r="AC606" s="66" t="n"/>
      <c r="AD606" s="72" t="n"/>
      <c r="AE606" s="66" t="n"/>
      <c r="AF606" s="67">
        <f>IF(AND(ISNUMBER(X606),ISNUMBER(Y606)),Y606-X606,"")</f>
        <v/>
      </c>
      <c r="AG606" s="68">
        <f>IF(ISNUMBER(AD606),AD606-(IF(AND(INDEX(TZ_DSTS,MATCH(P606,TZ_STN,0))&lt;&gt;"",(AD606-INDEX(TZ_STD,MATCH(P606,TZ_STN,0))/24)&gt;=INDEX(TZ_DSTS,MATCH(P606,TZ_STN,0)),(AD606-INDEX(TZ_STD,MATCH(P606,TZ_STN,0))/24)&lt;INDEX(TZ_DSTE,MATCH(P606,TZ_STN,0))),INDEX(TZ_DST,MATCH(P606,TZ_STN,0)),INDEX(TZ_STD,MATCH(P606,TZ_STN,0))))/24,"")</f>
        <v/>
      </c>
      <c r="AH606" s="71">
        <f>IF(N606="N/A – rule","N/A – RULE",IF(TRIM(U606)="N/A",IF(AT606=0,"INVALID – N/A not permitted for this mandatory check",IF(AND(TRIM(AC606)&lt;&gt;"",TRIM(AE606)&lt;&gt;"",TRIM(T606)&lt;&gt;""),"N/A – JUSTIFIED","INVALID – N/A needs justification, PIC and verifier")),IF(OR(TRIM(U606)="Pass",TRIM(U606)="Pass after CA"),IF(NOT(ISNUMBER(AD606)),"INVALID – completion time missing",IF(TRIM(T606)="","INVALID – PIC missing",IF(TRIM(Z606)="","INVALID – evidence missing",IF(TRIM(AE606)="","INVALID – verifier missing",IF(AND(AQ606=1,TRIM(W606)=""),"INVALID – batch ID missing",IF(AND(AR606=1,OR(NOT(ISNUMBER(X606)),NOT(ISNUMBER(Y606)))),"INVALID – expected/actual qty missing",IF(IF(AND(TRIM(U606)="Pass",ISNUMBER(AF606)),IF(AF606&lt;&gt;0,"INVALID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recorded/closed","")&lt;&gt;"",IF(AND(TRIM(U606)="Pass",ISNUMBER(AF606)),IF(AF606&lt;&gt;0,"INVALID – qty variance: use Fail or Pass after CA",""),"")&amp;IF(AND(TRIM(U606)="Pass",AB606="Open"),"INVALID – corrective action still open: use Fail, then Pass after CA","")&amp;IF(AND(TRIM(U606)="Pass after CA",OR(TRIM(AA606)="",AB606&lt;&gt;"Closed")),"INVALID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window"),IF(AG606&gt;Flights!$AA$22,"INVALID – completed after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f>
        <v/>
      </c>
      <c r="AI606" s="67">
        <f>IF(OR(AH606="N/A – RULE",AH606="N/A – JUSTIFIED"),0,1)</f>
        <v/>
      </c>
      <c r="AJ606" s="67">
        <f>IF(LEFT(AH606,8)="COMPLETE",1,0)</f>
        <v/>
      </c>
      <c r="AK606" s="67">
        <f>IF(AND(AI606=1,AJ606=0,AsOfUTC&gt;Q606),1,0)</f>
        <v/>
      </c>
      <c r="AL606" s="67">
        <f>IF(AND(AI606=1,OR(TRIM(U606)="Fail",AB606="Open",AND(ISNUMBER(AF606),AF606&lt;&gt;0,TRIM(U606)&lt;&gt;"Pass after CA"))),1,0)</f>
        <v/>
      </c>
      <c r="AM606" s="67">
        <f>IF(LEFT(AH606,7)="INVALID",1,0)</f>
        <v/>
      </c>
      <c r="AN606" s="67">
        <f>IF(AND(N606="Clarification required",AI606=1,AJ606=0),1,0)</f>
        <v/>
      </c>
      <c r="AO606" s="67">
        <f>IF(AK606=1,SUM(AK$5:AK606),"")</f>
        <v/>
      </c>
      <c r="AP606" s="67">
        <f>IF(AL606=1,SUM(AL$5:AL606),"")</f>
        <v/>
      </c>
      <c r="AQ606" s="67" t="n">
        <v>0</v>
      </c>
      <c r="AR606" s="67" t="n">
        <v>0</v>
      </c>
      <c r="AS606" s="67" t="n">
        <v>0</v>
      </c>
      <c r="AT606" s="67" t="n">
        <v>1</v>
      </c>
    </row>
    <row r="607" ht="40" customHeight="1">
      <c r="A607" s="63" t="inlineStr">
        <is>
          <t>F18-UPL-04</t>
        </is>
      </c>
      <c r="B607" s="63" t="inlineStr">
        <is>
          <t>F18</t>
        </is>
      </c>
      <c r="C607" s="63">
        <f>Flights!$F$22</f>
        <v/>
      </c>
      <c r="D607" s="64">
        <f>Flights!$D$22</f>
        <v/>
      </c>
      <c r="E607" s="63">
        <f>Flights!$G$22&amp;"-"&amp;Flights!$H$22</f>
        <v/>
      </c>
      <c r="F607" s="63">
        <f>Flights!$K$22</f>
        <v/>
      </c>
      <c r="G607" s="63" t="inlineStr">
        <is>
          <t>UPLIFT</t>
        </is>
      </c>
      <c r="H607" s="63" t="inlineStr">
        <is>
          <t>Physical uplift</t>
        </is>
      </c>
      <c r="I607" s="63" t="inlineStr">
        <is>
          <t>F&amp;B Linen</t>
        </is>
      </c>
      <c r="J607" s="63" t="inlineStr">
        <is>
          <t>Towel - on board</t>
        </is>
      </c>
      <c r="K607" s="73" t="inlineStr">
        <is>
          <t>Available (ticked in reference)</t>
        </is>
      </c>
      <c r="L607" s="73" t="inlineStr">
        <is>
          <t>STD UPLIFT INFORMATION.xlsx &gt; F&amp;B LINEN!D15</t>
        </is>
      </c>
      <c r="M607" s="73" t="inlineStr">
        <is>
          <t>Not stated in reference</t>
        </is>
      </c>
      <c r="N607" s="73" t="inlineStr">
        <is>
          <t>Required</t>
        </is>
      </c>
      <c r="O607" s="73" t="inlineStr"/>
      <c r="P607" s="63" t="inlineStr">
        <is>
          <t>KUL</t>
        </is>
      </c>
      <c r="Q607" s="65">
        <f>Flights!$AF$22</f>
        <v/>
      </c>
      <c r="R607" s="65">
        <f>Q607+(IF(AND(INDEX(TZ_DSTS,MATCH(P607,TZ_STN,0))&lt;&gt;"",Q607&gt;=INDEX(TZ_DSTS,MATCH(P607,TZ_STN,0)),Q607&lt;INDEX(TZ_DSTE,MATCH(P607,TZ_STN,0))),INDEX(TZ_DST,MATCH(P607,TZ_STN,0)),INDEX(TZ_STD,MATCH(P607,TZ_STN,0))))/24</f>
        <v/>
      </c>
      <c r="S607" s="65">
        <f>Q607-UpliftWindowH/24</f>
        <v/>
      </c>
      <c r="T607" s="66" t="n"/>
      <c r="U607" s="66" t="n"/>
      <c r="V607" s="66" t="n"/>
      <c r="W607" s="67" t="n"/>
      <c r="X607" s="66" t="n"/>
      <c r="Y607" s="66" t="n"/>
      <c r="Z607" s="66" t="n"/>
      <c r="AA607" s="66" t="n"/>
      <c r="AB607" s="66" t="n"/>
      <c r="AC607" s="66" t="n"/>
      <c r="AD607" s="72" t="n"/>
      <c r="AE607" s="66" t="n"/>
      <c r="AF607" s="67">
        <f>IF(AND(ISNUMBER(X607),ISNUMBER(Y607)),Y607-X607,"")</f>
        <v/>
      </c>
      <c r="AG607" s="68">
        <f>IF(ISNUMBER(AD607),AD607-(IF(AND(INDEX(TZ_DSTS,MATCH(P607,TZ_STN,0))&lt;&gt;"",(AD607-INDEX(TZ_STD,MATCH(P607,TZ_STN,0))/24)&gt;=INDEX(TZ_DSTS,MATCH(P607,TZ_STN,0)),(AD607-INDEX(TZ_STD,MATCH(P607,TZ_STN,0))/24)&lt;INDEX(TZ_DSTE,MATCH(P607,TZ_STN,0))),INDEX(TZ_DST,MATCH(P607,TZ_STN,0)),INDEX(TZ_STD,MATCH(P607,TZ_STN,0))))/24,"")</f>
        <v/>
      </c>
      <c r="AH607" s="71">
        <f>IF(N607="N/A – rule","N/A – RULE",IF(TRIM(U607)="N/A",IF(AT607=0,"INVALID – N/A not permitted for this mandatory check",IF(AND(TRIM(AC607)&lt;&gt;"",TRIM(AE607)&lt;&gt;"",TRIM(T607)&lt;&gt;""),"N/A – JUSTIFIED","INVALID – N/A needs justification, PIC and verifier")),IF(OR(TRIM(U607)="Pass",TRIM(U607)="Pass after CA"),IF(NOT(ISNUMBER(AD607)),"INVALID – completion time missing",IF(TRIM(T607)="","INVALID – PIC missing",IF(TRIM(Z607)="","INVALID – evidence missing",IF(TRIM(AE607)="","INVALID – verifier missing",IF(AND(AQ607=1,TRIM(W607)=""),"INVALID – batch ID missing",IF(AND(AR607=1,OR(NOT(ISNUMBER(X607)),NOT(ISNUMBER(Y607)))),"INVALID – expected/actual qty missing",IF(IF(AND(TRIM(U607)="Pass",ISNUMBER(AF607)),IF(AF607&lt;&gt;0,"INVALID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recorded/closed","")&lt;&gt;"",IF(AND(TRIM(U607)="Pass",ISNUMBER(AF607)),IF(AF607&lt;&gt;0,"INVALID – qty variance: use Fail or Pass after CA",""),"")&amp;IF(AND(TRIM(U607)="Pass",AB607="Open"),"INVALID – corrective action still open: use Fail, then Pass after CA","")&amp;IF(AND(TRIM(U607)="Pass after CA",OR(TRIM(AA607)="",AB607&lt;&gt;"Closed")),"INVALID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window"),IF(AG607&gt;Flights!$AA$22,"INVALID – completed after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f>
        <v/>
      </c>
      <c r="AI607" s="67">
        <f>IF(OR(AH607="N/A – RULE",AH607="N/A – JUSTIFIED"),0,1)</f>
        <v/>
      </c>
      <c r="AJ607" s="67">
        <f>IF(LEFT(AH607,8)="COMPLETE",1,0)</f>
        <v/>
      </c>
      <c r="AK607" s="67">
        <f>IF(AND(AI607=1,AJ607=0,AsOfUTC&gt;Q607),1,0)</f>
        <v/>
      </c>
      <c r="AL607" s="67">
        <f>IF(AND(AI607=1,OR(TRIM(U607)="Fail",AB607="Open",AND(ISNUMBER(AF607),AF607&lt;&gt;0,TRIM(U607)&lt;&gt;"Pass after CA"))),1,0)</f>
        <v/>
      </c>
      <c r="AM607" s="67">
        <f>IF(LEFT(AH607,7)="INVALID",1,0)</f>
        <v/>
      </c>
      <c r="AN607" s="67">
        <f>IF(AND(N607="Clarification required",AI607=1,AJ607=0),1,0)</f>
        <v/>
      </c>
      <c r="AO607" s="67">
        <f>IF(AK607=1,SUM(AK$5:AK607),"")</f>
        <v/>
      </c>
      <c r="AP607" s="67">
        <f>IF(AL607=1,SUM(AL$5:AL607),"")</f>
        <v/>
      </c>
      <c r="AQ607" s="67" t="n">
        <v>0</v>
      </c>
      <c r="AR607" s="67" t="n">
        <v>0</v>
      </c>
      <c r="AS607" s="67" t="n">
        <v>0</v>
      </c>
      <c r="AT607" s="67" t="n">
        <v>1</v>
      </c>
    </row>
    <row r="608" ht="40" customHeight="1">
      <c r="A608" s="63" t="inlineStr">
        <is>
          <t>F18-UPL-05</t>
        </is>
      </c>
      <c r="B608" s="63" t="inlineStr">
        <is>
          <t>F18</t>
        </is>
      </c>
      <c r="C608" s="63">
        <f>Flights!$F$22</f>
        <v/>
      </c>
      <c r="D608" s="64">
        <f>Flights!$D$22</f>
        <v/>
      </c>
      <c r="E608" s="63">
        <f>Flights!$G$22&amp;"-"&amp;Flights!$H$22</f>
        <v/>
      </c>
      <c r="F608" s="63">
        <f>Flights!$K$22</f>
        <v/>
      </c>
      <c r="G608" s="63" t="inlineStr">
        <is>
          <t>UPLIFT</t>
        </is>
      </c>
      <c r="H608" s="63" t="inlineStr">
        <is>
          <t>Physical uplift</t>
        </is>
      </c>
      <c r="I608" s="63" t="inlineStr">
        <is>
          <t>F&amp;B Linen</t>
        </is>
      </c>
      <c r="J608" s="63" t="inlineStr">
        <is>
          <t>Tray cloth - on board</t>
        </is>
      </c>
      <c r="K608" s="73" t="inlineStr">
        <is>
          <t>Available (ticked in reference)</t>
        </is>
      </c>
      <c r="L608" s="73" t="inlineStr">
        <is>
          <t>STD UPLIFT INFORMATION.xlsx &gt; F&amp;B LINEN!E15</t>
        </is>
      </c>
      <c r="M608" s="73" t="inlineStr">
        <is>
          <t>Not stated in reference</t>
        </is>
      </c>
      <c r="N608" s="73" t="inlineStr">
        <is>
          <t>Required</t>
        </is>
      </c>
      <c r="O608" s="73" t="inlineStr"/>
      <c r="P608" s="63" t="inlineStr">
        <is>
          <t>KUL</t>
        </is>
      </c>
      <c r="Q608" s="65">
        <f>Flights!$AF$22</f>
        <v/>
      </c>
      <c r="R608" s="65">
        <f>Q608+(IF(AND(INDEX(TZ_DSTS,MATCH(P608,TZ_STN,0))&lt;&gt;"",Q608&gt;=INDEX(TZ_DSTS,MATCH(P608,TZ_STN,0)),Q608&lt;INDEX(TZ_DSTE,MATCH(P608,TZ_STN,0))),INDEX(TZ_DST,MATCH(P608,TZ_STN,0)),INDEX(TZ_STD,MATCH(P608,TZ_STN,0))))/24</f>
        <v/>
      </c>
      <c r="S608" s="65">
        <f>Q608-UpliftWindowH/24</f>
        <v/>
      </c>
      <c r="T608" s="66" t="n"/>
      <c r="U608" s="66" t="n"/>
      <c r="V608" s="66" t="n"/>
      <c r="W608" s="67" t="n"/>
      <c r="X608" s="66" t="n"/>
      <c r="Y608" s="66" t="n"/>
      <c r="Z608" s="66" t="n"/>
      <c r="AA608" s="66" t="n"/>
      <c r="AB608" s="66" t="n"/>
      <c r="AC608" s="66" t="n"/>
      <c r="AD608" s="72" t="n"/>
      <c r="AE608" s="66" t="n"/>
      <c r="AF608" s="67">
        <f>IF(AND(ISNUMBER(X608),ISNUMBER(Y608)),Y608-X608,"")</f>
        <v/>
      </c>
      <c r="AG608" s="68">
        <f>IF(ISNUMBER(AD608),AD608-(IF(AND(INDEX(TZ_DSTS,MATCH(P608,TZ_STN,0))&lt;&gt;"",(AD608-INDEX(TZ_STD,MATCH(P608,TZ_STN,0))/24)&gt;=INDEX(TZ_DSTS,MATCH(P608,TZ_STN,0)),(AD608-INDEX(TZ_STD,MATCH(P608,TZ_STN,0))/24)&lt;INDEX(TZ_DSTE,MATCH(P608,TZ_STN,0))),INDEX(TZ_DST,MATCH(P608,TZ_STN,0)),INDEX(TZ_STD,MATCH(P608,TZ_STN,0))))/24,"")</f>
        <v/>
      </c>
      <c r="AH608" s="71">
        <f>IF(N608="N/A – rule","N/A – RULE",IF(TRIM(U608)="N/A",IF(AT608=0,"INVALID – N/A not permitted for this mandatory check",IF(AND(TRIM(AC608)&lt;&gt;"",TRIM(AE608)&lt;&gt;"",TRIM(T608)&lt;&gt;""),"N/A – JUSTIFIED","INVALID – N/A needs justification, PIC and verifier")),IF(OR(TRIM(U608)="Pass",TRIM(U608)="Pass after CA"),IF(NOT(ISNUMBER(AD608)),"INVALID – completion time missing",IF(TRIM(T608)="","INVALID – PIC missing",IF(TRIM(Z608)="","INVALID – evidence missing",IF(TRIM(AE608)="","INVALID – verifier missing",IF(AND(AQ608=1,TRIM(W608)=""),"INVALID – batch ID missing",IF(AND(AR608=1,OR(NOT(ISNUMBER(X608)),NOT(ISNUMBER(Y608)))),"INVALID – expected/actual qty missing",IF(IF(AND(TRIM(U608)="Pass",ISNUMBER(AF608)),IF(AF608&lt;&gt;0,"INVALID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recorded/closed","")&lt;&gt;"",IF(AND(TRIM(U608)="Pass",ISNUMBER(AF608)),IF(AF608&lt;&gt;0,"INVALID – qty variance: use Fail or Pass after CA",""),"")&amp;IF(AND(TRIM(U608)="Pass",AB608="Open"),"INVALID – corrective action still open: use Fail, then Pass after CA","")&amp;IF(AND(TRIM(U608)="Pass after CA",OR(TRIM(AA608)="",AB608&lt;&gt;"Closed")),"INVALID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window"),IF(AG608&gt;Flights!$AA$22,"INVALID – completed after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f>
        <v/>
      </c>
      <c r="AI608" s="67">
        <f>IF(OR(AH608="N/A – RULE",AH608="N/A – JUSTIFIED"),0,1)</f>
        <v/>
      </c>
      <c r="AJ608" s="67">
        <f>IF(LEFT(AH608,8)="COMPLETE",1,0)</f>
        <v/>
      </c>
      <c r="AK608" s="67">
        <f>IF(AND(AI608=1,AJ608=0,AsOfUTC&gt;Q608),1,0)</f>
        <v/>
      </c>
      <c r="AL608" s="67">
        <f>IF(AND(AI608=1,OR(TRIM(U608)="Fail",AB608="Open",AND(ISNUMBER(AF608),AF608&lt;&gt;0,TRIM(U608)&lt;&gt;"Pass after CA"))),1,0)</f>
        <v/>
      </c>
      <c r="AM608" s="67">
        <f>IF(LEFT(AH608,7)="INVALID",1,0)</f>
        <v/>
      </c>
      <c r="AN608" s="67">
        <f>IF(AND(N608="Clarification required",AI608=1,AJ608=0),1,0)</f>
        <v/>
      </c>
      <c r="AO608" s="67">
        <f>IF(AK608=1,SUM(AK$5:AK608),"")</f>
        <v/>
      </c>
      <c r="AP608" s="67">
        <f>IF(AL608=1,SUM(AL$5:AL608),"")</f>
        <v/>
      </c>
      <c r="AQ608" s="67" t="n">
        <v>0</v>
      </c>
      <c r="AR608" s="67" t="n">
        <v>0</v>
      </c>
      <c r="AS608" s="67" t="n">
        <v>0</v>
      </c>
      <c r="AT608" s="67" t="n">
        <v>1</v>
      </c>
    </row>
    <row r="609" ht="40" customHeight="1">
      <c r="A609" s="63" t="inlineStr">
        <is>
          <t>F18-UPL-06</t>
        </is>
      </c>
      <c r="B609" s="63" t="inlineStr">
        <is>
          <t>F18</t>
        </is>
      </c>
      <c r="C609" s="63">
        <f>Flights!$F$22</f>
        <v/>
      </c>
      <c r="D609" s="64">
        <f>Flights!$D$22</f>
        <v/>
      </c>
      <c r="E609" s="63">
        <f>Flights!$G$22&amp;"-"&amp;Flights!$H$22</f>
        <v/>
      </c>
      <c r="F609" s="63">
        <f>Flights!$K$22</f>
        <v/>
      </c>
      <c r="G609" s="63" t="inlineStr">
        <is>
          <t>UPLIFT</t>
        </is>
      </c>
      <c r="H609" s="63" t="inlineStr">
        <is>
          <t>Physical uplift</t>
        </is>
      </c>
      <c r="I609" s="63" t="inlineStr">
        <is>
          <t>F&amp;B Linen</t>
        </is>
      </c>
      <c r="J609" s="63" t="inlineStr">
        <is>
          <t>Napkin - on board</t>
        </is>
      </c>
      <c r="K609" s="73" t="inlineStr">
        <is>
          <t>Available (ticked in reference)</t>
        </is>
      </c>
      <c r="L609" s="73" t="inlineStr">
        <is>
          <t>STD UPLIFT INFORMATION.xlsx &gt; F&amp;B LINEN!F15</t>
        </is>
      </c>
      <c r="M609" s="73" t="inlineStr">
        <is>
          <t>Not stated in reference</t>
        </is>
      </c>
      <c r="N609" s="73" t="inlineStr">
        <is>
          <t>Required</t>
        </is>
      </c>
      <c r="O609" s="73" t="inlineStr"/>
      <c r="P609" s="63" t="inlineStr">
        <is>
          <t>KUL</t>
        </is>
      </c>
      <c r="Q609" s="65">
        <f>Flights!$AF$22</f>
        <v/>
      </c>
      <c r="R609" s="65">
        <f>Q609+(IF(AND(INDEX(TZ_DSTS,MATCH(P609,TZ_STN,0))&lt;&gt;"",Q609&gt;=INDEX(TZ_DSTS,MATCH(P609,TZ_STN,0)),Q609&lt;INDEX(TZ_DSTE,MATCH(P609,TZ_STN,0))),INDEX(TZ_DST,MATCH(P609,TZ_STN,0)),INDEX(TZ_STD,MATCH(P609,TZ_STN,0))))/24</f>
        <v/>
      </c>
      <c r="S609" s="65">
        <f>Q609-UpliftWindowH/24</f>
        <v/>
      </c>
      <c r="T609" s="66" t="n"/>
      <c r="U609" s="66" t="n"/>
      <c r="V609" s="66" t="n"/>
      <c r="W609" s="67" t="n"/>
      <c r="X609" s="66" t="n"/>
      <c r="Y609" s="66" t="n"/>
      <c r="Z609" s="66" t="n"/>
      <c r="AA609" s="66" t="n"/>
      <c r="AB609" s="66" t="n"/>
      <c r="AC609" s="66" t="n"/>
      <c r="AD609" s="72" t="n"/>
      <c r="AE609" s="66" t="n"/>
      <c r="AF609" s="67">
        <f>IF(AND(ISNUMBER(X609),ISNUMBER(Y609)),Y609-X609,"")</f>
        <v/>
      </c>
      <c r="AG609" s="68">
        <f>IF(ISNUMBER(AD609),AD609-(IF(AND(INDEX(TZ_DSTS,MATCH(P609,TZ_STN,0))&lt;&gt;"",(AD609-INDEX(TZ_STD,MATCH(P609,TZ_STN,0))/24)&gt;=INDEX(TZ_DSTS,MATCH(P609,TZ_STN,0)),(AD609-INDEX(TZ_STD,MATCH(P609,TZ_STN,0))/24)&lt;INDEX(TZ_DSTE,MATCH(P609,TZ_STN,0))),INDEX(TZ_DST,MATCH(P609,TZ_STN,0)),INDEX(TZ_STD,MATCH(P609,TZ_STN,0))))/24,"")</f>
        <v/>
      </c>
      <c r="AH609" s="71">
        <f>IF(N609="N/A – rule","N/A – RULE",IF(TRIM(U609)="N/A",IF(AT609=0,"INVALID – N/A not permitted for this mandatory check",IF(AND(TRIM(AC609)&lt;&gt;"",TRIM(AE609)&lt;&gt;"",TRIM(T609)&lt;&gt;""),"N/A – JUSTIFIED","INVALID – N/A needs justification, PIC and verifier")),IF(OR(TRIM(U609)="Pass",TRIM(U609)="Pass after CA"),IF(NOT(ISNUMBER(AD609)),"INVALID – completion time missing",IF(TRIM(T609)="","INVALID – PIC missing",IF(TRIM(Z609)="","INVALID – evidence missing",IF(TRIM(AE609)="","INVALID – verifier missing",IF(AND(AQ609=1,TRIM(W609)=""),"INVALID – batch ID missing",IF(AND(AR609=1,OR(NOT(ISNUMBER(X609)),NOT(ISNUMBER(Y609)))),"INVALID – expected/actual qty missing",IF(IF(AND(TRIM(U609)="Pass",ISNUMBER(AF609)),IF(AF609&lt;&gt;0,"INVALID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recorded/closed","")&lt;&gt;"",IF(AND(TRIM(U609)="Pass",ISNUMBER(AF609)),IF(AF609&lt;&gt;0,"INVALID – qty variance: use Fail or Pass after CA",""),"")&amp;IF(AND(TRIM(U609)="Pass",AB609="Open"),"INVALID – corrective action still open: use Fail, then Pass after CA","")&amp;IF(AND(TRIM(U609)="Pass after CA",OR(TRIM(AA609)="",AB609&lt;&gt;"Closed")),"INVALID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window"),IF(AG609&gt;Flights!$AA$22,"INVALID – completed after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f>
        <v/>
      </c>
      <c r="AI609" s="67">
        <f>IF(OR(AH609="N/A – RULE",AH609="N/A – JUSTIFIED"),0,1)</f>
        <v/>
      </c>
      <c r="AJ609" s="67">
        <f>IF(LEFT(AH609,8)="COMPLETE",1,0)</f>
        <v/>
      </c>
      <c r="AK609" s="67">
        <f>IF(AND(AI609=1,AJ609=0,AsOfUTC&gt;Q609),1,0)</f>
        <v/>
      </c>
      <c r="AL609" s="67">
        <f>IF(AND(AI609=1,OR(TRIM(U609)="Fail",AB609="Open",AND(ISNUMBER(AF609),AF609&lt;&gt;0,TRIM(U609)&lt;&gt;"Pass after CA"))),1,0)</f>
        <v/>
      </c>
      <c r="AM609" s="67">
        <f>IF(LEFT(AH609,7)="INVALID",1,0)</f>
        <v/>
      </c>
      <c r="AN609" s="67">
        <f>IF(AND(N609="Clarification required",AI609=1,AJ609=0),1,0)</f>
        <v/>
      </c>
      <c r="AO609" s="67">
        <f>IF(AK609=1,SUM(AK$5:AK609),"")</f>
        <v/>
      </c>
      <c r="AP609" s="67">
        <f>IF(AL609=1,SUM(AL$5:AL609),"")</f>
        <v/>
      </c>
      <c r="AQ609" s="67" t="n">
        <v>0</v>
      </c>
      <c r="AR609" s="67" t="n">
        <v>0</v>
      </c>
      <c r="AS609" s="67" t="n">
        <v>0</v>
      </c>
      <c r="AT609" s="67" t="n">
        <v>1</v>
      </c>
    </row>
    <row r="610" ht="40" customHeight="1">
      <c r="A610" s="63" t="inlineStr">
        <is>
          <t>F18-UPL-07</t>
        </is>
      </c>
      <c r="B610" s="63" t="inlineStr">
        <is>
          <t>F18</t>
        </is>
      </c>
      <c r="C610" s="63">
        <f>Flights!$F$22</f>
        <v/>
      </c>
      <c r="D610" s="64">
        <f>Flights!$D$22</f>
        <v/>
      </c>
      <c r="E610" s="63">
        <f>Flights!$G$22&amp;"-"&amp;Flights!$H$22</f>
        <v/>
      </c>
      <c r="F610" s="63">
        <f>Flights!$K$22</f>
        <v/>
      </c>
      <c r="G610" s="63" t="inlineStr">
        <is>
          <t>UPLIFT</t>
        </is>
      </c>
      <c r="H610" s="63" t="inlineStr">
        <is>
          <t>Physical uplift</t>
        </is>
      </c>
      <c r="I610" s="63" t="inlineStr">
        <is>
          <t>F&amp;B Linen</t>
        </is>
      </c>
      <c r="J610" s="63" t="inlineStr">
        <is>
          <t>Table cloth - on board</t>
        </is>
      </c>
      <c r="K610" s="73" t="inlineStr">
        <is>
          <t>Available (ticked in reference)</t>
        </is>
      </c>
      <c r="L610" s="73" t="inlineStr">
        <is>
          <t>STD UPLIFT INFORMATION.xlsx &gt; F&amp;B LINEN!G15</t>
        </is>
      </c>
      <c r="M610" s="73" t="inlineStr">
        <is>
          <t>Not stated in reference</t>
        </is>
      </c>
      <c r="N610" s="73" t="inlineStr">
        <is>
          <t>Required</t>
        </is>
      </c>
      <c r="O610" s="73" t="inlineStr"/>
      <c r="P610" s="63" t="inlineStr">
        <is>
          <t>KUL</t>
        </is>
      </c>
      <c r="Q610" s="65">
        <f>Flights!$AF$22</f>
        <v/>
      </c>
      <c r="R610" s="65">
        <f>Q610+(IF(AND(INDEX(TZ_DSTS,MATCH(P610,TZ_STN,0))&lt;&gt;"",Q610&gt;=INDEX(TZ_DSTS,MATCH(P610,TZ_STN,0)),Q610&lt;INDEX(TZ_DSTE,MATCH(P610,TZ_STN,0))),INDEX(TZ_DST,MATCH(P610,TZ_STN,0)),INDEX(TZ_STD,MATCH(P610,TZ_STN,0))))/24</f>
        <v/>
      </c>
      <c r="S610" s="65">
        <f>Q610-UpliftWindowH/24</f>
        <v/>
      </c>
      <c r="T610" s="66" t="n"/>
      <c r="U610" s="66" t="n"/>
      <c r="V610" s="66" t="n"/>
      <c r="W610" s="67" t="n"/>
      <c r="X610" s="66" t="n"/>
      <c r="Y610" s="66" t="n"/>
      <c r="Z610" s="66" t="n"/>
      <c r="AA610" s="66" t="n"/>
      <c r="AB610" s="66" t="n"/>
      <c r="AC610" s="66" t="n"/>
      <c r="AD610" s="72" t="n"/>
      <c r="AE610" s="66" t="n"/>
      <c r="AF610" s="67">
        <f>IF(AND(ISNUMBER(X610),ISNUMBER(Y610)),Y610-X610,"")</f>
        <v/>
      </c>
      <c r="AG610" s="68">
        <f>IF(ISNUMBER(AD610),AD610-(IF(AND(INDEX(TZ_DSTS,MATCH(P610,TZ_STN,0))&lt;&gt;"",(AD610-INDEX(TZ_STD,MATCH(P610,TZ_STN,0))/24)&gt;=INDEX(TZ_DSTS,MATCH(P610,TZ_STN,0)),(AD610-INDEX(TZ_STD,MATCH(P610,TZ_STN,0))/24)&lt;INDEX(TZ_DSTE,MATCH(P610,TZ_STN,0))),INDEX(TZ_DST,MATCH(P610,TZ_STN,0)),INDEX(TZ_STD,MATCH(P610,TZ_STN,0))))/24,"")</f>
        <v/>
      </c>
      <c r="AH610" s="71">
        <f>IF(N610="N/A – rule","N/A – RULE",IF(TRIM(U610)="N/A",IF(AT610=0,"INVALID – N/A not permitted for this mandatory check",IF(AND(TRIM(AC610)&lt;&gt;"",TRIM(AE610)&lt;&gt;"",TRIM(T610)&lt;&gt;""),"N/A – JUSTIFIED","INVALID – N/A needs justification, PIC and verifier")),IF(OR(TRIM(U610)="Pass",TRIM(U610)="Pass after CA"),IF(NOT(ISNUMBER(AD610)),"INVALID – completion time missing",IF(TRIM(T610)="","INVALID – PIC missing",IF(TRIM(Z610)="","INVALID – evidence missing",IF(TRIM(AE610)="","INVALID – verifier missing",IF(AND(AQ610=1,TRIM(W610)=""),"INVALID – batch ID missing",IF(AND(AR610=1,OR(NOT(ISNUMBER(X610)),NOT(ISNUMBER(Y610)))),"INVALID – expected/actual qty missing",IF(IF(AND(TRIM(U610)="Pass",ISNUMBER(AF610)),IF(AF610&lt;&gt;0,"INVALID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recorded/closed","")&lt;&gt;"",IF(AND(TRIM(U610)="Pass",ISNUMBER(AF610)),IF(AF610&lt;&gt;0,"INVALID – qty variance: use Fail or Pass after CA",""),"")&amp;IF(AND(TRIM(U610)="Pass",AB610="Open"),"INVALID – corrective action still open: use Fail, then Pass after CA","")&amp;IF(AND(TRIM(U610)="Pass after CA",OR(TRIM(AA610)="",AB610&lt;&gt;"Closed")),"INVALID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window"),IF(AG610&gt;Flights!$AA$22,"INVALID – completed after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f>
        <v/>
      </c>
      <c r="AI610" s="67">
        <f>IF(OR(AH610="N/A – RULE",AH610="N/A – JUSTIFIED"),0,1)</f>
        <v/>
      </c>
      <c r="AJ610" s="67">
        <f>IF(LEFT(AH610,8)="COMPLETE",1,0)</f>
        <v/>
      </c>
      <c r="AK610" s="67">
        <f>IF(AND(AI610=1,AJ610=0,AsOfUTC&gt;Q610),1,0)</f>
        <v/>
      </c>
      <c r="AL610" s="67">
        <f>IF(AND(AI610=1,OR(TRIM(U610)="Fail",AB610="Open",AND(ISNUMBER(AF610),AF610&lt;&gt;0,TRIM(U610)&lt;&gt;"Pass after CA"))),1,0)</f>
        <v/>
      </c>
      <c r="AM610" s="67">
        <f>IF(LEFT(AH610,7)="INVALID",1,0)</f>
        <v/>
      </c>
      <c r="AN610" s="67">
        <f>IF(AND(N610="Clarification required",AI610=1,AJ610=0),1,0)</f>
        <v/>
      </c>
      <c r="AO610" s="67">
        <f>IF(AK610=1,SUM(AK$5:AK610),"")</f>
        <v/>
      </c>
      <c r="AP610" s="67">
        <f>IF(AL610=1,SUM(AL$5:AL610),"")</f>
        <v/>
      </c>
      <c r="AQ610" s="67" t="n">
        <v>0</v>
      </c>
      <c r="AR610" s="67" t="n">
        <v>0</v>
      </c>
      <c r="AS610" s="67" t="n">
        <v>0</v>
      </c>
      <c r="AT610" s="67" t="n">
        <v>1</v>
      </c>
    </row>
    <row r="611" ht="40" customHeight="1">
      <c r="A611" s="63" t="inlineStr">
        <is>
          <t>F18-UPL-08</t>
        </is>
      </c>
      <c r="B611" s="63" t="inlineStr">
        <is>
          <t>F18</t>
        </is>
      </c>
      <c r="C611" s="63">
        <f>Flights!$F$22</f>
        <v/>
      </c>
      <c r="D611" s="64">
        <f>Flights!$D$22</f>
        <v/>
      </c>
      <c r="E611" s="63">
        <f>Flights!$G$22&amp;"-"&amp;Flights!$H$22</f>
        <v/>
      </c>
      <c r="F611" s="63">
        <f>Flights!$K$22</f>
        <v/>
      </c>
      <c r="G611" s="63" t="inlineStr">
        <is>
          <t>UPLIFT</t>
        </is>
      </c>
      <c r="H611" s="63" t="inlineStr">
        <is>
          <t>Physical uplift</t>
        </is>
      </c>
      <c r="I611" s="63" t="inlineStr">
        <is>
          <t>F&amp;B Linen</t>
        </is>
      </c>
      <c r="J611" s="63" t="inlineStr">
        <is>
          <t>Bread linen (using table cloth) - on board</t>
        </is>
      </c>
      <c r="K611" s="73" t="inlineStr">
        <is>
          <t>Available (ticked in reference)</t>
        </is>
      </c>
      <c r="L611" s="73" t="inlineStr">
        <is>
          <t>STD UPLIFT INFORMATION.xlsx &gt; F&amp;B LINEN!H15</t>
        </is>
      </c>
      <c r="M611" s="73" t="inlineStr">
        <is>
          <t>Not stated in reference</t>
        </is>
      </c>
      <c r="N611" s="73" t="inlineStr">
        <is>
          <t>Required</t>
        </is>
      </c>
      <c r="O611" s="73" t="inlineStr"/>
      <c r="P611" s="63" t="inlineStr">
        <is>
          <t>KUL</t>
        </is>
      </c>
      <c r="Q611" s="65">
        <f>Flights!$AF$22</f>
        <v/>
      </c>
      <c r="R611" s="65">
        <f>Q611+(IF(AND(INDEX(TZ_DSTS,MATCH(P611,TZ_STN,0))&lt;&gt;"",Q611&gt;=INDEX(TZ_DSTS,MATCH(P611,TZ_STN,0)),Q611&lt;INDEX(TZ_DSTE,MATCH(P611,TZ_STN,0))),INDEX(TZ_DST,MATCH(P611,TZ_STN,0)),INDEX(TZ_STD,MATCH(P611,TZ_STN,0))))/24</f>
        <v/>
      </c>
      <c r="S611" s="65">
        <f>Q611-UpliftWindowH/24</f>
        <v/>
      </c>
      <c r="T611" s="66" t="n"/>
      <c r="U611" s="66" t="n"/>
      <c r="V611" s="66" t="n"/>
      <c r="W611" s="67" t="n"/>
      <c r="X611" s="66" t="n"/>
      <c r="Y611" s="66" t="n"/>
      <c r="Z611" s="66" t="n"/>
      <c r="AA611" s="66" t="n"/>
      <c r="AB611" s="66" t="n"/>
      <c r="AC611" s="66" t="n"/>
      <c r="AD611" s="72" t="n"/>
      <c r="AE611" s="66" t="n"/>
      <c r="AF611" s="67">
        <f>IF(AND(ISNUMBER(X611),ISNUMBER(Y611)),Y611-X611,"")</f>
        <v/>
      </c>
      <c r="AG611" s="68">
        <f>IF(ISNUMBER(AD611),AD611-(IF(AND(INDEX(TZ_DSTS,MATCH(P611,TZ_STN,0))&lt;&gt;"",(AD611-INDEX(TZ_STD,MATCH(P611,TZ_STN,0))/24)&gt;=INDEX(TZ_DSTS,MATCH(P611,TZ_STN,0)),(AD611-INDEX(TZ_STD,MATCH(P611,TZ_STN,0))/24)&lt;INDEX(TZ_DSTE,MATCH(P611,TZ_STN,0))),INDEX(TZ_DST,MATCH(P611,TZ_STN,0)),INDEX(TZ_STD,MATCH(P611,TZ_STN,0))))/24,"")</f>
        <v/>
      </c>
      <c r="AH611" s="71">
        <f>IF(N611="N/A – rule","N/A – RULE",IF(TRIM(U611)="N/A",IF(AT611=0,"INVALID – N/A not permitted for this mandatory check",IF(AND(TRIM(AC611)&lt;&gt;"",TRIM(AE611)&lt;&gt;"",TRIM(T611)&lt;&gt;""),"N/A – JUSTIFIED","INVALID – N/A needs justification, PIC and verifier")),IF(OR(TRIM(U611)="Pass",TRIM(U611)="Pass after CA"),IF(NOT(ISNUMBER(AD611)),"INVALID – completion time missing",IF(TRIM(T611)="","INVALID – PIC missing",IF(TRIM(Z611)="","INVALID – evidence missing",IF(TRIM(AE611)="","INVALID – verifier missing",IF(AND(AQ611=1,TRIM(W611)=""),"INVALID – batch ID missing",IF(AND(AR611=1,OR(NOT(ISNUMBER(X611)),NOT(ISNUMBER(Y611)))),"INVALID – expected/actual qty missing",IF(IF(AND(TRIM(U611)="Pass",ISNUMBER(AF611)),IF(AF611&lt;&gt;0,"INVALID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recorded/closed","")&lt;&gt;"",IF(AND(TRIM(U611)="Pass",ISNUMBER(AF611)),IF(AF611&lt;&gt;0,"INVALID – qty variance: use Fail or Pass after CA",""),"")&amp;IF(AND(TRIM(U611)="Pass",AB611="Open"),"INVALID – corrective action still open: use Fail, then Pass after CA","")&amp;IF(AND(TRIM(U611)="Pass after CA",OR(TRIM(AA611)="",AB611&lt;&gt;"Closed")),"INVALID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window"),IF(AG611&gt;Flights!$AA$22,"INVALID – completed after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f>
        <v/>
      </c>
      <c r="AI611" s="67">
        <f>IF(OR(AH611="N/A – RULE",AH611="N/A – JUSTIFIED"),0,1)</f>
        <v/>
      </c>
      <c r="AJ611" s="67">
        <f>IF(LEFT(AH611,8)="COMPLETE",1,0)</f>
        <v/>
      </c>
      <c r="AK611" s="67">
        <f>IF(AND(AI611=1,AJ611=0,AsOfUTC&gt;Q611),1,0)</f>
        <v/>
      </c>
      <c r="AL611" s="67">
        <f>IF(AND(AI611=1,OR(TRIM(U611)="Fail",AB611="Open",AND(ISNUMBER(AF611),AF611&lt;&gt;0,TRIM(U611)&lt;&gt;"Pass after CA"))),1,0)</f>
        <v/>
      </c>
      <c r="AM611" s="67">
        <f>IF(LEFT(AH611,7)="INVALID",1,0)</f>
        <v/>
      </c>
      <c r="AN611" s="67">
        <f>IF(AND(N611="Clarification required",AI611=1,AJ611=0),1,0)</f>
        <v/>
      </c>
      <c r="AO611" s="67">
        <f>IF(AK611=1,SUM(AK$5:AK611),"")</f>
        <v/>
      </c>
      <c r="AP611" s="67">
        <f>IF(AL611=1,SUM(AL$5:AL611),"")</f>
        <v/>
      </c>
      <c r="AQ611" s="67" t="n">
        <v>0</v>
      </c>
      <c r="AR611" s="67" t="n">
        <v>0</v>
      </c>
      <c r="AS611" s="67" t="n">
        <v>0</v>
      </c>
      <c r="AT611" s="67" t="n">
        <v>1</v>
      </c>
    </row>
    <row r="612" ht="40" customHeight="1">
      <c r="A612" s="63" t="inlineStr">
        <is>
          <t>F18-UPL-09</t>
        </is>
      </c>
      <c r="B612" s="63" t="inlineStr">
        <is>
          <t>F18</t>
        </is>
      </c>
      <c r="C612" s="63">
        <f>Flights!$F$22</f>
        <v/>
      </c>
      <c r="D612" s="64">
        <f>Flights!$D$22</f>
        <v/>
      </c>
      <c r="E612" s="63">
        <f>Flights!$G$22&amp;"-"&amp;Flights!$H$22</f>
        <v/>
      </c>
      <c r="F612" s="63">
        <f>Flights!$K$22</f>
        <v/>
      </c>
      <c r="G612" s="63" t="inlineStr">
        <is>
          <t>UPLIFT</t>
        </is>
      </c>
      <c r="H612" s="63" t="inlineStr">
        <is>
          <t>Physical uplift</t>
        </is>
      </c>
      <c r="I612" s="63" t="inlineStr">
        <is>
          <t>F&amp;B Linen</t>
        </is>
      </c>
      <c r="J612" s="63" t="inlineStr">
        <is>
          <t>Trolley cloth - on board</t>
        </is>
      </c>
      <c r="K612" s="73" t="inlineStr">
        <is>
          <t>Wide body: Top/Middle &amp; Bottom</t>
        </is>
      </c>
      <c r="L612" s="73" t="inlineStr">
        <is>
          <t>STD UPLIFT INFORMATION.xlsx &gt; F&amp;B LINEN!I15</t>
        </is>
      </c>
      <c r="M612" s="73" t="inlineStr">
        <is>
          <t>Not stated in reference</t>
        </is>
      </c>
      <c r="N612" s="73" t="inlineStr">
        <is>
          <t>Required</t>
        </is>
      </c>
      <c r="O612" s="73" t="inlineStr">
        <is>
          <t>Per note F&amp;B LINEN!B79:C80.</t>
        </is>
      </c>
      <c r="P612" s="63" t="inlineStr">
        <is>
          <t>KUL</t>
        </is>
      </c>
      <c r="Q612" s="65">
        <f>Flights!$AF$22</f>
        <v/>
      </c>
      <c r="R612" s="65">
        <f>Q612+(IF(AND(INDEX(TZ_DSTS,MATCH(P612,TZ_STN,0))&lt;&gt;"",Q612&gt;=INDEX(TZ_DSTS,MATCH(P612,TZ_STN,0)),Q612&lt;INDEX(TZ_DSTE,MATCH(P612,TZ_STN,0))),INDEX(TZ_DST,MATCH(P612,TZ_STN,0)),INDEX(TZ_STD,MATCH(P612,TZ_STN,0))))/24</f>
        <v/>
      </c>
      <c r="S612" s="65">
        <f>Q612-UpliftWindowH/24</f>
        <v/>
      </c>
      <c r="T612" s="66" t="n"/>
      <c r="U612" s="66" t="n"/>
      <c r="V612" s="66" t="n"/>
      <c r="W612" s="67" t="n"/>
      <c r="X612" s="66" t="n"/>
      <c r="Y612" s="66" t="n"/>
      <c r="Z612" s="66" t="n"/>
      <c r="AA612" s="66" t="n"/>
      <c r="AB612" s="66" t="n"/>
      <c r="AC612" s="66" t="n"/>
      <c r="AD612" s="72" t="n"/>
      <c r="AE612" s="66" t="n"/>
      <c r="AF612" s="67">
        <f>IF(AND(ISNUMBER(X612),ISNUMBER(Y612)),Y612-X612,"")</f>
        <v/>
      </c>
      <c r="AG612" s="68">
        <f>IF(ISNUMBER(AD612),AD612-(IF(AND(INDEX(TZ_DSTS,MATCH(P612,TZ_STN,0))&lt;&gt;"",(AD612-INDEX(TZ_STD,MATCH(P612,TZ_STN,0))/24)&gt;=INDEX(TZ_DSTS,MATCH(P612,TZ_STN,0)),(AD612-INDEX(TZ_STD,MATCH(P612,TZ_STN,0))/24)&lt;INDEX(TZ_DSTE,MATCH(P612,TZ_STN,0))),INDEX(TZ_DST,MATCH(P612,TZ_STN,0)),INDEX(TZ_STD,MATCH(P612,TZ_STN,0))))/24,"")</f>
        <v/>
      </c>
      <c r="AH612" s="71">
        <f>IF(N612="N/A – rule","N/A – RULE",IF(TRIM(U612)="N/A",IF(AT612=0,"INVALID – N/A not permitted for this mandatory check",IF(AND(TRIM(AC612)&lt;&gt;"",TRIM(AE612)&lt;&gt;"",TRIM(T612)&lt;&gt;""),"N/A – JUSTIFIED","INVALID – N/A needs justification, PIC and verifier")),IF(OR(TRIM(U612)="Pass",TRIM(U612)="Pass after CA"),IF(NOT(ISNUMBER(AD612)),"INVALID – completion time missing",IF(TRIM(T612)="","INVALID – PIC missing",IF(TRIM(Z612)="","INVALID – evidence missing",IF(TRIM(AE612)="","INVALID – verifier missing",IF(AND(AQ612=1,TRIM(W612)=""),"INVALID – batch ID missing",IF(AND(AR612=1,OR(NOT(ISNUMBER(X612)),NOT(ISNUMBER(Y612)))),"INVALID – expected/actual qty missing",IF(IF(AND(TRIM(U612)="Pass",ISNUMBER(AF612)),IF(AF612&lt;&gt;0,"INVALID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recorded/closed","")&lt;&gt;"",IF(AND(TRIM(U612)="Pass",ISNUMBER(AF612)),IF(AF612&lt;&gt;0,"INVALID – qty variance: use Fail or Pass after CA",""),"")&amp;IF(AND(TRIM(U612)="Pass",AB612="Open"),"INVALID – corrective action still open: use Fail, then Pass after CA","")&amp;IF(AND(TRIM(U612)="Pass after CA",OR(TRIM(AA612)="",AB612&lt;&gt;"Closed")),"INVALID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window"),IF(AG612&gt;Flights!$AA$22,"INVALID – completed after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f>
        <v/>
      </c>
      <c r="AI612" s="67">
        <f>IF(OR(AH612="N/A – RULE",AH612="N/A – JUSTIFIED"),0,1)</f>
        <v/>
      </c>
      <c r="AJ612" s="67">
        <f>IF(LEFT(AH612,8)="COMPLETE",1,0)</f>
        <v/>
      </c>
      <c r="AK612" s="67">
        <f>IF(AND(AI612=1,AJ612=0,AsOfUTC&gt;Q612),1,0)</f>
        <v/>
      </c>
      <c r="AL612" s="67">
        <f>IF(AND(AI612=1,OR(TRIM(U612)="Fail",AB612="Open",AND(ISNUMBER(AF612),AF612&lt;&gt;0,TRIM(U612)&lt;&gt;"Pass after CA"))),1,0)</f>
        <v/>
      </c>
      <c r="AM612" s="67">
        <f>IF(LEFT(AH612,7)="INVALID",1,0)</f>
        <v/>
      </c>
      <c r="AN612" s="67">
        <f>IF(AND(N612="Clarification required",AI612=1,AJ612=0),1,0)</f>
        <v/>
      </c>
      <c r="AO612" s="67">
        <f>IF(AK612=1,SUM(AK$5:AK612),"")</f>
        <v/>
      </c>
      <c r="AP612" s="67">
        <f>IF(AL612=1,SUM(AL$5:AL612),"")</f>
        <v/>
      </c>
      <c r="AQ612" s="67" t="n">
        <v>0</v>
      </c>
      <c r="AR612" s="67" t="n">
        <v>0</v>
      </c>
      <c r="AS612" s="67" t="n">
        <v>0</v>
      </c>
      <c r="AT612" s="67" t="n">
        <v>1</v>
      </c>
    </row>
    <row r="613" ht="40" customHeight="1">
      <c r="A613" s="63" t="inlineStr">
        <is>
          <t>F18-UPL-10</t>
        </is>
      </c>
      <c r="B613" s="63" t="inlineStr">
        <is>
          <t>F18</t>
        </is>
      </c>
      <c r="C613" s="63">
        <f>Flights!$F$22</f>
        <v/>
      </c>
      <c r="D613" s="64">
        <f>Flights!$D$22</f>
        <v/>
      </c>
      <c r="E613" s="63">
        <f>Flights!$G$22&amp;"-"&amp;Flights!$H$22</f>
        <v/>
      </c>
      <c r="F613" s="63">
        <f>Flights!$K$22</f>
        <v/>
      </c>
      <c r="G613" s="63" t="inlineStr">
        <is>
          <t>UPLIFT</t>
        </is>
      </c>
      <c r="H613" s="63" t="inlineStr">
        <is>
          <t>Physical uplift</t>
        </is>
      </c>
      <c r="I613" s="63" t="inlineStr">
        <is>
          <t>F&amp;B Linen</t>
        </is>
      </c>
      <c r="J613" s="63" t="inlineStr">
        <is>
          <t>Linen bag - on board</t>
        </is>
      </c>
      <c r="K613" s="73" t="inlineStr">
        <is>
          <t>Available (ticked in reference)</t>
        </is>
      </c>
      <c r="L613" s="73" t="inlineStr">
        <is>
          <t>STD UPLIFT INFORMATION.xlsx &gt; F&amp;B LINEN!J15</t>
        </is>
      </c>
      <c r="M613" s="73" t="inlineStr">
        <is>
          <t>Not stated in reference</t>
        </is>
      </c>
      <c r="N613" s="73" t="inlineStr">
        <is>
          <t>Required</t>
        </is>
      </c>
      <c r="O613" s="73" t="inlineStr"/>
      <c r="P613" s="63" t="inlineStr">
        <is>
          <t>KUL</t>
        </is>
      </c>
      <c r="Q613" s="65">
        <f>Flights!$AF$22</f>
        <v/>
      </c>
      <c r="R613" s="65">
        <f>Q613+(IF(AND(INDEX(TZ_DSTS,MATCH(P613,TZ_STN,0))&lt;&gt;"",Q613&gt;=INDEX(TZ_DSTS,MATCH(P613,TZ_STN,0)),Q613&lt;INDEX(TZ_DSTE,MATCH(P613,TZ_STN,0))),INDEX(TZ_DST,MATCH(P613,TZ_STN,0)),INDEX(TZ_STD,MATCH(P613,TZ_STN,0))))/24</f>
        <v/>
      </c>
      <c r="S613" s="65">
        <f>Q613-UpliftWindowH/24</f>
        <v/>
      </c>
      <c r="T613" s="66" t="n"/>
      <c r="U613" s="66" t="n"/>
      <c r="V613" s="66" t="n"/>
      <c r="W613" s="67" t="n"/>
      <c r="X613" s="66" t="n"/>
      <c r="Y613" s="66" t="n"/>
      <c r="Z613" s="66" t="n"/>
      <c r="AA613" s="66" t="n"/>
      <c r="AB613" s="66" t="n"/>
      <c r="AC613" s="66" t="n"/>
      <c r="AD613" s="72" t="n"/>
      <c r="AE613" s="66" t="n"/>
      <c r="AF613" s="67">
        <f>IF(AND(ISNUMBER(X613),ISNUMBER(Y613)),Y613-X613,"")</f>
        <v/>
      </c>
      <c r="AG613" s="68">
        <f>IF(ISNUMBER(AD613),AD613-(IF(AND(INDEX(TZ_DSTS,MATCH(P613,TZ_STN,0))&lt;&gt;"",(AD613-INDEX(TZ_STD,MATCH(P613,TZ_STN,0))/24)&gt;=INDEX(TZ_DSTS,MATCH(P613,TZ_STN,0)),(AD613-INDEX(TZ_STD,MATCH(P613,TZ_STN,0))/24)&lt;INDEX(TZ_DSTE,MATCH(P613,TZ_STN,0))),INDEX(TZ_DST,MATCH(P613,TZ_STN,0)),INDEX(TZ_STD,MATCH(P613,TZ_STN,0))))/24,"")</f>
        <v/>
      </c>
      <c r="AH613" s="71">
        <f>IF(N613="N/A – rule","N/A – RULE",IF(TRIM(U613)="N/A",IF(AT613=0,"INVALID – N/A not permitted for this mandatory check",IF(AND(TRIM(AC613)&lt;&gt;"",TRIM(AE613)&lt;&gt;"",TRIM(T613)&lt;&gt;""),"N/A – JUSTIFIED","INVALID – N/A needs justification, PIC and verifier")),IF(OR(TRIM(U613)="Pass",TRIM(U613)="Pass after CA"),IF(NOT(ISNUMBER(AD613)),"INVALID – completion time missing",IF(TRIM(T613)="","INVALID – PIC missing",IF(TRIM(Z613)="","INVALID – evidence missing",IF(TRIM(AE613)="","INVALID – verifier missing",IF(AND(AQ613=1,TRIM(W613)=""),"INVALID – batch ID missing",IF(AND(AR613=1,OR(NOT(ISNUMBER(X613)),NOT(ISNUMBER(Y613)))),"INVALID – expected/actual qty missing",IF(IF(AND(TRIM(U613)="Pass",ISNUMBER(AF613)),IF(AF613&lt;&gt;0,"INVALID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recorded/closed","")&lt;&gt;"",IF(AND(TRIM(U613)="Pass",ISNUMBER(AF613)),IF(AF613&lt;&gt;0,"INVALID – qty variance: use Fail or Pass after CA",""),"")&amp;IF(AND(TRIM(U613)="Pass",AB613="Open"),"INVALID – corrective action still open: use Fail, then Pass after CA","")&amp;IF(AND(TRIM(U613)="Pass after CA",OR(TRIM(AA613)="",AB613&lt;&gt;"Closed")),"INVALID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window"),IF(AG613&gt;Flights!$AA$22,"INVALID – completed after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f>
        <v/>
      </c>
      <c r="AI613" s="67">
        <f>IF(OR(AH613="N/A – RULE",AH613="N/A – JUSTIFIED"),0,1)</f>
        <v/>
      </c>
      <c r="AJ613" s="67">
        <f>IF(LEFT(AH613,8)="COMPLETE",1,0)</f>
        <v/>
      </c>
      <c r="AK613" s="67">
        <f>IF(AND(AI613=1,AJ613=0,AsOfUTC&gt;Q613),1,0)</f>
        <v/>
      </c>
      <c r="AL613" s="67">
        <f>IF(AND(AI613=1,OR(TRIM(U613)="Fail",AB613="Open",AND(ISNUMBER(AF613),AF613&lt;&gt;0,TRIM(U613)&lt;&gt;"Pass after CA"))),1,0)</f>
        <v/>
      </c>
      <c r="AM613" s="67">
        <f>IF(LEFT(AH613,7)="INVALID",1,0)</f>
        <v/>
      </c>
      <c r="AN613" s="67">
        <f>IF(AND(N613="Clarification required",AI613=1,AJ613=0),1,0)</f>
        <v/>
      </c>
      <c r="AO613" s="67">
        <f>IF(AK613=1,SUM(AK$5:AK613),"")</f>
        <v/>
      </c>
      <c r="AP613" s="67">
        <f>IF(AL613=1,SUM(AL$5:AL613),"")</f>
        <v/>
      </c>
      <c r="AQ613" s="67" t="n">
        <v>0</v>
      </c>
      <c r="AR613" s="67" t="n">
        <v>0</v>
      </c>
      <c r="AS613" s="67" t="n">
        <v>0</v>
      </c>
      <c r="AT613" s="67" t="n">
        <v>1</v>
      </c>
    </row>
    <row r="614" ht="40" customHeight="1">
      <c r="A614" s="63" t="inlineStr">
        <is>
          <t>F18-UPL-11</t>
        </is>
      </c>
      <c r="B614" s="63" t="inlineStr">
        <is>
          <t>F18</t>
        </is>
      </c>
      <c r="C614" s="63">
        <f>Flights!$F$22</f>
        <v/>
      </c>
      <c r="D614" s="64">
        <f>Flights!$D$22</f>
        <v/>
      </c>
      <c r="E614" s="63">
        <f>Flights!$G$22&amp;"-"&amp;Flights!$H$22</f>
        <v/>
      </c>
      <c r="F614" s="63">
        <f>Flights!$K$22</f>
        <v/>
      </c>
      <c r="G614" s="63" t="inlineStr">
        <is>
          <t>UPLIFT</t>
        </is>
      </c>
      <c r="H614" s="63" t="inlineStr">
        <is>
          <t>Physical uplift</t>
        </is>
      </c>
      <c r="I614" s="63" t="inlineStr">
        <is>
          <t>Seat Linen</t>
        </is>
      </c>
      <c r="J614" s="63" t="inlineStr">
        <is>
          <t>Seat pillow (BS &amp; BC) - on board</t>
        </is>
      </c>
      <c r="K614" s="73" t="inlineStr">
        <is>
          <t>Available 100% (ticked in reference)</t>
        </is>
      </c>
      <c r="L614" s="73" t="inlineStr">
        <is>
          <t>STD UPLIFT INFORMATION.xlsx &gt; SEAT LINEN!E15</t>
        </is>
      </c>
      <c r="M614" s="73" t="inlineStr">
        <is>
          <t>Not stated in reference</t>
        </is>
      </c>
      <c r="N614" s="73" t="inlineStr">
        <is>
          <t>Required</t>
        </is>
      </c>
      <c r="O614" s="73" t="inlineStr"/>
      <c r="P614" s="63" t="inlineStr">
        <is>
          <t>KUL</t>
        </is>
      </c>
      <c r="Q614" s="65">
        <f>Flights!$AF$22</f>
        <v/>
      </c>
      <c r="R614" s="65">
        <f>Q614+(IF(AND(INDEX(TZ_DSTS,MATCH(P614,TZ_STN,0))&lt;&gt;"",Q614&gt;=INDEX(TZ_DSTS,MATCH(P614,TZ_STN,0)),Q614&lt;INDEX(TZ_DSTE,MATCH(P614,TZ_STN,0))),INDEX(TZ_DST,MATCH(P614,TZ_STN,0)),INDEX(TZ_STD,MATCH(P614,TZ_STN,0))))/24</f>
        <v/>
      </c>
      <c r="S614" s="65">
        <f>Q614-UpliftWindowH/24</f>
        <v/>
      </c>
      <c r="T614" s="66" t="n"/>
      <c r="U614" s="66" t="n"/>
      <c r="V614" s="66" t="n"/>
      <c r="W614" s="67" t="n"/>
      <c r="X614" s="66" t="n"/>
      <c r="Y614" s="66" t="n"/>
      <c r="Z614" s="66" t="n"/>
      <c r="AA614" s="66" t="n"/>
      <c r="AB614" s="66" t="n"/>
      <c r="AC614" s="66" t="n"/>
      <c r="AD614" s="72" t="n"/>
      <c r="AE614" s="66" t="n"/>
      <c r="AF614" s="67">
        <f>IF(AND(ISNUMBER(X614),ISNUMBER(Y614)),Y614-X614,"")</f>
        <v/>
      </c>
      <c r="AG614" s="68">
        <f>IF(ISNUMBER(AD614),AD614-(IF(AND(INDEX(TZ_DSTS,MATCH(P614,TZ_STN,0))&lt;&gt;"",(AD614-INDEX(TZ_STD,MATCH(P614,TZ_STN,0))/24)&gt;=INDEX(TZ_DSTS,MATCH(P614,TZ_STN,0)),(AD614-INDEX(TZ_STD,MATCH(P614,TZ_STN,0))/24)&lt;INDEX(TZ_DSTE,MATCH(P614,TZ_STN,0))),INDEX(TZ_DST,MATCH(P614,TZ_STN,0)),INDEX(TZ_STD,MATCH(P614,TZ_STN,0))))/24,"")</f>
        <v/>
      </c>
      <c r="AH614" s="71">
        <f>IF(N614="N/A – rule","N/A – RULE",IF(TRIM(U614)="N/A",IF(AT614=0,"INVALID – N/A not permitted for this mandatory check",IF(AND(TRIM(AC614)&lt;&gt;"",TRIM(AE614)&lt;&gt;"",TRIM(T614)&lt;&gt;""),"N/A – JUSTIFIED","INVALID – N/A needs justification, PIC and verifier")),IF(OR(TRIM(U614)="Pass",TRIM(U614)="Pass after CA"),IF(NOT(ISNUMBER(AD614)),"INVALID – completion time missing",IF(TRIM(T614)="","INVALID – PIC missing",IF(TRIM(Z614)="","INVALID – evidence missing",IF(TRIM(AE614)="","INVALID – verifier missing",IF(AND(AQ614=1,TRIM(W614)=""),"INVALID – batch ID missing",IF(AND(AR614=1,OR(NOT(ISNUMBER(X614)),NOT(ISNUMBER(Y614)))),"INVALID – expected/actual qty missing",IF(IF(AND(TRIM(U614)="Pass",ISNUMBER(AF614)),IF(AF614&lt;&gt;0,"INVALID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recorded/closed","")&lt;&gt;"",IF(AND(TRIM(U614)="Pass",ISNUMBER(AF614)),IF(AF614&lt;&gt;0,"INVALID – qty variance: use Fail or Pass after CA",""),"")&amp;IF(AND(TRIM(U614)="Pass",AB614="Open"),"INVALID – corrective action still open: use Fail, then Pass after CA","")&amp;IF(AND(TRIM(U614)="Pass after CA",OR(TRIM(AA614)="",AB614&lt;&gt;"Closed")),"INVALID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window"),IF(AG614&gt;Flights!$AA$22,"INVALID – completed after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f>
        <v/>
      </c>
      <c r="AI614" s="67">
        <f>IF(OR(AH614="N/A – RULE",AH614="N/A – JUSTIFIED"),0,1)</f>
        <v/>
      </c>
      <c r="AJ614" s="67">
        <f>IF(LEFT(AH614,8)="COMPLETE",1,0)</f>
        <v/>
      </c>
      <c r="AK614" s="67">
        <f>IF(AND(AI614=1,AJ614=0,AsOfUTC&gt;Q614),1,0)</f>
        <v/>
      </c>
      <c r="AL614" s="67">
        <f>IF(AND(AI614=1,OR(TRIM(U614)="Fail",AB614="Open",AND(ISNUMBER(AF614),AF614&lt;&gt;0,TRIM(U614)&lt;&gt;"Pass after CA"))),1,0)</f>
        <v/>
      </c>
      <c r="AM614" s="67">
        <f>IF(LEFT(AH614,7)="INVALID",1,0)</f>
        <v/>
      </c>
      <c r="AN614" s="67">
        <f>IF(AND(N614="Clarification required",AI614=1,AJ614=0),1,0)</f>
        <v/>
      </c>
      <c r="AO614" s="67">
        <f>IF(AK614=1,SUM(AK$5:AK614),"")</f>
        <v/>
      </c>
      <c r="AP614" s="67">
        <f>IF(AL614=1,SUM(AL$5:AL614),"")</f>
        <v/>
      </c>
      <c r="AQ614" s="67" t="n">
        <v>0</v>
      </c>
      <c r="AR614" s="67" t="n">
        <v>0</v>
      </c>
      <c r="AS614" s="67" t="n">
        <v>0</v>
      </c>
      <c r="AT614" s="67" t="n">
        <v>1</v>
      </c>
    </row>
    <row r="615" ht="40" customHeight="1">
      <c r="A615" s="63" t="inlineStr">
        <is>
          <t>F18-UPL-12</t>
        </is>
      </c>
      <c r="B615" s="63" t="inlineStr">
        <is>
          <t>F18</t>
        </is>
      </c>
      <c r="C615" s="63">
        <f>Flights!$F$22</f>
        <v/>
      </c>
      <c r="D615" s="64">
        <f>Flights!$D$22</f>
        <v/>
      </c>
      <c r="E615" s="63">
        <f>Flights!$G$22&amp;"-"&amp;Flights!$H$22</f>
        <v/>
      </c>
      <c r="F615" s="63">
        <f>Flights!$K$22</f>
        <v/>
      </c>
      <c r="G615" s="63" t="inlineStr">
        <is>
          <t>UPLIFT</t>
        </is>
      </c>
      <c r="H615" s="63" t="inlineStr">
        <is>
          <t>Physical uplift</t>
        </is>
      </c>
      <c r="I615" s="63" t="inlineStr">
        <is>
          <t>Seat Linen</t>
        </is>
      </c>
      <c r="J615" s="63" t="inlineStr">
        <is>
          <t>Duvet (BS &amp; BC) - on board</t>
        </is>
      </c>
      <c r="K615" s="73" t="inlineStr">
        <is>
          <t>Available 100% (ticked in reference)</t>
        </is>
      </c>
      <c r="L615" s="73" t="inlineStr">
        <is>
          <t>STD UPLIFT INFORMATION.xlsx &gt; SEAT LINEN!F15</t>
        </is>
      </c>
      <c r="M615" s="73" t="inlineStr">
        <is>
          <t>Not stated in reference</t>
        </is>
      </c>
      <c r="N615" s="73" t="inlineStr">
        <is>
          <t>Required</t>
        </is>
      </c>
      <c r="O615" s="73" t="inlineStr"/>
      <c r="P615" s="63" t="inlineStr">
        <is>
          <t>KUL</t>
        </is>
      </c>
      <c r="Q615" s="65">
        <f>Flights!$AF$22</f>
        <v/>
      </c>
      <c r="R615" s="65">
        <f>Q615+(IF(AND(INDEX(TZ_DSTS,MATCH(P615,TZ_STN,0))&lt;&gt;"",Q615&gt;=INDEX(TZ_DSTS,MATCH(P615,TZ_STN,0)),Q615&lt;INDEX(TZ_DSTE,MATCH(P615,TZ_STN,0))),INDEX(TZ_DST,MATCH(P615,TZ_STN,0)),INDEX(TZ_STD,MATCH(P615,TZ_STN,0))))/24</f>
        <v/>
      </c>
      <c r="S615" s="65">
        <f>Q615-UpliftWindowH/24</f>
        <v/>
      </c>
      <c r="T615" s="66" t="n"/>
      <c r="U615" s="66" t="n"/>
      <c r="V615" s="66" t="n"/>
      <c r="W615" s="67" t="n"/>
      <c r="X615" s="66" t="n"/>
      <c r="Y615" s="66" t="n"/>
      <c r="Z615" s="66" t="n"/>
      <c r="AA615" s="66" t="n"/>
      <c r="AB615" s="66" t="n"/>
      <c r="AC615" s="66" t="n"/>
      <c r="AD615" s="72" t="n"/>
      <c r="AE615" s="66" t="n"/>
      <c r="AF615" s="67">
        <f>IF(AND(ISNUMBER(X615),ISNUMBER(Y615)),Y615-X615,"")</f>
        <v/>
      </c>
      <c r="AG615" s="68">
        <f>IF(ISNUMBER(AD615),AD615-(IF(AND(INDEX(TZ_DSTS,MATCH(P615,TZ_STN,0))&lt;&gt;"",(AD615-INDEX(TZ_STD,MATCH(P615,TZ_STN,0))/24)&gt;=INDEX(TZ_DSTS,MATCH(P615,TZ_STN,0)),(AD615-INDEX(TZ_STD,MATCH(P615,TZ_STN,0))/24)&lt;INDEX(TZ_DSTE,MATCH(P615,TZ_STN,0))),INDEX(TZ_DST,MATCH(P615,TZ_STN,0)),INDEX(TZ_STD,MATCH(P615,TZ_STN,0))))/24,"")</f>
        <v/>
      </c>
      <c r="AH615" s="71">
        <f>IF(N615="N/A – rule","N/A – RULE",IF(TRIM(U615)="N/A",IF(AT615=0,"INVALID – N/A not permitted for this mandatory check",IF(AND(TRIM(AC615)&lt;&gt;"",TRIM(AE615)&lt;&gt;"",TRIM(T615)&lt;&gt;""),"N/A – JUSTIFIED","INVALID – N/A needs justification, PIC and verifier")),IF(OR(TRIM(U615)="Pass",TRIM(U615)="Pass after CA"),IF(NOT(ISNUMBER(AD615)),"INVALID – completion time missing",IF(TRIM(T615)="","INVALID – PIC missing",IF(TRIM(Z615)="","INVALID – evidence missing",IF(TRIM(AE615)="","INVALID – verifier missing",IF(AND(AQ615=1,TRIM(W615)=""),"INVALID – batch ID missing",IF(AND(AR615=1,OR(NOT(ISNUMBER(X615)),NOT(ISNUMBER(Y615)))),"INVALID – expected/actual qty missing",IF(IF(AND(TRIM(U615)="Pass",ISNUMBER(AF615)),IF(AF615&lt;&gt;0,"INVALID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recorded/closed","")&lt;&gt;"",IF(AND(TRIM(U615)="Pass",ISNUMBER(AF615)),IF(AF615&lt;&gt;0,"INVALID – qty variance: use Fail or Pass after CA",""),"")&amp;IF(AND(TRIM(U615)="Pass",AB615="Open"),"INVALID – corrective action still open: use Fail, then Pass after CA","")&amp;IF(AND(TRIM(U615)="Pass after CA",OR(TRIM(AA615)="",AB615&lt;&gt;"Closed")),"INVALID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window"),IF(AG615&gt;Flights!$AA$22,"INVALID – completed after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f>
        <v/>
      </c>
      <c r="AI615" s="67">
        <f>IF(OR(AH615="N/A – RULE",AH615="N/A – JUSTIFIED"),0,1)</f>
        <v/>
      </c>
      <c r="AJ615" s="67">
        <f>IF(LEFT(AH615,8)="COMPLETE",1,0)</f>
        <v/>
      </c>
      <c r="AK615" s="67">
        <f>IF(AND(AI615=1,AJ615=0,AsOfUTC&gt;Q615),1,0)</f>
        <v/>
      </c>
      <c r="AL615" s="67">
        <f>IF(AND(AI615=1,OR(TRIM(U615)="Fail",AB615="Open",AND(ISNUMBER(AF615),AF615&lt;&gt;0,TRIM(U615)&lt;&gt;"Pass after CA"))),1,0)</f>
        <v/>
      </c>
      <c r="AM615" s="67">
        <f>IF(LEFT(AH615,7)="INVALID",1,0)</f>
        <v/>
      </c>
      <c r="AN615" s="67">
        <f>IF(AND(N615="Clarification required",AI615=1,AJ615=0),1,0)</f>
        <v/>
      </c>
      <c r="AO615" s="67">
        <f>IF(AK615=1,SUM(AK$5:AK615),"")</f>
        <v/>
      </c>
      <c r="AP615" s="67">
        <f>IF(AL615=1,SUM(AL$5:AL615),"")</f>
        <v/>
      </c>
      <c r="AQ615" s="67" t="n">
        <v>0</v>
      </c>
      <c r="AR615" s="67" t="n">
        <v>0</v>
      </c>
      <c r="AS615" s="67" t="n">
        <v>0</v>
      </c>
      <c r="AT615" s="67" t="n">
        <v>1</v>
      </c>
    </row>
    <row r="616" ht="40" customHeight="1">
      <c r="A616" s="63" t="inlineStr">
        <is>
          <t>F18-UPL-13</t>
        </is>
      </c>
      <c r="B616" s="63" t="inlineStr">
        <is>
          <t>F18</t>
        </is>
      </c>
      <c r="C616" s="63">
        <f>Flights!$F$22</f>
        <v/>
      </c>
      <c r="D616" s="64">
        <f>Flights!$D$22</f>
        <v/>
      </c>
      <c r="E616" s="63">
        <f>Flights!$G$22&amp;"-"&amp;Flights!$H$22</f>
        <v/>
      </c>
      <c r="F616" s="63">
        <f>Flights!$K$22</f>
        <v/>
      </c>
      <c r="G616" s="63" t="inlineStr">
        <is>
          <t>UPLIFT</t>
        </is>
      </c>
      <c r="H616" s="63" t="inlineStr">
        <is>
          <t>Physical uplift</t>
        </is>
      </c>
      <c r="I616" s="63" t="inlineStr">
        <is>
          <t>Seat Linen</t>
        </is>
      </c>
      <c r="J616" s="63" t="inlineStr">
        <is>
          <t>Mattress (BS &amp; BC) - on board</t>
        </is>
      </c>
      <c r="K616" s="73" t="inlineStr">
        <is>
          <t>Available 100% (ticked in reference)</t>
        </is>
      </c>
      <c r="L616" s="73" t="inlineStr">
        <is>
          <t>STD UPLIFT INFORMATION.xlsx &gt; SEAT LINEN!G15</t>
        </is>
      </c>
      <c r="M616" s="73" t="inlineStr">
        <is>
          <t>Not stated in reference</t>
        </is>
      </c>
      <c r="N616" s="73" t="inlineStr">
        <is>
          <t>Required</t>
        </is>
      </c>
      <c r="O616" s="73" t="inlineStr"/>
      <c r="P616" s="63" t="inlineStr">
        <is>
          <t>KUL</t>
        </is>
      </c>
      <c r="Q616" s="65">
        <f>Flights!$AF$22</f>
        <v/>
      </c>
      <c r="R616" s="65">
        <f>Q616+(IF(AND(INDEX(TZ_DSTS,MATCH(P616,TZ_STN,0))&lt;&gt;"",Q616&gt;=INDEX(TZ_DSTS,MATCH(P616,TZ_STN,0)),Q616&lt;INDEX(TZ_DSTE,MATCH(P616,TZ_STN,0))),INDEX(TZ_DST,MATCH(P616,TZ_STN,0)),INDEX(TZ_STD,MATCH(P616,TZ_STN,0))))/24</f>
        <v/>
      </c>
      <c r="S616" s="65">
        <f>Q616-UpliftWindowH/24</f>
        <v/>
      </c>
      <c r="T616" s="66" t="n"/>
      <c r="U616" s="66" t="n"/>
      <c r="V616" s="66" t="n"/>
      <c r="W616" s="67" t="n"/>
      <c r="X616" s="66" t="n"/>
      <c r="Y616" s="66" t="n"/>
      <c r="Z616" s="66" t="n"/>
      <c r="AA616" s="66" t="n"/>
      <c r="AB616" s="66" t="n"/>
      <c r="AC616" s="66" t="n"/>
      <c r="AD616" s="72" t="n"/>
      <c r="AE616" s="66" t="n"/>
      <c r="AF616" s="67">
        <f>IF(AND(ISNUMBER(X616),ISNUMBER(Y616)),Y616-X616,"")</f>
        <v/>
      </c>
      <c r="AG616" s="68">
        <f>IF(ISNUMBER(AD616),AD616-(IF(AND(INDEX(TZ_DSTS,MATCH(P616,TZ_STN,0))&lt;&gt;"",(AD616-INDEX(TZ_STD,MATCH(P616,TZ_STN,0))/24)&gt;=INDEX(TZ_DSTS,MATCH(P616,TZ_STN,0)),(AD616-INDEX(TZ_STD,MATCH(P616,TZ_STN,0))/24)&lt;INDEX(TZ_DSTE,MATCH(P616,TZ_STN,0))),INDEX(TZ_DST,MATCH(P616,TZ_STN,0)),INDEX(TZ_STD,MATCH(P616,TZ_STN,0))))/24,"")</f>
        <v/>
      </c>
      <c r="AH616" s="71">
        <f>IF(N616="N/A – rule","N/A – RULE",IF(TRIM(U616)="N/A",IF(AT616=0,"INVALID – N/A not permitted for this mandatory check",IF(AND(TRIM(AC616)&lt;&gt;"",TRIM(AE616)&lt;&gt;"",TRIM(T616)&lt;&gt;""),"N/A – JUSTIFIED","INVALID – N/A needs justification, PIC and verifier")),IF(OR(TRIM(U616)="Pass",TRIM(U616)="Pass after CA"),IF(NOT(ISNUMBER(AD616)),"INVALID – completion time missing",IF(TRIM(T616)="","INVALID – PIC missing",IF(TRIM(Z616)="","INVALID – evidence missing",IF(TRIM(AE616)="","INVALID – verifier missing",IF(AND(AQ616=1,TRIM(W616)=""),"INVALID – batch ID missing",IF(AND(AR616=1,OR(NOT(ISNUMBER(X616)),NOT(ISNUMBER(Y616)))),"INVALID – expected/actual qty missing",IF(IF(AND(TRIM(U616)="Pass",ISNUMBER(AF616)),IF(AF616&lt;&gt;0,"INVALID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recorded/closed","")&lt;&gt;"",IF(AND(TRIM(U616)="Pass",ISNUMBER(AF616)),IF(AF616&lt;&gt;0,"INVALID – qty variance: use Fail or Pass after CA",""),"")&amp;IF(AND(TRIM(U616)="Pass",AB616="Open"),"INVALID – corrective action still open: use Fail, then Pass after CA","")&amp;IF(AND(TRIM(U616)="Pass after CA",OR(TRIM(AA616)="",AB616&lt;&gt;"Closed")),"INVALID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window"),IF(AG616&gt;Flights!$AA$22,"INVALID – completed after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f>
        <v/>
      </c>
      <c r="AI616" s="67">
        <f>IF(OR(AH616="N/A – RULE",AH616="N/A – JUSTIFIED"),0,1)</f>
        <v/>
      </c>
      <c r="AJ616" s="67">
        <f>IF(LEFT(AH616,8)="COMPLETE",1,0)</f>
        <v/>
      </c>
      <c r="AK616" s="67">
        <f>IF(AND(AI616=1,AJ616=0,AsOfUTC&gt;Q616),1,0)</f>
        <v/>
      </c>
      <c r="AL616" s="67">
        <f>IF(AND(AI616=1,OR(TRIM(U616)="Fail",AB616="Open",AND(ISNUMBER(AF616),AF616&lt;&gt;0,TRIM(U616)&lt;&gt;"Pass after CA"))),1,0)</f>
        <v/>
      </c>
      <c r="AM616" s="67">
        <f>IF(LEFT(AH616,7)="INVALID",1,0)</f>
        <v/>
      </c>
      <c r="AN616" s="67">
        <f>IF(AND(N616="Clarification required",AI616=1,AJ616=0),1,0)</f>
        <v/>
      </c>
      <c r="AO616" s="67">
        <f>IF(AK616=1,SUM(AK$5:AK616),"")</f>
        <v/>
      </c>
      <c r="AP616" s="67">
        <f>IF(AL616=1,SUM(AL$5:AL616),"")</f>
        <v/>
      </c>
      <c r="AQ616" s="67" t="n">
        <v>0</v>
      </c>
      <c r="AR616" s="67" t="n">
        <v>0</v>
      </c>
      <c r="AS616" s="67" t="n">
        <v>0</v>
      </c>
      <c r="AT616" s="67" t="n">
        <v>1</v>
      </c>
    </row>
    <row r="617" ht="40" customHeight="1">
      <c r="A617" s="63" t="inlineStr">
        <is>
          <t>F18-UPL-14</t>
        </is>
      </c>
      <c r="B617" s="63" t="inlineStr">
        <is>
          <t>F18</t>
        </is>
      </c>
      <c r="C617" s="63">
        <f>Flights!$F$22</f>
        <v/>
      </c>
      <c r="D617" s="64">
        <f>Flights!$D$22</f>
        <v/>
      </c>
      <c r="E617" s="63">
        <f>Flights!$G$22&amp;"-"&amp;Flights!$H$22</f>
        <v/>
      </c>
      <c r="F617" s="63">
        <f>Flights!$K$22</f>
        <v/>
      </c>
      <c r="G617" s="63" t="inlineStr">
        <is>
          <t>UPLIFT</t>
        </is>
      </c>
      <c r="H617" s="63" t="inlineStr">
        <is>
          <t>Physical uplift</t>
        </is>
      </c>
      <c r="I617" s="63" t="inlineStr">
        <is>
          <t>Signature Drinks</t>
        </is>
      </c>
      <c r="J617" s="63" t="inlineStr">
        <is>
          <t>Signature drink &amp; garnish (BC) - on board</t>
        </is>
      </c>
      <c r="K617" s="73" t="inlineStr">
        <is>
          <t>Available (ticked in reference)</t>
        </is>
      </c>
      <c r="L617" s="73" t="inlineStr">
        <is>
          <t>STD UPLIFT INFORMATION.xlsx &gt; Signature Drinks!F15 / G15 / D79</t>
        </is>
      </c>
      <c r="M617" s="73" t="inlineStr">
        <is>
          <t>KUL</t>
        </is>
      </c>
      <c r="N617" s="73" t="inlineStr">
        <is>
          <t>Required</t>
        </is>
      </c>
      <c r="O617" s="73" t="inlineStr">
        <is>
          <t>Signature drinks &amp; garnish uplifted from KUL (note D79).</t>
        </is>
      </c>
      <c r="P617" s="63" t="inlineStr">
        <is>
          <t>KUL</t>
        </is>
      </c>
      <c r="Q617" s="65">
        <f>Flights!$AF$22</f>
        <v/>
      </c>
      <c r="R617" s="65">
        <f>Q617+(IF(AND(INDEX(TZ_DSTS,MATCH(P617,TZ_STN,0))&lt;&gt;"",Q617&gt;=INDEX(TZ_DSTS,MATCH(P617,TZ_STN,0)),Q617&lt;INDEX(TZ_DSTE,MATCH(P617,TZ_STN,0))),INDEX(TZ_DST,MATCH(P617,TZ_STN,0)),INDEX(TZ_STD,MATCH(P617,TZ_STN,0))))/24</f>
        <v/>
      </c>
      <c r="S617" s="65">
        <f>Q617-UpliftWindowH/24</f>
        <v/>
      </c>
      <c r="T617" s="66" t="n"/>
      <c r="U617" s="66" t="n"/>
      <c r="V617" s="66" t="n"/>
      <c r="W617" s="67" t="n"/>
      <c r="X617" s="66" t="n"/>
      <c r="Y617" s="66" t="n"/>
      <c r="Z617" s="66" t="n"/>
      <c r="AA617" s="66" t="n"/>
      <c r="AB617" s="66" t="n"/>
      <c r="AC617" s="66" t="n"/>
      <c r="AD617" s="72" t="n"/>
      <c r="AE617" s="66" t="n"/>
      <c r="AF617" s="67">
        <f>IF(AND(ISNUMBER(X617),ISNUMBER(Y617)),Y617-X617,"")</f>
        <v/>
      </c>
      <c r="AG617" s="68">
        <f>IF(ISNUMBER(AD617),AD617-(IF(AND(INDEX(TZ_DSTS,MATCH(P617,TZ_STN,0))&lt;&gt;"",(AD617-INDEX(TZ_STD,MATCH(P617,TZ_STN,0))/24)&gt;=INDEX(TZ_DSTS,MATCH(P617,TZ_STN,0)),(AD617-INDEX(TZ_STD,MATCH(P617,TZ_STN,0))/24)&lt;INDEX(TZ_DSTE,MATCH(P617,TZ_STN,0))),INDEX(TZ_DST,MATCH(P617,TZ_STN,0)),INDEX(TZ_STD,MATCH(P617,TZ_STN,0))))/24,"")</f>
        <v/>
      </c>
      <c r="AH617" s="71">
        <f>IF(N617="N/A – rule","N/A – RULE",IF(TRIM(U617)="N/A",IF(AT617=0,"INVALID – N/A not permitted for this mandatory check",IF(AND(TRIM(AC617)&lt;&gt;"",TRIM(AE617)&lt;&gt;"",TRIM(T617)&lt;&gt;""),"N/A – JUSTIFIED","INVALID – N/A needs justification, PIC and verifier")),IF(OR(TRIM(U617)="Pass",TRIM(U617)="Pass after CA"),IF(NOT(ISNUMBER(AD617)),"INVALID – completion time missing",IF(TRIM(T617)="","INVALID – PIC missing",IF(TRIM(Z617)="","INVALID – evidence missing",IF(TRIM(AE617)="","INVALID – verifier missing",IF(AND(AQ617=1,TRIM(W617)=""),"INVALID – batch ID missing",IF(AND(AR617=1,OR(NOT(ISNUMBER(X617)),NOT(ISNUMBER(Y617)))),"INVALID – expected/actual qty missing",IF(IF(AND(TRIM(U617)="Pass",ISNUMBER(AF617)),IF(AF617&lt;&gt;0,"INVALID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recorded/closed","")&lt;&gt;"",IF(AND(TRIM(U617)="Pass",ISNUMBER(AF617)),IF(AF617&lt;&gt;0,"INVALID – qty variance: use Fail or Pass after CA",""),"")&amp;IF(AND(TRIM(U617)="Pass",AB617="Open"),"INVALID – corrective action still open: use Fail, then Pass after CA","")&amp;IF(AND(TRIM(U617)="Pass after CA",OR(TRIM(AA617)="",AB617&lt;&gt;"Closed")),"INVALID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window"),IF(AG617&gt;Flights!$AA$22,"INVALID – completed after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f>
        <v/>
      </c>
      <c r="AI617" s="67">
        <f>IF(OR(AH617="N/A – RULE",AH617="N/A – JUSTIFIED"),0,1)</f>
        <v/>
      </c>
      <c r="AJ617" s="67">
        <f>IF(LEFT(AH617,8)="COMPLETE",1,0)</f>
        <v/>
      </c>
      <c r="AK617" s="67">
        <f>IF(AND(AI617=1,AJ617=0,AsOfUTC&gt;Q617),1,0)</f>
        <v/>
      </c>
      <c r="AL617" s="67">
        <f>IF(AND(AI617=1,OR(TRIM(U617)="Fail",AB617="Open",AND(ISNUMBER(AF617),AF617&lt;&gt;0,TRIM(U617)&lt;&gt;"Pass after CA"))),1,0)</f>
        <v/>
      </c>
      <c r="AM617" s="67">
        <f>IF(LEFT(AH617,7)="INVALID",1,0)</f>
        <v/>
      </c>
      <c r="AN617" s="67">
        <f>IF(AND(N617="Clarification required",AI617=1,AJ617=0),1,0)</f>
        <v/>
      </c>
      <c r="AO617" s="67">
        <f>IF(AK617=1,SUM(AK$5:AK617),"")</f>
        <v/>
      </c>
      <c r="AP617" s="67">
        <f>IF(AL617=1,SUM(AL$5:AL617),"")</f>
        <v/>
      </c>
      <c r="AQ617" s="67" t="n">
        <v>0</v>
      </c>
      <c r="AR617" s="67" t="n">
        <v>0</v>
      </c>
      <c r="AS617" s="67" t="n">
        <v>0</v>
      </c>
      <c r="AT617" s="67" t="n">
        <v>1</v>
      </c>
    </row>
    <row r="618" ht="40" customHeight="1">
      <c r="A618" s="63" t="inlineStr">
        <is>
          <t>F18-UPL-15</t>
        </is>
      </c>
      <c r="B618" s="63" t="inlineStr">
        <is>
          <t>F18</t>
        </is>
      </c>
      <c r="C618" s="63">
        <f>Flights!$F$22</f>
        <v/>
      </c>
      <c r="D618" s="64">
        <f>Flights!$D$22</f>
        <v/>
      </c>
      <c r="E618" s="63">
        <f>Flights!$G$22&amp;"-"&amp;Flights!$H$22</f>
        <v/>
      </c>
      <c r="F618" s="63">
        <f>Flights!$K$22</f>
        <v/>
      </c>
      <c r="G618" s="63" t="inlineStr">
        <is>
          <t>UPLIFT</t>
        </is>
      </c>
      <c r="H618" s="63" t="inlineStr">
        <is>
          <t>Physical uplift</t>
        </is>
      </c>
      <c r="I618" s="63" t="inlineStr">
        <is>
          <t>Sales Cart</t>
        </is>
      </c>
      <c r="J618" s="63" t="inlineStr">
        <is>
          <t>Sales cart (caterer PASB) - on board</t>
        </is>
      </c>
      <c r="K618" s="73" t="inlineStr">
        <is>
          <t>Location 643 &amp; 947 (A333, full cart)</t>
        </is>
      </c>
      <c r="L618" s="73" t="inlineStr">
        <is>
          <t>STD UPLIFT INFORMATION.xlsx &gt; SALES CART!I8:I37 / C12 / C40</t>
        </is>
      </c>
      <c r="M618" s="73" t="inlineStr">
        <is>
          <t>Not stated in reference</t>
        </is>
      </c>
      <c r="N618" s="73" t="inlineStr">
        <is>
          <t>Required</t>
        </is>
      </c>
      <c r="O618" s="73" t="inlineStr">
        <is>
          <t>Block 6.50 h &gt;= 4 h.</t>
        </is>
      </c>
      <c r="P618" s="63" t="inlineStr">
        <is>
          <t>KUL</t>
        </is>
      </c>
      <c r="Q618" s="65">
        <f>Flights!$AF$22</f>
        <v/>
      </c>
      <c r="R618" s="65">
        <f>Q618+(IF(AND(INDEX(TZ_DSTS,MATCH(P618,TZ_STN,0))&lt;&gt;"",Q618&gt;=INDEX(TZ_DSTS,MATCH(P618,TZ_STN,0)),Q618&lt;INDEX(TZ_DSTE,MATCH(P618,TZ_STN,0))),INDEX(TZ_DST,MATCH(P618,TZ_STN,0)),INDEX(TZ_STD,MATCH(P618,TZ_STN,0))))/24</f>
        <v/>
      </c>
      <c r="S618" s="65">
        <f>Q618-UpliftWindowH/24</f>
        <v/>
      </c>
      <c r="T618" s="66" t="n"/>
      <c r="U618" s="66" t="n"/>
      <c r="V618" s="66" t="n"/>
      <c r="W618" s="67" t="n"/>
      <c r="X618" s="66" t="n"/>
      <c r="Y618" s="66" t="n"/>
      <c r="Z618" s="66" t="n"/>
      <c r="AA618" s="66" t="n"/>
      <c r="AB618" s="66" t="n"/>
      <c r="AC618" s="66" t="n"/>
      <c r="AD618" s="72" t="n"/>
      <c r="AE618" s="66" t="n"/>
      <c r="AF618" s="67">
        <f>IF(AND(ISNUMBER(X618),ISNUMBER(Y618)),Y618-X618,"")</f>
        <v/>
      </c>
      <c r="AG618" s="68">
        <f>IF(ISNUMBER(AD618),AD618-(IF(AND(INDEX(TZ_DSTS,MATCH(P618,TZ_STN,0))&lt;&gt;"",(AD618-INDEX(TZ_STD,MATCH(P618,TZ_STN,0))/24)&gt;=INDEX(TZ_DSTS,MATCH(P618,TZ_STN,0)),(AD618-INDEX(TZ_STD,MATCH(P618,TZ_STN,0))/24)&lt;INDEX(TZ_DSTE,MATCH(P618,TZ_STN,0))),INDEX(TZ_DST,MATCH(P618,TZ_STN,0)),INDEX(TZ_STD,MATCH(P618,TZ_STN,0))))/24,"")</f>
        <v/>
      </c>
      <c r="AH618" s="71">
        <f>IF(N618="N/A – rule","N/A – RULE",IF(TRIM(U618)="N/A",IF(AT618=0,"INVALID – N/A not permitted for this mandatory check",IF(AND(TRIM(AC618)&lt;&gt;"",TRIM(AE618)&lt;&gt;"",TRIM(T618)&lt;&gt;""),"N/A – JUSTIFIED","INVALID – N/A needs justification, PIC and verifier")),IF(OR(TRIM(U618)="Pass",TRIM(U618)="Pass after CA"),IF(NOT(ISNUMBER(AD618)),"INVALID – completion time missing",IF(TRIM(T618)="","INVALID – PIC missing",IF(TRIM(Z618)="","INVALID – evidence missing",IF(TRIM(AE618)="","INVALID – verifier missing",IF(AND(AQ618=1,TRIM(W618)=""),"INVALID – batch ID missing",IF(AND(AR618=1,OR(NOT(ISNUMBER(X618)),NOT(ISNUMBER(Y618)))),"INVALID – expected/actual qty missing",IF(IF(AND(TRIM(U618)="Pass",ISNUMBER(AF618)),IF(AF618&lt;&gt;0,"INVALID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recorded/closed","")&lt;&gt;"",IF(AND(TRIM(U618)="Pass",ISNUMBER(AF618)),IF(AF618&lt;&gt;0,"INVALID – qty variance: use Fail or Pass after CA",""),"")&amp;IF(AND(TRIM(U618)="Pass",AB618="Open"),"INVALID – corrective action still open: use Fail, then Pass after CA","")&amp;IF(AND(TRIM(U618)="Pass after CA",OR(TRIM(AA618)="",AB618&lt;&gt;"Closed")),"INVALID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window"),IF(AG618&gt;Flights!$AA$22,"INVALID – completed after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f>
        <v/>
      </c>
      <c r="AI618" s="67">
        <f>IF(OR(AH618="N/A – RULE",AH618="N/A – JUSTIFIED"),0,1)</f>
        <v/>
      </c>
      <c r="AJ618" s="67">
        <f>IF(LEFT(AH618,8)="COMPLETE",1,0)</f>
        <v/>
      </c>
      <c r="AK618" s="67">
        <f>IF(AND(AI618=1,AJ618=0,AsOfUTC&gt;Q618),1,0)</f>
        <v/>
      </c>
      <c r="AL618" s="67">
        <f>IF(AND(AI618=1,OR(TRIM(U618)="Fail",AB618="Open",AND(ISNUMBER(AF618),AF618&lt;&gt;0,TRIM(U618)&lt;&gt;"Pass after CA"))),1,0)</f>
        <v/>
      </c>
      <c r="AM618" s="67">
        <f>IF(LEFT(AH618,7)="INVALID",1,0)</f>
        <v/>
      </c>
      <c r="AN618" s="67">
        <f>IF(AND(N618="Clarification required",AI618=1,AJ618=0),1,0)</f>
        <v/>
      </c>
      <c r="AO618" s="67">
        <f>IF(AK618=1,SUM(AK$5:AK618),"")</f>
        <v/>
      </c>
      <c r="AP618" s="67">
        <f>IF(AL618=1,SUM(AL$5:AL618),"")</f>
        <v/>
      </c>
      <c r="AQ618" s="67" t="n">
        <v>0</v>
      </c>
      <c r="AR618" s="67" t="n">
        <v>0</v>
      </c>
      <c r="AS618" s="67" t="n">
        <v>0</v>
      </c>
      <c r="AT618" s="67" t="n">
        <v>1</v>
      </c>
    </row>
    <row r="619" ht="40" customHeight="1">
      <c r="A619" s="63" t="inlineStr">
        <is>
          <t>F19-T7-01</t>
        </is>
      </c>
      <c r="B619" s="63" t="inlineStr">
        <is>
          <t>F19</t>
        </is>
      </c>
      <c r="C619" s="63">
        <f>Flights!$F$23</f>
        <v/>
      </c>
      <c r="D619" s="64">
        <f>Flights!$D$23</f>
        <v/>
      </c>
      <c r="E619" s="63">
        <f>Flights!$G$23&amp;"-"&amp;Flights!$H$23</f>
        <v/>
      </c>
      <c r="F619" s="63">
        <f>Flights!$K$23</f>
        <v/>
      </c>
      <c r="G619" s="63" t="inlineStr">
        <is>
          <t>T-7D</t>
        </is>
      </c>
      <c r="H619" s="63" t="inlineStr">
        <is>
          <t>Preparation</t>
        </is>
      </c>
      <c r="I619" s="63" t="inlineStr">
        <is>
          <t>Meal</t>
        </is>
      </c>
      <c r="J619" s="63" t="inlineStr">
        <is>
          <t>Meal sensory testing completed for this flight's menu cycle (assessed class)</t>
        </is>
      </c>
      <c r="K619" s="73" t="inlineStr">
        <is>
          <t>Record panel result / score in Result</t>
        </is>
      </c>
      <c r="L619" s="73" t="inlineStr">
        <is>
          <t>User brief (T-7 days)</t>
        </is>
      </c>
      <c r="M619" s="73" t="inlineStr"/>
      <c r="N619" s="73" t="inlineStr">
        <is>
          <t>Required</t>
        </is>
      </c>
      <c r="O619" s="73" t="inlineStr"/>
      <c r="P619" s="63" t="inlineStr">
        <is>
          <t>KIX</t>
        </is>
      </c>
      <c r="Q619" s="65">
        <f>Flights!$AC$23</f>
        <v/>
      </c>
      <c r="R619" s="65">
        <f>Q619+(IF(AND(INDEX(TZ_DSTS,MATCH(P619,TZ_STN,0))&lt;&gt;"",Q619&gt;=INDEX(TZ_DSTS,MATCH(P619,TZ_STN,0)),Q619&lt;INDEX(TZ_DSTE,MATCH(P619,TZ_STN,0))),INDEX(TZ_DST,MATCH(P619,TZ_STN,0)),INDEX(TZ_STD,MATCH(P619,TZ_STN,0))))/24</f>
        <v/>
      </c>
      <c r="S619" s="65" t="inlineStr"/>
      <c r="T619" s="66" t="n"/>
      <c r="U619" s="66" t="n"/>
      <c r="V619" s="66" t="n"/>
      <c r="W619" s="67" t="n"/>
      <c r="X619" s="66" t="n"/>
      <c r="Y619" s="66" t="n"/>
      <c r="Z619" s="66" t="n"/>
      <c r="AA619" s="66" t="n"/>
      <c r="AB619" s="66" t="n"/>
      <c r="AC619" s="66" t="n"/>
      <c r="AD619" s="72" t="n"/>
      <c r="AE619" s="66" t="n"/>
      <c r="AF619" s="67">
        <f>IF(AND(ISNUMBER(X619),ISNUMBER(Y619)),Y619-X619,"")</f>
        <v/>
      </c>
      <c r="AG619" s="68">
        <f>IF(ISNUMBER(AD619),AD619-(IF(AND(INDEX(TZ_DSTS,MATCH(P619,TZ_STN,0))&lt;&gt;"",(AD619-INDEX(TZ_STD,MATCH(P619,TZ_STN,0))/24)&gt;=INDEX(TZ_DSTS,MATCH(P619,TZ_STN,0)),(AD619-INDEX(TZ_STD,MATCH(P619,TZ_STN,0))/24)&lt;INDEX(TZ_DSTE,MATCH(P619,TZ_STN,0))),INDEX(TZ_DST,MATCH(P619,TZ_STN,0)),INDEX(TZ_STD,MATCH(P619,TZ_STN,0))))/24,"")</f>
        <v/>
      </c>
      <c r="AH619" s="71">
        <f>IF(N619="N/A – rule","N/A – RULE",IF(TRIM(U619)="N/A",IF(AT619=0,"INVALID – N/A not permitted for this mandatory check",IF(AND(TRIM(AC619)&lt;&gt;"",TRIM(AE619)&lt;&gt;"",TRIM(T619)&lt;&gt;""),"N/A – JUSTIFIED","INVALID – N/A needs justification, PIC and verifier")),IF(OR(TRIM(U619)="Pass",TRIM(U619)="Pass after CA"),IF(NOT(ISNUMBER(AD619)),"INVALID – completion time missing",IF(TRIM(T619)="","INVALID – PIC missing",IF(TRIM(Z619)="","INVALID – evidence missing",IF(TRIM(AE619)="","INVALID – verifier missing",IF(AND(AQ619=1,TRIM(W619)=""),"INVALID – batch ID missing",IF(AND(AR619=1,OR(NOT(ISNUMBER(X619)),NOT(ISNUMBER(Y619)))),"INVALID – expected/actual qty missing",IF(IF(AND(TRIM(U619)="Pass",ISNUMBER(AF619)),IF(AF619&lt;&gt;0,"INVALID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recorded/closed","")&lt;&gt;"",IF(AND(TRIM(U619)="Pass",ISNUMBER(AF619)),IF(AF619&lt;&gt;0,"INVALID – qty variance: use Fail or Pass after CA",""),"")&amp;IF(AND(TRIM(U619)="Pass",AB619="Open"),"INVALID – corrective action still open: use Fail, then Pass after CA","")&amp;IF(AND(TRIM(U619)="Pass after CA",OR(TRIM(AA619)="",AB619&lt;&gt;"Closed")),"INVALID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window"),IF(AG619&gt;Flights!$AA$23,"INVALID – completed after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f>
        <v/>
      </c>
      <c r="AI619" s="67">
        <f>IF(OR(AH619="N/A – RULE",AH619="N/A – JUSTIFIED"),0,1)</f>
        <v/>
      </c>
      <c r="AJ619" s="67">
        <f>IF(LEFT(AH619,8)="COMPLETE",1,0)</f>
        <v/>
      </c>
      <c r="AK619" s="67">
        <f>IF(AND(AI619=1,AJ619=0,AsOfUTC&gt;Q619),1,0)</f>
        <v/>
      </c>
      <c r="AL619" s="67">
        <f>IF(AND(AI619=1,OR(TRIM(U619)="Fail",AB619="Open",AND(ISNUMBER(AF619),AF619&lt;&gt;0,TRIM(U619)&lt;&gt;"Pass after CA"))),1,0)</f>
        <v/>
      </c>
      <c r="AM619" s="67">
        <f>IF(LEFT(AH619,7)="INVALID",1,0)</f>
        <v/>
      </c>
      <c r="AN619" s="67">
        <f>IF(AND(N619="Clarification required",AI619=1,AJ619=0),1,0)</f>
        <v/>
      </c>
      <c r="AO619" s="67">
        <f>IF(AK619=1,SUM(AK$5:AK619),"")</f>
        <v/>
      </c>
      <c r="AP619" s="67">
        <f>IF(AL619=1,SUM(AL$5:AL619),"")</f>
        <v/>
      </c>
      <c r="AQ619" s="67" t="n">
        <v>0</v>
      </c>
      <c r="AR619" s="67" t="n">
        <v>0</v>
      </c>
      <c r="AS619" s="67" t="n">
        <v>0</v>
      </c>
      <c r="AT619" s="67" t="n">
        <v>0</v>
      </c>
    </row>
    <row r="620" ht="40" customHeight="1">
      <c r="A620" s="63" t="inlineStr">
        <is>
          <t>F19-T7-02</t>
        </is>
      </c>
      <c r="B620" s="63" t="inlineStr">
        <is>
          <t>F19</t>
        </is>
      </c>
      <c r="C620" s="63">
        <f>Flights!$F$23</f>
        <v/>
      </c>
      <c r="D620" s="64">
        <f>Flights!$D$23</f>
        <v/>
      </c>
      <c r="E620" s="63">
        <f>Flights!$G$23&amp;"-"&amp;Flights!$H$23</f>
        <v/>
      </c>
      <c r="F620" s="63">
        <f>Flights!$K$23</f>
        <v/>
      </c>
      <c r="G620" s="63" t="inlineStr">
        <is>
          <t>T-7D</t>
        </is>
      </c>
      <c r="H620" s="63" t="inlineStr">
        <is>
          <t>Preparation</t>
        </is>
      </c>
      <c r="I620" s="63" t="inlineStr">
        <is>
          <t>Menu</t>
        </is>
      </c>
      <c r="J620" s="63" t="inlineStr">
        <is>
          <t>Printed menu cards confirmed (content, cycle, language, quantity)</t>
        </is>
      </c>
      <c r="K620" s="73" t="inlineStr">
        <is>
          <t>Menu card matches approved menu for this flight</t>
        </is>
      </c>
      <c r="L620" s="73" t="inlineStr">
        <is>
          <t>User brief (T-7 days)</t>
        </is>
      </c>
      <c r="M620" s="73" t="inlineStr"/>
      <c r="N620" s="73" t="inlineStr">
        <is>
          <t>Required</t>
        </is>
      </c>
      <c r="O620" s="73" t="inlineStr"/>
      <c r="P620" s="63" t="inlineStr">
        <is>
          <t>KIX</t>
        </is>
      </c>
      <c r="Q620" s="65">
        <f>Flights!$AC$23</f>
        <v/>
      </c>
      <c r="R620" s="65">
        <f>Q620+(IF(AND(INDEX(TZ_DSTS,MATCH(P620,TZ_STN,0))&lt;&gt;"",Q620&gt;=INDEX(TZ_DSTS,MATCH(P620,TZ_STN,0)),Q620&lt;INDEX(TZ_DSTE,MATCH(P620,TZ_STN,0))),INDEX(TZ_DST,MATCH(P620,TZ_STN,0)),INDEX(TZ_STD,MATCH(P620,TZ_STN,0))))/24</f>
        <v/>
      </c>
      <c r="S620" s="65" t="inlineStr"/>
      <c r="T620" s="66" t="n"/>
      <c r="U620" s="66" t="n"/>
      <c r="V620" s="66" t="n"/>
      <c r="W620" s="67" t="n"/>
      <c r="X620" s="66" t="n"/>
      <c r="Y620" s="66" t="n"/>
      <c r="Z620" s="66" t="n"/>
      <c r="AA620" s="66" t="n"/>
      <c r="AB620" s="66" t="n"/>
      <c r="AC620" s="66" t="n"/>
      <c r="AD620" s="72" t="n"/>
      <c r="AE620" s="66" t="n"/>
      <c r="AF620" s="67">
        <f>IF(AND(ISNUMBER(X620),ISNUMBER(Y620)),Y620-X620,"")</f>
        <v/>
      </c>
      <c r="AG620" s="68">
        <f>IF(ISNUMBER(AD620),AD620-(IF(AND(INDEX(TZ_DSTS,MATCH(P620,TZ_STN,0))&lt;&gt;"",(AD620-INDEX(TZ_STD,MATCH(P620,TZ_STN,0))/24)&gt;=INDEX(TZ_DSTS,MATCH(P620,TZ_STN,0)),(AD620-INDEX(TZ_STD,MATCH(P620,TZ_STN,0))/24)&lt;INDEX(TZ_DSTE,MATCH(P620,TZ_STN,0))),INDEX(TZ_DST,MATCH(P620,TZ_STN,0)),INDEX(TZ_STD,MATCH(P620,TZ_STN,0))))/24,"")</f>
        <v/>
      </c>
      <c r="AH620" s="71">
        <f>IF(N620="N/A – rule","N/A – RULE",IF(TRIM(U620)="N/A",IF(AT620=0,"INVALID – N/A not permitted for this mandatory check",IF(AND(TRIM(AC620)&lt;&gt;"",TRIM(AE620)&lt;&gt;"",TRIM(T620)&lt;&gt;""),"N/A – JUSTIFIED","INVALID – N/A needs justification, PIC and verifier")),IF(OR(TRIM(U620)="Pass",TRIM(U620)="Pass after CA"),IF(NOT(ISNUMBER(AD620)),"INVALID – completion time missing",IF(TRIM(T620)="","INVALID – PIC missing",IF(TRIM(Z620)="","INVALID – evidence missing",IF(TRIM(AE620)="","INVALID – verifier missing",IF(AND(AQ620=1,TRIM(W620)=""),"INVALID – batch ID missing",IF(AND(AR620=1,OR(NOT(ISNUMBER(X620)),NOT(ISNUMBER(Y620)))),"INVALID – expected/actual qty missing",IF(IF(AND(TRIM(U620)="Pass",ISNUMBER(AF620)),IF(AF620&lt;&gt;0,"INVALID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recorded/closed","")&lt;&gt;"",IF(AND(TRIM(U620)="Pass",ISNUMBER(AF620)),IF(AF620&lt;&gt;0,"INVALID – qty variance: use Fail or Pass after CA",""),"")&amp;IF(AND(TRIM(U620)="Pass",AB620="Open"),"INVALID – corrective action still open: use Fail, then Pass after CA","")&amp;IF(AND(TRIM(U620)="Pass after CA",OR(TRIM(AA620)="",AB620&lt;&gt;"Closed")),"INVALID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window"),IF(AG620&gt;Flights!$AA$23,"INVALID – completed after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f>
        <v/>
      </c>
      <c r="AI620" s="67">
        <f>IF(OR(AH620="N/A – RULE",AH620="N/A – JUSTIFIED"),0,1)</f>
        <v/>
      </c>
      <c r="AJ620" s="67">
        <f>IF(LEFT(AH620,8)="COMPLETE",1,0)</f>
        <v/>
      </c>
      <c r="AK620" s="67">
        <f>IF(AND(AI620=1,AJ620=0,AsOfUTC&gt;Q620),1,0)</f>
        <v/>
      </c>
      <c r="AL620" s="67">
        <f>IF(AND(AI620=1,OR(TRIM(U620)="Fail",AB620="Open",AND(ISNUMBER(AF620),AF620&lt;&gt;0,TRIM(U620)&lt;&gt;"Pass after CA"))),1,0)</f>
        <v/>
      </c>
      <c r="AM620" s="67">
        <f>IF(LEFT(AH620,7)="INVALID",1,0)</f>
        <v/>
      </c>
      <c r="AN620" s="67">
        <f>IF(AND(N620="Clarification required",AI620=1,AJ620=0),1,0)</f>
        <v/>
      </c>
      <c r="AO620" s="67">
        <f>IF(AK620=1,SUM(AK$5:AK620),"")</f>
        <v/>
      </c>
      <c r="AP620" s="67">
        <f>IF(AL620=1,SUM(AL$5:AL620),"")</f>
        <v/>
      </c>
      <c r="AQ620" s="67" t="n">
        <v>0</v>
      </c>
      <c r="AR620" s="67" t="n">
        <v>0</v>
      </c>
      <c r="AS620" s="67" t="n">
        <v>0</v>
      </c>
      <c r="AT620" s="67" t="n">
        <v>1</v>
      </c>
    </row>
    <row r="621" ht="41.5" customHeight="1">
      <c r="A621" s="63" t="inlineStr">
        <is>
          <t>F19-T7-03</t>
        </is>
      </c>
      <c r="B621" s="63" t="inlineStr">
        <is>
          <t>F19</t>
        </is>
      </c>
      <c r="C621" s="63">
        <f>Flights!$F$23</f>
        <v/>
      </c>
      <c r="D621" s="64">
        <f>Flights!$D$23</f>
        <v/>
      </c>
      <c r="E621" s="63">
        <f>Flights!$G$23&amp;"-"&amp;Flights!$H$23</f>
        <v/>
      </c>
      <c r="F621" s="63">
        <f>Flights!$K$23</f>
        <v/>
      </c>
      <c r="G621" s="63" t="inlineStr">
        <is>
          <t>T-7D</t>
        </is>
      </c>
      <c r="H621" s="63" t="inlineStr">
        <is>
          <t>Preparation</t>
        </is>
      </c>
      <c r="I621" s="63" t="inlineStr">
        <is>
          <t>IFE</t>
        </is>
      </c>
      <c r="J621" s="63" t="inlineStr">
        <is>
          <t>Digital menu in IFE confirmed (A339 only)</t>
        </is>
      </c>
      <c r="K621" s="73" t="inlineStr">
        <is>
          <t>Applies when fleet = A339</t>
        </is>
      </c>
      <c r="L621" s="73" t="inlineStr">
        <is>
          <t>User brief (T-7 days)</t>
        </is>
      </c>
      <c r="M621" s="73" t="inlineStr"/>
      <c r="N621" s="73">
        <f>IF(TRIM(Flights!$L$23)="A339","Required","N/A – rule")</f>
        <v/>
      </c>
      <c r="O621" s="73" t="inlineStr">
        <is>
          <t>Digital IFE menu applies to A339 only (user brief). Applicability follows the Fleet cell on Flights.</t>
        </is>
      </c>
      <c r="P621" s="63" t="inlineStr">
        <is>
          <t>KIX</t>
        </is>
      </c>
      <c r="Q621" s="65">
        <f>Flights!$AC$23</f>
        <v/>
      </c>
      <c r="R621" s="65">
        <f>Q621+(IF(AND(INDEX(TZ_DSTS,MATCH(P621,TZ_STN,0))&lt;&gt;"",Q621&gt;=INDEX(TZ_DSTS,MATCH(P621,TZ_STN,0)),Q621&lt;INDEX(TZ_DSTE,MATCH(P621,TZ_STN,0))),INDEX(TZ_DST,MATCH(P621,TZ_STN,0)),INDEX(TZ_STD,MATCH(P621,TZ_STN,0))))/24</f>
        <v/>
      </c>
      <c r="S621" s="65" t="inlineStr"/>
      <c r="T621" s="66" t="n"/>
      <c r="U621" s="66" t="n"/>
      <c r="V621" s="66" t="n"/>
      <c r="W621" s="67" t="n"/>
      <c r="X621" s="66" t="n"/>
      <c r="Y621" s="66" t="n"/>
      <c r="Z621" s="66" t="n"/>
      <c r="AA621" s="66" t="n"/>
      <c r="AB621" s="66" t="n"/>
      <c r="AC621" s="66" t="n"/>
      <c r="AD621" s="72" t="n"/>
      <c r="AE621" s="66" t="n"/>
      <c r="AF621" s="67">
        <f>IF(AND(ISNUMBER(X621),ISNUMBER(Y621)),Y621-X621,"")</f>
        <v/>
      </c>
      <c r="AG621" s="68">
        <f>IF(ISNUMBER(AD621),AD621-(IF(AND(INDEX(TZ_DSTS,MATCH(P621,TZ_STN,0))&lt;&gt;"",(AD621-INDEX(TZ_STD,MATCH(P621,TZ_STN,0))/24)&gt;=INDEX(TZ_DSTS,MATCH(P621,TZ_STN,0)),(AD621-INDEX(TZ_STD,MATCH(P621,TZ_STN,0))/24)&lt;INDEX(TZ_DSTE,MATCH(P621,TZ_STN,0))),INDEX(TZ_DST,MATCH(P621,TZ_STN,0)),INDEX(TZ_STD,MATCH(P621,TZ_STN,0))))/24,"")</f>
        <v/>
      </c>
      <c r="AH621" s="71">
        <f>IF(N621="N/A – rule","N/A – RULE",IF(TRIM(U621)="N/A",IF(AT621=0,"INVALID – N/A not permitted for this mandatory check",IF(AND(TRIM(AC621)&lt;&gt;"",TRIM(AE621)&lt;&gt;"",TRIM(T621)&lt;&gt;""),"N/A – JUSTIFIED","INVALID – N/A needs justification, PIC and verifier")),IF(OR(TRIM(U621)="Pass",TRIM(U621)="Pass after CA"),IF(NOT(ISNUMBER(AD621)),"INVALID – completion time missing",IF(TRIM(T621)="","INVALID – PIC missing",IF(TRIM(Z621)="","INVALID – evidence missing",IF(TRIM(AE621)="","INVALID – verifier missing",IF(AND(AQ621=1,TRIM(W621)=""),"INVALID – batch ID missing",IF(AND(AR621=1,OR(NOT(ISNUMBER(X621)),NOT(ISNUMBER(Y621)))),"INVALID – expected/actual qty missing",IF(IF(AND(TRIM(U621)="Pass",ISNUMBER(AF621)),IF(AF621&lt;&gt;0,"INVALID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recorded/closed","")&lt;&gt;"",IF(AND(TRIM(U621)="Pass",ISNUMBER(AF621)),IF(AF621&lt;&gt;0,"INVALID – qty variance: use Fail or Pass after CA",""),"")&amp;IF(AND(TRIM(U621)="Pass",AB621="Open"),"INVALID – corrective action still open: use Fail, then Pass after CA","")&amp;IF(AND(TRIM(U621)="Pass after CA",OR(TRIM(AA621)="",AB621&lt;&gt;"Closed")),"INVALID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window"),IF(AG621&gt;Flights!$AA$23,"INVALID – completed after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f>
        <v/>
      </c>
      <c r="AI621" s="67">
        <f>IF(OR(AH621="N/A – RULE",AH621="N/A – JUSTIFIED"),0,1)</f>
        <v/>
      </c>
      <c r="AJ621" s="67">
        <f>IF(LEFT(AH621,8)="COMPLETE",1,0)</f>
        <v/>
      </c>
      <c r="AK621" s="67">
        <f>IF(AND(AI621=1,AJ621=0,AsOfUTC&gt;Q621),1,0)</f>
        <v/>
      </c>
      <c r="AL621" s="67">
        <f>IF(AND(AI621=1,OR(TRIM(U621)="Fail",AB621="Open",AND(ISNUMBER(AF621),AF621&lt;&gt;0,TRIM(U621)&lt;&gt;"Pass after CA"))),1,0)</f>
        <v/>
      </c>
      <c r="AM621" s="67">
        <f>IF(LEFT(AH621,7)="INVALID",1,0)</f>
        <v/>
      </c>
      <c r="AN621" s="67">
        <f>IF(AND(N621="Clarification required",AI621=1,AJ621=0),1,0)</f>
        <v/>
      </c>
      <c r="AO621" s="67">
        <f>IF(AK621=1,SUM(AK$5:AK621),"")</f>
        <v/>
      </c>
      <c r="AP621" s="67">
        <f>IF(AL621=1,SUM(AL$5:AL621),"")</f>
        <v/>
      </c>
      <c r="AQ621" s="67" t="n">
        <v>0</v>
      </c>
      <c r="AR621" s="67" t="n">
        <v>0</v>
      </c>
      <c r="AS621" s="67" t="n">
        <v>0</v>
      </c>
      <c r="AT621" s="67" t="n">
        <v>0</v>
      </c>
    </row>
    <row r="622" ht="40" customHeight="1">
      <c r="A622" s="63" t="inlineStr">
        <is>
          <t>F19-T7-04</t>
        </is>
      </c>
      <c r="B622" s="63" t="inlineStr">
        <is>
          <t>F19</t>
        </is>
      </c>
      <c r="C622" s="63">
        <f>Flights!$F$23</f>
        <v/>
      </c>
      <c r="D622" s="64">
        <f>Flights!$D$23</f>
        <v/>
      </c>
      <c r="E622" s="63">
        <f>Flights!$G$23&amp;"-"&amp;Flights!$H$23</f>
        <v/>
      </c>
      <c r="F622" s="63">
        <f>Flights!$K$23</f>
        <v/>
      </c>
      <c r="G622" s="63" t="inlineStr">
        <is>
          <t>T-7D</t>
        </is>
      </c>
      <c r="H622" s="63" t="inlineStr">
        <is>
          <t>Preparation</t>
        </is>
      </c>
      <c r="I622" s="63" t="inlineStr">
        <is>
          <t>Staffing</t>
        </is>
      </c>
      <c r="J622" s="63" t="inlineStr">
        <is>
          <t>Experienced catering officer assigned to this flight</t>
        </is>
      </c>
      <c r="K622" s="73" t="inlineStr">
        <is>
          <t>Record officer name in Result</t>
        </is>
      </c>
      <c r="L622" s="73" t="inlineStr">
        <is>
          <t>User brief (T-7 days)</t>
        </is>
      </c>
      <c r="M622" s="73" t="inlineStr"/>
      <c r="N622" s="73" t="inlineStr">
        <is>
          <t>Required</t>
        </is>
      </c>
      <c r="O622" s="73" t="inlineStr"/>
      <c r="P622" s="63" t="inlineStr">
        <is>
          <t>KIX</t>
        </is>
      </c>
      <c r="Q622" s="65">
        <f>Flights!$AC$23</f>
        <v/>
      </c>
      <c r="R622" s="65">
        <f>Q622+(IF(AND(INDEX(TZ_DSTS,MATCH(P622,TZ_STN,0))&lt;&gt;"",Q622&gt;=INDEX(TZ_DSTS,MATCH(P622,TZ_STN,0)),Q622&lt;INDEX(TZ_DSTE,MATCH(P622,TZ_STN,0))),INDEX(TZ_DST,MATCH(P622,TZ_STN,0)),INDEX(TZ_STD,MATCH(P622,TZ_STN,0))))/24</f>
        <v/>
      </c>
      <c r="S622" s="65" t="inlineStr"/>
      <c r="T622" s="66" t="n"/>
      <c r="U622" s="66" t="n"/>
      <c r="V622" s="66" t="n"/>
      <c r="W622" s="67" t="n"/>
      <c r="X622" s="66" t="n"/>
      <c r="Y622" s="66" t="n"/>
      <c r="Z622" s="66" t="n"/>
      <c r="AA622" s="66" t="n"/>
      <c r="AB622" s="66" t="n"/>
      <c r="AC622" s="66" t="n"/>
      <c r="AD622" s="72" t="n"/>
      <c r="AE622" s="66" t="n"/>
      <c r="AF622" s="67">
        <f>IF(AND(ISNUMBER(X622),ISNUMBER(Y622)),Y622-X622,"")</f>
        <v/>
      </c>
      <c r="AG622" s="68">
        <f>IF(ISNUMBER(AD622),AD622-(IF(AND(INDEX(TZ_DSTS,MATCH(P622,TZ_STN,0))&lt;&gt;"",(AD622-INDEX(TZ_STD,MATCH(P622,TZ_STN,0))/24)&gt;=INDEX(TZ_DSTS,MATCH(P622,TZ_STN,0)),(AD622-INDEX(TZ_STD,MATCH(P622,TZ_STN,0))/24)&lt;INDEX(TZ_DSTE,MATCH(P622,TZ_STN,0))),INDEX(TZ_DST,MATCH(P622,TZ_STN,0)),INDEX(TZ_STD,MATCH(P622,TZ_STN,0))))/24,"")</f>
        <v/>
      </c>
      <c r="AH622" s="71">
        <f>IF(N622="N/A – rule","N/A – RULE",IF(TRIM(U622)="N/A",IF(AT622=0,"INVALID – N/A not permitted for this mandatory check",IF(AND(TRIM(AC622)&lt;&gt;"",TRIM(AE622)&lt;&gt;"",TRIM(T622)&lt;&gt;""),"N/A – JUSTIFIED","INVALID – N/A needs justification, PIC and verifier")),IF(OR(TRIM(U622)="Pass",TRIM(U622)="Pass after CA"),IF(NOT(ISNUMBER(AD622)),"INVALID – completion time missing",IF(TRIM(T622)="","INVALID – PIC missing",IF(TRIM(Z622)="","INVALID – evidence missing",IF(TRIM(AE622)="","INVALID – verifier missing",IF(AND(AQ622=1,TRIM(W622)=""),"INVALID – batch ID missing",IF(AND(AR622=1,OR(NOT(ISNUMBER(X622)),NOT(ISNUMBER(Y622)))),"INVALID – expected/actual qty missing",IF(IF(AND(TRIM(U622)="Pass",ISNUMBER(AF622)),IF(AF622&lt;&gt;0,"INVALID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recorded/closed","")&lt;&gt;"",IF(AND(TRIM(U622)="Pass",ISNUMBER(AF622)),IF(AF622&lt;&gt;0,"INVALID – qty variance: use Fail or Pass after CA",""),"")&amp;IF(AND(TRIM(U622)="Pass",AB622="Open"),"INVALID – corrective action still open: use Fail, then Pass after CA","")&amp;IF(AND(TRIM(U622)="Pass after CA",OR(TRIM(AA622)="",AB622&lt;&gt;"Closed")),"INVALID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window"),IF(AG622&gt;Flights!$AA$23,"INVALID – completed after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f>
        <v/>
      </c>
      <c r="AI622" s="67">
        <f>IF(OR(AH622="N/A – RULE",AH622="N/A – JUSTIFIED"),0,1)</f>
        <v/>
      </c>
      <c r="AJ622" s="67">
        <f>IF(LEFT(AH622,8)="COMPLETE",1,0)</f>
        <v/>
      </c>
      <c r="AK622" s="67">
        <f>IF(AND(AI622=1,AJ622=0,AsOfUTC&gt;Q622),1,0)</f>
        <v/>
      </c>
      <c r="AL622" s="67">
        <f>IF(AND(AI622=1,OR(TRIM(U622)="Fail",AB622="Open",AND(ISNUMBER(AF622),AF622&lt;&gt;0,TRIM(U622)&lt;&gt;"Pass after CA"))),1,0)</f>
        <v/>
      </c>
      <c r="AM622" s="67">
        <f>IF(LEFT(AH622,7)="INVALID",1,0)</f>
        <v/>
      </c>
      <c r="AN622" s="67">
        <f>IF(AND(N622="Clarification required",AI622=1,AJ622=0),1,0)</f>
        <v/>
      </c>
      <c r="AO622" s="67">
        <f>IF(AK622=1,SUM(AK$5:AK622),"")</f>
        <v/>
      </c>
      <c r="AP622" s="67">
        <f>IF(AL622=1,SUM(AL$5:AL622),"")</f>
        <v/>
      </c>
      <c r="AQ622" s="67" t="n">
        <v>0</v>
      </c>
      <c r="AR622" s="67" t="n">
        <v>0</v>
      </c>
      <c r="AS622" s="67" t="n">
        <v>0</v>
      </c>
      <c r="AT622" s="67" t="n">
        <v>0</v>
      </c>
    </row>
    <row r="623" ht="40" customHeight="1">
      <c r="A623" s="63" t="inlineStr">
        <is>
          <t>F19-T7-05</t>
        </is>
      </c>
      <c r="B623" s="63" t="inlineStr">
        <is>
          <t>F19</t>
        </is>
      </c>
      <c r="C623" s="63">
        <f>Flights!$F$23</f>
        <v/>
      </c>
      <c r="D623" s="64">
        <f>Flights!$D$23</f>
        <v/>
      </c>
      <c r="E623" s="63">
        <f>Flights!$G$23&amp;"-"&amp;Flights!$H$23</f>
        <v/>
      </c>
      <c r="F623" s="63">
        <f>Flights!$K$23</f>
        <v/>
      </c>
      <c r="G623" s="63" t="inlineStr">
        <is>
          <t>T-7D</t>
        </is>
      </c>
      <c r="H623" s="63" t="inlineStr">
        <is>
          <t>Preparation</t>
        </is>
      </c>
      <c r="I623" s="63" t="inlineStr">
        <is>
          <t>ISOP</t>
        </is>
      </c>
      <c r="J623" s="63" t="inlineStr">
        <is>
          <t>All latest applicable ISOP revisions communicated to caterer</t>
        </is>
      </c>
      <c r="K623" s="73" t="inlineStr">
        <is>
          <t>List revision numbers in Result (see ISOP register)</t>
        </is>
      </c>
      <c r="L623" s="73" t="inlineStr">
        <is>
          <t>User brief (T-7 days)</t>
        </is>
      </c>
      <c r="M623" s="73" t="inlineStr"/>
      <c r="N623" s="73" t="inlineStr">
        <is>
          <t>Required</t>
        </is>
      </c>
      <c r="O623" s="73" t="inlineStr"/>
      <c r="P623" s="63" t="inlineStr">
        <is>
          <t>KIX</t>
        </is>
      </c>
      <c r="Q623" s="65">
        <f>Flights!$AC$23</f>
        <v/>
      </c>
      <c r="R623" s="65">
        <f>Q623+(IF(AND(INDEX(TZ_DSTS,MATCH(P623,TZ_STN,0))&lt;&gt;"",Q623&gt;=INDEX(TZ_DSTS,MATCH(P623,TZ_STN,0)),Q623&lt;INDEX(TZ_DSTE,MATCH(P623,TZ_STN,0))),INDEX(TZ_DST,MATCH(P623,TZ_STN,0)),INDEX(TZ_STD,MATCH(P623,TZ_STN,0))))/24</f>
        <v/>
      </c>
      <c r="S623" s="65" t="inlineStr"/>
      <c r="T623" s="66" t="n"/>
      <c r="U623" s="66" t="n"/>
      <c r="V623" s="66" t="n"/>
      <c r="W623" s="67" t="n"/>
      <c r="X623" s="66" t="n"/>
      <c r="Y623" s="66" t="n"/>
      <c r="Z623" s="66" t="n"/>
      <c r="AA623" s="66" t="n"/>
      <c r="AB623" s="66" t="n"/>
      <c r="AC623" s="66" t="n"/>
      <c r="AD623" s="72" t="n"/>
      <c r="AE623" s="66" t="n"/>
      <c r="AF623" s="67">
        <f>IF(AND(ISNUMBER(X623),ISNUMBER(Y623)),Y623-X623,"")</f>
        <v/>
      </c>
      <c r="AG623" s="68">
        <f>IF(ISNUMBER(AD623),AD623-(IF(AND(INDEX(TZ_DSTS,MATCH(P623,TZ_STN,0))&lt;&gt;"",(AD623-INDEX(TZ_STD,MATCH(P623,TZ_STN,0))/24)&gt;=INDEX(TZ_DSTS,MATCH(P623,TZ_STN,0)),(AD623-INDEX(TZ_STD,MATCH(P623,TZ_STN,0))/24)&lt;INDEX(TZ_DSTE,MATCH(P623,TZ_STN,0))),INDEX(TZ_DST,MATCH(P623,TZ_STN,0)),INDEX(TZ_STD,MATCH(P623,TZ_STN,0))))/24,"")</f>
        <v/>
      </c>
      <c r="AH623" s="71">
        <f>IF(N623="N/A – rule","N/A – RULE",IF(TRIM(U623)="N/A",IF(AT623=0,"INVALID – N/A not permitted for this mandatory check",IF(AND(TRIM(AC623)&lt;&gt;"",TRIM(AE623)&lt;&gt;"",TRIM(T623)&lt;&gt;""),"N/A – JUSTIFIED","INVALID – N/A needs justification, PIC and verifier")),IF(OR(TRIM(U623)="Pass",TRIM(U623)="Pass after CA"),IF(NOT(ISNUMBER(AD623)),"INVALID – completion time missing",IF(TRIM(T623)="","INVALID – PIC missing",IF(TRIM(Z623)="","INVALID – evidence missing",IF(TRIM(AE623)="","INVALID – verifier missing",IF(AND(AQ623=1,TRIM(W623)=""),"INVALID – batch ID missing",IF(AND(AR623=1,OR(NOT(ISNUMBER(X623)),NOT(ISNUMBER(Y623)))),"INVALID – expected/actual qty missing",IF(IF(AND(TRIM(U623)="Pass",ISNUMBER(AF623)),IF(AF623&lt;&gt;0,"INVALID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recorded/closed","")&lt;&gt;"",IF(AND(TRIM(U623)="Pass",ISNUMBER(AF623)),IF(AF623&lt;&gt;0,"INVALID – qty variance: use Fail or Pass after CA",""),"")&amp;IF(AND(TRIM(U623)="Pass",AB623="Open"),"INVALID – corrective action still open: use Fail, then Pass after CA","")&amp;IF(AND(TRIM(U623)="Pass after CA",OR(TRIM(AA623)="",AB623&lt;&gt;"Closed")),"INVALID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window"),IF(AG623&gt;Flights!$AA$23,"INVALID – completed after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f>
        <v/>
      </c>
      <c r="AI623" s="67">
        <f>IF(OR(AH623="N/A – RULE",AH623="N/A – JUSTIFIED"),0,1)</f>
        <v/>
      </c>
      <c r="AJ623" s="67">
        <f>IF(LEFT(AH623,8)="COMPLETE",1,0)</f>
        <v/>
      </c>
      <c r="AK623" s="67">
        <f>IF(AND(AI623=1,AJ623=0,AsOfUTC&gt;Q623),1,0)</f>
        <v/>
      </c>
      <c r="AL623" s="67">
        <f>IF(AND(AI623=1,OR(TRIM(U623)="Fail",AB623="Open",AND(ISNUMBER(AF623),AF623&lt;&gt;0,TRIM(U623)&lt;&gt;"Pass after CA"))),1,0)</f>
        <v/>
      </c>
      <c r="AM623" s="67">
        <f>IF(LEFT(AH623,7)="INVALID",1,0)</f>
        <v/>
      </c>
      <c r="AN623" s="67">
        <f>IF(AND(N623="Clarification required",AI623=1,AJ623=0),1,0)</f>
        <v/>
      </c>
      <c r="AO623" s="67">
        <f>IF(AK623=1,SUM(AK$5:AK623),"")</f>
        <v/>
      </c>
      <c r="AP623" s="67">
        <f>IF(AL623=1,SUM(AL$5:AL623),"")</f>
        <v/>
      </c>
      <c r="AQ623" s="67" t="n">
        <v>0</v>
      </c>
      <c r="AR623" s="67" t="n">
        <v>0</v>
      </c>
      <c r="AS623" s="67" t="n">
        <v>0</v>
      </c>
      <c r="AT623" s="67" t="n">
        <v>0</v>
      </c>
    </row>
    <row r="624" ht="40" customHeight="1">
      <c r="A624" s="63" t="inlineStr">
        <is>
          <t>F19-T7-06</t>
        </is>
      </c>
      <c r="B624" s="63" t="inlineStr">
        <is>
          <t>F19</t>
        </is>
      </c>
      <c r="C624" s="63">
        <f>Flights!$F$23</f>
        <v/>
      </c>
      <c r="D624" s="64">
        <f>Flights!$D$23</f>
        <v/>
      </c>
      <c r="E624" s="63">
        <f>Flights!$G$23&amp;"-"&amp;Flights!$H$23</f>
        <v/>
      </c>
      <c r="F624" s="63">
        <f>Flights!$K$23</f>
        <v/>
      </c>
      <c r="G624" s="63" t="inlineStr">
        <is>
          <t>T-7D</t>
        </is>
      </c>
      <c r="H624" s="63" t="inlineStr">
        <is>
          <t>Preparation</t>
        </is>
      </c>
      <c r="I624" s="63" t="inlineStr">
        <is>
          <t>ISOP</t>
        </is>
      </c>
      <c r="J624" s="63" t="inlineStr">
        <is>
          <t>Caterer acknowledgement of ISOP revisions recorded</t>
        </is>
      </c>
      <c r="K624" s="73" t="inlineStr">
        <is>
          <t>Record acknowledgement ref in Evidence</t>
        </is>
      </c>
      <c r="L624" s="73" t="inlineStr">
        <is>
          <t>User brief (T-7 days)</t>
        </is>
      </c>
      <c r="M624" s="73" t="inlineStr"/>
      <c r="N624" s="73" t="inlineStr">
        <is>
          <t>Required</t>
        </is>
      </c>
      <c r="O624" s="73" t="inlineStr"/>
      <c r="P624" s="63" t="inlineStr">
        <is>
          <t>KIX</t>
        </is>
      </c>
      <c r="Q624" s="65">
        <f>Flights!$AC$23</f>
        <v/>
      </c>
      <c r="R624" s="65">
        <f>Q624+(IF(AND(INDEX(TZ_DSTS,MATCH(P624,TZ_STN,0))&lt;&gt;"",Q624&gt;=INDEX(TZ_DSTS,MATCH(P624,TZ_STN,0)),Q624&lt;INDEX(TZ_DSTE,MATCH(P624,TZ_STN,0))),INDEX(TZ_DST,MATCH(P624,TZ_STN,0)),INDEX(TZ_STD,MATCH(P624,TZ_STN,0))))/24</f>
        <v/>
      </c>
      <c r="S624" s="65" t="inlineStr"/>
      <c r="T624" s="66" t="n"/>
      <c r="U624" s="66" t="n"/>
      <c r="V624" s="66" t="n"/>
      <c r="W624" s="67" t="n"/>
      <c r="X624" s="66" t="n"/>
      <c r="Y624" s="66" t="n"/>
      <c r="Z624" s="66" t="n"/>
      <c r="AA624" s="66" t="n"/>
      <c r="AB624" s="66" t="n"/>
      <c r="AC624" s="66" t="n"/>
      <c r="AD624" s="72" t="n"/>
      <c r="AE624" s="66" t="n"/>
      <c r="AF624" s="67">
        <f>IF(AND(ISNUMBER(X624),ISNUMBER(Y624)),Y624-X624,"")</f>
        <v/>
      </c>
      <c r="AG624" s="68">
        <f>IF(ISNUMBER(AD624),AD624-(IF(AND(INDEX(TZ_DSTS,MATCH(P624,TZ_STN,0))&lt;&gt;"",(AD624-INDEX(TZ_STD,MATCH(P624,TZ_STN,0))/24)&gt;=INDEX(TZ_DSTS,MATCH(P624,TZ_STN,0)),(AD624-INDEX(TZ_STD,MATCH(P624,TZ_STN,0))/24)&lt;INDEX(TZ_DSTE,MATCH(P624,TZ_STN,0))),INDEX(TZ_DST,MATCH(P624,TZ_STN,0)),INDEX(TZ_STD,MATCH(P624,TZ_STN,0))))/24,"")</f>
        <v/>
      </c>
      <c r="AH624" s="71">
        <f>IF(N624="N/A – rule","N/A – RULE",IF(TRIM(U624)="N/A",IF(AT624=0,"INVALID – N/A not permitted for this mandatory check",IF(AND(TRIM(AC624)&lt;&gt;"",TRIM(AE624)&lt;&gt;"",TRIM(T624)&lt;&gt;""),"N/A – JUSTIFIED","INVALID – N/A needs justification, PIC and verifier")),IF(OR(TRIM(U624)="Pass",TRIM(U624)="Pass after CA"),IF(NOT(ISNUMBER(AD624)),"INVALID – completion time missing",IF(TRIM(T624)="","INVALID – PIC missing",IF(TRIM(Z624)="","INVALID – evidence missing",IF(TRIM(AE624)="","INVALID – verifier missing",IF(AND(AQ624=1,TRIM(W624)=""),"INVALID – batch ID missing",IF(AND(AR624=1,OR(NOT(ISNUMBER(X624)),NOT(ISNUMBER(Y624)))),"INVALID – expected/actual qty missing",IF(IF(AND(TRIM(U624)="Pass",ISNUMBER(AF624)),IF(AF624&lt;&gt;0,"INVALID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recorded/closed","")&lt;&gt;"",IF(AND(TRIM(U624)="Pass",ISNUMBER(AF624)),IF(AF624&lt;&gt;0,"INVALID – qty variance: use Fail or Pass after CA",""),"")&amp;IF(AND(TRIM(U624)="Pass",AB624="Open"),"INVALID – corrective action still open: use Fail, then Pass after CA","")&amp;IF(AND(TRIM(U624)="Pass after CA",OR(TRIM(AA624)="",AB624&lt;&gt;"Closed")),"INVALID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window"),IF(AG624&gt;Flights!$AA$23,"INVALID – completed after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f>
        <v/>
      </c>
      <c r="AI624" s="67">
        <f>IF(OR(AH624="N/A – RULE",AH624="N/A – JUSTIFIED"),0,1)</f>
        <v/>
      </c>
      <c r="AJ624" s="67">
        <f>IF(LEFT(AH624,8)="COMPLETE",1,0)</f>
        <v/>
      </c>
      <c r="AK624" s="67">
        <f>IF(AND(AI624=1,AJ624=0,AsOfUTC&gt;Q624),1,0)</f>
        <v/>
      </c>
      <c r="AL624" s="67">
        <f>IF(AND(AI624=1,OR(TRIM(U624)="Fail",AB624="Open",AND(ISNUMBER(AF624),AF624&lt;&gt;0,TRIM(U624)&lt;&gt;"Pass after CA"))),1,0)</f>
        <v/>
      </c>
      <c r="AM624" s="67">
        <f>IF(LEFT(AH624,7)="INVALID",1,0)</f>
        <v/>
      </c>
      <c r="AN624" s="67">
        <f>IF(AND(N624="Clarification required",AI624=1,AJ624=0),1,0)</f>
        <v/>
      </c>
      <c r="AO624" s="67">
        <f>IF(AK624=1,SUM(AK$5:AK624),"")</f>
        <v/>
      </c>
      <c r="AP624" s="67">
        <f>IF(AL624=1,SUM(AL$5:AL624),"")</f>
        <v/>
      </c>
      <c r="AQ624" s="67" t="n">
        <v>0</v>
      </c>
      <c r="AR624" s="67" t="n">
        <v>0</v>
      </c>
      <c r="AS624" s="67" t="n">
        <v>0</v>
      </c>
      <c r="AT624" s="67" t="n">
        <v>0</v>
      </c>
    </row>
    <row r="625" ht="40" customHeight="1">
      <c r="A625" s="63" t="inlineStr">
        <is>
          <t>F19-T7-07</t>
        </is>
      </c>
      <c r="B625" s="63" t="inlineStr">
        <is>
          <t>F19</t>
        </is>
      </c>
      <c r="C625" s="63">
        <f>Flights!$F$23</f>
        <v/>
      </c>
      <c r="D625" s="64">
        <f>Flights!$D$23</f>
        <v/>
      </c>
      <c r="E625" s="63">
        <f>Flights!$G$23&amp;"-"&amp;Flights!$H$23</f>
        <v/>
      </c>
      <c r="F625" s="63">
        <f>Flights!$K$23</f>
        <v/>
      </c>
      <c r="G625" s="63" t="inlineStr">
        <is>
          <t>T-7D</t>
        </is>
      </c>
      <c r="H625" s="63" t="inlineStr">
        <is>
          <t>Preparation</t>
        </is>
      </c>
      <c r="I625" s="63" t="inlineStr">
        <is>
          <t>Documents</t>
        </is>
      </c>
      <c r="J625" s="63" t="inlineStr">
        <is>
          <t>Galley loading diagram (GLD) received, revision recorded &amp; attached</t>
        </is>
      </c>
      <c r="K625" s="73" t="inlineStr">
        <is>
          <t>Documents sheet row complete</t>
        </is>
      </c>
      <c r="L625" s="73" t="inlineStr">
        <is>
          <t>User brief (T-7 days)</t>
        </is>
      </c>
      <c r="M625" s="73" t="inlineStr"/>
      <c r="N625" s="73" t="inlineStr">
        <is>
          <t>Required</t>
        </is>
      </c>
      <c r="O625" s="73" t="inlineStr"/>
      <c r="P625" s="63" t="inlineStr">
        <is>
          <t>KIX</t>
        </is>
      </c>
      <c r="Q625" s="65">
        <f>Flights!$AC$23</f>
        <v/>
      </c>
      <c r="R625" s="65">
        <f>Q625+(IF(AND(INDEX(TZ_DSTS,MATCH(P625,TZ_STN,0))&lt;&gt;"",Q625&gt;=INDEX(TZ_DSTS,MATCH(P625,TZ_STN,0)),Q625&lt;INDEX(TZ_DSTE,MATCH(P625,TZ_STN,0))),INDEX(TZ_DST,MATCH(P625,TZ_STN,0)),INDEX(TZ_STD,MATCH(P625,TZ_STN,0))))/24</f>
        <v/>
      </c>
      <c r="S625" s="65" t="inlineStr"/>
      <c r="T625" s="66" t="n"/>
      <c r="U625" s="66" t="n"/>
      <c r="V625" s="66" t="n"/>
      <c r="W625" s="67" t="n"/>
      <c r="X625" s="66" t="n"/>
      <c r="Y625" s="66" t="n"/>
      <c r="Z625" s="66" t="n"/>
      <c r="AA625" s="66" t="n"/>
      <c r="AB625" s="66" t="n"/>
      <c r="AC625" s="66" t="n"/>
      <c r="AD625" s="72" t="n"/>
      <c r="AE625" s="66" t="n"/>
      <c r="AF625" s="67">
        <f>IF(AND(ISNUMBER(X625),ISNUMBER(Y625)),Y625-X625,"")</f>
        <v/>
      </c>
      <c r="AG625" s="68">
        <f>IF(ISNUMBER(AD625),AD625-(IF(AND(INDEX(TZ_DSTS,MATCH(P625,TZ_STN,0))&lt;&gt;"",(AD625-INDEX(TZ_STD,MATCH(P625,TZ_STN,0))/24)&gt;=INDEX(TZ_DSTS,MATCH(P625,TZ_STN,0)),(AD625-INDEX(TZ_STD,MATCH(P625,TZ_STN,0))/24)&lt;INDEX(TZ_DSTE,MATCH(P625,TZ_STN,0))),INDEX(TZ_DST,MATCH(P625,TZ_STN,0)),INDEX(TZ_STD,MATCH(P625,TZ_STN,0))))/24,"")</f>
        <v/>
      </c>
      <c r="AH625" s="71">
        <f>IF(N625="N/A – rule","N/A – RULE",IF(TRIM(U625)="N/A",IF(AT625=0,"INVALID – N/A not permitted for this mandatory check",IF(AND(TRIM(AC625)&lt;&gt;"",TRIM(AE625)&lt;&gt;"",TRIM(T625)&lt;&gt;""),"N/A – JUSTIFIED","INVALID – N/A needs justification, PIC and verifier")),IF(OR(TRIM(U625)="Pass",TRIM(U625)="Pass after CA"),IF(NOT(ISNUMBER(AD625)),"INVALID – completion time missing",IF(TRIM(T625)="","INVALID – PIC missing",IF(TRIM(Z625)="","INVALID – evidence missing",IF(TRIM(AE625)="","INVALID – verifier missing",IF(AND(AQ625=1,TRIM(W625)=""),"INVALID – batch ID missing",IF(AND(AR625=1,OR(NOT(ISNUMBER(X625)),NOT(ISNUMBER(Y625)))),"INVALID – expected/actual qty missing",IF(IF(AND(TRIM(U625)="Pass",ISNUMBER(AF625)),IF(AF625&lt;&gt;0,"INVALID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recorded/closed","")&lt;&gt;"",IF(AND(TRIM(U625)="Pass",ISNUMBER(AF625)),IF(AF625&lt;&gt;0,"INVALID – qty variance: use Fail or Pass after CA",""),"")&amp;IF(AND(TRIM(U625)="Pass",AB625="Open"),"INVALID – corrective action still open: use Fail, then Pass after CA","")&amp;IF(AND(TRIM(U625)="Pass after CA",OR(TRIM(AA625)="",AB625&lt;&gt;"Closed")),"INVALID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window"),IF(AG625&gt;Flights!$AA$23,"INVALID – completed after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f>
        <v/>
      </c>
      <c r="AI625" s="67">
        <f>IF(OR(AH625="N/A – RULE",AH625="N/A – JUSTIFIED"),0,1)</f>
        <v/>
      </c>
      <c r="AJ625" s="67">
        <f>IF(LEFT(AH625,8)="COMPLETE",1,0)</f>
        <v/>
      </c>
      <c r="AK625" s="67">
        <f>IF(AND(AI625=1,AJ625=0,AsOfUTC&gt;Q625),1,0)</f>
        <v/>
      </c>
      <c r="AL625" s="67">
        <f>IF(AND(AI625=1,OR(TRIM(U625)="Fail",AB625="Open",AND(ISNUMBER(AF625),AF625&lt;&gt;0,TRIM(U625)&lt;&gt;"Pass after CA"))),1,0)</f>
        <v/>
      </c>
      <c r="AM625" s="67">
        <f>IF(LEFT(AH625,7)="INVALID",1,0)</f>
        <v/>
      </c>
      <c r="AN625" s="67">
        <f>IF(AND(N625="Clarification required",AI625=1,AJ625=0),1,0)</f>
        <v/>
      </c>
      <c r="AO625" s="67">
        <f>IF(AK625=1,SUM(AK$5:AK625),"")</f>
        <v/>
      </c>
      <c r="AP625" s="67">
        <f>IF(AL625=1,SUM(AL$5:AL625),"")</f>
        <v/>
      </c>
      <c r="AQ625" s="67" t="n">
        <v>0</v>
      </c>
      <c r="AR625" s="67" t="n">
        <v>0</v>
      </c>
      <c r="AS625" s="67" t="n">
        <v>1</v>
      </c>
      <c r="AT625" s="67" t="n">
        <v>0</v>
      </c>
    </row>
    <row r="626" ht="40" customHeight="1">
      <c r="A626" s="63" t="inlineStr">
        <is>
          <t>F19-T7-08</t>
        </is>
      </c>
      <c r="B626" s="63" t="inlineStr">
        <is>
          <t>F19</t>
        </is>
      </c>
      <c r="C626" s="63">
        <f>Flights!$F$23</f>
        <v/>
      </c>
      <c r="D626" s="64">
        <f>Flights!$D$23</f>
        <v/>
      </c>
      <c r="E626" s="63">
        <f>Flights!$G$23&amp;"-"&amp;Flights!$H$23</f>
        <v/>
      </c>
      <c r="F626" s="63">
        <f>Flights!$K$23</f>
        <v/>
      </c>
      <c r="G626" s="63" t="inlineStr">
        <is>
          <t>T-7D</t>
        </is>
      </c>
      <c r="H626" s="63" t="inlineStr">
        <is>
          <t>Preparation</t>
        </is>
      </c>
      <c r="I626" s="63" t="inlineStr">
        <is>
          <t>Documents</t>
        </is>
      </c>
      <c r="J626" s="63" t="inlineStr">
        <is>
          <t>Menu checklist received, revision recorded &amp; attached</t>
        </is>
      </c>
      <c r="K626" s="73" t="inlineStr">
        <is>
          <t>Documents sheet row complete</t>
        </is>
      </c>
      <c r="L626" s="73" t="inlineStr">
        <is>
          <t>User brief (T-7 days)</t>
        </is>
      </c>
      <c r="M626" s="73" t="inlineStr"/>
      <c r="N626" s="73" t="inlineStr">
        <is>
          <t>Required</t>
        </is>
      </c>
      <c r="O626" s="73" t="inlineStr"/>
      <c r="P626" s="63" t="inlineStr">
        <is>
          <t>KIX</t>
        </is>
      </c>
      <c r="Q626" s="65">
        <f>Flights!$AC$23</f>
        <v/>
      </c>
      <c r="R626" s="65">
        <f>Q626+(IF(AND(INDEX(TZ_DSTS,MATCH(P626,TZ_STN,0))&lt;&gt;"",Q626&gt;=INDEX(TZ_DSTS,MATCH(P626,TZ_STN,0)),Q626&lt;INDEX(TZ_DSTE,MATCH(P626,TZ_STN,0))),INDEX(TZ_DST,MATCH(P626,TZ_STN,0)),INDEX(TZ_STD,MATCH(P626,TZ_STN,0))))/24</f>
        <v/>
      </c>
      <c r="S626" s="65" t="inlineStr"/>
      <c r="T626" s="66" t="n"/>
      <c r="U626" s="66" t="n"/>
      <c r="V626" s="66" t="n"/>
      <c r="W626" s="67" t="n"/>
      <c r="X626" s="66" t="n"/>
      <c r="Y626" s="66" t="n"/>
      <c r="Z626" s="66" t="n"/>
      <c r="AA626" s="66" t="n"/>
      <c r="AB626" s="66" t="n"/>
      <c r="AC626" s="66" t="n"/>
      <c r="AD626" s="72" t="n"/>
      <c r="AE626" s="66" t="n"/>
      <c r="AF626" s="67">
        <f>IF(AND(ISNUMBER(X626),ISNUMBER(Y626)),Y626-X626,"")</f>
        <v/>
      </c>
      <c r="AG626" s="68">
        <f>IF(ISNUMBER(AD626),AD626-(IF(AND(INDEX(TZ_DSTS,MATCH(P626,TZ_STN,0))&lt;&gt;"",(AD626-INDEX(TZ_STD,MATCH(P626,TZ_STN,0))/24)&gt;=INDEX(TZ_DSTS,MATCH(P626,TZ_STN,0)),(AD626-INDEX(TZ_STD,MATCH(P626,TZ_STN,0))/24)&lt;INDEX(TZ_DSTE,MATCH(P626,TZ_STN,0))),INDEX(TZ_DST,MATCH(P626,TZ_STN,0)),INDEX(TZ_STD,MATCH(P626,TZ_STN,0))))/24,"")</f>
        <v/>
      </c>
      <c r="AH626" s="71">
        <f>IF(N626="N/A – rule","N/A – RULE",IF(TRIM(U626)="N/A",IF(AT626=0,"INVALID – N/A not permitted for this mandatory check",IF(AND(TRIM(AC626)&lt;&gt;"",TRIM(AE626)&lt;&gt;"",TRIM(T626)&lt;&gt;""),"N/A – JUSTIFIED","INVALID – N/A needs justification, PIC and verifier")),IF(OR(TRIM(U626)="Pass",TRIM(U626)="Pass after CA"),IF(NOT(ISNUMBER(AD626)),"INVALID – completion time missing",IF(TRIM(T626)="","INVALID – PIC missing",IF(TRIM(Z626)="","INVALID – evidence missing",IF(TRIM(AE626)="","INVALID – verifier missing",IF(AND(AQ626=1,TRIM(W626)=""),"INVALID – batch ID missing",IF(AND(AR626=1,OR(NOT(ISNUMBER(X626)),NOT(ISNUMBER(Y626)))),"INVALID – expected/actual qty missing",IF(IF(AND(TRIM(U626)="Pass",ISNUMBER(AF626)),IF(AF626&lt;&gt;0,"INVALID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recorded/closed","")&lt;&gt;"",IF(AND(TRIM(U626)="Pass",ISNUMBER(AF626)),IF(AF626&lt;&gt;0,"INVALID – qty variance: use Fail or Pass after CA",""),"")&amp;IF(AND(TRIM(U626)="Pass",AB626="Open"),"INVALID – corrective action still open: use Fail, then Pass after CA","")&amp;IF(AND(TRIM(U626)="Pass after CA",OR(TRIM(AA626)="",AB626&lt;&gt;"Closed")),"INVALID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window"),IF(AG626&gt;Flights!$AA$23,"INVALID – completed after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f>
        <v/>
      </c>
      <c r="AI626" s="67">
        <f>IF(OR(AH626="N/A – RULE",AH626="N/A – JUSTIFIED"),0,1)</f>
        <v/>
      </c>
      <c r="AJ626" s="67">
        <f>IF(LEFT(AH626,8)="COMPLETE",1,0)</f>
        <v/>
      </c>
      <c r="AK626" s="67">
        <f>IF(AND(AI626=1,AJ626=0,AsOfUTC&gt;Q626),1,0)</f>
        <v/>
      </c>
      <c r="AL626" s="67">
        <f>IF(AND(AI626=1,OR(TRIM(U626)="Fail",AB626="Open",AND(ISNUMBER(AF626),AF626&lt;&gt;0,TRIM(U626)&lt;&gt;"Pass after CA"))),1,0)</f>
        <v/>
      </c>
      <c r="AM626" s="67">
        <f>IF(LEFT(AH626,7)="INVALID",1,0)</f>
        <v/>
      </c>
      <c r="AN626" s="67">
        <f>IF(AND(N626="Clarification required",AI626=1,AJ626=0),1,0)</f>
        <v/>
      </c>
      <c r="AO626" s="67">
        <f>IF(AK626=1,SUM(AK$5:AK626),"")</f>
        <v/>
      </c>
      <c r="AP626" s="67">
        <f>IF(AL626=1,SUM(AL$5:AL626),"")</f>
        <v/>
      </c>
      <c r="AQ626" s="67" t="n">
        <v>0</v>
      </c>
      <c r="AR626" s="67" t="n">
        <v>0</v>
      </c>
      <c r="AS626" s="67" t="n">
        <v>2</v>
      </c>
      <c r="AT626" s="67" t="n">
        <v>0</v>
      </c>
    </row>
    <row r="627" ht="40" customHeight="1">
      <c r="A627" s="63" t="inlineStr">
        <is>
          <t>F19-T7-09</t>
        </is>
      </c>
      <c r="B627" s="63" t="inlineStr">
        <is>
          <t>F19</t>
        </is>
      </c>
      <c r="C627" s="63">
        <f>Flights!$F$23</f>
        <v/>
      </c>
      <c r="D627" s="64">
        <f>Flights!$D$23</f>
        <v/>
      </c>
      <c r="E627" s="63">
        <f>Flights!$G$23&amp;"-"&amp;Flights!$H$23</f>
        <v/>
      </c>
      <c r="F627" s="63">
        <f>Flights!$K$23</f>
        <v/>
      </c>
      <c r="G627" s="63" t="inlineStr">
        <is>
          <t>T-7D</t>
        </is>
      </c>
      <c r="H627" s="63" t="inlineStr">
        <is>
          <t>Preparation</t>
        </is>
      </c>
      <c r="I627" s="63" t="inlineStr">
        <is>
          <t>Uplift plan</t>
        </is>
      </c>
      <c r="J627" s="63" t="inlineStr">
        <is>
          <t>Uplift plan confirmed with caterer vs STD Uplift Information</t>
        </is>
      </c>
      <c r="K627" s="73" t="inlineStr">
        <is>
          <t>Service: 1.5 Meal (Meal); meal uplift stn KIX (ref lists KUL/KIX)</t>
        </is>
      </c>
      <c r="L627" s="73" t="inlineStr">
        <is>
          <t>STD UPLIFT INFORMATION.xlsx &gt; CATERING UPLIFT STN!C17:G17</t>
        </is>
      </c>
      <c r="M627" s="73" t="inlineStr"/>
      <c r="N627" s="73" t="inlineStr">
        <is>
          <t>Required</t>
        </is>
      </c>
      <c r="O627" s="73" t="inlineStr"/>
      <c r="P627" s="63" t="inlineStr">
        <is>
          <t>KIX</t>
        </is>
      </c>
      <c r="Q627" s="65">
        <f>Flights!$AC$23</f>
        <v/>
      </c>
      <c r="R627" s="65">
        <f>Q627+(IF(AND(INDEX(TZ_DSTS,MATCH(P627,TZ_STN,0))&lt;&gt;"",Q627&gt;=INDEX(TZ_DSTS,MATCH(P627,TZ_STN,0)),Q627&lt;INDEX(TZ_DSTE,MATCH(P627,TZ_STN,0))),INDEX(TZ_DST,MATCH(P627,TZ_STN,0)),INDEX(TZ_STD,MATCH(P627,TZ_STN,0))))/24</f>
        <v/>
      </c>
      <c r="S627" s="65" t="inlineStr"/>
      <c r="T627" s="66" t="n"/>
      <c r="U627" s="66" t="n"/>
      <c r="V627" s="66" t="n"/>
      <c r="W627" s="67" t="n"/>
      <c r="X627" s="66" t="n"/>
      <c r="Y627" s="66" t="n"/>
      <c r="Z627" s="66" t="n"/>
      <c r="AA627" s="66" t="n"/>
      <c r="AB627" s="66" t="n"/>
      <c r="AC627" s="66" t="n"/>
      <c r="AD627" s="72" t="n"/>
      <c r="AE627" s="66" t="n"/>
      <c r="AF627" s="67">
        <f>IF(AND(ISNUMBER(X627),ISNUMBER(Y627)),Y627-X627,"")</f>
        <v/>
      </c>
      <c r="AG627" s="68">
        <f>IF(ISNUMBER(AD627),AD627-(IF(AND(INDEX(TZ_DSTS,MATCH(P627,TZ_STN,0))&lt;&gt;"",(AD627-INDEX(TZ_STD,MATCH(P627,TZ_STN,0))/24)&gt;=INDEX(TZ_DSTS,MATCH(P627,TZ_STN,0)),(AD627-INDEX(TZ_STD,MATCH(P627,TZ_STN,0))/24)&lt;INDEX(TZ_DSTE,MATCH(P627,TZ_STN,0))),INDEX(TZ_DST,MATCH(P627,TZ_STN,0)),INDEX(TZ_STD,MATCH(P627,TZ_STN,0))))/24,"")</f>
        <v/>
      </c>
      <c r="AH627" s="71">
        <f>IF(N627="N/A – rule","N/A – RULE",IF(TRIM(U627)="N/A",IF(AT627=0,"INVALID – N/A not permitted for this mandatory check",IF(AND(TRIM(AC627)&lt;&gt;"",TRIM(AE627)&lt;&gt;"",TRIM(T627)&lt;&gt;""),"N/A – JUSTIFIED","INVALID – N/A needs justification, PIC and verifier")),IF(OR(TRIM(U627)="Pass",TRIM(U627)="Pass after CA"),IF(NOT(ISNUMBER(AD627)),"INVALID – completion time missing",IF(TRIM(T627)="","INVALID – PIC missing",IF(TRIM(Z627)="","INVALID – evidence missing",IF(TRIM(AE627)="","INVALID – verifier missing",IF(AND(AQ627=1,TRIM(W627)=""),"INVALID – batch ID missing",IF(AND(AR627=1,OR(NOT(ISNUMBER(X627)),NOT(ISNUMBER(Y627)))),"INVALID – expected/actual qty missing",IF(IF(AND(TRIM(U627)="Pass",ISNUMBER(AF627)),IF(AF627&lt;&gt;0,"INVALID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recorded/closed","")&lt;&gt;"",IF(AND(TRIM(U627)="Pass",ISNUMBER(AF627)),IF(AF627&lt;&gt;0,"INVALID – qty variance: use Fail or Pass after CA",""),"")&amp;IF(AND(TRIM(U627)="Pass",AB627="Open"),"INVALID – corrective action still open: use Fail, then Pass after CA","")&amp;IF(AND(TRIM(U627)="Pass after CA",OR(TRIM(AA627)="",AB627&lt;&gt;"Closed")),"INVALID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window"),IF(AG627&gt;Flights!$AA$23,"INVALID – completed after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f>
        <v/>
      </c>
      <c r="AI627" s="67">
        <f>IF(OR(AH627="N/A – RULE",AH627="N/A – JUSTIFIED"),0,1)</f>
        <v/>
      </c>
      <c r="AJ627" s="67">
        <f>IF(LEFT(AH627,8)="COMPLETE",1,0)</f>
        <v/>
      </c>
      <c r="AK627" s="67">
        <f>IF(AND(AI627=1,AJ627=0,AsOfUTC&gt;Q627),1,0)</f>
        <v/>
      </c>
      <c r="AL627" s="67">
        <f>IF(AND(AI627=1,OR(TRIM(U627)="Fail",AB627="Open",AND(ISNUMBER(AF627),AF627&lt;&gt;0,TRIM(U627)&lt;&gt;"Pass after CA"))),1,0)</f>
        <v/>
      </c>
      <c r="AM627" s="67">
        <f>IF(LEFT(AH627,7)="INVALID",1,0)</f>
        <v/>
      </c>
      <c r="AN627" s="67">
        <f>IF(AND(N627="Clarification required",AI627=1,AJ627=0),1,0)</f>
        <v/>
      </c>
      <c r="AO627" s="67">
        <f>IF(AK627=1,SUM(AK$5:AK627),"")</f>
        <v/>
      </c>
      <c r="AP627" s="67">
        <f>IF(AL627=1,SUM(AL$5:AL627),"")</f>
        <v/>
      </c>
      <c r="AQ627" s="67" t="n">
        <v>0</v>
      </c>
      <c r="AR627" s="67" t="n">
        <v>0</v>
      </c>
      <c r="AS627" s="67" t="n">
        <v>0</v>
      </c>
      <c r="AT627" s="67" t="n">
        <v>0</v>
      </c>
    </row>
    <row r="628" ht="40" customHeight="1">
      <c r="A628" s="63" t="inlineStr">
        <is>
          <t>F19-T24-01</t>
        </is>
      </c>
      <c r="B628" s="63" t="inlineStr">
        <is>
          <t>F19</t>
        </is>
      </c>
      <c r="C628" s="63">
        <f>Flights!$F$23</f>
        <v/>
      </c>
      <c r="D628" s="64">
        <f>Flights!$D$23</f>
        <v/>
      </c>
      <c r="E628" s="63">
        <f>Flights!$G$23&amp;"-"&amp;Flights!$H$23</f>
        <v/>
      </c>
      <c r="F628" s="63">
        <f>Flights!$K$23</f>
        <v/>
      </c>
      <c r="G628" s="63" t="inlineStr">
        <is>
          <t>T-24H</t>
        </is>
      </c>
      <c r="H628" s="63" t="inlineStr">
        <is>
          <t>Preparation</t>
        </is>
      </c>
      <c r="I628" s="63" t="inlineStr">
        <is>
          <t>Meal</t>
        </is>
      </c>
      <c r="J628" s="63" t="inlineStr">
        <is>
          <t>Sensory test repeated on ACTUAL production batch for this flight</t>
        </is>
      </c>
      <c r="K628" s="73" t="inlineStr">
        <is>
          <t>Batch ID, result, CA and acceptance mandatory</t>
        </is>
      </c>
      <c r="L628" s="73" t="inlineStr">
        <is>
          <t>User brief (T-24 hours)</t>
        </is>
      </c>
      <c r="M628" s="73" t="inlineStr"/>
      <c r="N628" s="73" t="inlineStr">
        <is>
          <t>Required</t>
        </is>
      </c>
      <c r="O628" s="73" t="inlineStr"/>
      <c r="P628" s="63" t="inlineStr">
        <is>
          <t>KIX</t>
        </is>
      </c>
      <c r="Q628" s="65">
        <f>Flights!$AD$23</f>
        <v/>
      </c>
      <c r="R628" s="65">
        <f>Q628+(IF(AND(INDEX(TZ_DSTS,MATCH(P628,TZ_STN,0))&lt;&gt;"",Q628&gt;=INDEX(TZ_DSTS,MATCH(P628,TZ_STN,0)),Q628&lt;INDEX(TZ_DSTE,MATCH(P628,TZ_STN,0))),INDEX(TZ_DST,MATCH(P628,TZ_STN,0)),INDEX(TZ_STD,MATCH(P628,TZ_STN,0))))/24</f>
        <v/>
      </c>
      <c r="S628" s="65">
        <f>Q628-T24EarlyH/24</f>
        <v/>
      </c>
      <c r="T628" s="66" t="n"/>
      <c r="U628" s="66" t="n"/>
      <c r="V628" s="66" t="n"/>
      <c r="W628" s="66" t="n"/>
      <c r="X628" s="66" t="n"/>
      <c r="Y628" s="66" t="n"/>
      <c r="Z628" s="66" t="n"/>
      <c r="AA628" s="66" t="n"/>
      <c r="AB628" s="66" t="n"/>
      <c r="AC628" s="66" t="n"/>
      <c r="AD628" s="72" t="n"/>
      <c r="AE628" s="66" t="n"/>
      <c r="AF628" s="67">
        <f>IF(AND(ISNUMBER(X628),ISNUMBER(Y628)),Y628-X628,"")</f>
        <v/>
      </c>
      <c r="AG628" s="68">
        <f>IF(ISNUMBER(AD628),AD628-(IF(AND(INDEX(TZ_DSTS,MATCH(P628,TZ_STN,0))&lt;&gt;"",(AD628-INDEX(TZ_STD,MATCH(P628,TZ_STN,0))/24)&gt;=INDEX(TZ_DSTS,MATCH(P628,TZ_STN,0)),(AD628-INDEX(TZ_STD,MATCH(P628,TZ_STN,0))/24)&lt;INDEX(TZ_DSTE,MATCH(P628,TZ_STN,0))),INDEX(TZ_DST,MATCH(P628,TZ_STN,0)),INDEX(TZ_STD,MATCH(P628,TZ_STN,0))))/24,"")</f>
        <v/>
      </c>
      <c r="AH628" s="71">
        <f>IF(N628="N/A – rule","N/A – RULE",IF(TRIM(U628)="N/A",IF(AT628=0,"INVALID – N/A not permitted for this mandatory check",IF(AND(TRIM(AC628)&lt;&gt;"",TRIM(AE628)&lt;&gt;"",TRIM(T628)&lt;&gt;""),"N/A – JUSTIFIED","INVALID – N/A needs justification, PIC and verifier")),IF(OR(TRIM(U628)="Pass",TRIM(U628)="Pass after CA"),IF(NOT(ISNUMBER(AD628)),"INVALID – completion time missing",IF(TRIM(T628)="","INVALID – PIC missing",IF(TRIM(Z628)="","INVALID – evidence missing",IF(TRIM(AE628)="","INVALID – verifier missing",IF(AND(AQ628=1,TRIM(W628)=""),"INVALID – batch ID missing",IF(AND(AR628=1,OR(NOT(ISNUMBER(X628)),NOT(ISNUMBER(Y628)))),"INVALID – expected/actual qty missing",IF(IF(AND(TRIM(U628)="Pass",ISNUMBER(AF628)),IF(AF628&lt;&gt;0,"INVALID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recorded/closed","")&lt;&gt;"",IF(AND(TRIM(U628)="Pass",ISNUMBER(AF628)),IF(AF628&lt;&gt;0,"INVALID – qty variance: use Fail or Pass after CA",""),"")&amp;IF(AND(TRIM(U628)="Pass",AB628="Open"),"INVALID – corrective action still open: use Fail, then Pass after CA","")&amp;IF(AND(TRIM(U628)="Pass after CA",OR(TRIM(AA628)="",AB628&lt;&gt;"Closed")),"INVALID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window"),IF(AG628&gt;Flights!$AA$23,"INVALID – completed after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f>
        <v/>
      </c>
      <c r="AI628" s="67">
        <f>IF(OR(AH628="N/A – RULE",AH628="N/A – JUSTIFIED"),0,1)</f>
        <v/>
      </c>
      <c r="AJ628" s="67">
        <f>IF(LEFT(AH628,8)="COMPLETE",1,0)</f>
        <v/>
      </c>
      <c r="AK628" s="67">
        <f>IF(AND(AI628=1,AJ628=0,AsOfUTC&gt;Q628),1,0)</f>
        <v/>
      </c>
      <c r="AL628" s="67">
        <f>IF(AND(AI628=1,OR(TRIM(U628)="Fail",AB628="Open",AND(ISNUMBER(AF628),AF628&lt;&gt;0,TRIM(U628)&lt;&gt;"Pass after CA"))),1,0)</f>
        <v/>
      </c>
      <c r="AM628" s="67">
        <f>IF(LEFT(AH628,7)="INVALID",1,0)</f>
        <v/>
      </c>
      <c r="AN628" s="67">
        <f>IF(AND(N628="Clarification required",AI628=1,AJ628=0),1,0)</f>
        <v/>
      </c>
      <c r="AO628" s="67">
        <f>IF(AK628=1,SUM(AK$5:AK628),"")</f>
        <v/>
      </c>
      <c r="AP628" s="67">
        <f>IF(AL628=1,SUM(AL$5:AL628),"")</f>
        <v/>
      </c>
      <c r="AQ628" s="67" t="n">
        <v>1</v>
      </c>
      <c r="AR628" s="67" t="n">
        <v>0</v>
      </c>
      <c r="AS628" s="67" t="n">
        <v>0</v>
      </c>
      <c r="AT628" s="67" t="n">
        <v>0</v>
      </c>
    </row>
    <row r="629" ht="40" customHeight="1">
      <c r="A629" s="63" t="inlineStr">
        <is>
          <t>F19-T12-01</t>
        </is>
      </c>
      <c r="B629" s="63" t="inlineStr">
        <is>
          <t>F19</t>
        </is>
      </c>
      <c r="C629" s="63">
        <f>Flights!$F$23</f>
        <v/>
      </c>
      <c r="D629" s="64">
        <f>Flights!$D$23</f>
        <v/>
      </c>
      <c r="E629" s="63">
        <f>Flights!$G$23&amp;"-"&amp;Flights!$H$23</f>
        <v/>
      </c>
      <c r="F629" s="63">
        <f>Flights!$K$23</f>
        <v/>
      </c>
      <c r="G629" s="63" t="inlineStr">
        <is>
          <t>T-12H PREP</t>
        </is>
      </c>
      <c r="H629" s="63" t="inlineStr">
        <is>
          <t>Preparation</t>
        </is>
      </c>
      <c r="I629" s="63" t="inlineStr">
        <is>
          <t>Meal</t>
        </is>
      </c>
      <c r="J629" s="63" t="inlineStr">
        <is>
          <t>Meal quality vs menu checklist</t>
        </is>
      </c>
      <c r="K629" s="73" t="inlineStr"/>
      <c r="L629" s="73" t="inlineStr">
        <is>
          <t>User brief (T-12 hours)</t>
        </is>
      </c>
      <c r="M629" s="73" t="inlineStr"/>
      <c r="N629" s="73" t="inlineStr">
        <is>
          <t>Required</t>
        </is>
      </c>
      <c r="O629" s="73" t="inlineStr">
        <is>
          <t>Preparation check at caterer - does NOT confirm loading.</t>
        </is>
      </c>
      <c r="P629" s="63" t="inlineStr">
        <is>
          <t>KIX</t>
        </is>
      </c>
      <c r="Q629" s="65">
        <f>Flights!$AE$23</f>
        <v/>
      </c>
      <c r="R629" s="65">
        <f>Q629+(IF(AND(INDEX(TZ_DSTS,MATCH(P629,TZ_STN,0))&lt;&gt;"",Q629&gt;=INDEX(TZ_DSTS,MATCH(P629,TZ_STN,0)),Q629&lt;INDEX(TZ_DSTE,MATCH(P629,TZ_STN,0))),INDEX(TZ_DST,MATCH(P629,TZ_STN,0)),INDEX(TZ_STD,MATCH(P629,TZ_STN,0))))/24</f>
        <v/>
      </c>
      <c r="S629" s="65">
        <f>Q629-T12EarlyH/24</f>
        <v/>
      </c>
      <c r="T629" s="66" t="n"/>
      <c r="U629" s="66" t="n"/>
      <c r="V629" s="66" t="n"/>
      <c r="W629" s="67" t="n"/>
      <c r="X629" s="66" t="n"/>
      <c r="Y629" s="66" t="n"/>
      <c r="Z629" s="66" t="n"/>
      <c r="AA629" s="66" t="n"/>
      <c r="AB629" s="66" t="n"/>
      <c r="AC629" s="66" t="n"/>
      <c r="AD629" s="72" t="n"/>
      <c r="AE629" s="66" t="n"/>
      <c r="AF629" s="67">
        <f>IF(AND(ISNUMBER(X629),ISNUMBER(Y629)),Y629-X629,"")</f>
        <v/>
      </c>
      <c r="AG629" s="68">
        <f>IF(ISNUMBER(AD629),AD629-(IF(AND(INDEX(TZ_DSTS,MATCH(P629,TZ_STN,0))&lt;&gt;"",(AD629-INDEX(TZ_STD,MATCH(P629,TZ_STN,0))/24)&gt;=INDEX(TZ_DSTS,MATCH(P629,TZ_STN,0)),(AD629-INDEX(TZ_STD,MATCH(P629,TZ_STN,0))/24)&lt;INDEX(TZ_DSTE,MATCH(P629,TZ_STN,0))),INDEX(TZ_DST,MATCH(P629,TZ_STN,0)),INDEX(TZ_STD,MATCH(P629,TZ_STN,0))))/24,"")</f>
        <v/>
      </c>
      <c r="AH629" s="71">
        <f>IF(N629="N/A – rule","N/A – RULE",IF(TRIM(U629)="N/A",IF(AT629=0,"INVALID – N/A not permitted for this mandatory check",IF(AND(TRIM(AC629)&lt;&gt;"",TRIM(AE629)&lt;&gt;"",TRIM(T629)&lt;&gt;""),"N/A – JUSTIFIED","INVALID – N/A needs justification, PIC and verifier")),IF(OR(TRIM(U629)="Pass",TRIM(U629)="Pass after CA"),IF(NOT(ISNUMBER(AD629)),"INVALID – completion time missing",IF(TRIM(T629)="","INVALID – PIC missing",IF(TRIM(Z629)="","INVALID – evidence missing",IF(TRIM(AE629)="","INVALID – verifier missing",IF(AND(AQ629=1,TRIM(W629)=""),"INVALID – batch ID missing",IF(AND(AR629=1,OR(NOT(ISNUMBER(X629)),NOT(ISNUMBER(Y629)))),"INVALID – expected/actual qty missing",IF(IF(AND(TRIM(U629)="Pass",ISNUMBER(AF629)),IF(AF629&lt;&gt;0,"INVALID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recorded/closed","")&lt;&gt;"",IF(AND(TRIM(U629)="Pass",ISNUMBER(AF629)),IF(AF629&lt;&gt;0,"INVALID – qty variance: use Fail or Pass after CA",""),"")&amp;IF(AND(TRIM(U629)="Pass",AB629="Open"),"INVALID – corrective action still open: use Fail, then Pass after CA","")&amp;IF(AND(TRIM(U629)="Pass after CA",OR(TRIM(AA629)="",AB629&lt;&gt;"Closed")),"INVALID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window"),IF(AG629&gt;Flights!$AA$23,"INVALID – completed after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f>
        <v/>
      </c>
      <c r="AI629" s="67">
        <f>IF(OR(AH629="N/A – RULE",AH629="N/A – JUSTIFIED"),0,1)</f>
        <v/>
      </c>
      <c r="AJ629" s="67">
        <f>IF(LEFT(AH629,8)="COMPLETE",1,0)</f>
        <v/>
      </c>
      <c r="AK629" s="67">
        <f>IF(AND(AI629=1,AJ629=0,AsOfUTC&gt;Q629),1,0)</f>
        <v/>
      </c>
      <c r="AL629" s="67">
        <f>IF(AND(AI629=1,OR(TRIM(U629)="Fail",AB629="Open",AND(ISNUMBER(AF629),AF629&lt;&gt;0,TRIM(U629)&lt;&gt;"Pass after CA"))),1,0)</f>
        <v/>
      </c>
      <c r="AM629" s="67">
        <f>IF(LEFT(AH629,7)="INVALID",1,0)</f>
        <v/>
      </c>
      <c r="AN629" s="67">
        <f>IF(AND(N629="Clarification required",AI629=1,AJ629=0),1,0)</f>
        <v/>
      </c>
      <c r="AO629" s="67">
        <f>IF(AK629=1,SUM(AK$5:AK629),"")</f>
        <v/>
      </c>
      <c r="AP629" s="67">
        <f>IF(AL629=1,SUM(AL$5:AL629),"")</f>
        <v/>
      </c>
      <c r="AQ629" s="67" t="n">
        <v>0</v>
      </c>
      <c r="AR629" s="67" t="n">
        <v>0</v>
      </c>
      <c r="AS629" s="67" t="n">
        <v>0</v>
      </c>
      <c r="AT629" s="67" t="n">
        <v>0</v>
      </c>
    </row>
    <row r="630" ht="40" customHeight="1">
      <c r="A630" s="63" t="inlineStr">
        <is>
          <t>F19-T12-02</t>
        </is>
      </c>
      <c r="B630" s="63" t="inlineStr">
        <is>
          <t>F19</t>
        </is>
      </c>
      <c r="C630" s="63">
        <f>Flights!$F$23</f>
        <v/>
      </c>
      <c r="D630" s="64">
        <f>Flights!$D$23</f>
        <v/>
      </c>
      <c r="E630" s="63">
        <f>Flights!$G$23&amp;"-"&amp;Flights!$H$23</f>
        <v/>
      </c>
      <c r="F630" s="63">
        <f>Flights!$K$23</f>
        <v/>
      </c>
      <c r="G630" s="63" t="inlineStr">
        <is>
          <t>T-12H PREP</t>
        </is>
      </c>
      <c r="H630" s="63" t="inlineStr">
        <is>
          <t>Preparation</t>
        </is>
      </c>
      <c r="I630" s="63" t="inlineStr">
        <is>
          <t>Meal</t>
        </is>
      </c>
      <c r="J630" s="63" t="inlineStr">
        <is>
          <t>Meal quantities vs menu checklist</t>
        </is>
      </c>
      <c r="K630" s="73" t="inlineStr">
        <is>
          <t>Enter expected &amp; actual</t>
        </is>
      </c>
      <c r="L630" s="73" t="inlineStr">
        <is>
          <t>User brief (T-12 hours)</t>
        </is>
      </c>
      <c r="M630" s="73" t="inlineStr"/>
      <c r="N630" s="73" t="inlineStr">
        <is>
          <t>Required</t>
        </is>
      </c>
      <c r="O630" s="73" t="inlineStr">
        <is>
          <t>Preparation check at caterer - does NOT confirm loading.</t>
        </is>
      </c>
      <c r="P630" s="63" t="inlineStr">
        <is>
          <t>KIX</t>
        </is>
      </c>
      <c r="Q630" s="65">
        <f>Flights!$AE$23</f>
        <v/>
      </c>
      <c r="R630" s="65">
        <f>Q630+(IF(AND(INDEX(TZ_DSTS,MATCH(P630,TZ_STN,0))&lt;&gt;"",Q630&gt;=INDEX(TZ_DSTS,MATCH(P630,TZ_STN,0)),Q630&lt;INDEX(TZ_DSTE,MATCH(P630,TZ_STN,0))),INDEX(TZ_DST,MATCH(P630,TZ_STN,0)),INDEX(TZ_STD,MATCH(P630,TZ_STN,0))))/24</f>
        <v/>
      </c>
      <c r="S630" s="65">
        <f>Q630-T12EarlyH/24</f>
        <v/>
      </c>
      <c r="T630" s="66" t="n"/>
      <c r="U630" s="66" t="n"/>
      <c r="V630" s="66" t="n"/>
      <c r="W630" s="67" t="n"/>
      <c r="X630" s="66" t="n"/>
      <c r="Y630" s="66" t="n"/>
      <c r="Z630" s="66" t="n"/>
      <c r="AA630" s="66" t="n"/>
      <c r="AB630" s="66" t="n"/>
      <c r="AC630" s="66" t="n"/>
      <c r="AD630" s="72" t="n"/>
      <c r="AE630" s="66" t="n"/>
      <c r="AF630" s="67">
        <f>IF(AND(ISNUMBER(X630),ISNUMBER(Y630)),Y630-X630,"")</f>
        <v/>
      </c>
      <c r="AG630" s="68">
        <f>IF(ISNUMBER(AD630),AD630-(IF(AND(INDEX(TZ_DSTS,MATCH(P630,TZ_STN,0))&lt;&gt;"",(AD630-INDEX(TZ_STD,MATCH(P630,TZ_STN,0))/24)&gt;=INDEX(TZ_DSTS,MATCH(P630,TZ_STN,0)),(AD630-INDEX(TZ_STD,MATCH(P630,TZ_STN,0))/24)&lt;INDEX(TZ_DSTE,MATCH(P630,TZ_STN,0))),INDEX(TZ_DST,MATCH(P630,TZ_STN,0)),INDEX(TZ_STD,MATCH(P630,TZ_STN,0))))/24,"")</f>
        <v/>
      </c>
      <c r="AH630" s="71">
        <f>IF(N630="N/A – rule","N/A – RULE",IF(TRIM(U630)="N/A",IF(AT630=0,"INVALID – N/A not permitted for this mandatory check",IF(AND(TRIM(AC630)&lt;&gt;"",TRIM(AE630)&lt;&gt;"",TRIM(T630)&lt;&gt;""),"N/A – JUSTIFIED","INVALID – N/A needs justification, PIC and verifier")),IF(OR(TRIM(U630)="Pass",TRIM(U630)="Pass after CA"),IF(NOT(ISNUMBER(AD630)),"INVALID – completion time missing",IF(TRIM(T630)="","INVALID – PIC missing",IF(TRIM(Z630)="","INVALID – evidence missing",IF(TRIM(AE630)="","INVALID – verifier missing",IF(AND(AQ630=1,TRIM(W630)=""),"INVALID – batch ID missing",IF(AND(AR630=1,OR(NOT(ISNUMBER(X630)),NOT(ISNUMBER(Y630)))),"INVALID – expected/actual qty missing",IF(IF(AND(TRIM(U630)="Pass",ISNUMBER(AF630)),IF(AF630&lt;&gt;0,"INVALID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recorded/closed","")&lt;&gt;"",IF(AND(TRIM(U630)="Pass",ISNUMBER(AF630)),IF(AF630&lt;&gt;0,"INVALID – qty variance: use Fail or Pass after CA",""),"")&amp;IF(AND(TRIM(U630)="Pass",AB630="Open"),"INVALID – corrective action still open: use Fail, then Pass after CA","")&amp;IF(AND(TRIM(U630)="Pass after CA",OR(TRIM(AA630)="",AB630&lt;&gt;"Closed")),"INVALID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window"),IF(AG630&gt;Flights!$AA$23,"INVALID – completed after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f>
        <v/>
      </c>
      <c r="AI630" s="67">
        <f>IF(OR(AH630="N/A – RULE",AH630="N/A – JUSTIFIED"),0,1)</f>
        <v/>
      </c>
      <c r="AJ630" s="67">
        <f>IF(LEFT(AH630,8)="COMPLETE",1,0)</f>
        <v/>
      </c>
      <c r="AK630" s="67">
        <f>IF(AND(AI630=1,AJ630=0,AsOfUTC&gt;Q630),1,0)</f>
        <v/>
      </c>
      <c r="AL630" s="67">
        <f>IF(AND(AI630=1,OR(TRIM(U630)="Fail",AB630="Open",AND(ISNUMBER(AF630),AF630&lt;&gt;0,TRIM(U630)&lt;&gt;"Pass after CA"))),1,0)</f>
        <v/>
      </c>
      <c r="AM630" s="67">
        <f>IF(LEFT(AH630,7)="INVALID",1,0)</f>
        <v/>
      </c>
      <c r="AN630" s="67">
        <f>IF(AND(N630="Clarification required",AI630=1,AJ630=0),1,0)</f>
        <v/>
      </c>
      <c r="AO630" s="67">
        <f>IF(AK630=1,SUM(AK$5:AK630),"")</f>
        <v/>
      </c>
      <c r="AP630" s="67">
        <f>IF(AL630=1,SUM(AL$5:AL630),"")</f>
        <v/>
      </c>
      <c r="AQ630" s="67" t="n">
        <v>0</v>
      </c>
      <c r="AR630" s="67" t="n">
        <v>1</v>
      </c>
      <c r="AS630" s="67" t="n">
        <v>0</v>
      </c>
      <c r="AT630" s="67" t="n">
        <v>0</v>
      </c>
    </row>
    <row r="631" ht="40" customHeight="1">
      <c r="A631" s="63" t="inlineStr">
        <is>
          <t>F19-T12-03</t>
        </is>
      </c>
      <c r="B631" s="63" t="inlineStr">
        <is>
          <t>F19</t>
        </is>
      </c>
      <c r="C631" s="63">
        <f>Flights!$F$23</f>
        <v/>
      </c>
      <c r="D631" s="64">
        <f>Flights!$D$23</f>
        <v/>
      </c>
      <c r="E631" s="63">
        <f>Flights!$G$23&amp;"-"&amp;Flights!$H$23</f>
        <v/>
      </c>
      <c r="F631" s="63">
        <f>Flights!$K$23</f>
        <v/>
      </c>
      <c r="G631" s="63" t="inlineStr">
        <is>
          <t>T-12H PREP</t>
        </is>
      </c>
      <c r="H631" s="63" t="inlineStr">
        <is>
          <t>Preparation</t>
        </is>
      </c>
      <c r="I631" s="63" t="inlineStr">
        <is>
          <t>Equipment</t>
        </is>
      </c>
      <c r="J631" s="63" t="inlineStr">
        <is>
          <t>Equipment cleanliness vs GLD</t>
        </is>
      </c>
      <c r="K631" s="73" t="inlineStr"/>
      <c r="L631" s="73" t="inlineStr">
        <is>
          <t>User brief (T-12 hours)</t>
        </is>
      </c>
      <c r="M631" s="73" t="inlineStr"/>
      <c r="N631" s="73" t="inlineStr">
        <is>
          <t>Required</t>
        </is>
      </c>
      <c r="O631" s="73" t="inlineStr">
        <is>
          <t>Preparation check at caterer - does NOT confirm loading.</t>
        </is>
      </c>
      <c r="P631" s="63" t="inlineStr">
        <is>
          <t>KIX</t>
        </is>
      </c>
      <c r="Q631" s="65">
        <f>Flights!$AE$23</f>
        <v/>
      </c>
      <c r="R631" s="65">
        <f>Q631+(IF(AND(INDEX(TZ_DSTS,MATCH(P631,TZ_STN,0))&lt;&gt;"",Q631&gt;=INDEX(TZ_DSTS,MATCH(P631,TZ_STN,0)),Q631&lt;INDEX(TZ_DSTE,MATCH(P631,TZ_STN,0))),INDEX(TZ_DST,MATCH(P631,TZ_STN,0)),INDEX(TZ_STD,MATCH(P631,TZ_STN,0))))/24</f>
        <v/>
      </c>
      <c r="S631" s="65">
        <f>Q631-T12EarlyH/24</f>
        <v/>
      </c>
      <c r="T631" s="66" t="n"/>
      <c r="U631" s="66" t="n"/>
      <c r="V631" s="66" t="n"/>
      <c r="W631" s="67" t="n"/>
      <c r="X631" s="66" t="n"/>
      <c r="Y631" s="66" t="n"/>
      <c r="Z631" s="66" t="n"/>
      <c r="AA631" s="66" t="n"/>
      <c r="AB631" s="66" t="n"/>
      <c r="AC631" s="66" t="n"/>
      <c r="AD631" s="72" t="n"/>
      <c r="AE631" s="66" t="n"/>
      <c r="AF631" s="67">
        <f>IF(AND(ISNUMBER(X631),ISNUMBER(Y631)),Y631-X631,"")</f>
        <v/>
      </c>
      <c r="AG631" s="68">
        <f>IF(ISNUMBER(AD631),AD631-(IF(AND(INDEX(TZ_DSTS,MATCH(P631,TZ_STN,0))&lt;&gt;"",(AD631-INDEX(TZ_STD,MATCH(P631,TZ_STN,0))/24)&gt;=INDEX(TZ_DSTS,MATCH(P631,TZ_STN,0)),(AD631-INDEX(TZ_STD,MATCH(P631,TZ_STN,0))/24)&lt;INDEX(TZ_DSTE,MATCH(P631,TZ_STN,0))),INDEX(TZ_DST,MATCH(P631,TZ_STN,0)),INDEX(TZ_STD,MATCH(P631,TZ_STN,0))))/24,"")</f>
        <v/>
      </c>
      <c r="AH631" s="71">
        <f>IF(N631="N/A – rule","N/A – RULE",IF(TRIM(U631)="N/A",IF(AT631=0,"INVALID – N/A not permitted for this mandatory check",IF(AND(TRIM(AC631)&lt;&gt;"",TRIM(AE631)&lt;&gt;"",TRIM(T631)&lt;&gt;""),"N/A – JUSTIFIED","INVALID – N/A needs justification, PIC and verifier")),IF(OR(TRIM(U631)="Pass",TRIM(U631)="Pass after CA"),IF(NOT(ISNUMBER(AD631)),"INVALID – completion time missing",IF(TRIM(T631)="","INVALID – PIC missing",IF(TRIM(Z631)="","INVALID – evidence missing",IF(TRIM(AE631)="","INVALID – verifier missing",IF(AND(AQ631=1,TRIM(W631)=""),"INVALID – batch ID missing",IF(AND(AR631=1,OR(NOT(ISNUMBER(X631)),NOT(ISNUMBER(Y631)))),"INVALID – expected/actual qty missing",IF(IF(AND(TRIM(U631)="Pass",ISNUMBER(AF631)),IF(AF631&lt;&gt;0,"INVALID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recorded/closed","")&lt;&gt;"",IF(AND(TRIM(U631)="Pass",ISNUMBER(AF631)),IF(AF631&lt;&gt;0,"INVALID – qty variance: use Fail or Pass after CA",""),"")&amp;IF(AND(TRIM(U631)="Pass",AB631="Open"),"INVALID – corrective action still open: use Fail, then Pass after CA","")&amp;IF(AND(TRIM(U631)="Pass after CA",OR(TRIM(AA631)="",AB631&lt;&gt;"Closed")),"INVALID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window"),IF(AG631&gt;Flights!$AA$23,"INVALID – completed after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f>
        <v/>
      </c>
      <c r="AI631" s="67">
        <f>IF(OR(AH631="N/A – RULE",AH631="N/A – JUSTIFIED"),0,1)</f>
        <v/>
      </c>
      <c r="AJ631" s="67">
        <f>IF(LEFT(AH631,8)="COMPLETE",1,0)</f>
        <v/>
      </c>
      <c r="AK631" s="67">
        <f>IF(AND(AI631=1,AJ631=0,AsOfUTC&gt;Q631),1,0)</f>
        <v/>
      </c>
      <c r="AL631" s="67">
        <f>IF(AND(AI631=1,OR(TRIM(U631)="Fail",AB631="Open",AND(ISNUMBER(AF631),AF631&lt;&gt;0,TRIM(U631)&lt;&gt;"Pass after CA"))),1,0)</f>
        <v/>
      </c>
      <c r="AM631" s="67">
        <f>IF(LEFT(AH631,7)="INVALID",1,0)</f>
        <v/>
      </c>
      <c r="AN631" s="67">
        <f>IF(AND(N631="Clarification required",AI631=1,AJ631=0),1,0)</f>
        <v/>
      </c>
      <c r="AO631" s="67">
        <f>IF(AK631=1,SUM(AK$5:AK631),"")</f>
        <v/>
      </c>
      <c r="AP631" s="67">
        <f>IF(AL631=1,SUM(AL$5:AL631),"")</f>
        <v/>
      </c>
      <c r="AQ631" s="67" t="n">
        <v>0</v>
      </c>
      <c r="AR631" s="67" t="n">
        <v>0</v>
      </c>
      <c r="AS631" s="67" t="n">
        <v>0</v>
      </c>
      <c r="AT631" s="67" t="n">
        <v>0</v>
      </c>
    </row>
    <row r="632" ht="40" customHeight="1">
      <c r="A632" s="63" t="inlineStr">
        <is>
          <t>F19-T12-04</t>
        </is>
      </c>
      <c r="B632" s="63" t="inlineStr">
        <is>
          <t>F19</t>
        </is>
      </c>
      <c r="C632" s="63">
        <f>Flights!$F$23</f>
        <v/>
      </c>
      <c r="D632" s="64">
        <f>Flights!$D$23</f>
        <v/>
      </c>
      <c r="E632" s="63">
        <f>Flights!$G$23&amp;"-"&amp;Flights!$H$23</f>
        <v/>
      </c>
      <c r="F632" s="63">
        <f>Flights!$K$23</f>
        <v/>
      </c>
      <c r="G632" s="63" t="inlineStr">
        <is>
          <t>T-12H PREP</t>
        </is>
      </c>
      <c r="H632" s="63" t="inlineStr">
        <is>
          <t>Preparation</t>
        </is>
      </c>
      <c r="I632" s="63" t="inlineStr">
        <is>
          <t>Equipment</t>
        </is>
      </c>
      <c r="J632" s="63" t="inlineStr">
        <is>
          <t>Equipment presentation vs GLD</t>
        </is>
      </c>
      <c r="K632" s="73" t="inlineStr"/>
      <c r="L632" s="73" t="inlineStr">
        <is>
          <t>User brief (T-12 hours)</t>
        </is>
      </c>
      <c r="M632" s="73" t="inlineStr"/>
      <c r="N632" s="73" t="inlineStr">
        <is>
          <t>Required</t>
        </is>
      </c>
      <c r="O632" s="73" t="inlineStr">
        <is>
          <t>Preparation check at caterer - does NOT confirm loading.</t>
        </is>
      </c>
      <c r="P632" s="63" t="inlineStr">
        <is>
          <t>KIX</t>
        </is>
      </c>
      <c r="Q632" s="65">
        <f>Flights!$AE$23</f>
        <v/>
      </c>
      <c r="R632" s="65">
        <f>Q632+(IF(AND(INDEX(TZ_DSTS,MATCH(P632,TZ_STN,0))&lt;&gt;"",Q632&gt;=INDEX(TZ_DSTS,MATCH(P632,TZ_STN,0)),Q632&lt;INDEX(TZ_DSTE,MATCH(P632,TZ_STN,0))),INDEX(TZ_DST,MATCH(P632,TZ_STN,0)),INDEX(TZ_STD,MATCH(P632,TZ_STN,0))))/24</f>
        <v/>
      </c>
      <c r="S632" s="65">
        <f>Q632-T12EarlyH/24</f>
        <v/>
      </c>
      <c r="T632" s="66" t="n"/>
      <c r="U632" s="66" t="n"/>
      <c r="V632" s="66" t="n"/>
      <c r="W632" s="67" t="n"/>
      <c r="X632" s="66" t="n"/>
      <c r="Y632" s="66" t="n"/>
      <c r="Z632" s="66" t="n"/>
      <c r="AA632" s="66" t="n"/>
      <c r="AB632" s="66" t="n"/>
      <c r="AC632" s="66" t="n"/>
      <c r="AD632" s="72" t="n"/>
      <c r="AE632" s="66" t="n"/>
      <c r="AF632" s="67">
        <f>IF(AND(ISNUMBER(X632),ISNUMBER(Y632)),Y632-X632,"")</f>
        <v/>
      </c>
      <c r="AG632" s="68">
        <f>IF(ISNUMBER(AD632),AD632-(IF(AND(INDEX(TZ_DSTS,MATCH(P632,TZ_STN,0))&lt;&gt;"",(AD632-INDEX(TZ_STD,MATCH(P632,TZ_STN,0))/24)&gt;=INDEX(TZ_DSTS,MATCH(P632,TZ_STN,0)),(AD632-INDEX(TZ_STD,MATCH(P632,TZ_STN,0))/24)&lt;INDEX(TZ_DSTE,MATCH(P632,TZ_STN,0))),INDEX(TZ_DST,MATCH(P632,TZ_STN,0)),INDEX(TZ_STD,MATCH(P632,TZ_STN,0))))/24,"")</f>
        <v/>
      </c>
      <c r="AH632" s="71">
        <f>IF(N632="N/A – rule","N/A – RULE",IF(TRIM(U632)="N/A",IF(AT632=0,"INVALID – N/A not permitted for this mandatory check",IF(AND(TRIM(AC632)&lt;&gt;"",TRIM(AE632)&lt;&gt;"",TRIM(T632)&lt;&gt;""),"N/A – JUSTIFIED","INVALID – N/A needs justification, PIC and verifier")),IF(OR(TRIM(U632)="Pass",TRIM(U632)="Pass after CA"),IF(NOT(ISNUMBER(AD632)),"INVALID – completion time missing",IF(TRIM(T632)="","INVALID – PIC missing",IF(TRIM(Z632)="","INVALID – evidence missing",IF(TRIM(AE632)="","INVALID – verifier missing",IF(AND(AQ632=1,TRIM(W632)=""),"INVALID – batch ID missing",IF(AND(AR632=1,OR(NOT(ISNUMBER(X632)),NOT(ISNUMBER(Y632)))),"INVALID – expected/actual qty missing",IF(IF(AND(TRIM(U632)="Pass",ISNUMBER(AF632)),IF(AF632&lt;&gt;0,"INVALID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recorded/closed","")&lt;&gt;"",IF(AND(TRIM(U632)="Pass",ISNUMBER(AF632)),IF(AF632&lt;&gt;0,"INVALID – qty variance: use Fail or Pass after CA",""),"")&amp;IF(AND(TRIM(U632)="Pass",AB632="Open"),"INVALID – corrective action still open: use Fail, then Pass after CA","")&amp;IF(AND(TRIM(U632)="Pass after CA",OR(TRIM(AA632)="",AB632&lt;&gt;"Closed")),"INVALID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window"),IF(AG632&gt;Flights!$AA$23,"INVALID – completed after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f>
        <v/>
      </c>
      <c r="AI632" s="67">
        <f>IF(OR(AH632="N/A – RULE",AH632="N/A – JUSTIFIED"),0,1)</f>
        <v/>
      </c>
      <c r="AJ632" s="67">
        <f>IF(LEFT(AH632,8)="COMPLETE",1,0)</f>
        <v/>
      </c>
      <c r="AK632" s="67">
        <f>IF(AND(AI632=1,AJ632=0,AsOfUTC&gt;Q632),1,0)</f>
        <v/>
      </c>
      <c r="AL632" s="67">
        <f>IF(AND(AI632=1,OR(TRIM(U632)="Fail",AB632="Open",AND(ISNUMBER(AF632),AF632&lt;&gt;0,TRIM(U632)&lt;&gt;"Pass after CA"))),1,0)</f>
        <v/>
      </c>
      <c r="AM632" s="67">
        <f>IF(LEFT(AH632,7)="INVALID",1,0)</f>
        <v/>
      </c>
      <c r="AN632" s="67">
        <f>IF(AND(N632="Clarification required",AI632=1,AJ632=0),1,0)</f>
        <v/>
      </c>
      <c r="AO632" s="67">
        <f>IF(AK632=1,SUM(AK$5:AK632),"")</f>
        <v/>
      </c>
      <c r="AP632" s="67">
        <f>IF(AL632=1,SUM(AL$5:AL632),"")</f>
        <v/>
      </c>
      <c r="AQ632" s="67" t="n">
        <v>0</v>
      </c>
      <c r="AR632" s="67" t="n">
        <v>0</v>
      </c>
      <c r="AS632" s="67" t="n">
        <v>0</v>
      </c>
      <c r="AT632" s="67" t="n">
        <v>0</v>
      </c>
    </row>
    <row r="633" ht="40" customHeight="1">
      <c r="A633" s="63" t="inlineStr">
        <is>
          <t>F19-T12-05</t>
        </is>
      </c>
      <c r="B633" s="63" t="inlineStr">
        <is>
          <t>F19</t>
        </is>
      </c>
      <c r="C633" s="63">
        <f>Flights!$F$23</f>
        <v/>
      </c>
      <c r="D633" s="64">
        <f>Flights!$D$23</f>
        <v/>
      </c>
      <c r="E633" s="63">
        <f>Flights!$G$23&amp;"-"&amp;Flights!$H$23</f>
        <v/>
      </c>
      <c r="F633" s="63">
        <f>Flights!$K$23</f>
        <v/>
      </c>
      <c r="G633" s="63" t="inlineStr">
        <is>
          <t>T-12H PREP</t>
        </is>
      </c>
      <c r="H633" s="63" t="inlineStr">
        <is>
          <t>Preparation</t>
        </is>
      </c>
      <c r="I633" s="63" t="inlineStr">
        <is>
          <t>Equipment</t>
        </is>
      </c>
      <c r="J633" s="63" t="inlineStr">
        <is>
          <t>Equipment serviceability vs GLD</t>
        </is>
      </c>
      <c r="K633" s="73" t="inlineStr"/>
      <c r="L633" s="73" t="inlineStr">
        <is>
          <t>User brief (T-12 hours)</t>
        </is>
      </c>
      <c r="M633" s="73" t="inlineStr"/>
      <c r="N633" s="73" t="inlineStr">
        <is>
          <t>Required</t>
        </is>
      </c>
      <c r="O633" s="73" t="inlineStr">
        <is>
          <t>Preparation check at caterer - does NOT confirm loading.</t>
        </is>
      </c>
      <c r="P633" s="63" t="inlineStr">
        <is>
          <t>KIX</t>
        </is>
      </c>
      <c r="Q633" s="65">
        <f>Flights!$AE$23</f>
        <v/>
      </c>
      <c r="R633" s="65">
        <f>Q633+(IF(AND(INDEX(TZ_DSTS,MATCH(P633,TZ_STN,0))&lt;&gt;"",Q633&gt;=INDEX(TZ_DSTS,MATCH(P633,TZ_STN,0)),Q633&lt;INDEX(TZ_DSTE,MATCH(P633,TZ_STN,0))),INDEX(TZ_DST,MATCH(P633,TZ_STN,0)),INDEX(TZ_STD,MATCH(P633,TZ_STN,0))))/24</f>
        <v/>
      </c>
      <c r="S633" s="65">
        <f>Q633-T12EarlyH/24</f>
        <v/>
      </c>
      <c r="T633" s="66" t="n"/>
      <c r="U633" s="66" t="n"/>
      <c r="V633" s="66" t="n"/>
      <c r="W633" s="67" t="n"/>
      <c r="X633" s="66" t="n"/>
      <c r="Y633" s="66" t="n"/>
      <c r="Z633" s="66" t="n"/>
      <c r="AA633" s="66" t="n"/>
      <c r="AB633" s="66" t="n"/>
      <c r="AC633" s="66" t="n"/>
      <c r="AD633" s="72" t="n"/>
      <c r="AE633" s="66" t="n"/>
      <c r="AF633" s="67">
        <f>IF(AND(ISNUMBER(X633),ISNUMBER(Y633)),Y633-X633,"")</f>
        <v/>
      </c>
      <c r="AG633" s="68">
        <f>IF(ISNUMBER(AD633),AD633-(IF(AND(INDEX(TZ_DSTS,MATCH(P633,TZ_STN,0))&lt;&gt;"",(AD633-INDEX(TZ_STD,MATCH(P633,TZ_STN,0))/24)&gt;=INDEX(TZ_DSTS,MATCH(P633,TZ_STN,0)),(AD633-INDEX(TZ_STD,MATCH(P633,TZ_STN,0))/24)&lt;INDEX(TZ_DSTE,MATCH(P633,TZ_STN,0))),INDEX(TZ_DST,MATCH(P633,TZ_STN,0)),INDEX(TZ_STD,MATCH(P633,TZ_STN,0))))/24,"")</f>
        <v/>
      </c>
      <c r="AH633" s="71">
        <f>IF(N633="N/A – rule","N/A – RULE",IF(TRIM(U633)="N/A",IF(AT633=0,"INVALID – N/A not permitted for this mandatory check",IF(AND(TRIM(AC633)&lt;&gt;"",TRIM(AE633)&lt;&gt;"",TRIM(T633)&lt;&gt;""),"N/A – JUSTIFIED","INVALID – N/A needs justification, PIC and verifier")),IF(OR(TRIM(U633)="Pass",TRIM(U633)="Pass after CA"),IF(NOT(ISNUMBER(AD633)),"INVALID – completion time missing",IF(TRIM(T633)="","INVALID – PIC missing",IF(TRIM(Z633)="","INVALID – evidence missing",IF(TRIM(AE633)="","INVALID – verifier missing",IF(AND(AQ633=1,TRIM(W633)=""),"INVALID – batch ID missing",IF(AND(AR633=1,OR(NOT(ISNUMBER(X633)),NOT(ISNUMBER(Y633)))),"INVALID – expected/actual qty missing",IF(IF(AND(TRIM(U633)="Pass",ISNUMBER(AF633)),IF(AF633&lt;&gt;0,"INVALID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recorded/closed","")&lt;&gt;"",IF(AND(TRIM(U633)="Pass",ISNUMBER(AF633)),IF(AF633&lt;&gt;0,"INVALID – qty variance: use Fail or Pass after CA",""),"")&amp;IF(AND(TRIM(U633)="Pass",AB633="Open"),"INVALID – corrective action still open: use Fail, then Pass after CA","")&amp;IF(AND(TRIM(U633)="Pass after CA",OR(TRIM(AA633)="",AB633&lt;&gt;"Closed")),"INVALID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window"),IF(AG633&gt;Flights!$AA$23,"INVALID – completed after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f>
        <v/>
      </c>
      <c r="AI633" s="67">
        <f>IF(OR(AH633="N/A – RULE",AH633="N/A – JUSTIFIED"),0,1)</f>
        <v/>
      </c>
      <c r="AJ633" s="67">
        <f>IF(LEFT(AH633,8)="COMPLETE",1,0)</f>
        <v/>
      </c>
      <c r="AK633" s="67">
        <f>IF(AND(AI633=1,AJ633=0,AsOfUTC&gt;Q633),1,0)</f>
        <v/>
      </c>
      <c r="AL633" s="67">
        <f>IF(AND(AI633=1,OR(TRIM(U633)="Fail",AB633="Open",AND(ISNUMBER(AF633),AF633&lt;&gt;0,TRIM(U633)&lt;&gt;"Pass after CA"))),1,0)</f>
        <v/>
      </c>
      <c r="AM633" s="67">
        <f>IF(LEFT(AH633,7)="INVALID",1,0)</f>
        <v/>
      </c>
      <c r="AN633" s="67">
        <f>IF(AND(N633="Clarification required",AI633=1,AJ633=0),1,0)</f>
        <v/>
      </c>
      <c r="AO633" s="67">
        <f>IF(AK633=1,SUM(AK$5:AK633),"")</f>
        <v/>
      </c>
      <c r="AP633" s="67">
        <f>IF(AL633=1,SUM(AL$5:AL633),"")</f>
        <v/>
      </c>
      <c r="AQ633" s="67" t="n">
        <v>0</v>
      </c>
      <c r="AR633" s="67" t="n">
        <v>0</v>
      </c>
      <c r="AS633" s="67" t="n">
        <v>0</v>
      </c>
      <c r="AT633" s="67" t="n">
        <v>0</v>
      </c>
    </row>
    <row r="634" ht="79" customHeight="1">
      <c r="A634" s="63" t="inlineStr">
        <is>
          <t>F19-T12-06</t>
        </is>
      </c>
      <c r="B634" s="63" t="inlineStr">
        <is>
          <t>F19</t>
        </is>
      </c>
      <c r="C634" s="63">
        <f>Flights!$F$23</f>
        <v/>
      </c>
      <c r="D634" s="64">
        <f>Flights!$D$23</f>
        <v/>
      </c>
      <c r="E634" s="63">
        <f>Flights!$G$23&amp;"-"&amp;Flights!$H$23</f>
        <v/>
      </c>
      <c r="F634" s="63">
        <f>Flights!$K$23</f>
        <v/>
      </c>
      <c r="G634" s="63" t="inlineStr">
        <is>
          <t>T-12H PREP</t>
        </is>
      </c>
      <c r="H634" s="63" t="inlineStr">
        <is>
          <t>Preparation</t>
        </is>
      </c>
      <c r="I634" s="63" t="inlineStr">
        <is>
          <t>Equipment</t>
        </is>
      </c>
      <c r="J634" s="63" t="inlineStr">
        <is>
          <t>Equipment quantities vs GLD</t>
        </is>
      </c>
      <c r="K634" s="73" t="inlineStr">
        <is>
          <t>Enter expected &amp; actual. Aircraft galley data: A330-300 (A333): carts 42.5, SU 100, ovens 12, warming ovens 4, fridges 4, water heaters 6, beverage makers -, espresso -, folding trolleys 4, headsets BC &amp; EY: Dual Pin (AIRCRAFT TYPE!C9:R9)</t>
        </is>
      </c>
      <c r="L634" s="73" t="inlineStr">
        <is>
          <t>User brief (T-12 hours)</t>
        </is>
      </c>
      <c r="M634" s="73" t="inlineStr"/>
      <c r="N634" s="73" t="inlineStr">
        <is>
          <t>Required</t>
        </is>
      </c>
      <c r="O634" s="73" t="inlineStr">
        <is>
          <t>Preparation check at caterer - does NOT confirm loading.</t>
        </is>
      </c>
      <c r="P634" s="63" t="inlineStr">
        <is>
          <t>KIX</t>
        </is>
      </c>
      <c r="Q634" s="65">
        <f>Flights!$AE$23</f>
        <v/>
      </c>
      <c r="R634" s="65">
        <f>Q634+(IF(AND(INDEX(TZ_DSTS,MATCH(P634,TZ_STN,0))&lt;&gt;"",Q634&gt;=INDEX(TZ_DSTS,MATCH(P634,TZ_STN,0)),Q634&lt;INDEX(TZ_DSTE,MATCH(P634,TZ_STN,0))),INDEX(TZ_DST,MATCH(P634,TZ_STN,0)),INDEX(TZ_STD,MATCH(P634,TZ_STN,0))))/24</f>
        <v/>
      </c>
      <c r="S634" s="65">
        <f>Q634-T12EarlyH/24</f>
        <v/>
      </c>
      <c r="T634" s="66" t="n"/>
      <c r="U634" s="66" t="n"/>
      <c r="V634" s="66" t="n"/>
      <c r="W634" s="67" t="n"/>
      <c r="X634" s="66" t="n"/>
      <c r="Y634" s="66" t="n"/>
      <c r="Z634" s="66" t="n"/>
      <c r="AA634" s="66" t="n"/>
      <c r="AB634" s="66" t="n"/>
      <c r="AC634" s="66" t="n"/>
      <c r="AD634" s="72" t="n"/>
      <c r="AE634" s="66" t="n"/>
      <c r="AF634" s="67">
        <f>IF(AND(ISNUMBER(X634),ISNUMBER(Y634)),Y634-X634,"")</f>
        <v/>
      </c>
      <c r="AG634" s="68">
        <f>IF(ISNUMBER(AD634),AD634-(IF(AND(INDEX(TZ_DSTS,MATCH(P634,TZ_STN,0))&lt;&gt;"",(AD634-INDEX(TZ_STD,MATCH(P634,TZ_STN,0))/24)&gt;=INDEX(TZ_DSTS,MATCH(P634,TZ_STN,0)),(AD634-INDEX(TZ_STD,MATCH(P634,TZ_STN,0))/24)&lt;INDEX(TZ_DSTE,MATCH(P634,TZ_STN,0))),INDEX(TZ_DST,MATCH(P634,TZ_STN,0)),INDEX(TZ_STD,MATCH(P634,TZ_STN,0))))/24,"")</f>
        <v/>
      </c>
      <c r="AH634" s="71">
        <f>IF(N634="N/A – rule","N/A – RULE",IF(TRIM(U634)="N/A",IF(AT634=0,"INVALID – N/A not permitted for this mandatory check",IF(AND(TRIM(AC634)&lt;&gt;"",TRIM(AE634)&lt;&gt;"",TRIM(T634)&lt;&gt;""),"N/A – JUSTIFIED","INVALID – N/A needs justification, PIC and verifier")),IF(OR(TRIM(U634)="Pass",TRIM(U634)="Pass after CA"),IF(NOT(ISNUMBER(AD634)),"INVALID – completion time missing",IF(TRIM(T634)="","INVALID – PIC missing",IF(TRIM(Z634)="","INVALID – evidence missing",IF(TRIM(AE634)="","INVALID – verifier missing",IF(AND(AQ634=1,TRIM(W634)=""),"INVALID – batch ID missing",IF(AND(AR634=1,OR(NOT(ISNUMBER(X634)),NOT(ISNUMBER(Y634)))),"INVALID – expected/actual qty missing",IF(IF(AND(TRIM(U634)="Pass",ISNUMBER(AF634)),IF(AF634&lt;&gt;0,"INVALID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recorded/closed","")&lt;&gt;"",IF(AND(TRIM(U634)="Pass",ISNUMBER(AF634)),IF(AF634&lt;&gt;0,"INVALID – qty variance: use Fail or Pass after CA",""),"")&amp;IF(AND(TRIM(U634)="Pass",AB634="Open"),"INVALID – corrective action still open: use Fail, then Pass after CA","")&amp;IF(AND(TRIM(U634)="Pass after CA",OR(TRIM(AA634)="",AB634&lt;&gt;"Closed")),"INVALID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window"),IF(AG634&gt;Flights!$AA$23,"INVALID – completed after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f>
        <v/>
      </c>
      <c r="AI634" s="67">
        <f>IF(OR(AH634="N/A – RULE",AH634="N/A – JUSTIFIED"),0,1)</f>
        <v/>
      </c>
      <c r="AJ634" s="67">
        <f>IF(LEFT(AH634,8)="COMPLETE",1,0)</f>
        <v/>
      </c>
      <c r="AK634" s="67">
        <f>IF(AND(AI634=1,AJ634=0,AsOfUTC&gt;Q634),1,0)</f>
        <v/>
      </c>
      <c r="AL634" s="67">
        <f>IF(AND(AI634=1,OR(TRIM(U634)="Fail",AB634="Open",AND(ISNUMBER(AF634),AF634&lt;&gt;0,TRIM(U634)&lt;&gt;"Pass after CA"))),1,0)</f>
        <v/>
      </c>
      <c r="AM634" s="67">
        <f>IF(LEFT(AH634,7)="INVALID",1,0)</f>
        <v/>
      </c>
      <c r="AN634" s="67">
        <f>IF(AND(N634="Clarification required",AI634=1,AJ634=0),1,0)</f>
        <v/>
      </c>
      <c r="AO634" s="67">
        <f>IF(AK634=1,SUM(AK$5:AK634),"")</f>
        <v/>
      </c>
      <c r="AP634" s="67">
        <f>IF(AL634=1,SUM(AL$5:AL634),"")</f>
        <v/>
      </c>
      <c r="AQ634" s="67" t="n">
        <v>0</v>
      </c>
      <c r="AR634" s="67" t="n">
        <v>1</v>
      </c>
      <c r="AS634" s="67" t="n">
        <v>0</v>
      </c>
      <c r="AT634" s="67" t="n">
        <v>0</v>
      </c>
    </row>
    <row r="635" ht="40" customHeight="1">
      <c r="A635" s="63" t="inlineStr">
        <is>
          <t>F19-T12-07</t>
        </is>
      </c>
      <c r="B635" s="63" t="inlineStr">
        <is>
          <t>F19</t>
        </is>
      </c>
      <c r="C635" s="63">
        <f>Flights!$F$23</f>
        <v/>
      </c>
      <c r="D635" s="64">
        <f>Flights!$D$23</f>
        <v/>
      </c>
      <c r="E635" s="63">
        <f>Flights!$G$23&amp;"-"&amp;Flights!$H$23</f>
        <v/>
      </c>
      <c r="F635" s="63">
        <f>Flights!$K$23</f>
        <v/>
      </c>
      <c r="G635" s="63" t="inlineStr">
        <is>
          <t>T-12H PREP</t>
        </is>
      </c>
      <c r="H635" s="63" t="inlineStr">
        <is>
          <t>Preparation</t>
        </is>
      </c>
      <c r="I635" s="63" t="inlineStr">
        <is>
          <t>Equipment</t>
        </is>
      </c>
      <c r="J635" s="63" t="inlineStr">
        <is>
          <t>Loading positions planned vs GLD</t>
        </is>
      </c>
      <c r="K635" s="73" t="inlineStr"/>
      <c r="L635" s="73" t="inlineStr">
        <is>
          <t>User brief (T-12 hours)</t>
        </is>
      </c>
      <c r="M635" s="73" t="inlineStr"/>
      <c r="N635" s="73" t="inlineStr">
        <is>
          <t>Required</t>
        </is>
      </c>
      <c r="O635" s="73" t="inlineStr">
        <is>
          <t>Preparation check at caterer - does NOT confirm loading.</t>
        </is>
      </c>
      <c r="P635" s="63" t="inlineStr">
        <is>
          <t>KIX</t>
        </is>
      </c>
      <c r="Q635" s="65">
        <f>Flights!$AE$23</f>
        <v/>
      </c>
      <c r="R635" s="65">
        <f>Q635+(IF(AND(INDEX(TZ_DSTS,MATCH(P635,TZ_STN,0))&lt;&gt;"",Q635&gt;=INDEX(TZ_DSTS,MATCH(P635,TZ_STN,0)),Q635&lt;INDEX(TZ_DSTE,MATCH(P635,TZ_STN,0))),INDEX(TZ_DST,MATCH(P635,TZ_STN,0)),INDEX(TZ_STD,MATCH(P635,TZ_STN,0))))/24</f>
        <v/>
      </c>
      <c r="S635" s="65">
        <f>Q635-T12EarlyH/24</f>
        <v/>
      </c>
      <c r="T635" s="66" t="n"/>
      <c r="U635" s="66" t="n"/>
      <c r="V635" s="66" t="n"/>
      <c r="W635" s="67" t="n"/>
      <c r="X635" s="66" t="n"/>
      <c r="Y635" s="66" t="n"/>
      <c r="Z635" s="66" t="n"/>
      <c r="AA635" s="66" t="n"/>
      <c r="AB635" s="66" t="n"/>
      <c r="AC635" s="66" t="n"/>
      <c r="AD635" s="72" t="n"/>
      <c r="AE635" s="66" t="n"/>
      <c r="AF635" s="67">
        <f>IF(AND(ISNUMBER(X635),ISNUMBER(Y635)),Y635-X635,"")</f>
        <v/>
      </c>
      <c r="AG635" s="68">
        <f>IF(ISNUMBER(AD635),AD635-(IF(AND(INDEX(TZ_DSTS,MATCH(P635,TZ_STN,0))&lt;&gt;"",(AD635-INDEX(TZ_STD,MATCH(P635,TZ_STN,0))/24)&gt;=INDEX(TZ_DSTS,MATCH(P635,TZ_STN,0)),(AD635-INDEX(TZ_STD,MATCH(P635,TZ_STN,0))/24)&lt;INDEX(TZ_DSTE,MATCH(P635,TZ_STN,0))),INDEX(TZ_DST,MATCH(P635,TZ_STN,0)),INDEX(TZ_STD,MATCH(P635,TZ_STN,0))))/24,"")</f>
        <v/>
      </c>
      <c r="AH635" s="71">
        <f>IF(N635="N/A – rule","N/A – RULE",IF(TRIM(U635)="N/A",IF(AT635=0,"INVALID – N/A not permitted for this mandatory check",IF(AND(TRIM(AC635)&lt;&gt;"",TRIM(AE635)&lt;&gt;"",TRIM(T635)&lt;&gt;""),"N/A – JUSTIFIED","INVALID – N/A needs justification, PIC and verifier")),IF(OR(TRIM(U635)="Pass",TRIM(U635)="Pass after CA"),IF(NOT(ISNUMBER(AD635)),"INVALID – completion time missing",IF(TRIM(T635)="","INVALID – PIC missing",IF(TRIM(Z635)="","INVALID – evidence missing",IF(TRIM(AE635)="","INVALID – verifier missing",IF(AND(AQ635=1,TRIM(W635)=""),"INVALID – batch ID missing",IF(AND(AR635=1,OR(NOT(ISNUMBER(X635)),NOT(ISNUMBER(Y635)))),"INVALID – expected/actual qty missing",IF(IF(AND(TRIM(U635)="Pass",ISNUMBER(AF635)),IF(AF635&lt;&gt;0,"INVALID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recorded/closed","")&lt;&gt;"",IF(AND(TRIM(U635)="Pass",ISNUMBER(AF635)),IF(AF635&lt;&gt;0,"INVALID – qty variance: use Fail or Pass after CA",""),"")&amp;IF(AND(TRIM(U635)="Pass",AB635="Open"),"INVALID – corrective action still open: use Fail, then Pass after CA","")&amp;IF(AND(TRIM(U635)="Pass after CA",OR(TRIM(AA635)="",AB635&lt;&gt;"Closed")),"INVALID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window"),IF(AG635&gt;Flights!$AA$23,"INVALID – completed after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f>
        <v/>
      </c>
      <c r="AI635" s="67">
        <f>IF(OR(AH635="N/A – RULE",AH635="N/A – JUSTIFIED"),0,1)</f>
        <v/>
      </c>
      <c r="AJ635" s="67">
        <f>IF(LEFT(AH635,8)="COMPLETE",1,0)</f>
        <v/>
      </c>
      <c r="AK635" s="67">
        <f>IF(AND(AI635=1,AJ635=0,AsOfUTC&gt;Q635),1,0)</f>
        <v/>
      </c>
      <c r="AL635" s="67">
        <f>IF(AND(AI635=1,OR(TRIM(U635)="Fail",AB635="Open",AND(ISNUMBER(AF635),AF635&lt;&gt;0,TRIM(U635)&lt;&gt;"Pass after CA"))),1,0)</f>
        <v/>
      </c>
      <c r="AM635" s="67">
        <f>IF(LEFT(AH635,7)="INVALID",1,0)</f>
        <v/>
      </c>
      <c r="AN635" s="67">
        <f>IF(AND(N635="Clarification required",AI635=1,AJ635=0),1,0)</f>
        <v/>
      </c>
      <c r="AO635" s="67">
        <f>IF(AK635=1,SUM(AK$5:AK635),"")</f>
        <v/>
      </c>
      <c r="AP635" s="67">
        <f>IF(AL635=1,SUM(AL$5:AL635),"")</f>
        <v/>
      </c>
      <c r="AQ635" s="67" t="n">
        <v>0</v>
      </c>
      <c r="AR635" s="67" t="n">
        <v>0</v>
      </c>
      <c r="AS635" s="67" t="n">
        <v>0</v>
      </c>
      <c r="AT635" s="67" t="n">
        <v>0</v>
      </c>
    </row>
    <row r="636" ht="41.5" customHeight="1">
      <c r="A636" s="63" t="inlineStr">
        <is>
          <t>F19-T12-08</t>
        </is>
      </c>
      <c r="B636" s="63" t="inlineStr">
        <is>
          <t>F19</t>
        </is>
      </c>
      <c r="C636" s="63">
        <f>Flights!$F$23</f>
        <v/>
      </c>
      <c r="D636" s="64">
        <f>Flights!$D$23</f>
        <v/>
      </c>
      <c r="E636" s="63">
        <f>Flights!$G$23&amp;"-"&amp;Flights!$H$23</f>
        <v/>
      </c>
      <c r="F636" s="63">
        <f>Flights!$K$23</f>
        <v/>
      </c>
      <c r="G636" s="63" t="inlineStr">
        <is>
          <t>T-12H PREP</t>
        </is>
      </c>
      <c r="H636" s="63" t="inlineStr">
        <is>
          <t>Preparation</t>
        </is>
      </c>
      <c r="I636" s="63" t="inlineStr">
        <is>
          <t>Seat Linen</t>
        </is>
      </c>
      <c r="J636" s="63" t="inlineStr">
        <is>
          <t>Seat pillow (EY) - prepared</t>
        </is>
      </c>
      <c r="K636" s="73" t="inlineStr">
        <is>
          <t>Available 100% (ticked in reference)</t>
        </is>
      </c>
      <c r="L636" s="73" t="inlineStr">
        <is>
          <t>STD UPLIFT INFORMATION.xlsx &gt; SEAT LINEN!I15</t>
        </is>
      </c>
      <c r="M636" s="73" t="inlineStr">
        <is>
          <t>Not stated in reference</t>
        </is>
      </c>
      <c r="N636" s="73" t="inlineStr">
        <is>
          <t>Required</t>
        </is>
      </c>
      <c r="O636" s="73" t="inlineStr">
        <is>
          <t>Reference gives no uplift stn for this item: preparation checked at the meal uplift stn (KIX) - confirm with caterer.</t>
        </is>
      </c>
      <c r="P636" s="63" t="inlineStr">
        <is>
          <t>KIX</t>
        </is>
      </c>
      <c r="Q636" s="65">
        <f>Flights!$AE$23</f>
        <v/>
      </c>
      <c r="R636" s="65">
        <f>Q636+(IF(AND(INDEX(TZ_DSTS,MATCH(P636,TZ_STN,0))&lt;&gt;"",Q636&gt;=INDEX(TZ_DSTS,MATCH(P636,TZ_STN,0)),Q636&lt;INDEX(TZ_DSTE,MATCH(P636,TZ_STN,0))),INDEX(TZ_DST,MATCH(P636,TZ_STN,0)),INDEX(TZ_STD,MATCH(P636,TZ_STN,0))))/24</f>
        <v/>
      </c>
      <c r="S636" s="65">
        <f>Q636-T12EarlyH/24</f>
        <v/>
      </c>
      <c r="T636" s="66" t="n"/>
      <c r="U636" s="66" t="n"/>
      <c r="V636" s="66" t="n"/>
      <c r="W636" s="67" t="n"/>
      <c r="X636" s="66" t="n"/>
      <c r="Y636" s="66" t="n"/>
      <c r="Z636" s="66" t="n"/>
      <c r="AA636" s="66" t="n"/>
      <c r="AB636" s="66" t="n"/>
      <c r="AC636" s="66" t="n"/>
      <c r="AD636" s="72" t="n"/>
      <c r="AE636" s="66" t="n"/>
      <c r="AF636" s="67">
        <f>IF(AND(ISNUMBER(X636),ISNUMBER(Y636)),Y636-X636,"")</f>
        <v/>
      </c>
      <c r="AG636" s="68">
        <f>IF(ISNUMBER(AD636),AD636-(IF(AND(INDEX(TZ_DSTS,MATCH(P636,TZ_STN,0))&lt;&gt;"",(AD636-INDEX(TZ_STD,MATCH(P636,TZ_STN,0))/24)&gt;=INDEX(TZ_DSTS,MATCH(P636,TZ_STN,0)),(AD636-INDEX(TZ_STD,MATCH(P636,TZ_STN,0))/24)&lt;INDEX(TZ_DSTE,MATCH(P636,TZ_STN,0))),INDEX(TZ_DST,MATCH(P636,TZ_STN,0)),INDEX(TZ_STD,MATCH(P636,TZ_STN,0))))/24,"")</f>
        <v/>
      </c>
      <c r="AH636" s="71">
        <f>IF(N636="N/A – rule","N/A – RULE",IF(TRIM(U636)="N/A",IF(AT636=0,"INVALID – N/A not permitted for this mandatory check",IF(AND(TRIM(AC636)&lt;&gt;"",TRIM(AE636)&lt;&gt;"",TRIM(T636)&lt;&gt;""),"N/A – JUSTIFIED","INVALID – N/A needs justification, PIC and verifier")),IF(OR(TRIM(U636)="Pass",TRIM(U636)="Pass after CA"),IF(NOT(ISNUMBER(AD636)),"INVALID – completion time missing",IF(TRIM(T636)="","INVALID – PIC missing",IF(TRIM(Z636)="","INVALID – evidence missing",IF(TRIM(AE636)="","INVALID – verifier missing",IF(AND(AQ636=1,TRIM(W636)=""),"INVALID – batch ID missing",IF(AND(AR636=1,OR(NOT(ISNUMBER(X636)),NOT(ISNUMBER(Y636)))),"INVALID – expected/actual qty missing",IF(IF(AND(TRIM(U636)="Pass",ISNUMBER(AF636)),IF(AF636&lt;&gt;0,"INVALID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recorded/closed","")&lt;&gt;"",IF(AND(TRIM(U636)="Pass",ISNUMBER(AF636)),IF(AF636&lt;&gt;0,"INVALID – qty variance: use Fail or Pass after CA",""),"")&amp;IF(AND(TRIM(U636)="Pass",AB636="Open"),"INVALID – corrective action still open: use Fail, then Pass after CA","")&amp;IF(AND(TRIM(U636)="Pass after CA",OR(TRIM(AA636)="",AB636&lt;&gt;"Closed")),"INVALID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window"),IF(AG636&gt;Flights!$AA$23,"INVALID – completed after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f>
        <v/>
      </c>
      <c r="AI636" s="67">
        <f>IF(OR(AH636="N/A – RULE",AH636="N/A – JUSTIFIED"),0,1)</f>
        <v/>
      </c>
      <c r="AJ636" s="67">
        <f>IF(LEFT(AH636,8)="COMPLETE",1,0)</f>
        <v/>
      </c>
      <c r="AK636" s="67">
        <f>IF(AND(AI636=1,AJ636=0,AsOfUTC&gt;Q636),1,0)</f>
        <v/>
      </c>
      <c r="AL636" s="67">
        <f>IF(AND(AI636=1,OR(TRIM(U636)="Fail",AB636="Open",AND(ISNUMBER(AF636),AF636&lt;&gt;0,TRIM(U636)&lt;&gt;"Pass after CA"))),1,0)</f>
        <v/>
      </c>
      <c r="AM636" s="67">
        <f>IF(LEFT(AH636,7)="INVALID",1,0)</f>
        <v/>
      </c>
      <c r="AN636" s="67">
        <f>IF(AND(N636="Clarification required",AI636=1,AJ636=0),1,0)</f>
        <v/>
      </c>
      <c r="AO636" s="67">
        <f>IF(AK636=1,SUM(AK$5:AK636),"")</f>
        <v/>
      </c>
      <c r="AP636" s="67">
        <f>IF(AL636=1,SUM(AL$5:AL636),"")</f>
        <v/>
      </c>
      <c r="AQ636" s="67" t="n">
        <v>0</v>
      </c>
      <c r="AR636" s="67" t="n">
        <v>0</v>
      </c>
      <c r="AS636" s="67" t="n">
        <v>0</v>
      </c>
      <c r="AT636" s="67" t="n">
        <v>1</v>
      </c>
    </row>
    <row r="637" ht="79" customHeight="1">
      <c r="A637" s="63" t="inlineStr">
        <is>
          <t>F19-T12-09</t>
        </is>
      </c>
      <c r="B637" s="63" t="inlineStr">
        <is>
          <t>F19</t>
        </is>
      </c>
      <c r="C637" s="63">
        <f>Flights!$F$23</f>
        <v/>
      </c>
      <c r="D637" s="64">
        <f>Flights!$D$23</f>
        <v/>
      </c>
      <c r="E637" s="63">
        <f>Flights!$G$23&amp;"-"&amp;Flights!$H$23</f>
        <v/>
      </c>
      <c r="F637" s="63">
        <f>Flights!$K$23</f>
        <v/>
      </c>
      <c r="G637" s="63" t="inlineStr">
        <is>
          <t>T-12H PREP</t>
        </is>
      </c>
      <c r="H637" s="63" t="inlineStr">
        <is>
          <t>Preparation</t>
        </is>
      </c>
      <c r="I637" s="63" t="inlineStr">
        <is>
          <t>Seat Linen</t>
        </is>
      </c>
      <c r="J637" s="63" t="inlineStr">
        <is>
          <t>Blanket (EY) - prepared</t>
        </is>
      </c>
      <c r="K637" s="73" t="inlineStr">
        <is>
          <t>Available 100% (ticked in reference); qty 280</t>
        </is>
      </c>
      <c r="L637" s="73" t="inlineStr">
        <is>
          <t>STD UPLIFT INFORMATION.xlsx &gt; SEAT LINEN!J15</t>
        </is>
      </c>
      <c r="M637" s="73" t="inlineStr">
        <is>
          <t>Not stated in reference</t>
        </is>
      </c>
      <c r="N637" s="73" t="inlineStr">
        <is>
          <t>Required</t>
        </is>
      </c>
      <c r="O637" s="73" t="inlineStr">
        <is>
          <t>EY blanket: flight above 3 hours excl. Regional (SEAT LINEN!B74:C74); block 8.08 h. Qty 280 pcs (14 bundles) for A332/A333/A339 (SEAT LINEN!B75:C75). Reference gives no uplift stn for this item: preparation checked at the meal uplift stn (KIX) - confirm with caterer.</t>
        </is>
      </c>
      <c r="P637" s="63" t="inlineStr">
        <is>
          <t>KIX</t>
        </is>
      </c>
      <c r="Q637" s="65">
        <f>Flights!$AE$23</f>
        <v/>
      </c>
      <c r="R637" s="65">
        <f>Q637+(IF(AND(INDEX(TZ_DSTS,MATCH(P637,TZ_STN,0))&lt;&gt;"",Q637&gt;=INDEX(TZ_DSTS,MATCH(P637,TZ_STN,0)),Q637&lt;INDEX(TZ_DSTE,MATCH(P637,TZ_STN,0))),INDEX(TZ_DST,MATCH(P637,TZ_STN,0)),INDEX(TZ_STD,MATCH(P637,TZ_STN,0))))/24</f>
        <v/>
      </c>
      <c r="S637" s="65">
        <f>Q637-T12EarlyH/24</f>
        <v/>
      </c>
      <c r="T637" s="66" t="n"/>
      <c r="U637" s="66" t="n"/>
      <c r="V637" s="66" t="n"/>
      <c r="W637" s="67" t="n"/>
      <c r="X637" s="74" t="n">
        <v>280</v>
      </c>
      <c r="Y637" s="66" t="n"/>
      <c r="Z637" s="66" t="n"/>
      <c r="AA637" s="66" t="n"/>
      <c r="AB637" s="66" t="n"/>
      <c r="AC637" s="66" t="n"/>
      <c r="AD637" s="72" t="n"/>
      <c r="AE637" s="66" t="n"/>
      <c r="AF637" s="67">
        <f>IF(AND(ISNUMBER(X637),ISNUMBER(Y637)),Y637-X637,"")</f>
        <v/>
      </c>
      <c r="AG637" s="68">
        <f>IF(ISNUMBER(AD637),AD637-(IF(AND(INDEX(TZ_DSTS,MATCH(P637,TZ_STN,0))&lt;&gt;"",(AD637-INDEX(TZ_STD,MATCH(P637,TZ_STN,0))/24)&gt;=INDEX(TZ_DSTS,MATCH(P637,TZ_STN,0)),(AD637-INDEX(TZ_STD,MATCH(P637,TZ_STN,0))/24)&lt;INDEX(TZ_DSTE,MATCH(P637,TZ_STN,0))),INDEX(TZ_DST,MATCH(P637,TZ_STN,0)),INDEX(TZ_STD,MATCH(P637,TZ_STN,0))))/24,"")</f>
        <v/>
      </c>
      <c r="AH637" s="71">
        <f>IF(N637="N/A – rule","N/A – RULE",IF(TRIM(U637)="N/A",IF(AT637=0,"INVALID – N/A not permitted for this mandatory check",IF(AND(TRIM(AC637)&lt;&gt;"",TRIM(AE637)&lt;&gt;"",TRIM(T637)&lt;&gt;""),"N/A – JUSTIFIED","INVALID – N/A needs justification, PIC and verifier")),IF(OR(TRIM(U637)="Pass",TRIM(U637)="Pass after CA"),IF(NOT(ISNUMBER(AD637)),"INVALID – completion time missing",IF(TRIM(T637)="","INVALID – PIC missing",IF(TRIM(Z637)="","INVALID – evidence missing",IF(TRIM(AE637)="","INVALID – verifier missing",IF(AND(AQ637=1,TRIM(W637)=""),"INVALID – batch ID missing",IF(AND(AR637=1,OR(NOT(ISNUMBER(X637)),NOT(ISNUMBER(Y637)))),"INVALID – expected/actual qty missing",IF(IF(AND(TRIM(U637)="Pass",ISNUMBER(AF637)),IF(AF637&lt;&gt;0,"INVALID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recorded/closed","")&lt;&gt;"",IF(AND(TRIM(U637)="Pass",ISNUMBER(AF637)),IF(AF637&lt;&gt;0,"INVALID – qty variance: use Fail or Pass after CA",""),"")&amp;IF(AND(TRIM(U637)="Pass",AB637="Open"),"INVALID – corrective action still open: use Fail, then Pass after CA","")&amp;IF(AND(TRIM(U637)="Pass after CA",OR(TRIM(AA637)="",AB637&lt;&gt;"Closed")),"INVALID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window"),IF(AG637&gt;Flights!$AA$23,"INVALID – completed after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f>
        <v/>
      </c>
      <c r="AI637" s="67">
        <f>IF(OR(AH637="N/A – RULE",AH637="N/A – JUSTIFIED"),0,1)</f>
        <v/>
      </c>
      <c r="AJ637" s="67">
        <f>IF(LEFT(AH637,8)="COMPLETE",1,0)</f>
        <v/>
      </c>
      <c r="AK637" s="67">
        <f>IF(AND(AI637=1,AJ637=0,AsOfUTC&gt;Q637),1,0)</f>
        <v/>
      </c>
      <c r="AL637" s="67">
        <f>IF(AND(AI637=1,OR(TRIM(U637)="Fail",AB637="Open",AND(ISNUMBER(AF637),AF637&lt;&gt;0,TRIM(U637)&lt;&gt;"Pass after CA"))),1,0)</f>
        <v/>
      </c>
      <c r="AM637" s="67">
        <f>IF(LEFT(AH637,7)="INVALID",1,0)</f>
        <v/>
      </c>
      <c r="AN637" s="67">
        <f>IF(AND(N637="Clarification required",AI637=1,AJ637=0),1,0)</f>
        <v/>
      </c>
      <c r="AO637" s="67">
        <f>IF(AK637=1,SUM(AK$5:AK637),"")</f>
        <v/>
      </c>
      <c r="AP637" s="67">
        <f>IF(AL637=1,SUM(AL$5:AL637),"")</f>
        <v/>
      </c>
      <c r="AQ637" s="67" t="n">
        <v>0</v>
      </c>
      <c r="AR637" s="67" t="n">
        <v>1</v>
      </c>
      <c r="AS637" s="67" t="n">
        <v>0</v>
      </c>
      <c r="AT637" s="67" t="n">
        <v>1</v>
      </c>
    </row>
    <row r="638" ht="91.5" customHeight="1">
      <c r="A638" s="63" t="inlineStr">
        <is>
          <t>F19-T12-10</t>
        </is>
      </c>
      <c r="B638" s="63" t="inlineStr">
        <is>
          <t>F19</t>
        </is>
      </c>
      <c r="C638" s="63">
        <f>Flights!$F$23</f>
        <v/>
      </c>
      <c r="D638" s="64">
        <f>Flights!$D$23</f>
        <v/>
      </c>
      <c r="E638" s="63">
        <f>Flights!$G$23&amp;"-"&amp;Flights!$H$23</f>
        <v/>
      </c>
      <c r="F638" s="63">
        <f>Flights!$K$23</f>
        <v/>
      </c>
      <c r="G638" s="63" t="inlineStr">
        <is>
          <t>T-12H PREP</t>
        </is>
      </c>
      <c r="H638" s="63" t="inlineStr">
        <is>
          <t>Preparation</t>
        </is>
      </c>
      <c r="I638" s="63" t="inlineStr">
        <is>
          <t>Sales Cart</t>
        </is>
      </c>
      <c r="J638" s="63" t="inlineStr">
        <is>
          <t>Sales cart (caterer PASB) - prepared</t>
        </is>
      </c>
      <c r="K638" s="73" t="inlineStr">
        <is>
          <t>Location 643 &amp; 947 (A333, full cart)</t>
        </is>
      </c>
      <c r="L638" s="73" t="inlineStr">
        <is>
          <t>STD UPLIFT INFORMATION.xlsx &gt; SALES CART!I8:I37 / C12 / C40</t>
        </is>
      </c>
      <c r="M638" s="73" t="inlineStr">
        <is>
          <t>Not stated in reference</t>
        </is>
      </c>
      <c r="N638" s="73" t="inlineStr">
        <is>
          <t>Clarification required</t>
        </is>
      </c>
      <c r="O638" s="73" t="inlineStr">
        <is>
          <t>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is>
      </c>
      <c r="P638" s="63" t="inlineStr">
        <is>
          <t>KIX</t>
        </is>
      </c>
      <c r="Q638" s="65">
        <f>Flights!$AE$23</f>
        <v/>
      </c>
      <c r="R638" s="65">
        <f>Q638+(IF(AND(INDEX(TZ_DSTS,MATCH(P638,TZ_STN,0))&lt;&gt;"",Q638&gt;=INDEX(TZ_DSTS,MATCH(P638,TZ_STN,0)),Q638&lt;INDEX(TZ_DSTE,MATCH(P638,TZ_STN,0))),INDEX(TZ_DST,MATCH(P638,TZ_STN,0)),INDEX(TZ_STD,MATCH(P638,TZ_STN,0))))/24</f>
        <v/>
      </c>
      <c r="S638" s="65">
        <f>Q638-T12EarlyH/24</f>
        <v/>
      </c>
      <c r="T638" s="66" t="n"/>
      <c r="U638" s="66" t="n"/>
      <c r="V638" s="66" t="n"/>
      <c r="W638" s="67" t="n"/>
      <c r="X638" s="66" t="n"/>
      <c r="Y638" s="66" t="n"/>
      <c r="Z638" s="66" t="n"/>
      <c r="AA638" s="66" t="n"/>
      <c r="AB638" s="66" t="n"/>
      <c r="AC638" s="66" t="n"/>
      <c r="AD638" s="72" t="n"/>
      <c r="AE638" s="66" t="n"/>
      <c r="AF638" s="67">
        <f>IF(AND(ISNUMBER(X638),ISNUMBER(Y638)),Y638-X638,"")</f>
        <v/>
      </c>
      <c r="AG638" s="68">
        <f>IF(ISNUMBER(AD638),AD638-(IF(AND(INDEX(TZ_DSTS,MATCH(P638,TZ_STN,0))&lt;&gt;"",(AD638-INDEX(TZ_STD,MATCH(P638,TZ_STN,0))/24)&gt;=INDEX(TZ_DSTS,MATCH(P638,TZ_STN,0)),(AD638-INDEX(TZ_STD,MATCH(P638,TZ_STN,0))/24)&lt;INDEX(TZ_DSTE,MATCH(P638,TZ_STN,0))),INDEX(TZ_DST,MATCH(P638,TZ_STN,0)),INDEX(TZ_STD,MATCH(P638,TZ_STN,0))))/24,"")</f>
        <v/>
      </c>
      <c r="AH638" s="71">
        <f>IF(N638="N/A – rule","N/A – RULE",IF(TRIM(U638)="N/A",IF(AT638=0,"INVALID – N/A not permitted for this mandatory check",IF(AND(TRIM(AC638)&lt;&gt;"",TRIM(AE638)&lt;&gt;"",TRIM(T638)&lt;&gt;""),"N/A – JUSTIFIED","INVALID – N/A needs justification, PIC and verifier")),IF(OR(TRIM(U638)="Pass",TRIM(U638)="Pass after CA"),IF(NOT(ISNUMBER(AD638)),"INVALID – completion time missing",IF(TRIM(T638)="","INVALID – PIC missing",IF(TRIM(Z638)="","INVALID – evidence missing",IF(TRIM(AE638)="","INVALID – verifier missing",IF(AND(AQ638=1,TRIM(W638)=""),"INVALID – batch ID missing",IF(AND(AR638=1,OR(NOT(ISNUMBER(X638)),NOT(ISNUMBER(Y638)))),"INVALID – expected/actual qty missing",IF(IF(AND(TRIM(U638)="Pass",ISNUMBER(AF638)),IF(AF638&lt;&gt;0,"INVALID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recorded/closed","")&lt;&gt;"",IF(AND(TRIM(U638)="Pass",ISNUMBER(AF638)),IF(AF638&lt;&gt;0,"INVALID – qty variance: use Fail or Pass after CA",""),"")&amp;IF(AND(TRIM(U638)="Pass",AB638="Open"),"INVALID – corrective action still open: use Fail, then Pass after CA","")&amp;IF(AND(TRIM(U638)="Pass after CA",OR(TRIM(AA638)="",AB638&lt;&gt;"Closed")),"INVALID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window"),IF(AG638&gt;Flights!$AA$23,"INVALID – completed after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f>
        <v/>
      </c>
      <c r="AI638" s="67">
        <f>IF(OR(AH638="N/A – RULE",AH638="N/A – JUSTIFIED"),0,1)</f>
        <v/>
      </c>
      <c r="AJ638" s="67">
        <f>IF(LEFT(AH638,8)="COMPLETE",1,0)</f>
        <v/>
      </c>
      <c r="AK638" s="67">
        <f>IF(AND(AI638=1,AJ638=0,AsOfUTC&gt;Q638),1,0)</f>
        <v/>
      </c>
      <c r="AL638" s="67">
        <f>IF(AND(AI638=1,OR(TRIM(U638)="Fail",AB638="Open",AND(ISNUMBER(AF638),AF638&lt;&gt;0,TRIM(U638)&lt;&gt;"Pass after CA"))),1,0)</f>
        <v/>
      </c>
      <c r="AM638" s="67">
        <f>IF(LEFT(AH638,7)="INVALID",1,0)</f>
        <v/>
      </c>
      <c r="AN638" s="67">
        <f>IF(AND(N638="Clarification required",AI638=1,AJ638=0),1,0)</f>
        <v/>
      </c>
      <c r="AO638" s="67">
        <f>IF(AK638=1,SUM(AK$5:AK638),"")</f>
        <v/>
      </c>
      <c r="AP638" s="67">
        <f>IF(AL638=1,SUM(AL$5:AL638),"")</f>
        <v/>
      </c>
      <c r="AQ638" s="67" t="n">
        <v>0</v>
      </c>
      <c r="AR638" s="67" t="n">
        <v>0</v>
      </c>
      <c r="AS638" s="67" t="n">
        <v>0</v>
      </c>
      <c r="AT638" s="67" t="n">
        <v>1</v>
      </c>
    </row>
    <row r="639" ht="40" customHeight="1">
      <c r="A639" s="63" t="inlineStr">
        <is>
          <t>F19-UPL-01</t>
        </is>
      </c>
      <c r="B639" s="63" t="inlineStr">
        <is>
          <t>F19</t>
        </is>
      </c>
      <c r="C639" s="63">
        <f>Flights!$F$23</f>
        <v/>
      </c>
      <c r="D639" s="64">
        <f>Flights!$D$23</f>
        <v/>
      </c>
      <c r="E639" s="63">
        <f>Flights!$G$23&amp;"-"&amp;Flights!$H$23</f>
        <v/>
      </c>
      <c r="F639" s="63">
        <f>Flights!$K$23</f>
        <v/>
      </c>
      <c r="G639" s="63" t="inlineStr">
        <is>
          <t>UPLIFT</t>
        </is>
      </c>
      <c r="H639" s="63" t="inlineStr">
        <is>
          <t>Physical uplift</t>
        </is>
      </c>
      <c r="I639" s="63" t="inlineStr">
        <is>
          <t>Meal</t>
        </is>
      </c>
      <c r="J639" s="63" t="inlineStr">
        <is>
          <t>Meals physically uplifted on board - quantity vs menu checklist</t>
        </is>
      </c>
      <c r="K639" s="73" t="inlineStr">
        <is>
          <t>Enter expected &amp; actual</t>
        </is>
      </c>
      <c r="L639" s="73" t="inlineStr">
        <is>
          <t>User brief (T-12 hours - physical uplift)</t>
        </is>
      </c>
      <c r="M639" s="73" t="inlineStr"/>
      <c r="N639" s="73" t="inlineStr">
        <is>
          <t>Required</t>
        </is>
      </c>
      <c r="O639" s="73" t="inlineStr">
        <is>
          <t>Confirm on board before departure; completion time must fall inside the uplift window.</t>
        </is>
      </c>
      <c r="P639" s="63" t="inlineStr">
        <is>
          <t>KIX</t>
        </is>
      </c>
      <c r="Q639" s="65">
        <f>Flights!$AF$23</f>
        <v/>
      </c>
      <c r="R639" s="65">
        <f>Q639+(IF(AND(INDEX(TZ_DSTS,MATCH(P639,TZ_STN,0))&lt;&gt;"",Q639&gt;=INDEX(TZ_DSTS,MATCH(P639,TZ_STN,0)),Q639&lt;INDEX(TZ_DSTE,MATCH(P639,TZ_STN,0))),INDEX(TZ_DST,MATCH(P639,TZ_STN,0)),INDEX(TZ_STD,MATCH(P639,TZ_STN,0))))/24</f>
        <v/>
      </c>
      <c r="S639" s="65">
        <f>Q639-UpliftWindowH/24</f>
        <v/>
      </c>
      <c r="T639" s="66" t="n"/>
      <c r="U639" s="66" t="n"/>
      <c r="V639" s="66" t="n"/>
      <c r="W639" s="67" t="n"/>
      <c r="X639" s="66" t="n"/>
      <c r="Y639" s="66" t="n"/>
      <c r="Z639" s="66" t="n"/>
      <c r="AA639" s="66" t="n"/>
      <c r="AB639" s="66" t="n"/>
      <c r="AC639" s="66" t="n"/>
      <c r="AD639" s="72" t="n"/>
      <c r="AE639" s="66" t="n"/>
      <c r="AF639" s="67">
        <f>IF(AND(ISNUMBER(X639),ISNUMBER(Y639)),Y639-X639,"")</f>
        <v/>
      </c>
      <c r="AG639" s="68">
        <f>IF(ISNUMBER(AD639),AD639-(IF(AND(INDEX(TZ_DSTS,MATCH(P639,TZ_STN,0))&lt;&gt;"",(AD639-INDEX(TZ_STD,MATCH(P639,TZ_STN,0))/24)&gt;=INDEX(TZ_DSTS,MATCH(P639,TZ_STN,0)),(AD639-INDEX(TZ_STD,MATCH(P639,TZ_STN,0))/24)&lt;INDEX(TZ_DSTE,MATCH(P639,TZ_STN,0))),INDEX(TZ_DST,MATCH(P639,TZ_STN,0)),INDEX(TZ_STD,MATCH(P639,TZ_STN,0))))/24,"")</f>
        <v/>
      </c>
      <c r="AH639" s="71">
        <f>IF(N639="N/A – rule","N/A – RULE",IF(TRIM(U639)="N/A",IF(AT639=0,"INVALID – N/A not permitted for this mandatory check",IF(AND(TRIM(AC639)&lt;&gt;"",TRIM(AE639)&lt;&gt;"",TRIM(T639)&lt;&gt;""),"N/A – JUSTIFIED","INVALID – N/A needs justification, PIC and verifier")),IF(OR(TRIM(U639)="Pass",TRIM(U639)="Pass after CA"),IF(NOT(ISNUMBER(AD639)),"INVALID – completion time missing",IF(TRIM(T639)="","INVALID – PIC missing",IF(TRIM(Z639)="","INVALID – evidence missing",IF(TRIM(AE639)="","INVALID – verifier missing",IF(AND(AQ639=1,TRIM(W639)=""),"INVALID – batch ID missing",IF(AND(AR639=1,OR(NOT(ISNUMBER(X639)),NOT(ISNUMBER(Y639)))),"INVALID – expected/actual qty missing",IF(IF(AND(TRIM(U639)="Pass",ISNUMBER(AF639)),IF(AF639&lt;&gt;0,"INVALID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recorded/closed","")&lt;&gt;"",IF(AND(TRIM(U639)="Pass",ISNUMBER(AF639)),IF(AF639&lt;&gt;0,"INVALID – qty variance: use Fail or Pass after CA",""),"")&amp;IF(AND(TRIM(U639)="Pass",AB639="Open"),"INVALID – corrective action still open: use Fail, then Pass after CA","")&amp;IF(AND(TRIM(U639)="Pass after CA",OR(TRIM(AA639)="",AB639&lt;&gt;"Closed")),"INVALID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window"),IF(AG639&gt;Flights!$AA$23,"INVALID – completed after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f>
        <v/>
      </c>
      <c r="AI639" s="67">
        <f>IF(OR(AH639="N/A – RULE",AH639="N/A – JUSTIFIED"),0,1)</f>
        <v/>
      </c>
      <c r="AJ639" s="67">
        <f>IF(LEFT(AH639,8)="COMPLETE",1,0)</f>
        <v/>
      </c>
      <c r="AK639" s="67">
        <f>IF(AND(AI639=1,AJ639=0,AsOfUTC&gt;Q639),1,0)</f>
        <v/>
      </c>
      <c r="AL639" s="67">
        <f>IF(AND(AI639=1,OR(TRIM(U639)="Fail",AB639="Open",AND(ISNUMBER(AF639),AF639&lt;&gt;0,TRIM(U639)&lt;&gt;"Pass after CA"))),1,0)</f>
        <v/>
      </c>
      <c r="AM639" s="67">
        <f>IF(LEFT(AH639,7)="INVALID",1,0)</f>
        <v/>
      </c>
      <c r="AN639" s="67">
        <f>IF(AND(N639="Clarification required",AI639=1,AJ639=0),1,0)</f>
        <v/>
      </c>
      <c r="AO639" s="67">
        <f>IF(AK639=1,SUM(AK$5:AK639),"")</f>
        <v/>
      </c>
      <c r="AP639" s="67">
        <f>IF(AL639=1,SUM(AL$5:AL639),"")</f>
        <v/>
      </c>
      <c r="AQ639" s="67" t="n">
        <v>0</v>
      </c>
      <c r="AR639" s="67" t="n">
        <v>1</v>
      </c>
      <c r="AS639" s="67" t="n">
        <v>0</v>
      </c>
      <c r="AT639" s="67" t="n">
        <v>0</v>
      </c>
    </row>
    <row r="640" ht="40" customHeight="1">
      <c r="A640" s="63" t="inlineStr">
        <is>
          <t>F19-UPL-02</t>
        </is>
      </c>
      <c r="B640" s="63" t="inlineStr">
        <is>
          <t>F19</t>
        </is>
      </c>
      <c r="C640" s="63">
        <f>Flights!$F$23</f>
        <v/>
      </c>
      <c r="D640" s="64">
        <f>Flights!$D$23</f>
        <v/>
      </c>
      <c r="E640" s="63">
        <f>Flights!$G$23&amp;"-"&amp;Flights!$H$23</f>
        <v/>
      </c>
      <c r="F640" s="63">
        <f>Flights!$K$23</f>
        <v/>
      </c>
      <c r="G640" s="63" t="inlineStr">
        <is>
          <t>UPLIFT</t>
        </is>
      </c>
      <c r="H640" s="63" t="inlineStr">
        <is>
          <t>Physical uplift</t>
        </is>
      </c>
      <c r="I640" s="63" t="inlineStr">
        <is>
          <t>Equipment</t>
        </is>
      </c>
      <c r="J640" s="63" t="inlineStr">
        <is>
          <t>Equipment physically loaded at GLD positions - quantity &amp; positions</t>
        </is>
      </c>
      <c r="K640" s="73" t="inlineStr">
        <is>
          <t>Enter expected &amp; actual</t>
        </is>
      </c>
      <c r="L640" s="73" t="inlineStr">
        <is>
          <t>User brief (T-12 hours - physical uplift)</t>
        </is>
      </c>
      <c r="M640" s="73" t="inlineStr"/>
      <c r="N640" s="73" t="inlineStr">
        <is>
          <t>Required</t>
        </is>
      </c>
      <c r="O640" s="73" t="inlineStr">
        <is>
          <t>Confirm on board before departure; completion time must fall inside the uplift window.</t>
        </is>
      </c>
      <c r="P640" s="63" t="inlineStr">
        <is>
          <t>KIX</t>
        </is>
      </c>
      <c r="Q640" s="65">
        <f>Flights!$AF$23</f>
        <v/>
      </c>
      <c r="R640" s="65">
        <f>Q640+(IF(AND(INDEX(TZ_DSTS,MATCH(P640,TZ_STN,0))&lt;&gt;"",Q640&gt;=INDEX(TZ_DSTS,MATCH(P640,TZ_STN,0)),Q640&lt;INDEX(TZ_DSTE,MATCH(P640,TZ_STN,0))),INDEX(TZ_DST,MATCH(P640,TZ_STN,0)),INDEX(TZ_STD,MATCH(P640,TZ_STN,0))))/24</f>
        <v/>
      </c>
      <c r="S640" s="65">
        <f>Q640-UpliftWindowH/24</f>
        <v/>
      </c>
      <c r="T640" s="66" t="n"/>
      <c r="U640" s="66" t="n"/>
      <c r="V640" s="66" t="n"/>
      <c r="W640" s="67" t="n"/>
      <c r="X640" s="66" t="n"/>
      <c r="Y640" s="66" t="n"/>
      <c r="Z640" s="66" t="n"/>
      <c r="AA640" s="66" t="n"/>
      <c r="AB640" s="66" t="n"/>
      <c r="AC640" s="66" t="n"/>
      <c r="AD640" s="72" t="n"/>
      <c r="AE640" s="66" t="n"/>
      <c r="AF640" s="67">
        <f>IF(AND(ISNUMBER(X640),ISNUMBER(Y640)),Y640-X640,"")</f>
        <v/>
      </c>
      <c r="AG640" s="68">
        <f>IF(ISNUMBER(AD640),AD640-(IF(AND(INDEX(TZ_DSTS,MATCH(P640,TZ_STN,0))&lt;&gt;"",(AD640-INDEX(TZ_STD,MATCH(P640,TZ_STN,0))/24)&gt;=INDEX(TZ_DSTS,MATCH(P640,TZ_STN,0)),(AD640-INDEX(TZ_STD,MATCH(P640,TZ_STN,0))/24)&lt;INDEX(TZ_DSTE,MATCH(P640,TZ_STN,0))),INDEX(TZ_DST,MATCH(P640,TZ_STN,0)),INDEX(TZ_STD,MATCH(P640,TZ_STN,0))))/24,"")</f>
        <v/>
      </c>
      <c r="AH640" s="71">
        <f>IF(N640="N/A – rule","N/A – RULE",IF(TRIM(U640)="N/A",IF(AT640=0,"INVALID – N/A not permitted for this mandatory check",IF(AND(TRIM(AC640)&lt;&gt;"",TRIM(AE640)&lt;&gt;"",TRIM(T640)&lt;&gt;""),"N/A – JUSTIFIED","INVALID – N/A needs justification, PIC and verifier")),IF(OR(TRIM(U640)="Pass",TRIM(U640)="Pass after CA"),IF(NOT(ISNUMBER(AD640)),"INVALID – completion time missing",IF(TRIM(T640)="","INVALID – PIC missing",IF(TRIM(Z640)="","INVALID – evidence missing",IF(TRIM(AE640)="","INVALID – verifier missing",IF(AND(AQ640=1,TRIM(W640)=""),"INVALID – batch ID missing",IF(AND(AR640=1,OR(NOT(ISNUMBER(X640)),NOT(ISNUMBER(Y640)))),"INVALID – expected/actual qty missing",IF(IF(AND(TRIM(U640)="Pass",ISNUMBER(AF640)),IF(AF640&lt;&gt;0,"INVALID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recorded/closed","")&lt;&gt;"",IF(AND(TRIM(U640)="Pass",ISNUMBER(AF640)),IF(AF640&lt;&gt;0,"INVALID – qty variance: use Fail or Pass after CA",""),"")&amp;IF(AND(TRIM(U640)="Pass",AB640="Open"),"INVALID – corrective action still open: use Fail, then Pass after CA","")&amp;IF(AND(TRIM(U640)="Pass after CA",OR(TRIM(AA640)="",AB640&lt;&gt;"Closed")),"INVALID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window"),IF(AG640&gt;Flights!$AA$23,"INVALID – completed after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f>
        <v/>
      </c>
      <c r="AI640" s="67">
        <f>IF(OR(AH640="N/A – RULE",AH640="N/A – JUSTIFIED"),0,1)</f>
        <v/>
      </c>
      <c r="AJ640" s="67">
        <f>IF(LEFT(AH640,8)="COMPLETE",1,0)</f>
        <v/>
      </c>
      <c r="AK640" s="67">
        <f>IF(AND(AI640=1,AJ640=0,AsOfUTC&gt;Q640),1,0)</f>
        <v/>
      </c>
      <c r="AL640" s="67">
        <f>IF(AND(AI640=1,OR(TRIM(U640)="Fail",AB640="Open",AND(ISNUMBER(AF640),AF640&lt;&gt;0,TRIM(U640)&lt;&gt;"Pass after CA"))),1,0)</f>
        <v/>
      </c>
      <c r="AM640" s="67">
        <f>IF(LEFT(AH640,7)="INVALID",1,0)</f>
        <v/>
      </c>
      <c r="AN640" s="67">
        <f>IF(AND(N640="Clarification required",AI640=1,AJ640=0),1,0)</f>
        <v/>
      </c>
      <c r="AO640" s="67">
        <f>IF(AK640=1,SUM(AK$5:AK640),"")</f>
        <v/>
      </c>
      <c r="AP640" s="67">
        <f>IF(AL640=1,SUM(AL$5:AL640),"")</f>
        <v/>
      </c>
      <c r="AQ640" s="67" t="n">
        <v>0</v>
      </c>
      <c r="AR640" s="67" t="n">
        <v>1</v>
      </c>
      <c r="AS640" s="67" t="n">
        <v>0</v>
      </c>
      <c r="AT640" s="67" t="n">
        <v>0</v>
      </c>
    </row>
    <row r="641" ht="40" customHeight="1">
      <c r="A641" s="63" t="inlineStr">
        <is>
          <t>F19-UPL-03</t>
        </is>
      </c>
      <c r="B641" s="63" t="inlineStr">
        <is>
          <t>F19</t>
        </is>
      </c>
      <c r="C641" s="63">
        <f>Flights!$F$23</f>
        <v/>
      </c>
      <c r="D641" s="64">
        <f>Flights!$D$23</f>
        <v/>
      </c>
      <c r="E641" s="63">
        <f>Flights!$G$23&amp;"-"&amp;Flights!$H$23</f>
        <v/>
      </c>
      <c r="F641" s="63">
        <f>Flights!$K$23</f>
        <v/>
      </c>
      <c r="G641" s="63" t="inlineStr">
        <is>
          <t>UPLIFT</t>
        </is>
      </c>
      <c r="H641" s="63" t="inlineStr">
        <is>
          <t>Physical uplift</t>
        </is>
      </c>
      <c r="I641" s="63" t="inlineStr">
        <is>
          <t>Seat Linen</t>
        </is>
      </c>
      <c r="J641" s="63" t="inlineStr">
        <is>
          <t>Seat pillow (EY) - on board</t>
        </is>
      </c>
      <c r="K641" s="73" t="inlineStr">
        <is>
          <t>Available 100% (ticked in reference)</t>
        </is>
      </c>
      <c r="L641" s="73" t="inlineStr">
        <is>
          <t>STD UPLIFT INFORMATION.xlsx &gt; SEAT LINEN!I15</t>
        </is>
      </c>
      <c r="M641" s="73" t="inlineStr">
        <is>
          <t>Not stated in reference</t>
        </is>
      </c>
      <c r="N641" s="73" t="inlineStr">
        <is>
          <t>Required</t>
        </is>
      </c>
      <c r="O641" s="73" t="inlineStr"/>
      <c r="P641" s="63" t="inlineStr">
        <is>
          <t>KIX</t>
        </is>
      </c>
      <c r="Q641" s="65">
        <f>Flights!$AF$23</f>
        <v/>
      </c>
      <c r="R641" s="65">
        <f>Q641+(IF(AND(INDEX(TZ_DSTS,MATCH(P641,TZ_STN,0))&lt;&gt;"",Q641&gt;=INDEX(TZ_DSTS,MATCH(P641,TZ_STN,0)),Q641&lt;INDEX(TZ_DSTE,MATCH(P641,TZ_STN,0))),INDEX(TZ_DST,MATCH(P641,TZ_STN,0)),INDEX(TZ_STD,MATCH(P641,TZ_STN,0))))/24</f>
        <v/>
      </c>
      <c r="S641" s="65">
        <f>Q641-UpliftWindowH/24</f>
        <v/>
      </c>
      <c r="T641" s="66" t="n"/>
      <c r="U641" s="66" t="n"/>
      <c r="V641" s="66" t="n"/>
      <c r="W641" s="67" t="n"/>
      <c r="X641" s="66" t="n"/>
      <c r="Y641" s="66" t="n"/>
      <c r="Z641" s="66" t="n"/>
      <c r="AA641" s="66" t="n"/>
      <c r="AB641" s="66" t="n"/>
      <c r="AC641" s="66" t="n"/>
      <c r="AD641" s="72" t="n"/>
      <c r="AE641" s="66" t="n"/>
      <c r="AF641" s="67">
        <f>IF(AND(ISNUMBER(X641),ISNUMBER(Y641)),Y641-X641,"")</f>
        <v/>
      </c>
      <c r="AG641" s="68">
        <f>IF(ISNUMBER(AD641),AD641-(IF(AND(INDEX(TZ_DSTS,MATCH(P641,TZ_STN,0))&lt;&gt;"",(AD641-INDEX(TZ_STD,MATCH(P641,TZ_STN,0))/24)&gt;=INDEX(TZ_DSTS,MATCH(P641,TZ_STN,0)),(AD641-INDEX(TZ_STD,MATCH(P641,TZ_STN,0))/24)&lt;INDEX(TZ_DSTE,MATCH(P641,TZ_STN,0))),INDEX(TZ_DST,MATCH(P641,TZ_STN,0)),INDEX(TZ_STD,MATCH(P641,TZ_STN,0))))/24,"")</f>
        <v/>
      </c>
      <c r="AH641" s="71">
        <f>IF(N641="N/A – rule","N/A – RULE",IF(TRIM(U641)="N/A",IF(AT641=0,"INVALID – N/A not permitted for this mandatory check",IF(AND(TRIM(AC641)&lt;&gt;"",TRIM(AE641)&lt;&gt;"",TRIM(T641)&lt;&gt;""),"N/A – JUSTIFIED","INVALID – N/A needs justification, PIC and verifier")),IF(OR(TRIM(U641)="Pass",TRIM(U641)="Pass after CA"),IF(NOT(ISNUMBER(AD641)),"INVALID – completion time missing",IF(TRIM(T641)="","INVALID – PIC missing",IF(TRIM(Z641)="","INVALID – evidence missing",IF(TRIM(AE641)="","INVALID – verifier missing",IF(AND(AQ641=1,TRIM(W641)=""),"INVALID – batch ID missing",IF(AND(AR641=1,OR(NOT(ISNUMBER(X641)),NOT(ISNUMBER(Y641)))),"INVALID – expected/actual qty missing",IF(IF(AND(TRIM(U641)="Pass",ISNUMBER(AF641)),IF(AF641&lt;&gt;0,"INVALID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recorded/closed","")&lt;&gt;"",IF(AND(TRIM(U641)="Pass",ISNUMBER(AF641)),IF(AF641&lt;&gt;0,"INVALID – qty variance: use Fail or Pass after CA",""),"")&amp;IF(AND(TRIM(U641)="Pass",AB641="Open"),"INVALID – corrective action still open: use Fail, then Pass after CA","")&amp;IF(AND(TRIM(U641)="Pass after CA",OR(TRIM(AA641)="",AB641&lt;&gt;"Closed")),"INVALID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window"),IF(AG641&gt;Flights!$AA$23,"INVALID – completed after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f>
        <v/>
      </c>
      <c r="AI641" s="67">
        <f>IF(OR(AH641="N/A – RULE",AH641="N/A – JUSTIFIED"),0,1)</f>
        <v/>
      </c>
      <c r="AJ641" s="67">
        <f>IF(LEFT(AH641,8)="COMPLETE",1,0)</f>
        <v/>
      </c>
      <c r="AK641" s="67">
        <f>IF(AND(AI641=1,AJ641=0,AsOfUTC&gt;Q641),1,0)</f>
        <v/>
      </c>
      <c r="AL641" s="67">
        <f>IF(AND(AI641=1,OR(TRIM(U641)="Fail",AB641="Open",AND(ISNUMBER(AF641),AF641&lt;&gt;0,TRIM(U641)&lt;&gt;"Pass after CA"))),1,0)</f>
        <v/>
      </c>
      <c r="AM641" s="67">
        <f>IF(LEFT(AH641,7)="INVALID",1,0)</f>
        <v/>
      </c>
      <c r="AN641" s="67">
        <f>IF(AND(N641="Clarification required",AI641=1,AJ641=0),1,0)</f>
        <v/>
      </c>
      <c r="AO641" s="67">
        <f>IF(AK641=1,SUM(AK$5:AK641),"")</f>
        <v/>
      </c>
      <c r="AP641" s="67">
        <f>IF(AL641=1,SUM(AL$5:AL641),"")</f>
        <v/>
      </c>
      <c r="AQ641" s="67" t="n">
        <v>0</v>
      </c>
      <c r="AR641" s="67" t="n">
        <v>0</v>
      </c>
      <c r="AS641" s="67" t="n">
        <v>0</v>
      </c>
      <c r="AT641" s="67" t="n">
        <v>1</v>
      </c>
    </row>
    <row r="642" ht="54" customHeight="1">
      <c r="A642" s="63" t="inlineStr">
        <is>
          <t>F19-UPL-04</t>
        </is>
      </c>
      <c r="B642" s="63" t="inlineStr">
        <is>
          <t>F19</t>
        </is>
      </c>
      <c r="C642" s="63">
        <f>Flights!$F$23</f>
        <v/>
      </c>
      <c r="D642" s="64">
        <f>Flights!$D$23</f>
        <v/>
      </c>
      <c r="E642" s="63">
        <f>Flights!$G$23&amp;"-"&amp;Flights!$H$23</f>
        <v/>
      </c>
      <c r="F642" s="63">
        <f>Flights!$K$23</f>
        <v/>
      </c>
      <c r="G642" s="63" t="inlineStr">
        <is>
          <t>UPLIFT</t>
        </is>
      </c>
      <c r="H642" s="63" t="inlineStr">
        <is>
          <t>Physical uplift</t>
        </is>
      </c>
      <c r="I642" s="63" t="inlineStr">
        <is>
          <t>Seat Linen</t>
        </is>
      </c>
      <c r="J642" s="63" t="inlineStr">
        <is>
          <t>Blanket (EY) - on board</t>
        </is>
      </c>
      <c r="K642" s="73" t="inlineStr">
        <is>
          <t>Available 100% (ticked in reference); qty 280</t>
        </is>
      </c>
      <c r="L642" s="73" t="inlineStr">
        <is>
          <t>STD UPLIFT INFORMATION.xlsx &gt; SEAT LINEN!J15</t>
        </is>
      </c>
      <c r="M642" s="73" t="inlineStr">
        <is>
          <t>Not stated in reference</t>
        </is>
      </c>
      <c r="N642" s="73" t="inlineStr">
        <is>
          <t>Required</t>
        </is>
      </c>
      <c r="O642" s="73" t="inlineStr">
        <is>
          <t>EY blanket: flight above 3 hours excl. Regional (SEAT LINEN!B74:C74); block 8.08 h. Qty 280 pcs (14 bundles) for A332/A333/A339 (SEAT LINEN!B75:C75).</t>
        </is>
      </c>
      <c r="P642" s="63" t="inlineStr">
        <is>
          <t>KIX</t>
        </is>
      </c>
      <c r="Q642" s="65">
        <f>Flights!$AF$23</f>
        <v/>
      </c>
      <c r="R642" s="65">
        <f>Q642+(IF(AND(INDEX(TZ_DSTS,MATCH(P642,TZ_STN,0))&lt;&gt;"",Q642&gt;=INDEX(TZ_DSTS,MATCH(P642,TZ_STN,0)),Q642&lt;INDEX(TZ_DSTE,MATCH(P642,TZ_STN,0))),INDEX(TZ_DST,MATCH(P642,TZ_STN,0)),INDEX(TZ_STD,MATCH(P642,TZ_STN,0))))/24</f>
        <v/>
      </c>
      <c r="S642" s="65">
        <f>Q642-UpliftWindowH/24</f>
        <v/>
      </c>
      <c r="T642" s="66" t="n"/>
      <c r="U642" s="66" t="n"/>
      <c r="V642" s="66" t="n"/>
      <c r="W642" s="67" t="n"/>
      <c r="X642" s="74" t="n">
        <v>280</v>
      </c>
      <c r="Y642" s="66" t="n"/>
      <c r="Z642" s="66" t="n"/>
      <c r="AA642" s="66" t="n"/>
      <c r="AB642" s="66" t="n"/>
      <c r="AC642" s="66" t="n"/>
      <c r="AD642" s="72" t="n"/>
      <c r="AE642" s="66" t="n"/>
      <c r="AF642" s="67">
        <f>IF(AND(ISNUMBER(X642),ISNUMBER(Y642)),Y642-X642,"")</f>
        <v/>
      </c>
      <c r="AG642" s="68">
        <f>IF(ISNUMBER(AD642),AD642-(IF(AND(INDEX(TZ_DSTS,MATCH(P642,TZ_STN,0))&lt;&gt;"",(AD642-INDEX(TZ_STD,MATCH(P642,TZ_STN,0))/24)&gt;=INDEX(TZ_DSTS,MATCH(P642,TZ_STN,0)),(AD642-INDEX(TZ_STD,MATCH(P642,TZ_STN,0))/24)&lt;INDEX(TZ_DSTE,MATCH(P642,TZ_STN,0))),INDEX(TZ_DST,MATCH(P642,TZ_STN,0)),INDEX(TZ_STD,MATCH(P642,TZ_STN,0))))/24,"")</f>
        <v/>
      </c>
      <c r="AH642" s="71">
        <f>IF(N642="N/A – rule","N/A – RULE",IF(TRIM(U642)="N/A",IF(AT642=0,"INVALID – N/A not permitted for this mandatory check",IF(AND(TRIM(AC642)&lt;&gt;"",TRIM(AE642)&lt;&gt;"",TRIM(T642)&lt;&gt;""),"N/A – JUSTIFIED","INVALID – N/A needs justification, PIC and verifier")),IF(OR(TRIM(U642)="Pass",TRIM(U642)="Pass after CA"),IF(NOT(ISNUMBER(AD642)),"INVALID – completion time missing",IF(TRIM(T642)="","INVALID – PIC missing",IF(TRIM(Z642)="","INVALID – evidence missing",IF(TRIM(AE642)="","INVALID – verifier missing",IF(AND(AQ642=1,TRIM(W642)=""),"INVALID – batch ID missing",IF(AND(AR642=1,OR(NOT(ISNUMBER(X642)),NOT(ISNUMBER(Y642)))),"INVALID – expected/actual qty missing",IF(IF(AND(TRIM(U642)="Pass",ISNUMBER(AF642)),IF(AF642&lt;&gt;0,"INVALID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recorded/closed","")&lt;&gt;"",IF(AND(TRIM(U642)="Pass",ISNUMBER(AF642)),IF(AF642&lt;&gt;0,"INVALID – qty variance: use Fail or Pass after CA",""),"")&amp;IF(AND(TRIM(U642)="Pass",AB642="Open"),"INVALID – corrective action still open: use Fail, then Pass after CA","")&amp;IF(AND(TRIM(U642)="Pass after CA",OR(TRIM(AA642)="",AB642&lt;&gt;"Closed")),"INVALID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window"),IF(AG642&gt;Flights!$AA$23,"INVALID – completed after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f>
        <v/>
      </c>
      <c r="AI642" s="67">
        <f>IF(OR(AH642="N/A – RULE",AH642="N/A – JUSTIFIED"),0,1)</f>
        <v/>
      </c>
      <c r="AJ642" s="67">
        <f>IF(LEFT(AH642,8)="COMPLETE",1,0)</f>
        <v/>
      </c>
      <c r="AK642" s="67">
        <f>IF(AND(AI642=1,AJ642=0,AsOfUTC&gt;Q642),1,0)</f>
        <v/>
      </c>
      <c r="AL642" s="67">
        <f>IF(AND(AI642=1,OR(TRIM(U642)="Fail",AB642="Open",AND(ISNUMBER(AF642),AF642&lt;&gt;0,TRIM(U642)&lt;&gt;"Pass after CA"))),1,0)</f>
        <v/>
      </c>
      <c r="AM642" s="67">
        <f>IF(LEFT(AH642,7)="INVALID",1,0)</f>
        <v/>
      </c>
      <c r="AN642" s="67">
        <f>IF(AND(N642="Clarification required",AI642=1,AJ642=0),1,0)</f>
        <v/>
      </c>
      <c r="AO642" s="67">
        <f>IF(AK642=1,SUM(AK$5:AK642),"")</f>
        <v/>
      </c>
      <c r="AP642" s="67">
        <f>IF(AL642=1,SUM(AL$5:AL642),"")</f>
        <v/>
      </c>
      <c r="AQ642" s="67" t="n">
        <v>0</v>
      </c>
      <c r="AR642" s="67" t="n">
        <v>1</v>
      </c>
      <c r="AS642" s="67" t="n">
        <v>0</v>
      </c>
      <c r="AT642" s="67" t="n">
        <v>1</v>
      </c>
    </row>
    <row r="643" ht="66.5" customHeight="1">
      <c r="A643" s="63" t="inlineStr">
        <is>
          <t>F19-UPL-05</t>
        </is>
      </c>
      <c r="B643" s="63" t="inlineStr">
        <is>
          <t>F19</t>
        </is>
      </c>
      <c r="C643" s="63">
        <f>Flights!$F$23</f>
        <v/>
      </c>
      <c r="D643" s="64">
        <f>Flights!$D$23</f>
        <v/>
      </c>
      <c r="E643" s="63">
        <f>Flights!$G$23&amp;"-"&amp;Flights!$H$23</f>
        <v/>
      </c>
      <c r="F643" s="63">
        <f>Flights!$K$23</f>
        <v/>
      </c>
      <c r="G643" s="63" t="inlineStr">
        <is>
          <t>UPLIFT</t>
        </is>
      </c>
      <c r="H643" s="63" t="inlineStr">
        <is>
          <t>Physical uplift</t>
        </is>
      </c>
      <c r="I643" s="63" t="inlineStr">
        <is>
          <t>Sales Cart</t>
        </is>
      </c>
      <c r="J643" s="63" t="inlineStr">
        <is>
          <t>Sales cart (caterer PASB) - on board</t>
        </is>
      </c>
      <c r="K643" s="73" t="inlineStr">
        <is>
          <t>Location 643 &amp; 947 (A333, full cart)</t>
        </is>
      </c>
      <c r="L643" s="73" t="inlineStr">
        <is>
          <t>STD UPLIFT INFORMATION.xlsx &gt; SALES CART!I8:I37 / C12 / C40</t>
        </is>
      </c>
      <c r="M643" s="73" t="inlineStr">
        <is>
          <t>Not stated in reference</t>
        </is>
      </c>
      <c r="N643" s="73" t="inlineStr">
        <is>
          <t>Clarification required</t>
        </is>
      </c>
      <c r="O643" s="73" t="inlineStr">
        <is>
          <t>Block 8.08 h &gt;= 4 h. Reference names caterer PASB (KUL) for the KUL/KIX/KUL sector but no uplift station: confirm whether the KIX-KUL sales cart is loaded at KUL (round trip) or at KIX.</t>
        </is>
      </c>
      <c r="P643" s="63" t="inlineStr">
        <is>
          <t>KIX</t>
        </is>
      </c>
      <c r="Q643" s="65">
        <f>Flights!$AF$23</f>
        <v/>
      </c>
      <c r="R643" s="65">
        <f>Q643+(IF(AND(INDEX(TZ_DSTS,MATCH(P643,TZ_STN,0))&lt;&gt;"",Q643&gt;=INDEX(TZ_DSTS,MATCH(P643,TZ_STN,0)),Q643&lt;INDEX(TZ_DSTE,MATCH(P643,TZ_STN,0))),INDEX(TZ_DST,MATCH(P643,TZ_STN,0)),INDEX(TZ_STD,MATCH(P643,TZ_STN,0))))/24</f>
        <v/>
      </c>
      <c r="S643" s="65">
        <f>Q643-UpliftWindowH/24</f>
        <v/>
      </c>
      <c r="T643" s="66" t="n"/>
      <c r="U643" s="66" t="n"/>
      <c r="V643" s="66" t="n"/>
      <c r="W643" s="67" t="n"/>
      <c r="X643" s="66" t="n"/>
      <c r="Y643" s="66" t="n"/>
      <c r="Z643" s="66" t="n"/>
      <c r="AA643" s="66" t="n"/>
      <c r="AB643" s="66" t="n"/>
      <c r="AC643" s="66" t="n"/>
      <c r="AD643" s="72" t="n"/>
      <c r="AE643" s="66" t="n"/>
      <c r="AF643" s="67">
        <f>IF(AND(ISNUMBER(X643),ISNUMBER(Y643)),Y643-X643,"")</f>
        <v/>
      </c>
      <c r="AG643" s="68">
        <f>IF(ISNUMBER(AD643),AD643-(IF(AND(INDEX(TZ_DSTS,MATCH(P643,TZ_STN,0))&lt;&gt;"",(AD643-INDEX(TZ_STD,MATCH(P643,TZ_STN,0))/24)&gt;=INDEX(TZ_DSTS,MATCH(P643,TZ_STN,0)),(AD643-INDEX(TZ_STD,MATCH(P643,TZ_STN,0))/24)&lt;INDEX(TZ_DSTE,MATCH(P643,TZ_STN,0))),INDEX(TZ_DST,MATCH(P643,TZ_STN,0)),INDEX(TZ_STD,MATCH(P643,TZ_STN,0))))/24,"")</f>
        <v/>
      </c>
      <c r="AH643" s="71">
        <f>IF(N643="N/A – rule","N/A – RULE",IF(TRIM(U643)="N/A",IF(AT643=0,"INVALID – N/A not permitted for this mandatory check",IF(AND(TRIM(AC643)&lt;&gt;"",TRIM(AE643)&lt;&gt;"",TRIM(T643)&lt;&gt;""),"N/A – JUSTIFIED","INVALID – N/A needs justification, PIC and verifier")),IF(OR(TRIM(U643)="Pass",TRIM(U643)="Pass after CA"),IF(NOT(ISNUMBER(AD643)),"INVALID – completion time missing",IF(TRIM(T643)="","INVALID – PIC missing",IF(TRIM(Z643)="","INVALID – evidence missing",IF(TRIM(AE643)="","INVALID – verifier missing",IF(AND(AQ643=1,TRIM(W643)=""),"INVALID – batch ID missing",IF(AND(AR643=1,OR(NOT(ISNUMBER(X643)),NOT(ISNUMBER(Y643)))),"INVALID – expected/actual qty missing",IF(IF(AND(TRIM(U643)="Pass",ISNUMBER(AF643)),IF(AF643&lt;&gt;0,"INVALID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recorded/closed","")&lt;&gt;"",IF(AND(TRIM(U643)="Pass",ISNUMBER(AF643)),IF(AF643&lt;&gt;0,"INVALID – qty variance: use Fail or Pass after CA",""),"")&amp;IF(AND(TRIM(U643)="Pass",AB643="Open"),"INVALID – corrective action still open: use Fail, then Pass after CA","")&amp;IF(AND(TRIM(U643)="Pass after CA",OR(TRIM(AA643)="",AB643&lt;&gt;"Closed")),"INVALID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window"),IF(AG643&gt;Flights!$AA$23,"INVALID – completed after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f>
        <v/>
      </c>
      <c r="AI643" s="67">
        <f>IF(OR(AH643="N/A – RULE",AH643="N/A – JUSTIFIED"),0,1)</f>
        <v/>
      </c>
      <c r="AJ643" s="67">
        <f>IF(LEFT(AH643,8)="COMPLETE",1,0)</f>
        <v/>
      </c>
      <c r="AK643" s="67">
        <f>IF(AND(AI643=1,AJ643=0,AsOfUTC&gt;Q643),1,0)</f>
        <v/>
      </c>
      <c r="AL643" s="67">
        <f>IF(AND(AI643=1,OR(TRIM(U643)="Fail",AB643="Open",AND(ISNUMBER(AF643),AF643&lt;&gt;0,TRIM(U643)&lt;&gt;"Pass after CA"))),1,0)</f>
        <v/>
      </c>
      <c r="AM643" s="67">
        <f>IF(LEFT(AH643,7)="INVALID",1,0)</f>
        <v/>
      </c>
      <c r="AN643" s="67">
        <f>IF(AND(N643="Clarification required",AI643=1,AJ643=0),1,0)</f>
        <v/>
      </c>
      <c r="AO643" s="67">
        <f>IF(AK643=1,SUM(AK$5:AK643),"")</f>
        <v/>
      </c>
      <c r="AP643" s="67">
        <f>IF(AL643=1,SUM(AL$5:AL643),"")</f>
        <v/>
      </c>
      <c r="AQ643" s="67" t="n">
        <v>0</v>
      </c>
      <c r="AR643" s="67" t="n">
        <v>0</v>
      </c>
      <c r="AS643" s="67" t="n">
        <v>0</v>
      </c>
      <c r="AT643" s="67" t="n">
        <v>1</v>
      </c>
    </row>
    <row r="644" ht="40" customHeight="1">
      <c r="A644" s="63" t="inlineStr">
        <is>
          <t>F20-T7-01</t>
        </is>
      </c>
      <c r="B644" s="63" t="inlineStr">
        <is>
          <t>F20</t>
        </is>
      </c>
      <c r="C644" s="63">
        <f>Flights!$F$24</f>
        <v/>
      </c>
      <c r="D644" s="64">
        <f>Flights!$D$24</f>
        <v/>
      </c>
      <c r="E644" s="63">
        <f>Flights!$G$24&amp;"-"&amp;Flights!$H$24</f>
        <v/>
      </c>
      <c r="F644" s="63">
        <f>Flights!$K$24</f>
        <v/>
      </c>
      <c r="G644" s="63" t="inlineStr">
        <is>
          <t>T-7D</t>
        </is>
      </c>
      <c r="H644" s="63" t="inlineStr">
        <is>
          <t>Preparation</t>
        </is>
      </c>
      <c r="I644" s="63" t="inlineStr">
        <is>
          <t>Meal</t>
        </is>
      </c>
      <c r="J644" s="63" t="inlineStr">
        <is>
          <t>Meal sensory testing completed for this flight's menu cycle (assessed class)</t>
        </is>
      </c>
      <c r="K644" s="73" t="inlineStr">
        <is>
          <t>Record panel result / score in Result</t>
        </is>
      </c>
      <c r="L644" s="73" t="inlineStr">
        <is>
          <t>User brief (T-7 days)</t>
        </is>
      </c>
      <c r="M644" s="73" t="inlineStr"/>
      <c r="N644" s="73" t="inlineStr">
        <is>
          <t>Required</t>
        </is>
      </c>
      <c r="O644" s="73" t="inlineStr">
        <is>
          <t>Refreshment service: sensory test covers the refreshment items.</t>
        </is>
      </c>
      <c r="P644" s="63" t="inlineStr">
        <is>
          <t>KUL</t>
        </is>
      </c>
      <c r="Q644" s="65">
        <f>Flights!$AC$24</f>
        <v/>
      </c>
      <c r="R644" s="65">
        <f>Q644+(IF(AND(INDEX(TZ_DSTS,MATCH(P644,TZ_STN,0))&lt;&gt;"",Q644&gt;=INDEX(TZ_DSTS,MATCH(P644,TZ_STN,0)),Q644&lt;INDEX(TZ_DSTE,MATCH(P644,TZ_STN,0))),INDEX(TZ_DST,MATCH(P644,TZ_STN,0)),INDEX(TZ_STD,MATCH(P644,TZ_STN,0))))/24</f>
        <v/>
      </c>
      <c r="S644" s="65" t="inlineStr"/>
      <c r="T644" s="66" t="n"/>
      <c r="U644" s="66" t="n"/>
      <c r="V644" s="66" t="n"/>
      <c r="W644" s="67" t="n"/>
      <c r="X644" s="66" t="n"/>
      <c r="Y644" s="66" t="n"/>
      <c r="Z644" s="66" t="n"/>
      <c r="AA644" s="66" t="n"/>
      <c r="AB644" s="66" t="n"/>
      <c r="AC644" s="66" t="n"/>
      <c r="AD644" s="72" t="n"/>
      <c r="AE644" s="66" t="n"/>
      <c r="AF644" s="67">
        <f>IF(AND(ISNUMBER(X644),ISNUMBER(Y644)),Y644-X644,"")</f>
        <v/>
      </c>
      <c r="AG644" s="68">
        <f>IF(ISNUMBER(AD644),AD644-(IF(AND(INDEX(TZ_DSTS,MATCH(P644,TZ_STN,0))&lt;&gt;"",(AD644-INDEX(TZ_STD,MATCH(P644,TZ_STN,0))/24)&gt;=INDEX(TZ_DSTS,MATCH(P644,TZ_STN,0)),(AD644-INDEX(TZ_STD,MATCH(P644,TZ_STN,0))/24)&lt;INDEX(TZ_DSTE,MATCH(P644,TZ_STN,0))),INDEX(TZ_DST,MATCH(P644,TZ_STN,0)),INDEX(TZ_STD,MATCH(P644,TZ_STN,0))))/24,"")</f>
        <v/>
      </c>
      <c r="AH644" s="71">
        <f>IF(N644="N/A – rule","N/A – RULE",IF(TRIM(U644)="N/A",IF(AT644=0,"INVALID – N/A not permitted for this mandatory check",IF(AND(TRIM(AC644)&lt;&gt;"",TRIM(AE644)&lt;&gt;"",TRIM(T644)&lt;&gt;""),"N/A – JUSTIFIED","INVALID – N/A needs justification, PIC and verifier")),IF(OR(TRIM(U644)="Pass",TRIM(U644)="Pass after CA"),IF(NOT(ISNUMBER(AD644)),"INVALID – completion time missing",IF(TRIM(T644)="","INVALID – PIC missing",IF(TRIM(Z644)="","INVALID – evidence missing",IF(TRIM(AE644)="","INVALID – verifier missing",IF(AND(AQ644=1,TRIM(W644)=""),"INVALID – batch ID missing",IF(AND(AR644=1,OR(NOT(ISNUMBER(X644)),NOT(ISNUMBER(Y644)))),"INVALID – expected/actual qty missing",IF(IF(AND(TRIM(U644)="Pass",ISNUMBER(AF644)),IF(AF644&lt;&gt;0,"INVALID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recorded/closed","")&lt;&gt;"",IF(AND(TRIM(U644)="Pass",ISNUMBER(AF644)),IF(AF644&lt;&gt;0,"INVALID – qty variance: use Fail or Pass after CA",""),"")&amp;IF(AND(TRIM(U644)="Pass",AB644="Open"),"INVALID – corrective action still open: use Fail, then Pass after CA","")&amp;IF(AND(TRIM(U644)="Pass after CA",OR(TRIM(AA644)="",AB644&lt;&gt;"Closed")),"INVALID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window"),IF(AG644&gt;Flights!$AA$24,"INVALID – completed after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f>
        <v/>
      </c>
      <c r="AI644" s="67">
        <f>IF(OR(AH644="N/A – RULE",AH644="N/A – JUSTIFIED"),0,1)</f>
        <v/>
      </c>
      <c r="AJ644" s="67">
        <f>IF(LEFT(AH644,8)="COMPLETE",1,0)</f>
        <v/>
      </c>
      <c r="AK644" s="67">
        <f>IF(AND(AI644=1,AJ644=0,AsOfUTC&gt;Q644),1,0)</f>
        <v/>
      </c>
      <c r="AL644" s="67">
        <f>IF(AND(AI644=1,OR(TRIM(U644)="Fail",AB644="Open",AND(ISNUMBER(AF644),AF644&lt;&gt;0,TRIM(U644)&lt;&gt;"Pass after CA"))),1,0)</f>
        <v/>
      </c>
      <c r="AM644" s="67">
        <f>IF(LEFT(AH644,7)="INVALID",1,0)</f>
        <v/>
      </c>
      <c r="AN644" s="67">
        <f>IF(AND(N644="Clarification required",AI644=1,AJ644=0),1,0)</f>
        <v/>
      </c>
      <c r="AO644" s="67">
        <f>IF(AK644=1,SUM(AK$5:AK644),"")</f>
        <v/>
      </c>
      <c r="AP644" s="67">
        <f>IF(AL644=1,SUM(AL$5:AL644),"")</f>
        <v/>
      </c>
      <c r="AQ644" s="67" t="n">
        <v>0</v>
      </c>
      <c r="AR644" s="67" t="n">
        <v>0</v>
      </c>
      <c r="AS644" s="67" t="n">
        <v>0</v>
      </c>
      <c r="AT644" s="67" t="n">
        <v>0</v>
      </c>
    </row>
    <row r="645" ht="41.5" customHeight="1">
      <c r="A645" s="63" t="inlineStr">
        <is>
          <t>F20-T7-02</t>
        </is>
      </c>
      <c r="B645" s="63" t="inlineStr">
        <is>
          <t>F20</t>
        </is>
      </c>
      <c r="C645" s="63">
        <f>Flights!$F$24</f>
        <v/>
      </c>
      <c r="D645" s="64">
        <f>Flights!$D$24</f>
        <v/>
      </c>
      <c r="E645" s="63">
        <f>Flights!$G$24&amp;"-"&amp;Flights!$H$24</f>
        <v/>
      </c>
      <c r="F645" s="63">
        <f>Flights!$K$24</f>
        <v/>
      </c>
      <c r="G645" s="63" t="inlineStr">
        <is>
          <t>T-7D</t>
        </is>
      </c>
      <c r="H645" s="63" t="inlineStr">
        <is>
          <t>Preparation</t>
        </is>
      </c>
      <c r="I645" s="63" t="inlineStr">
        <is>
          <t>Menu</t>
        </is>
      </c>
      <c r="J645" s="63" t="inlineStr">
        <is>
          <t>Printed menu cards confirmed (content, cycle, language, quantity)</t>
        </is>
      </c>
      <c r="K645" s="73" t="inlineStr">
        <is>
          <t>Menu card matches approved menu for this flight</t>
        </is>
      </c>
      <c r="L645" s="73" t="inlineStr">
        <is>
          <t>User brief (T-7 days)</t>
        </is>
      </c>
      <c r="M645" s="73" t="inlineStr"/>
      <c r="N645" s="73" t="inlineStr">
        <is>
          <t>Required</t>
        </is>
      </c>
      <c r="O645" s="73" t="inlineStr">
        <is>
          <t>Refreshment service (peanut &amp; water). If no printed menu card is used, mark N/A with the confirmation as justification.</t>
        </is>
      </c>
      <c r="P645" s="63" t="inlineStr">
        <is>
          <t>KUL</t>
        </is>
      </c>
      <c r="Q645" s="65">
        <f>Flights!$AC$24</f>
        <v/>
      </c>
      <c r="R645" s="65">
        <f>Q645+(IF(AND(INDEX(TZ_DSTS,MATCH(P645,TZ_STN,0))&lt;&gt;"",Q645&gt;=INDEX(TZ_DSTS,MATCH(P645,TZ_STN,0)),Q645&lt;INDEX(TZ_DSTE,MATCH(P645,TZ_STN,0))),INDEX(TZ_DST,MATCH(P645,TZ_STN,0)),INDEX(TZ_STD,MATCH(P645,TZ_STN,0))))/24</f>
        <v/>
      </c>
      <c r="S645" s="65" t="inlineStr"/>
      <c r="T645" s="66" t="n"/>
      <c r="U645" s="66" t="n"/>
      <c r="V645" s="66" t="n"/>
      <c r="W645" s="67" t="n"/>
      <c r="X645" s="66" t="n"/>
      <c r="Y645" s="66" t="n"/>
      <c r="Z645" s="66" t="n"/>
      <c r="AA645" s="66" t="n"/>
      <c r="AB645" s="66" t="n"/>
      <c r="AC645" s="66" t="n"/>
      <c r="AD645" s="72" t="n"/>
      <c r="AE645" s="66" t="n"/>
      <c r="AF645" s="67">
        <f>IF(AND(ISNUMBER(X645),ISNUMBER(Y645)),Y645-X645,"")</f>
        <v/>
      </c>
      <c r="AG645" s="68">
        <f>IF(ISNUMBER(AD645),AD645-(IF(AND(INDEX(TZ_DSTS,MATCH(P645,TZ_STN,0))&lt;&gt;"",(AD645-INDEX(TZ_STD,MATCH(P645,TZ_STN,0))/24)&gt;=INDEX(TZ_DSTS,MATCH(P645,TZ_STN,0)),(AD645-INDEX(TZ_STD,MATCH(P645,TZ_STN,0))/24)&lt;INDEX(TZ_DSTE,MATCH(P645,TZ_STN,0))),INDEX(TZ_DST,MATCH(P645,TZ_STN,0)),INDEX(TZ_STD,MATCH(P645,TZ_STN,0))))/24,"")</f>
        <v/>
      </c>
      <c r="AH645" s="71">
        <f>IF(N645="N/A – rule","N/A – RULE",IF(TRIM(U645)="N/A",IF(AT645=0,"INVALID – N/A not permitted for this mandatory check",IF(AND(TRIM(AC645)&lt;&gt;"",TRIM(AE645)&lt;&gt;"",TRIM(T645)&lt;&gt;""),"N/A – JUSTIFIED","INVALID – N/A needs justification, PIC and verifier")),IF(OR(TRIM(U645)="Pass",TRIM(U645)="Pass after CA"),IF(NOT(ISNUMBER(AD645)),"INVALID – completion time missing",IF(TRIM(T645)="","INVALID – PIC missing",IF(TRIM(Z645)="","INVALID – evidence missing",IF(TRIM(AE645)="","INVALID – verifier missing",IF(AND(AQ645=1,TRIM(W645)=""),"INVALID – batch ID missing",IF(AND(AR645=1,OR(NOT(ISNUMBER(X645)),NOT(ISNUMBER(Y645)))),"INVALID – expected/actual qty missing",IF(IF(AND(TRIM(U645)="Pass",ISNUMBER(AF645)),IF(AF645&lt;&gt;0,"INVALID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recorded/closed","")&lt;&gt;"",IF(AND(TRIM(U645)="Pass",ISNUMBER(AF645)),IF(AF645&lt;&gt;0,"INVALID – qty variance: use Fail or Pass after CA",""),"")&amp;IF(AND(TRIM(U645)="Pass",AB645="Open"),"INVALID – corrective action still open: use Fail, then Pass after CA","")&amp;IF(AND(TRIM(U645)="Pass after CA",OR(TRIM(AA645)="",AB645&lt;&gt;"Closed")),"INVALID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window"),IF(AG645&gt;Flights!$AA$24,"INVALID – completed after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f>
        <v/>
      </c>
      <c r="AI645" s="67">
        <f>IF(OR(AH645="N/A – RULE",AH645="N/A – JUSTIFIED"),0,1)</f>
        <v/>
      </c>
      <c r="AJ645" s="67">
        <f>IF(LEFT(AH645,8)="COMPLETE",1,0)</f>
        <v/>
      </c>
      <c r="AK645" s="67">
        <f>IF(AND(AI645=1,AJ645=0,AsOfUTC&gt;Q645),1,0)</f>
        <v/>
      </c>
      <c r="AL645" s="67">
        <f>IF(AND(AI645=1,OR(TRIM(U645)="Fail",AB645="Open",AND(ISNUMBER(AF645),AF645&lt;&gt;0,TRIM(U645)&lt;&gt;"Pass after CA"))),1,0)</f>
        <v/>
      </c>
      <c r="AM645" s="67">
        <f>IF(LEFT(AH645,7)="INVALID",1,0)</f>
        <v/>
      </c>
      <c r="AN645" s="67">
        <f>IF(AND(N645="Clarification required",AI645=1,AJ645=0),1,0)</f>
        <v/>
      </c>
      <c r="AO645" s="67">
        <f>IF(AK645=1,SUM(AK$5:AK645),"")</f>
        <v/>
      </c>
      <c r="AP645" s="67">
        <f>IF(AL645=1,SUM(AL$5:AL645),"")</f>
        <v/>
      </c>
      <c r="AQ645" s="67" t="n">
        <v>0</v>
      </c>
      <c r="AR645" s="67" t="n">
        <v>0</v>
      </c>
      <c r="AS645" s="67" t="n">
        <v>0</v>
      </c>
      <c r="AT645" s="67" t="n">
        <v>1</v>
      </c>
    </row>
    <row r="646" ht="41.5" customHeight="1">
      <c r="A646" s="63" t="inlineStr">
        <is>
          <t>F20-T7-03</t>
        </is>
      </c>
      <c r="B646" s="63" t="inlineStr">
        <is>
          <t>F20</t>
        </is>
      </c>
      <c r="C646" s="63">
        <f>Flights!$F$24</f>
        <v/>
      </c>
      <c r="D646" s="64">
        <f>Flights!$D$24</f>
        <v/>
      </c>
      <c r="E646" s="63">
        <f>Flights!$G$24&amp;"-"&amp;Flights!$H$24</f>
        <v/>
      </c>
      <c r="F646" s="63">
        <f>Flights!$K$24</f>
        <v/>
      </c>
      <c r="G646" s="63" t="inlineStr">
        <is>
          <t>T-7D</t>
        </is>
      </c>
      <c r="H646" s="63" t="inlineStr">
        <is>
          <t>Preparation</t>
        </is>
      </c>
      <c r="I646" s="63" t="inlineStr">
        <is>
          <t>IFE</t>
        </is>
      </c>
      <c r="J646" s="63" t="inlineStr">
        <is>
          <t>Digital menu in IFE confirmed (A339 only)</t>
        </is>
      </c>
      <c r="K646" s="73" t="inlineStr">
        <is>
          <t>Applies when fleet = A339</t>
        </is>
      </c>
      <c r="L646" s="73" t="inlineStr">
        <is>
          <t>User brief (T-7 days)</t>
        </is>
      </c>
      <c r="M646" s="73" t="inlineStr"/>
      <c r="N646" s="73">
        <f>IF(TRIM(Flights!$L$24)="A339","Required","N/A – rule")</f>
        <v/>
      </c>
      <c r="O646" s="73" t="inlineStr">
        <is>
          <t>Digital IFE menu applies to A339 only (user brief). Applicability follows the Fleet cell on Flights.</t>
        </is>
      </c>
      <c r="P646" s="63" t="inlineStr">
        <is>
          <t>KUL</t>
        </is>
      </c>
      <c r="Q646" s="65">
        <f>Flights!$AC$24</f>
        <v/>
      </c>
      <c r="R646" s="65">
        <f>Q646+(IF(AND(INDEX(TZ_DSTS,MATCH(P646,TZ_STN,0))&lt;&gt;"",Q646&gt;=INDEX(TZ_DSTS,MATCH(P646,TZ_STN,0)),Q646&lt;INDEX(TZ_DSTE,MATCH(P646,TZ_STN,0))),INDEX(TZ_DST,MATCH(P646,TZ_STN,0)),INDEX(TZ_STD,MATCH(P646,TZ_STN,0))))/24</f>
        <v/>
      </c>
      <c r="S646" s="65" t="inlineStr"/>
      <c r="T646" s="66" t="n"/>
      <c r="U646" s="66" t="n"/>
      <c r="V646" s="66" t="n"/>
      <c r="W646" s="67" t="n"/>
      <c r="X646" s="66" t="n"/>
      <c r="Y646" s="66" t="n"/>
      <c r="Z646" s="66" t="n"/>
      <c r="AA646" s="66" t="n"/>
      <c r="AB646" s="66" t="n"/>
      <c r="AC646" s="66" t="n"/>
      <c r="AD646" s="72" t="n"/>
      <c r="AE646" s="66" t="n"/>
      <c r="AF646" s="67">
        <f>IF(AND(ISNUMBER(X646),ISNUMBER(Y646)),Y646-X646,"")</f>
        <v/>
      </c>
      <c r="AG646" s="68">
        <f>IF(ISNUMBER(AD646),AD646-(IF(AND(INDEX(TZ_DSTS,MATCH(P646,TZ_STN,0))&lt;&gt;"",(AD646-INDEX(TZ_STD,MATCH(P646,TZ_STN,0))/24)&gt;=INDEX(TZ_DSTS,MATCH(P646,TZ_STN,0)),(AD646-INDEX(TZ_STD,MATCH(P646,TZ_STN,0))/24)&lt;INDEX(TZ_DSTE,MATCH(P646,TZ_STN,0))),INDEX(TZ_DST,MATCH(P646,TZ_STN,0)),INDEX(TZ_STD,MATCH(P646,TZ_STN,0))))/24,"")</f>
        <v/>
      </c>
      <c r="AH646" s="71">
        <f>IF(N646="N/A – rule","N/A – RULE",IF(TRIM(U646)="N/A",IF(AT646=0,"INVALID – N/A not permitted for this mandatory check",IF(AND(TRIM(AC646)&lt;&gt;"",TRIM(AE646)&lt;&gt;"",TRIM(T646)&lt;&gt;""),"N/A – JUSTIFIED","INVALID – N/A needs justification, PIC and verifier")),IF(OR(TRIM(U646)="Pass",TRIM(U646)="Pass after CA"),IF(NOT(ISNUMBER(AD646)),"INVALID – completion time missing",IF(TRIM(T646)="","INVALID – PIC missing",IF(TRIM(Z646)="","INVALID – evidence missing",IF(TRIM(AE646)="","INVALID – verifier missing",IF(AND(AQ646=1,TRIM(W646)=""),"INVALID – batch ID missing",IF(AND(AR646=1,OR(NOT(ISNUMBER(X646)),NOT(ISNUMBER(Y646)))),"INVALID – expected/actual qty missing",IF(IF(AND(TRIM(U646)="Pass",ISNUMBER(AF646)),IF(AF646&lt;&gt;0,"INVALID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recorded/closed","")&lt;&gt;"",IF(AND(TRIM(U646)="Pass",ISNUMBER(AF646)),IF(AF646&lt;&gt;0,"INVALID – qty variance: use Fail or Pass after CA",""),"")&amp;IF(AND(TRIM(U646)="Pass",AB646="Open"),"INVALID – corrective action still open: use Fail, then Pass after CA","")&amp;IF(AND(TRIM(U646)="Pass after CA",OR(TRIM(AA646)="",AB646&lt;&gt;"Closed")),"INVALID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window"),IF(AG646&gt;Flights!$AA$24,"INVALID – completed after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f>
        <v/>
      </c>
      <c r="AI646" s="67">
        <f>IF(OR(AH646="N/A – RULE",AH646="N/A – JUSTIFIED"),0,1)</f>
        <v/>
      </c>
      <c r="AJ646" s="67">
        <f>IF(LEFT(AH646,8)="COMPLETE",1,0)</f>
        <v/>
      </c>
      <c r="AK646" s="67">
        <f>IF(AND(AI646=1,AJ646=0,AsOfUTC&gt;Q646),1,0)</f>
        <v/>
      </c>
      <c r="AL646" s="67">
        <f>IF(AND(AI646=1,OR(TRIM(U646)="Fail",AB646="Open",AND(ISNUMBER(AF646),AF646&lt;&gt;0,TRIM(U646)&lt;&gt;"Pass after CA"))),1,0)</f>
        <v/>
      </c>
      <c r="AM646" s="67">
        <f>IF(LEFT(AH646,7)="INVALID",1,0)</f>
        <v/>
      </c>
      <c r="AN646" s="67">
        <f>IF(AND(N646="Clarification required",AI646=1,AJ646=0),1,0)</f>
        <v/>
      </c>
      <c r="AO646" s="67">
        <f>IF(AK646=1,SUM(AK$5:AK646),"")</f>
        <v/>
      </c>
      <c r="AP646" s="67">
        <f>IF(AL646=1,SUM(AL$5:AL646),"")</f>
        <v/>
      </c>
      <c r="AQ646" s="67" t="n">
        <v>0</v>
      </c>
      <c r="AR646" s="67" t="n">
        <v>0</v>
      </c>
      <c r="AS646" s="67" t="n">
        <v>0</v>
      </c>
      <c r="AT646" s="67" t="n">
        <v>0</v>
      </c>
    </row>
    <row r="647" ht="40" customHeight="1">
      <c r="A647" s="63" t="inlineStr">
        <is>
          <t>F20-T7-04</t>
        </is>
      </c>
      <c r="B647" s="63" t="inlineStr">
        <is>
          <t>F20</t>
        </is>
      </c>
      <c r="C647" s="63">
        <f>Flights!$F$24</f>
        <v/>
      </c>
      <c r="D647" s="64">
        <f>Flights!$D$24</f>
        <v/>
      </c>
      <c r="E647" s="63">
        <f>Flights!$G$24&amp;"-"&amp;Flights!$H$24</f>
        <v/>
      </c>
      <c r="F647" s="63">
        <f>Flights!$K$24</f>
        <v/>
      </c>
      <c r="G647" s="63" t="inlineStr">
        <is>
          <t>T-7D</t>
        </is>
      </c>
      <c r="H647" s="63" t="inlineStr">
        <is>
          <t>Preparation</t>
        </is>
      </c>
      <c r="I647" s="63" t="inlineStr">
        <is>
          <t>Staffing</t>
        </is>
      </c>
      <c r="J647" s="63" t="inlineStr">
        <is>
          <t>Experienced catering officer assigned to this flight</t>
        </is>
      </c>
      <c r="K647" s="73" t="inlineStr">
        <is>
          <t>Record officer name in Result</t>
        </is>
      </c>
      <c r="L647" s="73" t="inlineStr">
        <is>
          <t>User brief (T-7 days)</t>
        </is>
      </c>
      <c r="M647" s="73" t="inlineStr"/>
      <c r="N647" s="73" t="inlineStr">
        <is>
          <t>Required</t>
        </is>
      </c>
      <c r="O647" s="73" t="inlineStr"/>
      <c r="P647" s="63" t="inlineStr">
        <is>
          <t>KUL</t>
        </is>
      </c>
      <c r="Q647" s="65">
        <f>Flights!$AC$24</f>
        <v/>
      </c>
      <c r="R647" s="65">
        <f>Q647+(IF(AND(INDEX(TZ_DSTS,MATCH(P647,TZ_STN,0))&lt;&gt;"",Q647&gt;=INDEX(TZ_DSTS,MATCH(P647,TZ_STN,0)),Q647&lt;INDEX(TZ_DSTE,MATCH(P647,TZ_STN,0))),INDEX(TZ_DST,MATCH(P647,TZ_STN,0)),INDEX(TZ_STD,MATCH(P647,TZ_STN,0))))/24</f>
        <v/>
      </c>
      <c r="S647" s="65" t="inlineStr"/>
      <c r="T647" s="66" t="n"/>
      <c r="U647" s="66" t="n"/>
      <c r="V647" s="66" t="n"/>
      <c r="W647" s="67" t="n"/>
      <c r="X647" s="66" t="n"/>
      <c r="Y647" s="66" t="n"/>
      <c r="Z647" s="66" t="n"/>
      <c r="AA647" s="66" t="n"/>
      <c r="AB647" s="66" t="n"/>
      <c r="AC647" s="66" t="n"/>
      <c r="AD647" s="72" t="n"/>
      <c r="AE647" s="66" t="n"/>
      <c r="AF647" s="67">
        <f>IF(AND(ISNUMBER(X647),ISNUMBER(Y647)),Y647-X647,"")</f>
        <v/>
      </c>
      <c r="AG647" s="68">
        <f>IF(ISNUMBER(AD647),AD647-(IF(AND(INDEX(TZ_DSTS,MATCH(P647,TZ_STN,0))&lt;&gt;"",(AD647-INDEX(TZ_STD,MATCH(P647,TZ_STN,0))/24)&gt;=INDEX(TZ_DSTS,MATCH(P647,TZ_STN,0)),(AD647-INDEX(TZ_STD,MATCH(P647,TZ_STN,0))/24)&lt;INDEX(TZ_DSTE,MATCH(P647,TZ_STN,0))),INDEX(TZ_DST,MATCH(P647,TZ_STN,0)),INDEX(TZ_STD,MATCH(P647,TZ_STN,0))))/24,"")</f>
        <v/>
      </c>
      <c r="AH647" s="71">
        <f>IF(N647="N/A – rule","N/A – RULE",IF(TRIM(U647)="N/A",IF(AT647=0,"INVALID – N/A not permitted for this mandatory check",IF(AND(TRIM(AC647)&lt;&gt;"",TRIM(AE647)&lt;&gt;"",TRIM(T647)&lt;&gt;""),"N/A – JUSTIFIED","INVALID – N/A needs justification, PIC and verifier")),IF(OR(TRIM(U647)="Pass",TRIM(U647)="Pass after CA"),IF(NOT(ISNUMBER(AD647)),"INVALID – completion time missing",IF(TRIM(T647)="","INVALID – PIC missing",IF(TRIM(Z647)="","INVALID – evidence missing",IF(TRIM(AE647)="","INVALID – verifier missing",IF(AND(AQ647=1,TRIM(W647)=""),"INVALID – batch ID missing",IF(AND(AR647=1,OR(NOT(ISNUMBER(X647)),NOT(ISNUMBER(Y647)))),"INVALID – expected/actual qty missing",IF(IF(AND(TRIM(U647)="Pass",ISNUMBER(AF647)),IF(AF647&lt;&gt;0,"INVALID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recorded/closed","")&lt;&gt;"",IF(AND(TRIM(U647)="Pass",ISNUMBER(AF647)),IF(AF647&lt;&gt;0,"INVALID – qty variance: use Fail or Pass after CA",""),"")&amp;IF(AND(TRIM(U647)="Pass",AB647="Open"),"INVALID – corrective action still open: use Fail, then Pass after CA","")&amp;IF(AND(TRIM(U647)="Pass after CA",OR(TRIM(AA647)="",AB647&lt;&gt;"Closed")),"INVALID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window"),IF(AG647&gt;Flights!$AA$24,"INVALID – completed after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f>
        <v/>
      </c>
      <c r="AI647" s="67">
        <f>IF(OR(AH647="N/A – RULE",AH647="N/A – JUSTIFIED"),0,1)</f>
        <v/>
      </c>
      <c r="AJ647" s="67">
        <f>IF(LEFT(AH647,8)="COMPLETE",1,0)</f>
        <v/>
      </c>
      <c r="AK647" s="67">
        <f>IF(AND(AI647=1,AJ647=0,AsOfUTC&gt;Q647),1,0)</f>
        <v/>
      </c>
      <c r="AL647" s="67">
        <f>IF(AND(AI647=1,OR(TRIM(U647)="Fail",AB647="Open",AND(ISNUMBER(AF647),AF647&lt;&gt;0,TRIM(U647)&lt;&gt;"Pass after CA"))),1,0)</f>
        <v/>
      </c>
      <c r="AM647" s="67">
        <f>IF(LEFT(AH647,7)="INVALID",1,0)</f>
        <v/>
      </c>
      <c r="AN647" s="67">
        <f>IF(AND(N647="Clarification required",AI647=1,AJ647=0),1,0)</f>
        <v/>
      </c>
      <c r="AO647" s="67">
        <f>IF(AK647=1,SUM(AK$5:AK647),"")</f>
        <v/>
      </c>
      <c r="AP647" s="67">
        <f>IF(AL647=1,SUM(AL$5:AL647),"")</f>
        <v/>
      </c>
      <c r="AQ647" s="67" t="n">
        <v>0</v>
      </c>
      <c r="AR647" s="67" t="n">
        <v>0</v>
      </c>
      <c r="AS647" s="67" t="n">
        <v>0</v>
      </c>
      <c r="AT647" s="67" t="n">
        <v>0</v>
      </c>
    </row>
    <row r="648" ht="40" customHeight="1">
      <c r="A648" s="63" t="inlineStr">
        <is>
          <t>F20-T7-05</t>
        </is>
      </c>
      <c r="B648" s="63" t="inlineStr">
        <is>
          <t>F20</t>
        </is>
      </c>
      <c r="C648" s="63">
        <f>Flights!$F$24</f>
        <v/>
      </c>
      <c r="D648" s="64">
        <f>Flights!$D$24</f>
        <v/>
      </c>
      <c r="E648" s="63">
        <f>Flights!$G$24&amp;"-"&amp;Flights!$H$24</f>
        <v/>
      </c>
      <c r="F648" s="63">
        <f>Flights!$K$24</f>
        <v/>
      </c>
      <c r="G648" s="63" t="inlineStr">
        <is>
          <t>T-7D</t>
        </is>
      </c>
      <c r="H648" s="63" t="inlineStr">
        <is>
          <t>Preparation</t>
        </is>
      </c>
      <c r="I648" s="63" t="inlineStr">
        <is>
          <t>ISOP</t>
        </is>
      </c>
      <c r="J648" s="63" t="inlineStr">
        <is>
          <t>All latest applicable ISOP revisions communicated to caterer</t>
        </is>
      </c>
      <c r="K648" s="73" t="inlineStr">
        <is>
          <t>List revision numbers in Result (see ISOP register)</t>
        </is>
      </c>
      <c r="L648" s="73" t="inlineStr">
        <is>
          <t>User brief (T-7 days)</t>
        </is>
      </c>
      <c r="M648" s="73" t="inlineStr"/>
      <c r="N648" s="73" t="inlineStr">
        <is>
          <t>Required</t>
        </is>
      </c>
      <c r="O648" s="73" t="inlineStr"/>
      <c r="P648" s="63" t="inlineStr">
        <is>
          <t>KUL</t>
        </is>
      </c>
      <c r="Q648" s="65">
        <f>Flights!$AC$24</f>
        <v/>
      </c>
      <c r="R648" s="65">
        <f>Q648+(IF(AND(INDEX(TZ_DSTS,MATCH(P648,TZ_STN,0))&lt;&gt;"",Q648&gt;=INDEX(TZ_DSTS,MATCH(P648,TZ_STN,0)),Q648&lt;INDEX(TZ_DSTE,MATCH(P648,TZ_STN,0))),INDEX(TZ_DST,MATCH(P648,TZ_STN,0)),INDEX(TZ_STD,MATCH(P648,TZ_STN,0))))/24</f>
        <v/>
      </c>
      <c r="S648" s="65" t="inlineStr"/>
      <c r="T648" s="66" t="n"/>
      <c r="U648" s="66" t="n"/>
      <c r="V648" s="66" t="n"/>
      <c r="W648" s="67" t="n"/>
      <c r="X648" s="66" t="n"/>
      <c r="Y648" s="66" t="n"/>
      <c r="Z648" s="66" t="n"/>
      <c r="AA648" s="66" t="n"/>
      <c r="AB648" s="66" t="n"/>
      <c r="AC648" s="66" t="n"/>
      <c r="AD648" s="72" t="n"/>
      <c r="AE648" s="66" t="n"/>
      <c r="AF648" s="67">
        <f>IF(AND(ISNUMBER(X648),ISNUMBER(Y648)),Y648-X648,"")</f>
        <v/>
      </c>
      <c r="AG648" s="68">
        <f>IF(ISNUMBER(AD648),AD648-(IF(AND(INDEX(TZ_DSTS,MATCH(P648,TZ_STN,0))&lt;&gt;"",(AD648-INDEX(TZ_STD,MATCH(P648,TZ_STN,0))/24)&gt;=INDEX(TZ_DSTS,MATCH(P648,TZ_STN,0)),(AD648-INDEX(TZ_STD,MATCH(P648,TZ_STN,0))/24)&lt;INDEX(TZ_DSTE,MATCH(P648,TZ_STN,0))),INDEX(TZ_DST,MATCH(P648,TZ_STN,0)),INDEX(TZ_STD,MATCH(P648,TZ_STN,0))))/24,"")</f>
        <v/>
      </c>
      <c r="AH648" s="71">
        <f>IF(N648="N/A – rule","N/A – RULE",IF(TRIM(U648)="N/A",IF(AT648=0,"INVALID – N/A not permitted for this mandatory check",IF(AND(TRIM(AC648)&lt;&gt;"",TRIM(AE648)&lt;&gt;"",TRIM(T648)&lt;&gt;""),"N/A – JUSTIFIED","INVALID – N/A needs justification, PIC and verifier")),IF(OR(TRIM(U648)="Pass",TRIM(U648)="Pass after CA"),IF(NOT(ISNUMBER(AD648)),"INVALID – completion time missing",IF(TRIM(T648)="","INVALID – PIC missing",IF(TRIM(Z648)="","INVALID – evidence missing",IF(TRIM(AE648)="","INVALID – verifier missing",IF(AND(AQ648=1,TRIM(W648)=""),"INVALID – batch ID missing",IF(AND(AR648=1,OR(NOT(ISNUMBER(X648)),NOT(ISNUMBER(Y648)))),"INVALID – expected/actual qty missing",IF(IF(AND(TRIM(U648)="Pass",ISNUMBER(AF648)),IF(AF648&lt;&gt;0,"INVALID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recorded/closed","")&lt;&gt;"",IF(AND(TRIM(U648)="Pass",ISNUMBER(AF648)),IF(AF648&lt;&gt;0,"INVALID – qty variance: use Fail or Pass after CA",""),"")&amp;IF(AND(TRIM(U648)="Pass",AB648="Open"),"INVALID – corrective action still open: use Fail, then Pass after CA","")&amp;IF(AND(TRIM(U648)="Pass after CA",OR(TRIM(AA648)="",AB648&lt;&gt;"Closed")),"INVALID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window"),IF(AG648&gt;Flights!$AA$24,"INVALID – completed after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f>
        <v/>
      </c>
      <c r="AI648" s="67">
        <f>IF(OR(AH648="N/A – RULE",AH648="N/A – JUSTIFIED"),0,1)</f>
        <v/>
      </c>
      <c r="AJ648" s="67">
        <f>IF(LEFT(AH648,8)="COMPLETE",1,0)</f>
        <v/>
      </c>
      <c r="AK648" s="67">
        <f>IF(AND(AI648=1,AJ648=0,AsOfUTC&gt;Q648),1,0)</f>
        <v/>
      </c>
      <c r="AL648" s="67">
        <f>IF(AND(AI648=1,OR(TRIM(U648)="Fail",AB648="Open",AND(ISNUMBER(AF648),AF648&lt;&gt;0,TRIM(U648)&lt;&gt;"Pass after CA"))),1,0)</f>
        <v/>
      </c>
      <c r="AM648" s="67">
        <f>IF(LEFT(AH648,7)="INVALID",1,0)</f>
        <v/>
      </c>
      <c r="AN648" s="67">
        <f>IF(AND(N648="Clarification required",AI648=1,AJ648=0),1,0)</f>
        <v/>
      </c>
      <c r="AO648" s="67">
        <f>IF(AK648=1,SUM(AK$5:AK648),"")</f>
        <v/>
      </c>
      <c r="AP648" s="67">
        <f>IF(AL648=1,SUM(AL$5:AL648),"")</f>
        <v/>
      </c>
      <c r="AQ648" s="67" t="n">
        <v>0</v>
      </c>
      <c r="AR648" s="67" t="n">
        <v>0</v>
      </c>
      <c r="AS648" s="67" t="n">
        <v>0</v>
      </c>
      <c r="AT648" s="67" t="n">
        <v>0</v>
      </c>
    </row>
    <row r="649" ht="40" customHeight="1">
      <c r="A649" s="63" t="inlineStr">
        <is>
          <t>F20-T7-06</t>
        </is>
      </c>
      <c r="B649" s="63" t="inlineStr">
        <is>
          <t>F20</t>
        </is>
      </c>
      <c r="C649" s="63">
        <f>Flights!$F$24</f>
        <v/>
      </c>
      <c r="D649" s="64">
        <f>Flights!$D$24</f>
        <v/>
      </c>
      <c r="E649" s="63">
        <f>Flights!$G$24&amp;"-"&amp;Flights!$H$24</f>
        <v/>
      </c>
      <c r="F649" s="63">
        <f>Flights!$K$24</f>
        <v/>
      </c>
      <c r="G649" s="63" t="inlineStr">
        <is>
          <t>T-7D</t>
        </is>
      </c>
      <c r="H649" s="63" t="inlineStr">
        <is>
          <t>Preparation</t>
        </is>
      </c>
      <c r="I649" s="63" t="inlineStr">
        <is>
          <t>ISOP</t>
        </is>
      </c>
      <c r="J649" s="63" t="inlineStr">
        <is>
          <t>Caterer acknowledgement of ISOP revisions recorded</t>
        </is>
      </c>
      <c r="K649" s="73" t="inlineStr">
        <is>
          <t>Record acknowledgement ref in Evidence</t>
        </is>
      </c>
      <c r="L649" s="73" t="inlineStr">
        <is>
          <t>User brief (T-7 days)</t>
        </is>
      </c>
      <c r="M649" s="73" t="inlineStr"/>
      <c r="N649" s="73" t="inlineStr">
        <is>
          <t>Required</t>
        </is>
      </c>
      <c r="O649" s="73" t="inlineStr"/>
      <c r="P649" s="63" t="inlineStr">
        <is>
          <t>KUL</t>
        </is>
      </c>
      <c r="Q649" s="65">
        <f>Flights!$AC$24</f>
        <v/>
      </c>
      <c r="R649" s="65">
        <f>Q649+(IF(AND(INDEX(TZ_DSTS,MATCH(P649,TZ_STN,0))&lt;&gt;"",Q649&gt;=INDEX(TZ_DSTS,MATCH(P649,TZ_STN,0)),Q649&lt;INDEX(TZ_DSTE,MATCH(P649,TZ_STN,0))),INDEX(TZ_DST,MATCH(P649,TZ_STN,0)),INDEX(TZ_STD,MATCH(P649,TZ_STN,0))))/24</f>
        <v/>
      </c>
      <c r="S649" s="65" t="inlineStr"/>
      <c r="T649" s="66" t="n"/>
      <c r="U649" s="66" t="n"/>
      <c r="V649" s="66" t="n"/>
      <c r="W649" s="67" t="n"/>
      <c r="X649" s="66" t="n"/>
      <c r="Y649" s="66" t="n"/>
      <c r="Z649" s="66" t="n"/>
      <c r="AA649" s="66" t="n"/>
      <c r="AB649" s="66" t="n"/>
      <c r="AC649" s="66" t="n"/>
      <c r="AD649" s="72" t="n"/>
      <c r="AE649" s="66" t="n"/>
      <c r="AF649" s="67">
        <f>IF(AND(ISNUMBER(X649),ISNUMBER(Y649)),Y649-X649,"")</f>
        <v/>
      </c>
      <c r="AG649" s="68">
        <f>IF(ISNUMBER(AD649),AD649-(IF(AND(INDEX(TZ_DSTS,MATCH(P649,TZ_STN,0))&lt;&gt;"",(AD649-INDEX(TZ_STD,MATCH(P649,TZ_STN,0))/24)&gt;=INDEX(TZ_DSTS,MATCH(P649,TZ_STN,0)),(AD649-INDEX(TZ_STD,MATCH(P649,TZ_STN,0))/24)&lt;INDEX(TZ_DSTE,MATCH(P649,TZ_STN,0))),INDEX(TZ_DST,MATCH(P649,TZ_STN,0)),INDEX(TZ_STD,MATCH(P649,TZ_STN,0))))/24,"")</f>
        <v/>
      </c>
      <c r="AH649" s="71">
        <f>IF(N649="N/A – rule","N/A – RULE",IF(TRIM(U649)="N/A",IF(AT649=0,"INVALID – N/A not permitted for this mandatory check",IF(AND(TRIM(AC649)&lt;&gt;"",TRIM(AE649)&lt;&gt;"",TRIM(T649)&lt;&gt;""),"N/A – JUSTIFIED","INVALID – N/A needs justification, PIC and verifier")),IF(OR(TRIM(U649)="Pass",TRIM(U649)="Pass after CA"),IF(NOT(ISNUMBER(AD649)),"INVALID – completion time missing",IF(TRIM(T649)="","INVALID – PIC missing",IF(TRIM(Z649)="","INVALID – evidence missing",IF(TRIM(AE649)="","INVALID – verifier missing",IF(AND(AQ649=1,TRIM(W649)=""),"INVALID – batch ID missing",IF(AND(AR649=1,OR(NOT(ISNUMBER(X649)),NOT(ISNUMBER(Y649)))),"INVALID – expected/actual qty missing",IF(IF(AND(TRIM(U649)="Pass",ISNUMBER(AF649)),IF(AF649&lt;&gt;0,"INVALID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recorded/closed","")&lt;&gt;"",IF(AND(TRIM(U649)="Pass",ISNUMBER(AF649)),IF(AF649&lt;&gt;0,"INVALID – qty variance: use Fail or Pass after CA",""),"")&amp;IF(AND(TRIM(U649)="Pass",AB649="Open"),"INVALID – corrective action still open: use Fail, then Pass after CA","")&amp;IF(AND(TRIM(U649)="Pass after CA",OR(TRIM(AA649)="",AB649&lt;&gt;"Closed")),"INVALID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window"),IF(AG649&gt;Flights!$AA$24,"INVALID – completed after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f>
        <v/>
      </c>
      <c r="AI649" s="67">
        <f>IF(OR(AH649="N/A – RULE",AH649="N/A – JUSTIFIED"),0,1)</f>
        <v/>
      </c>
      <c r="AJ649" s="67">
        <f>IF(LEFT(AH649,8)="COMPLETE",1,0)</f>
        <v/>
      </c>
      <c r="AK649" s="67">
        <f>IF(AND(AI649=1,AJ649=0,AsOfUTC&gt;Q649),1,0)</f>
        <v/>
      </c>
      <c r="AL649" s="67">
        <f>IF(AND(AI649=1,OR(TRIM(U649)="Fail",AB649="Open",AND(ISNUMBER(AF649),AF649&lt;&gt;0,TRIM(U649)&lt;&gt;"Pass after CA"))),1,0)</f>
        <v/>
      </c>
      <c r="AM649" s="67">
        <f>IF(LEFT(AH649,7)="INVALID",1,0)</f>
        <v/>
      </c>
      <c r="AN649" s="67">
        <f>IF(AND(N649="Clarification required",AI649=1,AJ649=0),1,0)</f>
        <v/>
      </c>
      <c r="AO649" s="67">
        <f>IF(AK649=1,SUM(AK$5:AK649),"")</f>
        <v/>
      </c>
      <c r="AP649" s="67">
        <f>IF(AL649=1,SUM(AL$5:AL649),"")</f>
        <v/>
      </c>
      <c r="AQ649" s="67" t="n">
        <v>0</v>
      </c>
      <c r="AR649" s="67" t="n">
        <v>0</v>
      </c>
      <c r="AS649" s="67" t="n">
        <v>0</v>
      </c>
      <c r="AT649" s="67" t="n">
        <v>0</v>
      </c>
    </row>
    <row r="650" ht="40" customHeight="1">
      <c r="A650" s="63" t="inlineStr">
        <is>
          <t>F20-T7-07</t>
        </is>
      </c>
      <c r="B650" s="63" t="inlineStr">
        <is>
          <t>F20</t>
        </is>
      </c>
      <c r="C650" s="63">
        <f>Flights!$F$24</f>
        <v/>
      </c>
      <c r="D650" s="64">
        <f>Flights!$D$24</f>
        <v/>
      </c>
      <c r="E650" s="63">
        <f>Flights!$G$24&amp;"-"&amp;Flights!$H$24</f>
        <v/>
      </c>
      <c r="F650" s="63">
        <f>Flights!$K$24</f>
        <v/>
      </c>
      <c r="G650" s="63" t="inlineStr">
        <is>
          <t>T-7D</t>
        </is>
      </c>
      <c r="H650" s="63" t="inlineStr">
        <is>
          <t>Preparation</t>
        </is>
      </c>
      <c r="I650" s="63" t="inlineStr">
        <is>
          <t>Documents</t>
        </is>
      </c>
      <c r="J650" s="63" t="inlineStr">
        <is>
          <t>Galley loading diagram (GLD) received, revision recorded &amp; attached</t>
        </is>
      </c>
      <c r="K650" s="73" t="inlineStr">
        <is>
          <t>Documents sheet row complete</t>
        </is>
      </c>
      <c r="L650" s="73" t="inlineStr">
        <is>
          <t>User brief (T-7 days)</t>
        </is>
      </c>
      <c r="M650" s="73" t="inlineStr"/>
      <c r="N650" s="73" t="inlineStr">
        <is>
          <t>Required</t>
        </is>
      </c>
      <c r="O650" s="73" t="inlineStr"/>
      <c r="P650" s="63" t="inlineStr">
        <is>
          <t>KUL</t>
        </is>
      </c>
      <c r="Q650" s="65">
        <f>Flights!$AC$24</f>
        <v/>
      </c>
      <c r="R650" s="65">
        <f>Q650+(IF(AND(INDEX(TZ_DSTS,MATCH(P650,TZ_STN,0))&lt;&gt;"",Q650&gt;=INDEX(TZ_DSTS,MATCH(P650,TZ_STN,0)),Q650&lt;INDEX(TZ_DSTE,MATCH(P650,TZ_STN,0))),INDEX(TZ_DST,MATCH(P650,TZ_STN,0)),INDEX(TZ_STD,MATCH(P650,TZ_STN,0))))/24</f>
        <v/>
      </c>
      <c r="S650" s="65" t="inlineStr"/>
      <c r="T650" s="66" t="n"/>
      <c r="U650" s="66" t="n"/>
      <c r="V650" s="66" t="n"/>
      <c r="W650" s="67" t="n"/>
      <c r="X650" s="66" t="n"/>
      <c r="Y650" s="66" t="n"/>
      <c r="Z650" s="66" t="n"/>
      <c r="AA650" s="66" t="n"/>
      <c r="AB650" s="66" t="n"/>
      <c r="AC650" s="66" t="n"/>
      <c r="AD650" s="72" t="n"/>
      <c r="AE650" s="66" t="n"/>
      <c r="AF650" s="67">
        <f>IF(AND(ISNUMBER(X650),ISNUMBER(Y650)),Y650-X650,"")</f>
        <v/>
      </c>
      <c r="AG650" s="68">
        <f>IF(ISNUMBER(AD650),AD650-(IF(AND(INDEX(TZ_DSTS,MATCH(P650,TZ_STN,0))&lt;&gt;"",(AD650-INDEX(TZ_STD,MATCH(P650,TZ_STN,0))/24)&gt;=INDEX(TZ_DSTS,MATCH(P650,TZ_STN,0)),(AD650-INDEX(TZ_STD,MATCH(P650,TZ_STN,0))/24)&lt;INDEX(TZ_DSTE,MATCH(P650,TZ_STN,0))),INDEX(TZ_DST,MATCH(P650,TZ_STN,0)),INDEX(TZ_STD,MATCH(P650,TZ_STN,0))))/24,"")</f>
        <v/>
      </c>
      <c r="AH650" s="71">
        <f>IF(N650="N/A – rule","N/A – RULE",IF(TRIM(U650)="N/A",IF(AT650=0,"INVALID – N/A not permitted for this mandatory check",IF(AND(TRIM(AC650)&lt;&gt;"",TRIM(AE650)&lt;&gt;"",TRIM(T650)&lt;&gt;""),"N/A – JUSTIFIED","INVALID – N/A needs justification, PIC and verifier")),IF(OR(TRIM(U650)="Pass",TRIM(U650)="Pass after CA"),IF(NOT(ISNUMBER(AD650)),"INVALID – completion time missing",IF(TRIM(T650)="","INVALID – PIC missing",IF(TRIM(Z650)="","INVALID – evidence missing",IF(TRIM(AE650)="","INVALID – verifier missing",IF(AND(AQ650=1,TRIM(W650)=""),"INVALID – batch ID missing",IF(AND(AR650=1,OR(NOT(ISNUMBER(X650)),NOT(ISNUMBER(Y650)))),"INVALID – expected/actual qty missing",IF(IF(AND(TRIM(U650)="Pass",ISNUMBER(AF650)),IF(AF650&lt;&gt;0,"INVALID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recorded/closed","")&lt;&gt;"",IF(AND(TRIM(U650)="Pass",ISNUMBER(AF650)),IF(AF650&lt;&gt;0,"INVALID – qty variance: use Fail or Pass after CA",""),"")&amp;IF(AND(TRIM(U650)="Pass",AB650="Open"),"INVALID – corrective action still open: use Fail, then Pass after CA","")&amp;IF(AND(TRIM(U650)="Pass after CA",OR(TRIM(AA650)="",AB650&lt;&gt;"Closed")),"INVALID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window"),IF(AG650&gt;Flights!$AA$24,"INVALID – completed after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f>
        <v/>
      </c>
      <c r="AI650" s="67">
        <f>IF(OR(AH650="N/A – RULE",AH650="N/A – JUSTIFIED"),0,1)</f>
        <v/>
      </c>
      <c r="AJ650" s="67">
        <f>IF(LEFT(AH650,8)="COMPLETE",1,0)</f>
        <v/>
      </c>
      <c r="AK650" s="67">
        <f>IF(AND(AI650=1,AJ650=0,AsOfUTC&gt;Q650),1,0)</f>
        <v/>
      </c>
      <c r="AL650" s="67">
        <f>IF(AND(AI650=1,OR(TRIM(U650)="Fail",AB650="Open",AND(ISNUMBER(AF650),AF650&lt;&gt;0,TRIM(U650)&lt;&gt;"Pass after CA"))),1,0)</f>
        <v/>
      </c>
      <c r="AM650" s="67">
        <f>IF(LEFT(AH650,7)="INVALID",1,0)</f>
        <v/>
      </c>
      <c r="AN650" s="67">
        <f>IF(AND(N650="Clarification required",AI650=1,AJ650=0),1,0)</f>
        <v/>
      </c>
      <c r="AO650" s="67">
        <f>IF(AK650=1,SUM(AK$5:AK650),"")</f>
        <v/>
      </c>
      <c r="AP650" s="67">
        <f>IF(AL650=1,SUM(AL$5:AL650),"")</f>
        <v/>
      </c>
      <c r="AQ650" s="67" t="n">
        <v>0</v>
      </c>
      <c r="AR650" s="67" t="n">
        <v>0</v>
      </c>
      <c r="AS650" s="67" t="n">
        <v>1</v>
      </c>
      <c r="AT650" s="67" t="n">
        <v>0</v>
      </c>
    </row>
    <row r="651" ht="40" customHeight="1">
      <c r="A651" s="63" t="inlineStr">
        <is>
          <t>F20-T7-08</t>
        </is>
      </c>
      <c r="B651" s="63" t="inlineStr">
        <is>
          <t>F20</t>
        </is>
      </c>
      <c r="C651" s="63">
        <f>Flights!$F$24</f>
        <v/>
      </c>
      <c r="D651" s="64">
        <f>Flights!$D$24</f>
        <v/>
      </c>
      <c r="E651" s="63">
        <f>Flights!$G$24&amp;"-"&amp;Flights!$H$24</f>
        <v/>
      </c>
      <c r="F651" s="63">
        <f>Flights!$K$24</f>
        <v/>
      </c>
      <c r="G651" s="63" t="inlineStr">
        <is>
          <t>T-7D</t>
        </is>
      </c>
      <c r="H651" s="63" t="inlineStr">
        <is>
          <t>Preparation</t>
        </is>
      </c>
      <c r="I651" s="63" t="inlineStr">
        <is>
          <t>Documents</t>
        </is>
      </c>
      <c r="J651" s="63" t="inlineStr">
        <is>
          <t>Menu checklist received, revision recorded &amp; attached</t>
        </is>
      </c>
      <c r="K651" s="73" t="inlineStr">
        <is>
          <t>Documents sheet row complete</t>
        </is>
      </c>
      <c r="L651" s="73" t="inlineStr">
        <is>
          <t>User brief (T-7 days)</t>
        </is>
      </c>
      <c r="M651" s="73" t="inlineStr"/>
      <c r="N651" s="73" t="inlineStr">
        <is>
          <t>Required</t>
        </is>
      </c>
      <c r="O651" s="73" t="inlineStr"/>
      <c r="P651" s="63" t="inlineStr">
        <is>
          <t>KUL</t>
        </is>
      </c>
      <c r="Q651" s="65">
        <f>Flights!$AC$24</f>
        <v/>
      </c>
      <c r="R651" s="65">
        <f>Q651+(IF(AND(INDEX(TZ_DSTS,MATCH(P651,TZ_STN,0))&lt;&gt;"",Q651&gt;=INDEX(TZ_DSTS,MATCH(P651,TZ_STN,0)),Q651&lt;INDEX(TZ_DSTE,MATCH(P651,TZ_STN,0))),INDEX(TZ_DST,MATCH(P651,TZ_STN,0)),INDEX(TZ_STD,MATCH(P651,TZ_STN,0))))/24</f>
        <v/>
      </c>
      <c r="S651" s="65" t="inlineStr"/>
      <c r="T651" s="66" t="n"/>
      <c r="U651" s="66" t="n"/>
      <c r="V651" s="66" t="n"/>
      <c r="W651" s="67" t="n"/>
      <c r="X651" s="66" t="n"/>
      <c r="Y651" s="66" t="n"/>
      <c r="Z651" s="66" t="n"/>
      <c r="AA651" s="66" t="n"/>
      <c r="AB651" s="66" t="n"/>
      <c r="AC651" s="66" t="n"/>
      <c r="AD651" s="72" t="n"/>
      <c r="AE651" s="66" t="n"/>
      <c r="AF651" s="67">
        <f>IF(AND(ISNUMBER(X651),ISNUMBER(Y651)),Y651-X651,"")</f>
        <v/>
      </c>
      <c r="AG651" s="68">
        <f>IF(ISNUMBER(AD651),AD651-(IF(AND(INDEX(TZ_DSTS,MATCH(P651,TZ_STN,0))&lt;&gt;"",(AD651-INDEX(TZ_STD,MATCH(P651,TZ_STN,0))/24)&gt;=INDEX(TZ_DSTS,MATCH(P651,TZ_STN,0)),(AD651-INDEX(TZ_STD,MATCH(P651,TZ_STN,0))/24)&lt;INDEX(TZ_DSTE,MATCH(P651,TZ_STN,0))),INDEX(TZ_DST,MATCH(P651,TZ_STN,0)),INDEX(TZ_STD,MATCH(P651,TZ_STN,0))))/24,"")</f>
        <v/>
      </c>
      <c r="AH651" s="71">
        <f>IF(N651="N/A – rule","N/A – RULE",IF(TRIM(U651)="N/A",IF(AT651=0,"INVALID – N/A not permitted for this mandatory check",IF(AND(TRIM(AC651)&lt;&gt;"",TRIM(AE651)&lt;&gt;"",TRIM(T651)&lt;&gt;""),"N/A – JUSTIFIED","INVALID – N/A needs justification, PIC and verifier")),IF(OR(TRIM(U651)="Pass",TRIM(U651)="Pass after CA"),IF(NOT(ISNUMBER(AD651)),"INVALID – completion time missing",IF(TRIM(T651)="","INVALID – PIC missing",IF(TRIM(Z651)="","INVALID – evidence missing",IF(TRIM(AE651)="","INVALID – verifier missing",IF(AND(AQ651=1,TRIM(W651)=""),"INVALID – batch ID missing",IF(AND(AR651=1,OR(NOT(ISNUMBER(X651)),NOT(ISNUMBER(Y651)))),"INVALID – expected/actual qty missing",IF(IF(AND(TRIM(U651)="Pass",ISNUMBER(AF651)),IF(AF651&lt;&gt;0,"INVALID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recorded/closed","")&lt;&gt;"",IF(AND(TRIM(U651)="Pass",ISNUMBER(AF651)),IF(AF651&lt;&gt;0,"INVALID – qty variance: use Fail or Pass after CA",""),"")&amp;IF(AND(TRIM(U651)="Pass",AB651="Open"),"INVALID – corrective action still open: use Fail, then Pass after CA","")&amp;IF(AND(TRIM(U651)="Pass after CA",OR(TRIM(AA651)="",AB651&lt;&gt;"Closed")),"INVALID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window"),IF(AG651&gt;Flights!$AA$24,"INVALID – completed after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f>
        <v/>
      </c>
      <c r="AI651" s="67">
        <f>IF(OR(AH651="N/A – RULE",AH651="N/A – JUSTIFIED"),0,1)</f>
        <v/>
      </c>
      <c r="AJ651" s="67">
        <f>IF(LEFT(AH651,8)="COMPLETE",1,0)</f>
        <v/>
      </c>
      <c r="AK651" s="67">
        <f>IF(AND(AI651=1,AJ651=0,AsOfUTC&gt;Q651),1,0)</f>
        <v/>
      </c>
      <c r="AL651" s="67">
        <f>IF(AND(AI651=1,OR(TRIM(U651)="Fail",AB651="Open",AND(ISNUMBER(AF651),AF651&lt;&gt;0,TRIM(U651)&lt;&gt;"Pass after CA"))),1,0)</f>
        <v/>
      </c>
      <c r="AM651" s="67">
        <f>IF(LEFT(AH651,7)="INVALID",1,0)</f>
        <v/>
      </c>
      <c r="AN651" s="67">
        <f>IF(AND(N651="Clarification required",AI651=1,AJ651=0),1,0)</f>
        <v/>
      </c>
      <c r="AO651" s="67">
        <f>IF(AK651=1,SUM(AK$5:AK651),"")</f>
        <v/>
      </c>
      <c r="AP651" s="67">
        <f>IF(AL651=1,SUM(AL$5:AL651),"")</f>
        <v/>
      </c>
      <c r="AQ651" s="67" t="n">
        <v>0</v>
      </c>
      <c r="AR651" s="67" t="n">
        <v>0</v>
      </c>
      <c r="AS651" s="67" t="n">
        <v>2</v>
      </c>
      <c r="AT651" s="67" t="n">
        <v>0</v>
      </c>
    </row>
    <row r="652" ht="40" customHeight="1">
      <c r="A652" s="63" t="inlineStr">
        <is>
          <t>F20-T7-09</t>
        </is>
      </c>
      <c r="B652" s="63" t="inlineStr">
        <is>
          <t>F20</t>
        </is>
      </c>
      <c r="C652" s="63">
        <f>Flights!$F$24</f>
        <v/>
      </c>
      <c r="D652" s="64">
        <f>Flights!$D$24</f>
        <v/>
      </c>
      <c r="E652" s="63">
        <f>Flights!$G$24&amp;"-"&amp;Flights!$H$24</f>
        <v/>
      </c>
      <c r="F652" s="63">
        <f>Flights!$K$24</f>
        <v/>
      </c>
      <c r="G652" s="63" t="inlineStr">
        <is>
          <t>T-7D</t>
        </is>
      </c>
      <c r="H652" s="63" t="inlineStr">
        <is>
          <t>Preparation</t>
        </is>
      </c>
      <c r="I652" s="63" t="inlineStr">
        <is>
          <t>Uplift plan</t>
        </is>
      </c>
      <c r="J652" s="63" t="inlineStr">
        <is>
          <t>Uplift plan confirmed with caterer vs STD Uplift Information</t>
        </is>
      </c>
      <c r="K652" s="73" t="inlineStr">
        <is>
          <t>Service: Refreshment (Peanut &amp; Water); meal uplift stn KUL (ref lists KUL)</t>
        </is>
      </c>
      <c r="L652" s="73" t="inlineStr">
        <is>
          <t>STD UPLIFT INFORMATION.xlsx &gt; CATERING UPLIFT STN!C70:G70</t>
        </is>
      </c>
      <c r="M652" s="73" t="inlineStr"/>
      <c r="N652" s="73" t="inlineStr">
        <is>
          <t>Required</t>
        </is>
      </c>
      <c r="O652" s="73" t="inlineStr"/>
      <c r="P652" s="63" t="inlineStr">
        <is>
          <t>KUL</t>
        </is>
      </c>
      <c r="Q652" s="65">
        <f>Flights!$AC$24</f>
        <v/>
      </c>
      <c r="R652" s="65">
        <f>Q652+(IF(AND(INDEX(TZ_DSTS,MATCH(P652,TZ_STN,0))&lt;&gt;"",Q652&gt;=INDEX(TZ_DSTS,MATCH(P652,TZ_STN,0)),Q652&lt;INDEX(TZ_DSTE,MATCH(P652,TZ_STN,0))),INDEX(TZ_DST,MATCH(P652,TZ_STN,0)),INDEX(TZ_STD,MATCH(P652,TZ_STN,0))))/24</f>
        <v/>
      </c>
      <c r="S652" s="65" t="inlineStr"/>
      <c r="T652" s="66" t="n"/>
      <c r="U652" s="66" t="n"/>
      <c r="V652" s="66" t="n"/>
      <c r="W652" s="67" t="n"/>
      <c r="X652" s="66" t="n"/>
      <c r="Y652" s="66" t="n"/>
      <c r="Z652" s="66" t="n"/>
      <c r="AA652" s="66" t="n"/>
      <c r="AB652" s="66" t="n"/>
      <c r="AC652" s="66" t="n"/>
      <c r="AD652" s="72" t="n"/>
      <c r="AE652" s="66" t="n"/>
      <c r="AF652" s="67">
        <f>IF(AND(ISNUMBER(X652),ISNUMBER(Y652)),Y652-X652,"")</f>
        <v/>
      </c>
      <c r="AG652" s="68">
        <f>IF(ISNUMBER(AD652),AD652-(IF(AND(INDEX(TZ_DSTS,MATCH(P652,TZ_STN,0))&lt;&gt;"",(AD652-INDEX(TZ_STD,MATCH(P652,TZ_STN,0))/24)&gt;=INDEX(TZ_DSTS,MATCH(P652,TZ_STN,0)),(AD652-INDEX(TZ_STD,MATCH(P652,TZ_STN,0))/24)&lt;INDEX(TZ_DSTE,MATCH(P652,TZ_STN,0))),INDEX(TZ_DST,MATCH(P652,TZ_STN,0)),INDEX(TZ_STD,MATCH(P652,TZ_STN,0))))/24,"")</f>
        <v/>
      </c>
      <c r="AH652" s="71">
        <f>IF(N652="N/A – rule","N/A – RULE",IF(TRIM(U652)="N/A",IF(AT652=0,"INVALID – N/A not permitted for this mandatory check",IF(AND(TRIM(AC652)&lt;&gt;"",TRIM(AE652)&lt;&gt;"",TRIM(T652)&lt;&gt;""),"N/A – JUSTIFIED","INVALID – N/A needs justification, PIC and verifier")),IF(OR(TRIM(U652)="Pass",TRIM(U652)="Pass after CA"),IF(NOT(ISNUMBER(AD652)),"INVALID – completion time missing",IF(TRIM(T652)="","INVALID – PIC missing",IF(TRIM(Z652)="","INVALID – evidence missing",IF(TRIM(AE652)="","INVALID – verifier missing",IF(AND(AQ652=1,TRIM(W652)=""),"INVALID – batch ID missing",IF(AND(AR652=1,OR(NOT(ISNUMBER(X652)),NOT(ISNUMBER(Y652)))),"INVALID – expected/actual qty missing",IF(IF(AND(TRIM(U652)="Pass",ISNUMBER(AF652)),IF(AF652&lt;&gt;0,"INVALID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recorded/closed","")&lt;&gt;"",IF(AND(TRIM(U652)="Pass",ISNUMBER(AF652)),IF(AF652&lt;&gt;0,"INVALID – qty variance: use Fail or Pass after CA",""),"")&amp;IF(AND(TRIM(U652)="Pass",AB652="Open"),"INVALID – corrective action still open: use Fail, then Pass after CA","")&amp;IF(AND(TRIM(U652)="Pass after CA",OR(TRIM(AA652)="",AB652&lt;&gt;"Closed")),"INVALID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window"),IF(AG652&gt;Flights!$AA$24,"INVALID – completed after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f>
        <v/>
      </c>
      <c r="AI652" s="67">
        <f>IF(OR(AH652="N/A – RULE",AH652="N/A – JUSTIFIED"),0,1)</f>
        <v/>
      </c>
      <c r="AJ652" s="67">
        <f>IF(LEFT(AH652,8)="COMPLETE",1,0)</f>
        <v/>
      </c>
      <c r="AK652" s="67">
        <f>IF(AND(AI652=1,AJ652=0,AsOfUTC&gt;Q652),1,0)</f>
        <v/>
      </c>
      <c r="AL652" s="67">
        <f>IF(AND(AI652=1,OR(TRIM(U652)="Fail",AB652="Open",AND(ISNUMBER(AF652),AF652&lt;&gt;0,TRIM(U652)&lt;&gt;"Pass after CA"))),1,0)</f>
        <v/>
      </c>
      <c r="AM652" s="67">
        <f>IF(LEFT(AH652,7)="INVALID",1,0)</f>
        <v/>
      </c>
      <c r="AN652" s="67">
        <f>IF(AND(N652="Clarification required",AI652=1,AJ652=0),1,0)</f>
        <v/>
      </c>
      <c r="AO652" s="67">
        <f>IF(AK652=1,SUM(AK$5:AK652),"")</f>
        <v/>
      </c>
      <c r="AP652" s="67">
        <f>IF(AL652=1,SUM(AL$5:AL652),"")</f>
        <v/>
      </c>
      <c r="AQ652" s="67" t="n">
        <v>0</v>
      </c>
      <c r="AR652" s="67" t="n">
        <v>0</v>
      </c>
      <c r="AS652" s="67" t="n">
        <v>0</v>
      </c>
      <c r="AT652" s="67" t="n">
        <v>0</v>
      </c>
    </row>
    <row r="653" ht="40" customHeight="1">
      <c r="A653" s="63" t="inlineStr">
        <is>
          <t>F20-T24-01</t>
        </is>
      </c>
      <c r="B653" s="63" t="inlineStr">
        <is>
          <t>F20</t>
        </is>
      </c>
      <c r="C653" s="63">
        <f>Flights!$F$24</f>
        <v/>
      </c>
      <c r="D653" s="64">
        <f>Flights!$D$24</f>
        <v/>
      </c>
      <c r="E653" s="63">
        <f>Flights!$G$24&amp;"-"&amp;Flights!$H$24</f>
        <v/>
      </c>
      <c r="F653" s="63">
        <f>Flights!$K$24</f>
        <v/>
      </c>
      <c r="G653" s="63" t="inlineStr">
        <is>
          <t>T-24H</t>
        </is>
      </c>
      <c r="H653" s="63" t="inlineStr">
        <is>
          <t>Preparation</t>
        </is>
      </c>
      <c r="I653" s="63" t="inlineStr">
        <is>
          <t>Meal</t>
        </is>
      </c>
      <c r="J653" s="63" t="inlineStr">
        <is>
          <t>Sensory test repeated on ACTUAL production batch for this flight</t>
        </is>
      </c>
      <c r="K653" s="73" t="inlineStr">
        <is>
          <t>Batch ID, result, CA and acceptance mandatory</t>
        </is>
      </c>
      <c r="L653" s="73" t="inlineStr">
        <is>
          <t>User brief (T-24 hours)</t>
        </is>
      </c>
      <c r="M653" s="73" t="inlineStr"/>
      <c r="N653" s="73" t="inlineStr">
        <is>
          <t>Required</t>
        </is>
      </c>
      <c r="O653" s="73" t="inlineStr"/>
      <c r="P653" s="63" t="inlineStr">
        <is>
          <t>KUL</t>
        </is>
      </c>
      <c r="Q653" s="65">
        <f>Flights!$AD$24</f>
        <v/>
      </c>
      <c r="R653" s="65">
        <f>Q653+(IF(AND(INDEX(TZ_DSTS,MATCH(P653,TZ_STN,0))&lt;&gt;"",Q653&gt;=INDEX(TZ_DSTS,MATCH(P653,TZ_STN,0)),Q653&lt;INDEX(TZ_DSTE,MATCH(P653,TZ_STN,0))),INDEX(TZ_DST,MATCH(P653,TZ_STN,0)),INDEX(TZ_STD,MATCH(P653,TZ_STN,0))))/24</f>
        <v/>
      </c>
      <c r="S653" s="65">
        <f>Q653-T24EarlyH/24</f>
        <v/>
      </c>
      <c r="T653" s="66" t="n"/>
      <c r="U653" s="66" t="n"/>
      <c r="V653" s="66" t="n"/>
      <c r="W653" s="66" t="n"/>
      <c r="X653" s="66" t="n"/>
      <c r="Y653" s="66" t="n"/>
      <c r="Z653" s="66" t="n"/>
      <c r="AA653" s="66" t="n"/>
      <c r="AB653" s="66" t="n"/>
      <c r="AC653" s="66" t="n"/>
      <c r="AD653" s="72" t="n"/>
      <c r="AE653" s="66" t="n"/>
      <c r="AF653" s="67">
        <f>IF(AND(ISNUMBER(X653),ISNUMBER(Y653)),Y653-X653,"")</f>
        <v/>
      </c>
      <c r="AG653" s="68">
        <f>IF(ISNUMBER(AD653),AD653-(IF(AND(INDEX(TZ_DSTS,MATCH(P653,TZ_STN,0))&lt;&gt;"",(AD653-INDEX(TZ_STD,MATCH(P653,TZ_STN,0))/24)&gt;=INDEX(TZ_DSTS,MATCH(P653,TZ_STN,0)),(AD653-INDEX(TZ_STD,MATCH(P653,TZ_STN,0))/24)&lt;INDEX(TZ_DSTE,MATCH(P653,TZ_STN,0))),INDEX(TZ_DST,MATCH(P653,TZ_STN,0)),INDEX(TZ_STD,MATCH(P653,TZ_STN,0))))/24,"")</f>
        <v/>
      </c>
      <c r="AH653" s="71">
        <f>IF(N653="N/A – rule","N/A – RULE",IF(TRIM(U653)="N/A",IF(AT653=0,"INVALID – N/A not permitted for this mandatory check",IF(AND(TRIM(AC653)&lt;&gt;"",TRIM(AE653)&lt;&gt;"",TRIM(T653)&lt;&gt;""),"N/A – JUSTIFIED","INVALID – N/A needs justification, PIC and verifier")),IF(OR(TRIM(U653)="Pass",TRIM(U653)="Pass after CA"),IF(NOT(ISNUMBER(AD653)),"INVALID – completion time missing",IF(TRIM(T653)="","INVALID – PIC missing",IF(TRIM(Z653)="","INVALID – evidence missing",IF(TRIM(AE653)="","INVALID – verifier missing",IF(AND(AQ653=1,TRIM(W653)=""),"INVALID – batch ID missing",IF(AND(AR653=1,OR(NOT(ISNUMBER(X653)),NOT(ISNUMBER(Y653)))),"INVALID – expected/actual qty missing",IF(IF(AND(TRIM(U653)="Pass",ISNUMBER(AF653)),IF(AF653&lt;&gt;0,"INVALID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recorded/closed","")&lt;&gt;"",IF(AND(TRIM(U653)="Pass",ISNUMBER(AF653)),IF(AF653&lt;&gt;0,"INVALID – qty variance: use Fail or Pass after CA",""),"")&amp;IF(AND(TRIM(U653)="Pass",AB653="Open"),"INVALID – corrective action still open: use Fail, then Pass after CA","")&amp;IF(AND(TRIM(U653)="Pass after CA",OR(TRIM(AA653)="",AB653&lt;&gt;"Closed")),"INVALID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window"),IF(AG653&gt;Flights!$AA$24,"INVALID – completed after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f>
        <v/>
      </c>
      <c r="AI653" s="67">
        <f>IF(OR(AH653="N/A – RULE",AH653="N/A – JUSTIFIED"),0,1)</f>
        <v/>
      </c>
      <c r="AJ653" s="67">
        <f>IF(LEFT(AH653,8)="COMPLETE",1,0)</f>
        <v/>
      </c>
      <c r="AK653" s="67">
        <f>IF(AND(AI653=1,AJ653=0,AsOfUTC&gt;Q653),1,0)</f>
        <v/>
      </c>
      <c r="AL653" s="67">
        <f>IF(AND(AI653=1,OR(TRIM(U653)="Fail",AB653="Open",AND(ISNUMBER(AF653),AF653&lt;&gt;0,TRIM(U653)&lt;&gt;"Pass after CA"))),1,0)</f>
        <v/>
      </c>
      <c r="AM653" s="67">
        <f>IF(LEFT(AH653,7)="INVALID",1,0)</f>
        <v/>
      </c>
      <c r="AN653" s="67">
        <f>IF(AND(N653="Clarification required",AI653=1,AJ653=0),1,0)</f>
        <v/>
      </c>
      <c r="AO653" s="67">
        <f>IF(AK653=1,SUM(AK$5:AK653),"")</f>
        <v/>
      </c>
      <c r="AP653" s="67">
        <f>IF(AL653=1,SUM(AL$5:AL653),"")</f>
        <v/>
      </c>
      <c r="AQ653" s="67" t="n">
        <v>1</v>
      </c>
      <c r="AR653" s="67" t="n">
        <v>0</v>
      </c>
      <c r="AS653" s="67" t="n">
        <v>0</v>
      </c>
      <c r="AT653" s="67" t="n">
        <v>0</v>
      </c>
    </row>
    <row r="654" ht="40" customHeight="1">
      <c r="A654" s="63" t="inlineStr">
        <is>
          <t>F20-T12-01</t>
        </is>
      </c>
      <c r="B654" s="63" t="inlineStr">
        <is>
          <t>F20</t>
        </is>
      </c>
      <c r="C654" s="63">
        <f>Flights!$F$24</f>
        <v/>
      </c>
      <c r="D654" s="64">
        <f>Flights!$D$24</f>
        <v/>
      </c>
      <c r="E654" s="63">
        <f>Flights!$G$24&amp;"-"&amp;Flights!$H$24</f>
        <v/>
      </c>
      <c r="F654" s="63">
        <f>Flights!$K$24</f>
        <v/>
      </c>
      <c r="G654" s="63" t="inlineStr">
        <is>
          <t>T-12H PREP</t>
        </is>
      </c>
      <c r="H654" s="63" t="inlineStr">
        <is>
          <t>Preparation</t>
        </is>
      </c>
      <c r="I654" s="63" t="inlineStr">
        <is>
          <t>Meal</t>
        </is>
      </c>
      <c r="J654" s="63" t="inlineStr">
        <is>
          <t>Meal quality vs menu checklist</t>
        </is>
      </c>
      <c r="K654" s="73" t="inlineStr"/>
      <c r="L654" s="73" t="inlineStr">
        <is>
          <t>User brief (T-12 hours)</t>
        </is>
      </c>
      <c r="M654" s="73" t="inlineStr"/>
      <c r="N654" s="73" t="inlineStr">
        <is>
          <t>Required</t>
        </is>
      </c>
      <c r="O654" s="73" t="inlineStr">
        <is>
          <t>Preparation check at caterer - does NOT confirm loading.</t>
        </is>
      </c>
      <c r="P654" s="63" t="inlineStr">
        <is>
          <t>KUL</t>
        </is>
      </c>
      <c r="Q654" s="65">
        <f>Flights!$AE$24</f>
        <v/>
      </c>
      <c r="R654" s="65">
        <f>Q654+(IF(AND(INDEX(TZ_DSTS,MATCH(P654,TZ_STN,0))&lt;&gt;"",Q654&gt;=INDEX(TZ_DSTS,MATCH(P654,TZ_STN,0)),Q654&lt;INDEX(TZ_DSTE,MATCH(P654,TZ_STN,0))),INDEX(TZ_DST,MATCH(P654,TZ_STN,0)),INDEX(TZ_STD,MATCH(P654,TZ_STN,0))))/24</f>
        <v/>
      </c>
      <c r="S654" s="65">
        <f>Q654-T12EarlyH/24</f>
        <v/>
      </c>
      <c r="T654" s="66" t="n"/>
      <c r="U654" s="66" t="n"/>
      <c r="V654" s="66" t="n"/>
      <c r="W654" s="67" t="n"/>
      <c r="X654" s="66" t="n"/>
      <c r="Y654" s="66" t="n"/>
      <c r="Z654" s="66" t="n"/>
      <c r="AA654" s="66" t="n"/>
      <c r="AB654" s="66" t="n"/>
      <c r="AC654" s="66" t="n"/>
      <c r="AD654" s="72" t="n"/>
      <c r="AE654" s="66" t="n"/>
      <c r="AF654" s="67">
        <f>IF(AND(ISNUMBER(X654),ISNUMBER(Y654)),Y654-X654,"")</f>
        <v/>
      </c>
      <c r="AG654" s="68">
        <f>IF(ISNUMBER(AD654),AD654-(IF(AND(INDEX(TZ_DSTS,MATCH(P654,TZ_STN,0))&lt;&gt;"",(AD654-INDEX(TZ_STD,MATCH(P654,TZ_STN,0))/24)&gt;=INDEX(TZ_DSTS,MATCH(P654,TZ_STN,0)),(AD654-INDEX(TZ_STD,MATCH(P654,TZ_STN,0))/24)&lt;INDEX(TZ_DSTE,MATCH(P654,TZ_STN,0))),INDEX(TZ_DST,MATCH(P654,TZ_STN,0)),INDEX(TZ_STD,MATCH(P654,TZ_STN,0))))/24,"")</f>
        <v/>
      </c>
      <c r="AH654" s="71">
        <f>IF(N654="N/A – rule","N/A – RULE",IF(TRIM(U654)="N/A",IF(AT654=0,"INVALID – N/A not permitted for this mandatory check",IF(AND(TRIM(AC654)&lt;&gt;"",TRIM(AE654)&lt;&gt;"",TRIM(T654)&lt;&gt;""),"N/A – JUSTIFIED","INVALID – N/A needs justification, PIC and verifier")),IF(OR(TRIM(U654)="Pass",TRIM(U654)="Pass after CA"),IF(NOT(ISNUMBER(AD654)),"INVALID – completion time missing",IF(TRIM(T654)="","INVALID – PIC missing",IF(TRIM(Z654)="","INVALID – evidence missing",IF(TRIM(AE654)="","INVALID – verifier missing",IF(AND(AQ654=1,TRIM(W654)=""),"INVALID – batch ID missing",IF(AND(AR654=1,OR(NOT(ISNUMBER(X654)),NOT(ISNUMBER(Y654)))),"INVALID – expected/actual qty missing",IF(IF(AND(TRIM(U654)="Pass",ISNUMBER(AF654)),IF(AF654&lt;&gt;0,"INVALID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recorded/closed","")&lt;&gt;"",IF(AND(TRIM(U654)="Pass",ISNUMBER(AF654)),IF(AF654&lt;&gt;0,"INVALID – qty variance: use Fail or Pass after CA",""),"")&amp;IF(AND(TRIM(U654)="Pass",AB654="Open"),"INVALID – corrective action still open: use Fail, then Pass after CA","")&amp;IF(AND(TRIM(U654)="Pass after CA",OR(TRIM(AA654)="",AB654&lt;&gt;"Closed")),"INVALID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window"),IF(AG654&gt;Flights!$AA$24,"INVALID – completed after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f>
        <v/>
      </c>
      <c r="AI654" s="67">
        <f>IF(OR(AH654="N/A – RULE",AH654="N/A – JUSTIFIED"),0,1)</f>
        <v/>
      </c>
      <c r="AJ654" s="67">
        <f>IF(LEFT(AH654,8)="COMPLETE",1,0)</f>
        <v/>
      </c>
      <c r="AK654" s="67">
        <f>IF(AND(AI654=1,AJ654=0,AsOfUTC&gt;Q654),1,0)</f>
        <v/>
      </c>
      <c r="AL654" s="67">
        <f>IF(AND(AI654=1,OR(TRIM(U654)="Fail",AB654="Open",AND(ISNUMBER(AF654),AF654&lt;&gt;0,TRIM(U654)&lt;&gt;"Pass after CA"))),1,0)</f>
        <v/>
      </c>
      <c r="AM654" s="67">
        <f>IF(LEFT(AH654,7)="INVALID",1,0)</f>
        <v/>
      </c>
      <c r="AN654" s="67">
        <f>IF(AND(N654="Clarification required",AI654=1,AJ654=0),1,0)</f>
        <v/>
      </c>
      <c r="AO654" s="67">
        <f>IF(AK654=1,SUM(AK$5:AK654),"")</f>
        <v/>
      </c>
      <c r="AP654" s="67">
        <f>IF(AL654=1,SUM(AL$5:AL654),"")</f>
        <v/>
      </c>
      <c r="AQ654" s="67" t="n">
        <v>0</v>
      </c>
      <c r="AR654" s="67" t="n">
        <v>0</v>
      </c>
      <c r="AS654" s="67" t="n">
        <v>0</v>
      </c>
      <c r="AT654" s="67" t="n">
        <v>0</v>
      </c>
    </row>
    <row r="655" ht="40" customHeight="1">
      <c r="A655" s="63" t="inlineStr">
        <is>
          <t>F20-T12-02</t>
        </is>
      </c>
      <c r="B655" s="63" t="inlineStr">
        <is>
          <t>F20</t>
        </is>
      </c>
      <c r="C655" s="63">
        <f>Flights!$F$24</f>
        <v/>
      </c>
      <c r="D655" s="64">
        <f>Flights!$D$24</f>
        <v/>
      </c>
      <c r="E655" s="63">
        <f>Flights!$G$24&amp;"-"&amp;Flights!$H$24</f>
        <v/>
      </c>
      <c r="F655" s="63">
        <f>Flights!$K$24</f>
        <v/>
      </c>
      <c r="G655" s="63" t="inlineStr">
        <is>
          <t>T-12H PREP</t>
        </is>
      </c>
      <c r="H655" s="63" t="inlineStr">
        <is>
          <t>Preparation</t>
        </is>
      </c>
      <c r="I655" s="63" t="inlineStr">
        <is>
          <t>Meal</t>
        </is>
      </c>
      <c r="J655" s="63" t="inlineStr">
        <is>
          <t>Meal quantities vs menu checklist</t>
        </is>
      </c>
      <c r="K655" s="73" t="inlineStr">
        <is>
          <t>Enter expected &amp; actual</t>
        </is>
      </c>
      <c r="L655" s="73" t="inlineStr">
        <is>
          <t>User brief (T-12 hours)</t>
        </is>
      </c>
      <c r="M655" s="73" t="inlineStr"/>
      <c r="N655" s="73" t="inlineStr">
        <is>
          <t>Required</t>
        </is>
      </c>
      <c r="O655" s="73" t="inlineStr">
        <is>
          <t>Preparation check at caterer - does NOT confirm loading.</t>
        </is>
      </c>
      <c r="P655" s="63" t="inlineStr">
        <is>
          <t>KUL</t>
        </is>
      </c>
      <c r="Q655" s="65">
        <f>Flights!$AE$24</f>
        <v/>
      </c>
      <c r="R655" s="65">
        <f>Q655+(IF(AND(INDEX(TZ_DSTS,MATCH(P655,TZ_STN,0))&lt;&gt;"",Q655&gt;=INDEX(TZ_DSTS,MATCH(P655,TZ_STN,0)),Q655&lt;INDEX(TZ_DSTE,MATCH(P655,TZ_STN,0))),INDEX(TZ_DST,MATCH(P655,TZ_STN,0)),INDEX(TZ_STD,MATCH(P655,TZ_STN,0))))/24</f>
        <v/>
      </c>
      <c r="S655" s="65">
        <f>Q655-T12EarlyH/24</f>
        <v/>
      </c>
      <c r="T655" s="66" t="n"/>
      <c r="U655" s="66" t="n"/>
      <c r="V655" s="66" t="n"/>
      <c r="W655" s="67" t="n"/>
      <c r="X655" s="66" t="n"/>
      <c r="Y655" s="66" t="n"/>
      <c r="Z655" s="66" t="n"/>
      <c r="AA655" s="66" t="n"/>
      <c r="AB655" s="66" t="n"/>
      <c r="AC655" s="66" t="n"/>
      <c r="AD655" s="72" t="n"/>
      <c r="AE655" s="66" t="n"/>
      <c r="AF655" s="67">
        <f>IF(AND(ISNUMBER(X655),ISNUMBER(Y655)),Y655-X655,"")</f>
        <v/>
      </c>
      <c r="AG655" s="68">
        <f>IF(ISNUMBER(AD655),AD655-(IF(AND(INDEX(TZ_DSTS,MATCH(P655,TZ_STN,0))&lt;&gt;"",(AD655-INDEX(TZ_STD,MATCH(P655,TZ_STN,0))/24)&gt;=INDEX(TZ_DSTS,MATCH(P655,TZ_STN,0)),(AD655-INDEX(TZ_STD,MATCH(P655,TZ_STN,0))/24)&lt;INDEX(TZ_DSTE,MATCH(P655,TZ_STN,0))),INDEX(TZ_DST,MATCH(P655,TZ_STN,0)),INDEX(TZ_STD,MATCH(P655,TZ_STN,0))))/24,"")</f>
        <v/>
      </c>
      <c r="AH655" s="71">
        <f>IF(N655="N/A – rule","N/A – RULE",IF(TRIM(U655)="N/A",IF(AT655=0,"INVALID – N/A not permitted for this mandatory check",IF(AND(TRIM(AC655)&lt;&gt;"",TRIM(AE655)&lt;&gt;"",TRIM(T655)&lt;&gt;""),"N/A – JUSTIFIED","INVALID – N/A needs justification, PIC and verifier")),IF(OR(TRIM(U655)="Pass",TRIM(U655)="Pass after CA"),IF(NOT(ISNUMBER(AD655)),"INVALID – completion time missing",IF(TRIM(T655)="","INVALID – PIC missing",IF(TRIM(Z655)="","INVALID – evidence missing",IF(TRIM(AE655)="","INVALID – verifier missing",IF(AND(AQ655=1,TRIM(W655)=""),"INVALID – batch ID missing",IF(AND(AR655=1,OR(NOT(ISNUMBER(X655)),NOT(ISNUMBER(Y655)))),"INVALID – expected/actual qty missing",IF(IF(AND(TRIM(U655)="Pass",ISNUMBER(AF655)),IF(AF655&lt;&gt;0,"INVALID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recorded/closed","")&lt;&gt;"",IF(AND(TRIM(U655)="Pass",ISNUMBER(AF655)),IF(AF655&lt;&gt;0,"INVALID – qty variance: use Fail or Pass after CA",""),"")&amp;IF(AND(TRIM(U655)="Pass",AB655="Open"),"INVALID – corrective action still open: use Fail, then Pass after CA","")&amp;IF(AND(TRIM(U655)="Pass after CA",OR(TRIM(AA655)="",AB655&lt;&gt;"Closed")),"INVALID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window"),IF(AG655&gt;Flights!$AA$24,"INVALID – completed after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f>
        <v/>
      </c>
      <c r="AI655" s="67">
        <f>IF(OR(AH655="N/A – RULE",AH655="N/A – JUSTIFIED"),0,1)</f>
        <v/>
      </c>
      <c r="AJ655" s="67">
        <f>IF(LEFT(AH655,8)="COMPLETE",1,0)</f>
        <v/>
      </c>
      <c r="AK655" s="67">
        <f>IF(AND(AI655=1,AJ655=0,AsOfUTC&gt;Q655),1,0)</f>
        <v/>
      </c>
      <c r="AL655" s="67">
        <f>IF(AND(AI655=1,OR(TRIM(U655)="Fail",AB655="Open",AND(ISNUMBER(AF655),AF655&lt;&gt;0,TRIM(U655)&lt;&gt;"Pass after CA"))),1,0)</f>
        <v/>
      </c>
      <c r="AM655" s="67">
        <f>IF(LEFT(AH655,7)="INVALID",1,0)</f>
        <v/>
      </c>
      <c r="AN655" s="67">
        <f>IF(AND(N655="Clarification required",AI655=1,AJ655=0),1,0)</f>
        <v/>
      </c>
      <c r="AO655" s="67">
        <f>IF(AK655=1,SUM(AK$5:AK655),"")</f>
        <v/>
      </c>
      <c r="AP655" s="67">
        <f>IF(AL655=1,SUM(AL$5:AL655),"")</f>
        <v/>
      </c>
      <c r="AQ655" s="67" t="n">
        <v>0</v>
      </c>
      <c r="AR655" s="67" t="n">
        <v>1</v>
      </c>
      <c r="AS655" s="67" t="n">
        <v>0</v>
      </c>
      <c r="AT655" s="67" t="n">
        <v>0</v>
      </c>
    </row>
    <row r="656" ht="40" customHeight="1">
      <c r="A656" s="63" t="inlineStr">
        <is>
          <t>F20-T12-03</t>
        </is>
      </c>
      <c r="B656" s="63" t="inlineStr">
        <is>
          <t>F20</t>
        </is>
      </c>
      <c r="C656" s="63">
        <f>Flights!$F$24</f>
        <v/>
      </c>
      <c r="D656" s="64">
        <f>Flights!$D$24</f>
        <v/>
      </c>
      <c r="E656" s="63">
        <f>Flights!$G$24&amp;"-"&amp;Flights!$H$24</f>
        <v/>
      </c>
      <c r="F656" s="63">
        <f>Flights!$K$24</f>
        <v/>
      </c>
      <c r="G656" s="63" t="inlineStr">
        <is>
          <t>T-12H PREP</t>
        </is>
      </c>
      <c r="H656" s="63" t="inlineStr">
        <is>
          <t>Preparation</t>
        </is>
      </c>
      <c r="I656" s="63" t="inlineStr">
        <is>
          <t>Equipment</t>
        </is>
      </c>
      <c r="J656" s="63" t="inlineStr">
        <is>
          <t>Equipment cleanliness vs GLD</t>
        </is>
      </c>
      <c r="K656" s="73" t="inlineStr"/>
      <c r="L656" s="73" t="inlineStr">
        <is>
          <t>User brief (T-12 hours)</t>
        </is>
      </c>
      <c r="M656" s="73" t="inlineStr"/>
      <c r="N656" s="73" t="inlineStr">
        <is>
          <t>Required</t>
        </is>
      </c>
      <c r="O656" s="73" t="inlineStr">
        <is>
          <t>Preparation check at caterer - does NOT confirm loading.</t>
        </is>
      </c>
      <c r="P656" s="63" t="inlineStr">
        <is>
          <t>KUL</t>
        </is>
      </c>
      <c r="Q656" s="65">
        <f>Flights!$AE$24</f>
        <v/>
      </c>
      <c r="R656" s="65">
        <f>Q656+(IF(AND(INDEX(TZ_DSTS,MATCH(P656,TZ_STN,0))&lt;&gt;"",Q656&gt;=INDEX(TZ_DSTS,MATCH(P656,TZ_STN,0)),Q656&lt;INDEX(TZ_DSTE,MATCH(P656,TZ_STN,0))),INDEX(TZ_DST,MATCH(P656,TZ_STN,0)),INDEX(TZ_STD,MATCH(P656,TZ_STN,0))))/24</f>
        <v/>
      </c>
      <c r="S656" s="65">
        <f>Q656-T12EarlyH/24</f>
        <v/>
      </c>
      <c r="T656" s="66" t="n"/>
      <c r="U656" s="66" t="n"/>
      <c r="V656" s="66" t="n"/>
      <c r="W656" s="67" t="n"/>
      <c r="X656" s="66" t="n"/>
      <c r="Y656" s="66" t="n"/>
      <c r="Z656" s="66" t="n"/>
      <c r="AA656" s="66" t="n"/>
      <c r="AB656" s="66" t="n"/>
      <c r="AC656" s="66" t="n"/>
      <c r="AD656" s="72" t="n"/>
      <c r="AE656" s="66" t="n"/>
      <c r="AF656" s="67">
        <f>IF(AND(ISNUMBER(X656),ISNUMBER(Y656)),Y656-X656,"")</f>
        <v/>
      </c>
      <c r="AG656" s="68">
        <f>IF(ISNUMBER(AD656),AD656-(IF(AND(INDEX(TZ_DSTS,MATCH(P656,TZ_STN,0))&lt;&gt;"",(AD656-INDEX(TZ_STD,MATCH(P656,TZ_STN,0))/24)&gt;=INDEX(TZ_DSTS,MATCH(P656,TZ_STN,0)),(AD656-INDEX(TZ_STD,MATCH(P656,TZ_STN,0))/24)&lt;INDEX(TZ_DSTE,MATCH(P656,TZ_STN,0))),INDEX(TZ_DST,MATCH(P656,TZ_STN,0)),INDEX(TZ_STD,MATCH(P656,TZ_STN,0))))/24,"")</f>
        <v/>
      </c>
      <c r="AH656" s="71">
        <f>IF(N656="N/A – rule","N/A – RULE",IF(TRIM(U656)="N/A",IF(AT656=0,"INVALID – N/A not permitted for this mandatory check",IF(AND(TRIM(AC656)&lt;&gt;"",TRIM(AE656)&lt;&gt;"",TRIM(T656)&lt;&gt;""),"N/A – JUSTIFIED","INVALID – N/A needs justification, PIC and verifier")),IF(OR(TRIM(U656)="Pass",TRIM(U656)="Pass after CA"),IF(NOT(ISNUMBER(AD656)),"INVALID – completion time missing",IF(TRIM(T656)="","INVALID – PIC missing",IF(TRIM(Z656)="","INVALID – evidence missing",IF(TRIM(AE656)="","INVALID – verifier missing",IF(AND(AQ656=1,TRIM(W656)=""),"INVALID – batch ID missing",IF(AND(AR656=1,OR(NOT(ISNUMBER(X656)),NOT(ISNUMBER(Y656)))),"INVALID – expected/actual qty missing",IF(IF(AND(TRIM(U656)="Pass",ISNUMBER(AF656)),IF(AF656&lt;&gt;0,"INVALID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recorded/closed","")&lt;&gt;"",IF(AND(TRIM(U656)="Pass",ISNUMBER(AF656)),IF(AF656&lt;&gt;0,"INVALID – qty variance: use Fail or Pass after CA",""),"")&amp;IF(AND(TRIM(U656)="Pass",AB656="Open"),"INVALID – corrective action still open: use Fail, then Pass after CA","")&amp;IF(AND(TRIM(U656)="Pass after CA",OR(TRIM(AA656)="",AB656&lt;&gt;"Closed")),"INVALID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window"),IF(AG656&gt;Flights!$AA$24,"INVALID – completed after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f>
        <v/>
      </c>
      <c r="AI656" s="67">
        <f>IF(OR(AH656="N/A – RULE",AH656="N/A – JUSTIFIED"),0,1)</f>
        <v/>
      </c>
      <c r="AJ656" s="67">
        <f>IF(LEFT(AH656,8)="COMPLETE",1,0)</f>
        <v/>
      </c>
      <c r="AK656" s="67">
        <f>IF(AND(AI656=1,AJ656=0,AsOfUTC&gt;Q656),1,0)</f>
        <v/>
      </c>
      <c r="AL656" s="67">
        <f>IF(AND(AI656=1,OR(TRIM(U656)="Fail",AB656="Open",AND(ISNUMBER(AF656),AF656&lt;&gt;0,TRIM(U656)&lt;&gt;"Pass after CA"))),1,0)</f>
        <v/>
      </c>
      <c r="AM656" s="67">
        <f>IF(LEFT(AH656,7)="INVALID",1,0)</f>
        <v/>
      </c>
      <c r="AN656" s="67">
        <f>IF(AND(N656="Clarification required",AI656=1,AJ656=0),1,0)</f>
        <v/>
      </c>
      <c r="AO656" s="67">
        <f>IF(AK656=1,SUM(AK$5:AK656),"")</f>
        <v/>
      </c>
      <c r="AP656" s="67">
        <f>IF(AL656=1,SUM(AL$5:AL656),"")</f>
        <v/>
      </c>
      <c r="AQ656" s="67" t="n">
        <v>0</v>
      </c>
      <c r="AR656" s="67" t="n">
        <v>0</v>
      </c>
      <c r="AS656" s="67" t="n">
        <v>0</v>
      </c>
      <c r="AT656" s="67" t="n">
        <v>0</v>
      </c>
    </row>
    <row r="657" ht="40" customHeight="1">
      <c r="A657" s="63" t="inlineStr">
        <is>
          <t>F20-T12-04</t>
        </is>
      </c>
      <c r="B657" s="63" t="inlineStr">
        <is>
          <t>F20</t>
        </is>
      </c>
      <c r="C657" s="63">
        <f>Flights!$F$24</f>
        <v/>
      </c>
      <c r="D657" s="64">
        <f>Flights!$D$24</f>
        <v/>
      </c>
      <c r="E657" s="63">
        <f>Flights!$G$24&amp;"-"&amp;Flights!$H$24</f>
        <v/>
      </c>
      <c r="F657" s="63">
        <f>Flights!$K$24</f>
        <v/>
      </c>
      <c r="G657" s="63" t="inlineStr">
        <is>
          <t>T-12H PREP</t>
        </is>
      </c>
      <c r="H657" s="63" t="inlineStr">
        <is>
          <t>Preparation</t>
        </is>
      </c>
      <c r="I657" s="63" t="inlineStr">
        <is>
          <t>Equipment</t>
        </is>
      </c>
      <c r="J657" s="63" t="inlineStr">
        <is>
          <t>Equipment presentation vs GLD</t>
        </is>
      </c>
      <c r="K657" s="73" t="inlineStr"/>
      <c r="L657" s="73" t="inlineStr">
        <is>
          <t>User brief (T-12 hours)</t>
        </is>
      </c>
      <c r="M657" s="73" t="inlineStr"/>
      <c r="N657" s="73" t="inlineStr">
        <is>
          <t>Required</t>
        </is>
      </c>
      <c r="O657" s="73" t="inlineStr">
        <is>
          <t>Preparation check at caterer - does NOT confirm loading.</t>
        </is>
      </c>
      <c r="P657" s="63" t="inlineStr">
        <is>
          <t>KUL</t>
        </is>
      </c>
      <c r="Q657" s="65">
        <f>Flights!$AE$24</f>
        <v/>
      </c>
      <c r="R657" s="65">
        <f>Q657+(IF(AND(INDEX(TZ_DSTS,MATCH(P657,TZ_STN,0))&lt;&gt;"",Q657&gt;=INDEX(TZ_DSTS,MATCH(P657,TZ_STN,0)),Q657&lt;INDEX(TZ_DSTE,MATCH(P657,TZ_STN,0))),INDEX(TZ_DST,MATCH(P657,TZ_STN,0)),INDEX(TZ_STD,MATCH(P657,TZ_STN,0))))/24</f>
        <v/>
      </c>
      <c r="S657" s="65">
        <f>Q657-T12EarlyH/24</f>
        <v/>
      </c>
      <c r="T657" s="66" t="n"/>
      <c r="U657" s="66" t="n"/>
      <c r="V657" s="66" t="n"/>
      <c r="W657" s="67" t="n"/>
      <c r="X657" s="66" t="n"/>
      <c r="Y657" s="66" t="n"/>
      <c r="Z657" s="66" t="n"/>
      <c r="AA657" s="66" t="n"/>
      <c r="AB657" s="66" t="n"/>
      <c r="AC657" s="66" t="n"/>
      <c r="AD657" s="72" t="n"/>
      <c r="AE657" s="66" t="n"/>
      <c r="AF657" s="67">
        <f>IF(AND(ISNUMBER(X657),ISNUMBER(Y657)),Y657-X657,"")</f>
        <v/>
      </c>
      <c r="AG657" s="68">
        <f>IF(ISNUMBER(AD657),AD657-(IF(AND(INDEX(TZ_DSTS,MATCH(P657,TZ_STN,0))&lt;&gt;"",(AD657-INDEX(TZ_STD,MATCH(P657,TZ_STN,0))/24)&gt;=INDEX(TZ_DSTS,MATCH(P657,TZ_STN,0)),(AD657-INDEX(TZ_STD,MATCH(P657,TZ_STN,0))/24)&lt;INDEX(TZ_DSTE,MATCH(P657,TZ_STN,0))),INDEX(TZ_DST,MATCH(P657,TZ_STN,0)),INDEX(TZ_STD,MATCH(P657,TZ_STN,0))))/24,"")</f>
        <v/>
      </c>
      <c r="AH657" s="71">
        <f>IF(N657="N/A – rule","N/A – RULE",IF(TRIM(U657)="N/A",IF(AT657=0,"INVALID – N/A not permitted for this mandatory check",IF(AND(TRIM(AC657)&lt;&gt;"",TRIM(AE657)&lt;&gt;"",TRIM(T657)&lt;&gt;""),"N/A – JUSTIFIED","INVALID – N/A needs justification, PIC and verifier")),IF(OR(TRIM(U657)="Pass",TRIM(U657)="Pass after CA"),IF(NOT(ISNUMBER(AD657)),"INVALID – completion time missing",IF(TRIM(T657)="","INVALID – PIC missing",IF(TRIM(Z657)="","INVALID – evidence missing",IF(TRIM(AE657)="","INVALID – verifier missing",IF(AND(AQ657=1,TRIM(W657)=""),"INVALID – batch ID missing",IF(AND(AR657=1,OR(NOT(ISNUMBER(X657)),NOT(ISNUMBER(Y657)))),"INVALID – expected/actual qty missing",IF(IF(AND(TRIM(U657)="Pass",ISNUMBER(AF657)),IF(AF657&lt;&gt;0,"INVALID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recorded/closed","")&lt;&gt;"",IF(AND(TRIM(U657)="Pass",ISNUMBER(AF657)),IF(AF657&lt;&gt;0,"INVALID – qty variance: use Fail or Pass after CA",""),"")&amp;IF(AND(TRIM(U657)="Pass",AB657="Open"),"INVALID – corrective action still open: use Fail, then Pass after CA","")&amp;IF(AND(TRIM(U657)="Pass after CA",OR(TRIM(AA657)="",AB657&lt;&gt;"Closed")),"INVALID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window"),IF(AG657&gt;Flights!$AA$24,"INVALID – completed after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f>
        <v/>
      </c>
      <c r="AI657" s="67">
        <f>IF(OR(AH657="N/A – RULE",AH657="N/A – JUSTIFIED"),0,1)</f>
        <v/>
      </c>
      <c r="AJ657" s="67">
        <f>IF(LEFT(AH657,8)="COMPLETE",1,0)</f>
        <v/>
      </c>
      <c r="AK657" s="67">
        <f>IF(AND(AI657=1,AJ657=0,AsOfUTC&gt;Q657),1,0)</f>
        <v/>
      </c>
      <c r="AL657" s="67">
        <f>IF(AND(AI657=1,OR(TRIM(U657)="Fail",AB657="Open",AND(ISNUMBER(AF657),AF657&lt;&gt;0,TRIM(U657)&lt;&gt;"Pass after CA"))),1,0)</f>
        <v/>
      </c>
      <c r="AM657" s="67">
        <f>IF(LEFT(AH657,7)="INVALID",1,0)</f>
        <v/>
      </c>
      <c r="AN657" s="67">
        <f>IF(AND(N657="Clarification required",AI657=1,AJ657=0),1,0)</f>
        <v/>
      </c>
      <c r="AO657" s="67">
        <f>IF(AK657=1,SUM(AK$5:AK657),"")</f>
        <v/>
      </c>
      <c r="AP657" s="67">
        <f>IF(AL657=1,SUM(AL$5:AL657),"")</f>
        <v/>
      </c>
      <c r="AQ657" s="67" t="n">
        <v>0</v>
      </c>
      <c r="AR657" s="67" t="n">
        <v>0</v>
      </c>
      <c r="AS657" s="67" t="n">
        <v>0</v>
      </c>
      <c r="AT657" s="67" t="n">
        <v>0</v>
      </c>
    </row>
    <row r="658" ht="40" customHeight="1">
      <c r="A658" s="63" t="inlineStr">
        <is>
          <t>F20-T12-05</t>
        </is>
      </c>
      <c r="B658" s="63" t="inlineStr">
        <is>
          <t>F20</t>
        </is>
      </c>
      <c r="C658" s="63">
        <f>Flights!$F$24</f>
        <v/>
      </c>
      <c r="D658" s="64">
        <f>Flights!$D$24</f>
        <v/>
      </c>
      <c r="E658" s="63">
        <f>Flights!$G$24&amp;"-"&amp;Flights!$H$24</f>
        <v/>
      </c>
      <c r="F658" s="63">
        <f>Flights!$K$24</f>
        <v/>
      </c>
      <c r="G658" s="63" t="inlineStr">
        <is>
          <t>T-12H PREP</t>
        </is>
      </c>
      <c r="H658" s="63" t="inlineStr">
        <is>
          <t>Preparation</t>
        </is>
      </c>
      <c r="I658" s="63" t="inlineStr">
        <is>
          <t>Equipment</t>
        </is>
      </c>
      <c r="J658" s="63" t="inlineStr">
        <is>
          <t>Equipment serviceability vs GLD</t>
        </is>
      </c>
      <c r="K658" s="73" t="inlineStr"/>
      <c r="L658" s="73" t="inlineStr">
        <is>
          <t>User brief (T-12 hours)</t>
        </is>
      </c>
      <c r="M658" s="73" t="inlineStr"/>
      <c r="N658" s="73" t="inlineStr">
        <is>
          <t>Required</t>
        </is>
      </c>
      <c r="O658" s="73" t="inlineStr">
        <is>
          <t>Preparation check at caterer - does NOT confirm loading.</t>
        </is>
      </c>
      <c r="P658" s="63" t="inlineStr">
        <is>
          <t>KUL</t>
        </is>
      </c>
      <c r="Q658" s="65">
        <f>Flights!$AE$24</f>
        <v/>
      </c>
      <c r="R658" s="65">
        <f>Q658+(IF(AND(INDEX(TZ_DSTS,MATCH(P658,TZ_STN,0))&lt;&gt;"",Q658&gt;=INDEX(TZ_DSTS,MATCH(P658,TZ_STN,0)),Q658&lt;INDEX(TZ_DSTE,MATCH(P658,TZ_STN,0))),INDEX(TZ_DST,MATCH(P658,TZ_STN,0)),INDEX(TZ_STD,MATCH(P658,TZ_STN,0))))/24</f>
        <v/>
      </c>
      <c r="S658" s="65">
        <f>Q658-T12EarlyH/24</f>
        <v/>
      </c>
      <c r="T658" s="66" t="n"/>
      <c r="U658" s="66" t="n"/>
      <c r="V658" s="66" t="n"/>
      <c r="W658" s="67" t="n"/>
      <c r="X658" s="66" t="n"/>
      <c r="Y658" s="66" t="n"/>
      <c r="Z658" s="66" t="n"/>
      <c r="AA658" s="66" t="n"/>
      <c r="AB658" s="66" t="n"/>
      <c r="AC658" s="66" t="n"/>
      <c r="AD658" s="72" t="n"/>
      <c r="AE658" s="66" t="n"/>
      <c r="AF658" s="67">
        <f>IF(AND(ISNUMBER(X658),ISNUMBER(Y658)),Y658-X658,"")</f>
        <v/>
      </c>
      <c r="AG658" s="68">
        <f>IF(ISNUMBER(AD658),AD658-(IF(AND(INDEX(TZ_DSTS,MATCH(P658,TZ_STN,0))&lt;&gt;"",(AD658-INDEX(TZ_STD,MATCH(P658,TZ_STN,0))/24)&gt;=INDEX(TZ_DSTS,MATCH(P658,TZ_STN,0)),(AD658-INDEX(TZ_STD,MATCH(P658,TZ_STN,0))/24)&lt;INDEX(TZ_DSTE,MATCH(P658,TZ_STN,0))),INDEX(TZ_DST,MATCH(P658,TZ_STN,0)),INDEX(TZ_STD,MATCH(P658,TZ_STN,0))))/24,"")</f>
        <v/>
      </c>
      <c r="AH658" s="71">
        <f>IF(N658="N/A – rule","N/A – RULE",IF(TRIM(U658)="N/A",IF(AT658=0,"INVALID – N/A not permitted for this mandatory check",IF(AND(TRIM(AC658)&lt;&gt;"",TRIM(AE658)&lt;&gt;"",TRIM(T658)&lt;&gt;""),"N/A – JUSTIFIED","INVALID – N/A needs justification, PIC and verifier")),IF(OR(TRIM(U658)="Pass",TRIM(U658)="Pass after CA"),IF(NOT(ISNUMBER(AD658)),"INVALID – completion time missing",IF(TRIM(T658)="","INVALID – PIC missing",IF(TRIM(Z658)="","INVALID – evidence missing",IF(TRIM(AE658)="","INVALID – verifier missing",IF(AND(AQ658=1,TRIM(W658)=""),"INVALID – batch ID missing",IF(AND(AR658=1,OR(NOT(ISNUMBER(X658)),NOT(ISNUMBER(Y658)))),"INVALID – expected/actual qty missing",IF(IF(AND(TRIM(U658)="Pass",ISNUMBER(AF658)),IF(AF658&lt;&gt;0,"INVALID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recorded/closed","")&lt;&gt;"",IF(AND(TRIM(U658)="Pass",ISNUMBER(AF658)),IF(AF658&lt;&gt;0,"INVALID – qty variance: use Fail or Pass after CA",""),"")&amp;IF(AND(TRIM(U658)="Pass",AB658="Open"),"INVALID – corrective action still open: use Fail, then Pass after CA","")&amp;IF(AND(TRIM(U658)="Pass after CA",OR(TRIM(AA658)="",AB658&lt;&gt;"Closed")),"INVALID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window"),IF(AG658&gt;Flights!$AA$24,"INVALID – completed after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f>
        <v/>
      </c>
      <c r="AI658" s="67">
        <f>IF(OR(AH658="N/A – RULE",AH658="N/A – JUSTIFIED"),0,1)</f>
        <v/>
      </c>
      <c r="AJ658" s="67">
        <f>IF(LEFT(AH658,8)="COMPLETE",1,0)</f>
        <v/>
      </c>
      <c r="AK658" s="67">
        <f>IF(AND(AI658=1,AJ658=0,AsOfUTC&gt;Q658),1,0)</f>
        <v/>
      </c>
      <c r="AL658" s="67">
        <f>IF(AND(AI658=1,OR(TRIM(U658)="Fail",AB658="Open",AND(ISNUMBER(AF658),AF658&lt;&gt;0,TRIM(U658)&lt;&gt;"Pass after CA"))),1,0)</f>
        <v/>
      </c>
      <c r="AM658" s="67">
        <f>IF(LEFT(AH658,7)="INVALID",1,0)</f>
        <v/>
      </c>
      <c r="AN658" s="67">
        <f>IF(AND(N658="Clarification required",AI658=1,AJ658=0),1,0)</f>
        <v/>
      </c>
      <c r="AO658" s="67">
        <f>IF(AK658=1,SUM(AK$5:AK658),"")</f>
        <v/>
      </c>
      <c r="AP658" s="67">
        <f>IF(AL658=1,SUM(AL$5:AL658),"")</f>
        <v/>
      </c>
      <c r="AQ658" s="67" t="n">
        <v>0</v>
      </c>
      <c r="AR658" s="67" t="n">
        <v>0</v>
      </c>
      <c r="AS658" s="67" t="n">
        <v>0</v>
      </c>
      <c r="AT658" s="67" t="n">
        <v>0</v>
      </c>
    </row>
    <row r="659" ht="79" customHeight="1">
      <c r="A659" s="63" t="inlineStr">
        <is>
          <t>F20-T12-06</t>
        </is>
      </c>
      <c r="B659" s="63" t="inlineStr">
        <is>
          <t>F20</t>
        </is>
      </c>
      <c r="C659" s="63">
        <f>Flights!$F$24</f>
        <v/>
      </c>
      <c r="D659" s="64">
        <f>Flights!$D$24</f>
        <v/>
      </c>
      <c r="E659" s="63">
        <f>Flights!$G$24&amp;"-"&amp;Flights!$H$24</f>
        <v/>
      </c>
      <c r="F659" s="63">
        <f>Flights!$K$24</f>
        <v/>
      </c>
      <c r="G659" s="63" t="inlineStr">
        <is>
          <t>T-12H PREP</t>
        </is>
      </c>
      <c r="H659" s="63" t="inlineStr">
        <is>
          <t>Preparation</t>
        </is>
      </c>
      <c r="I659" s="63" t="inlineStr">
        <is>
          <t>Equipment</t>
        </is>
      </c>
      <c r="J659" s="63" t="inlineStr">
        <is>
          <t>Equipment quantities vs GLD</t>
        </is>
      </c>
      <c r="K659" s="73" t="inlineStr">
        <is>
          <t>Enter expected &amp; actual. Aircraft galley data: B737-8 (B7M8): carts 10.5, SU 25, ovens 6, warming ovens -, fridges -, water heaters 3, beverage makers -, espresso -, folding trolleys -, headsets - (AIRCRAFT TYPE!C16:R16)</t>
        </is>
      </c>
      <c r="L659" s="73" t="inlineStr">
        <is>
          <t>User brief (T-12 hours)</t>
        </is>
      </c>
      <c r="M659" s="73" t="inlineStr"/>
      <c r="N659" s="73" t="inlineStr">
        <is>
          <t>Required</t>
        </is>
      </c>
      <c r="O659" s="73" t="inlineStr">
        <is>
          <t>Preparation check at caterer - does NOT confirm loading.</t>
        </is>
      </c>
      <c r="P659" s="63" t="inlineStr">
        <is>
          <t>KUL</t>
        </is>
      </c>
      <c r="Q659" s="65">
        <f>Flights!$AE$24</f>
        <v/>
      </c>
      <c r="R659" s="65">
        <f>Q659+(IF(AND(INDEX(TZ_DSTS,MATCH(P659,TZ_STN,0))&lt;&gt;"",Q659&gt;=INDEX(TZ_DSTS,MATCH(P659,TZ_STN,0)),Q659&lt;INDEX(TZ_DSTE,MATCH(P659,TZ_STN,0))),INDEX(TZ_DST,MATCH(P659,TZ_STN,0)),INDEX(TZ_STD,MATCH(P659,TZ_STN,0))))/24</f>
        <v/>
      </c>
      <c r="S659" s="65">
        <f>Q659-T12EarlyH/24</f>
        <v/>
      </c>
      <c r="T659" s="66" t="n"/>
      <c r="U659" s="66" t="n"/>
      <c r="V659" s="66" t="n"/>
      <c r="W659" s="67" t="n"/>
      <c r="X659" s="66" t="n"/>
      <c r="Y659" s="66" t="n"/>
      <c r="Z659" s="66" t="n"/>
      <c r="AA659" s="66" t="n"/>
      <c r="AB659" s="66" t="n"/>
      <c r="AC659" s="66" t="n"/>
      <c r="AD659" s="72" t="n"/>
      <c r="AE659" s="66" t="n"/>
      <c r="AF659" s="67">
        <f>IF(AND(ISNUMBER(X659),ISNUMBER(Y659)),Y659-X659,"")</f>
        <v/>
      </c>
      <c r="AG659" s="68">
        <f>IF(ISNUMBER(AD659),AD659-(IF(AND(INDEX(TZ_DSTS,MATCH(P659,TZ_STN,0))&lt;&gt;"",(AD659-INDEX(TZ_STD,MATCH(P659,TZ_STN,0))/24)&gt;=INDEX(TZ_DSTS,MATCH(P659,TZ_STN,0)),(AD659-INDEX(TZ_STD,MATCH(P659,TZ_STN,0))/24)&lt;INDEX(TZ_DSTE,MATCH(P659,TZ_STN,0))),INDEX(TZ_DST,MATCH(P659,TZ_STN,0)),INDEX(TZ_STD,MATCH(P659,TZ_STN,0))))/24,"")</f>
        <v/>
      </c>
      <c r="AH659" s="71">
        <f>IF(N659="N/A – rule","N/A – RULE",IF(TRIM(U659)="N/A",IF(AT659=0,"INVALID – N/A not permitted for this mandatory check",IF(AND(TRIM(AC659)&lt;&gt;"",TRIM(AE659)&lt;&gt;"",TRIM(T659)&lt;&gt;""),"N/A – JUSTIFIED","INVALID – N/A needs justification, PIC and verifier")),IF(OR(TRIM(U659)="Pass",TRIM(U659)="Pass after CA"),IF(NOT(ISNUMBER(AD659)),"INVALID – completion time missing",IF(TRIM(T659)="","INVALID – PIC missing",IF(TRIM(Z659)="","INVALID – evidence missing",IF(TRIM(AE659)="","INVALID – verifier missing",IF(AND(AQ659=1,TRIM(W659)=""),"INVALID – batch ID missing",IF(AND(AR659=1,OR(NOT(ISNUMBER(X659)),NOT(ISNUMBER(Y659)))),"INVALID – expected/actual qty missing",IF(IF(AND(TRIM(U659)="Pass",ISNUMBER(AF659)),IF(AF659&lt;&gt;0,"INVALID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recorded/closed","")&lt;&gt;"",IF(AND(TRIM(U659)="Pass",ISNUMBER(AF659)),IF(AF659&lt;&gt;0,"INVALID – qty variance: use Fail or Pass after CA",""),"")&amp;IF(AND(TRIM(U659)="Pass",AB659="Open"),"INVALID – corrective action still open: use Fail, then Pass after CA","")&amp;IF(AND(TRIM(U659)="Pass after CA",OR(TRIM(AA659)="",AB659&lt;&gt;"Closed")),"INVALID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window"),IF(AG659&gt;Flights!$AA$24,"INVALID – completed after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f>
        <v/>
      </c>
      <c r="AI659" s="67">
        <f>IF(OR(AH659="N/A – RULE",AH659="N/A – JUSTIFIED"),0,1)</f>
        <v/>
      </c>
      <c r="AJ659" s="67">
        <f>IF(LEFT(AH659,8)="COMPLETE",1,0)</f>
        <v/>
      </c>
      <c r="AK659" s="67">
        <f>IF(AND(AI659=1,AJ659=0,AsOfUTC&gt;Q659),1,0)</f>
        <v/>
      </c>
      <c r="AL659" s="67">
        <f>IF(AND(AI659=1,OR(TRIM(U659)="Fail",AB659="Open",AND(ISNUMBER(AF659),AF659&lt;&gt;0,TRIM(U659)&lt;&gt;"Pass after CA"))),1,0)</f>
        <v/>
      </c>
      <c r="AM659" s="67">
        <f>IF(LEFT(AH659,7)="INVALID",1,0)</f>
        <v/>
      </c>
      <c r="AN659" s="67">
        <f>IF(AND(N659="Clarification required",AI659=1,AJ659=0),1,0)</f>
        <v/>
      </c>
      <c r="AO659" s="67">
        <f>IF(AK659=1,SUM(AK$5:AK659),"")</f>
        <v/>
      </c>
      <c r="AP659" s="67">
        <f>IF(AL659=1,SUM(AL$5:AL659),"")</f>
        <v/>
      </c>
      <c r="AQ659" s="67" t="n">
        <v>0</v>
      </c>
      <c r="AR659" s="67" t="n">
        <v>1</v>
      </c>
      <c r="AS659" s="67" t="n">
        <v>0</v>
      </c>
      <c r="AT659" s="67" t="n">
        <v>0</v>
      </c>
    </row>
    <row r="660" ht="40" customHeight="1">
      <c r="A660" s="63" t="inlineStr">
        <is>
          <t>F20-T12-07</t>
        </is>
      </c>
      <c r="B660" s="63" t="inlineStr">
        <is>
          <t>F20</t>
        </is>
      </c>
      <c r="C660" s="63">
        <f>Flights!$F$24</f>
        <v/>
      </c>
      <c r="D660" s="64">
        <f>Flights!$D$24</f>
        <v/>
      </c>
      <c r="E660" s="63">
        <f>Flights!$G$24&amp;"-"&amp;Flights!$H$24</f>
        <v/>
      </c>
      <c r="F660" s="63">
        <f>Flights!$K$24</f>
        <v/>
      </c>
      <c r="G660" s="63" t="inlineStr">
        <is>
          <t>T-12H PREP</t>
        </is>
      </c>
      <c r="H660" s="63" t="inlineStr">
        <is>
          <t>Preparation</t>
        </is>
      </c>
      <c r="I660" s="63" t="inlineStr">
        <is>
          <t>Equipment</t>
        </is>
      </c>
      <c r="J660" s="63" t="inlineStr">
        <is>
          <t>Loading positions planned vs GLD</t>
        </is>
      </c>
      <c r="K660" s="73" t="inlineStr"/>
      <c r="L660" s="73" t="inlineStr">
        <is>
          <t>User brief (T-12 hours)</t>
        </is>
      </c>
      <c r="M660" s="73" t="inlineStr"/>
      <c r="N660" s="73" t="inlineStr">
        <is>
          <t>Required</t>
        </is>
      </c>
      <c r="O660" s="73" t="inlineStr">
        <is>
          <t>Preparation check at caterer - does NOT confirm loading.</t>
        </is>
      </c>
      <c r="P660" s="63" t="inlineStr">
        <is>
          <t>KUL</t>
        </is>
      </c>
      <c r="Q660" s="65">
        <f>Flights!$AE$24</f>
        <v/>
      </c>
      <c r="R660" s="65">
        <f>Q660+(IF(AND(INDEX(TZ_DSTS,MATCH(P660,TZ_STN,0))&lt;&gt;"",Q660&gt;=INDEX(TZ_DSTS,MATCH(P660,TZ_STN,0)),Q660&lt;INDEX(TZ_DSTE,MATCH(P660,TZ_STN,0))),INDEX(TZ_DST,MATCH(P660,TZ_STN,0)),INDEX(TZ_STD,MATCH(P660,TZ_STN,0))))/24</f>
        <v/>
      </c>
      <c r="S660" s="65">
        <f>Q660-T12EarlyH/24</f>
        <v/>
      </c>
      <c r="T660" s="66" t="n"/>
      <c r="U660" s="66" t="n"/>
      <c r="V660" s="66" t="n"/>
      <c r="W660" s="67" t="n"/>
      <c r="X660" s="66" t="n"/>
      <c r="Y660" s="66" t="n"/>
      <c r="Z660" s="66" t="n"/>
      <c r="AA660" s="66" t="n"/>
      <c r="AB660" s="66" t="n"/>
      <c r="AC660" s="66" t="n"/>
      <c r="AD660" s="72" t="n"/>
      <c r="AE660" s="66" t="n"/>
      <c r="AF660" s="67">
        <f>IF(AND(ISNUMBER(X660),ISNUMBER(Y660)),Y660-X660,"")</f>
        <v/>
      </c>
      <c r="AG660" s="68">
        <f>IF(ISNUMBER(AD660),AD660-(IF(AND(INDEX(TZ_DSTS,MATCH(P660,TZ_STN,0))&lt;&gt;"",(AD660-INDEX(TZ_STD,MATCH(P660,TZ_STN,0))/24)&gt;=INDEX(TZ_DSTS,MATCH(P660,TZ_STN,0)),(AD660-INDEX(TZ_STD,MATCH(P660,TZ_STN,0))/24)&lt;INDEX(TZ_DSTE,MATCH(P660,TZ_STN,0))),INDEX(TZ_DST,MATCH(P660,TZ_STN,0)),INDEX(TZ_STD,MATCH(P660,TZ_STN,0))))/24,"")</f>
        <v/>
      </c>
      <c r="AH660" s="71">
        <f>IF(N660="N/A – rule","N/A – RULE",IF(TRIM(U660)="N/A",IF(AT660=0,"INVALID – N/A not permitted for this mandatory check",IF(AND(TRIM(AC660)&lt;&gt;"",TRIM(AE660)&lt;&gt;"",TRIM(T660)&lt;&gt;""),"N/A – JUSTIFIED","INVALID – N/A needs justification, PIC and verifier")),IF(OR(TRIM(U660)="Pass",TRIM(U660)="Pass after CA"),IF(NOT(ISNUMBER(AD660)),"INVALID – completion time missing",IF(TRIM(T660)="","INVALID – PIC missing",IF(TRIM(Z660)="","INVALID – evidence missing",IF(TRIM(AE660)="","INVALID – verifier missing",IF(AND(AQ660=1,TRIM(W660)=""),"INVALID – batch ID missing",IF(AND(AR660=1,OR(NOT(ISNUMBER(X660)),NOT(ISNUMBER(Y660)))),"INVALID – expected/actual qty missing",IF(IF(AND(TRIM(U660)="Pass",ISNUMBER(AF660)),IF(AF660&lt;&gt;0,"INVALID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recorded/closed","")&lt;&gt;"",IF(AND(TRIM(U660)="Pass",ISNUMBER(AF660)),IF(AF660&lt;&gt;0,"INVALID – qty variance: use Fail or Pass after CA",""),"")&amp;IF(AND(TRIM(U660)="Pass",AB660="Open"),"INVALID – corrective action still open: use Fail, then Pass after CA","")&amp;IF(AND(TRIM(U660)="Pass after CA",OR(TRIM(AA660)="",AB660&lt;&gt;"Closed")),"INVALID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window"),IF(AG660&gt;Flights!$AA$24,"INVALID – completed after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f>
        <v/>
      </c>
      <c r="AI660" s="67">
        <f>IF(OR(AH660="N/A – RULE",AH660="N/A – JUSTIFIED"),0,1)</f>
        <v/>
      </c>
      <c r="AJ660" s="67">
        <f>IF(LEFT(AH660,8)="COMPLETE",1,0)</f>
        <v/>
      </c>
      <c r="AK660" s="67">
        <f>IF(AND(AI660=1,AJ660=0,AsOfUTC&gt;Q660),1,0)</f>
        <v/>
      </c>
      <c r="AL660" s="67">
        <f>IF(AND(AI660=1,OR(TRIM(U660)="Fail",AB660="Open",AND(ISNUMBER(AF660),AF660&lt;&gt;0,TRIM(U660)&lt;&gt;"Pass after CA"))),1,0)</f>
        <v/>
      </c>
      <c r="AM660" s="67">
        <f>IF(LEFT(AH660,7)="INVALID",1,0)</f>
        <v/>
      </c>
      <c r="AN660" s="67">
        <f>IF(AND(N660="Clarification required",AI660=1,AJ660=0),1,0)</f>
        <v/>
      </c>
      <c r="AO660" s="67">
        <f>IF(AK660=1,SUM(AK$5:AK660),"")</f>
        <v/>
      </c>
      <c r="AP660" s="67">
        <f>IF(AL660=1,SUM(AL$5:AL660),"")</f>
        <v/>
      </c>
      <c r="AQ660" s="67" t="n">
        <v>0</v>
      </c>
      <c r="AR660" s="67" t="n">
        <v>0</v>
      </c>
      <c r="AS660" s="67" t="n">
        <v>0</v>
      </c>
      <c r="AT660" s="67" t="n">
        <v>0</v>
      </c>
    </row>
    <row r="661" ht="41.5" customHeight="1">
      <c r="A661" s="63" t="inlineStr">
        <is>
          <t>F20-T12-08</t>
        </is>
      </c>
      <c r="B661" s="63" t="inlineStr">
        <is>
          <t>F20</t>
        </is>
      </c>
      <c r="C661" s="63">
        <f>Flights!$F$24</f>
        <v/>
      </c>
      <c r="D661" s="64">
        <f>Flights!$D$24</f>
        <v/>
      </c>
      <c r="E661" s="63">
        <f>Flights!$G$24&amp;"-"&amp;Flights!$H$24</f>
        <v/>
      </c>
      <c r="F661" s="63">
        <f>Flights!$K$24</f>
        <v/>
      </c>
      <c r="G661" s="63" t="inlineStr">
        <is>
          <t>T-12H PREP</t>
        </is>
      </c>
      <c r="H661" s="63" t="inlineStr">
        <is>
          <t>Preparation</t>
        </is>
      </c>
      <c r="I661" s="63" t="inlineStr">
        <is>
          <t>Seat Linen</t>
        </is>
      </c>
      <c r="J661" s="63" t="inlineStr">
        <is>
          <t>Seat pillow (EY) - prepared</t>
        </is>
      </c>
      <c r="K661" s="73" t="inlineStr">
        <is>
          <t>Available 100% (ticked in reference)</t>
        </is>
      </c>
      <c r="L661" s="73" t="inlineStr">
        <is>
          <t>STD UPLIFT INFORMATION.xlsx &gt; SEAT LINEN!I64</t>
        </is>
      </c>
      <c r="M661" s="73" t="inlineStr">
        <is>
          <t>Not stated in reference</t>
        </is>
      </c>
      <c r="N661" s="73" t="inlineStr">
        <is>
          <t>Required</t>
        </is>
      </c>
      <c r="O661" s="73" t="inlineStr">
        <is>
          <t>Reference gives no uplift stn for this item: preparation checked at the meal uplift stn (KUL) - confirm with caterer.</t>
        </is>
      </c>
      <c r="P661" s="63" t="inlineStr">
        <is>
          <t>KUL</t>
        </is>
      </c>
      <c r="Q661" s="65">
        <f>Flights!$AE$24</f>
        <v/>
      </c>
      <c r="R661" s="65">
        <f>Q661+(IF(AND(INDEX(TZ_DSTS,MATCH(P661,TZ_STN,0))&lt;&gt;"",Q661&gt;=INDEX(TZ_DSTS,MATCH(P661,TZ_STN,0)),Q661&lt;INDEX(TZ_DSTE,MATCH(P661,TZ_STN,0))),INDEX(TZ_DST,MATCH(P661,TZ_STN,0)),INDEX(TZ_STD,MATCH(P661,TZ_STN,0))))/24</f>
        <v/>
      </c>
      <c r="S661" s="65">
        <f>Q661-T12EarlyH/24</f>
        <v/>
      </c>
      <c r="T661" s="66" t="n"/>
      <c r="U661" s="66" t="n"/>
      <c r="V661" s="66" t="n"/>
      <c r="W661" s="67" t="n"/>
      <c r="X661" s="66" t="n"/>
      <c r="Y661" s="66" t="n"/>
      <c r="Z661" s="66" t="n"/>
      <c r="AA661" s="66" t="n"/>
      <c r="AB661" s="66" t="n"/>
      <c r="AC661" s="66" t="n"/>
      <c r="AD661" s="72" t="n"/>
      <c r="AE661" s="66" t="n"/>
      <c r="AF661" s="67">
        <f>IF(AND(ISNUMBER(X661),ISNUMBER(Y661)),Y661-X661,"")</f>
        <v/>
      </c>
      <c r="AG661" s="68">
        <f>IF(ISNUMBER(AD661),AD661-(IF(AND(INDEX(TZ_DSTS,MATCH(P661,TZ_STN,0))&lt;&gt;"",(AD661-INDEX(TZ_STD,MATCH(P661,TZ_STN,0))/24)&gt;=INDEX(TZ_DSTS,MATCH(P661,TZ_STN,0)),(AD661-INDEX(TZ_STD,MATCH(P661,TZ_STN,0))/24)&lt;INDEX(TZ_DSTE,MATCH(P661,TZ_STN,0))),INDEX(TZ_DST,MATCH(P661,TZ_STN,0)),INDEX(TZ_STD,MATCH(P661,TZ_STN,0))))/24,"")</f>
        <v/>
      </c>
      <c r="AH661" s="71">
        <f>IF(N661="N/A – rule","N/A – RULE",IF(TRIM(U661)="N/A",IF(AT661=0,"INVALID – N/A not permitted for this mandatory check",IF(AND(TRIM(AC661)&lt;&gt;"",TRIM(AE661)&lt;&gt;"",TRIM(T661)&lt;&gt;""),"N/A – JUSTIFIED","INVALID – N/A needs justification, PIC and verifier")),IF(OR(TRIM(U661)="Pass",TRIM(U661)="Pass after CA"),IF(NOT(ISNUMBER(AD661)),"INVALID – completion time missing",IF(TRIM(T661)="","INVALID – PIC missing",IF(TRIM(Z661)="","INVALID – evidence missing",IF(TRIM(AE661)="","INVALID – verifier missing",IF(AND(AQ661=1,TRIM(W661)=""),"INVALID – batch ID missing",IF(AND(AR661=1,OR(NOT(ISNUMBER(X661)),NOT(ISNUMBER(Y661)))),"INVALID – expected/actual qty missing",IF(IF(AND(TRIM(U661)="Pass",ISNUMBER(AF661)),IF(AF661&lt;&gt;0,"INVALID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recorded/closed","")&lt;&gt;"",IF(AND(TRIM(U661)="Pass",ISNUMBER(AF661)),IF(AF661&lt;&gt;0,"INVALID – qty variance: use Fail or Pass after CA",""),"")&amp;IF(AND(TRIM(U661)="Pass",AB661="Open"),"INVALID – corrective action still open: use Fail, then Pass after CA","")&amp;IF(AND(TRIM(U661)="Pass after CA",OR(TRIM(AA661)="",AB661&lt;&gt;"Closed")),"INVALID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window"),IF(AG661&gt;Flights!$AA$24,"INVALID – completed after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f>
        <v/>
      </c>
      <c r="AI661" s="67">
        <f>IF(OR(AH661="N/A – RULE",AH661="N/A – JUSTIFIED"),0,1)</f>
        <v/>
      </c>
      <c r="AJ661" s="67">
        <f>IF(LEFT(AH661,8)="COMPLETE",1,0)</f>
        <v/>
      </c>
      <c r="AK661" s="67">
        <f>IF(AND(AI661=1,AJ661=0,AsOfUTC&gt;Q661),1,0)</f>
        <v/>
      </c>
      <c r="AL661" s="67">
        <f>IF(AND(AI661=1,OR(TRIM(U661)="Fail",AB661="Open",AND(ISNUMBER(AF661),AF661&lt;&gt;0,TRIM(U661)&lt;&gt;"Pass after CA"))),1,0)</f>
        <v/>
      </c>
      <c r="AM661" s="67">
        <f>IF(LEFT(AH661,7)="INVALID",1,0)</f>
        <v/>
      </c>
      <c r="AN661" s="67">
        <f>IF(AND(N661="Clarification required",AI661=1,AJ661=0),1,0)</f>
        <v/>
      </c>
      <c r="AO661" s="67">
        <f>IF(AK661=1,SUM(AK$5:AK661),"")</f>
        <v/>
      </c>
      <c r="AP661" s="67">
        <f>IF(AL661=1,SUM(AL$5:AL661),"")</f>
        <v/>
      </c>
      <c r="AQ661" s="67" t="n">
        <v>0</v>
      </c>
      <c r="AR661" s="67" t="n">
        <v>0</v>
      </c>
      <c r="AS661" s="67" t="n">
        <v>0</v>
      </c>
      <c r="AT661" s="67" t="n">
        <v>1</v>
      </c>
    </row>
    <row r="662" ht="40" customHeight="1">
      <c r="A662" s="63" t="inlineStr">
        <is>
          <t>F20-UPL-01</t>
        </is>
      </c>
      <c r="B662" s="63" t="inlineStr">
        <is>
          <t>F20</t>
        </is>
      </c>
      <c r="C662" s="63">
        <f>Flights!$F$24</f>
        <v/>
      </c>
      <c r="D662" s="64">
        <f>Flights!$D$24</f>
        <v/>
      </c>
      <c r="E662" s="63">
        <f>Flights!$G$24&amp;"-"&amp;Flights!$H$24</f>
        <v/>
      </c>
      <c r="F662" s="63">
        <f>Flights!$K$24</f>
        <v/>
      </c>
      <c r="G662" s="63" t="inlineStr">
        <is>
          <t>UPLIFT</t>
        </is>
      </c>
      <c r="H662" s="63" t="inlineStr">
        <is>
          <t>Physical uplift</t>
        </is>
      </c>
      <c r="I662" s="63" t="inlineStr">
        <is>
          <t>Meal</t>
        </is>
      </c>
      <c r="J662" s="63" t="inlineStr">
        <is>
          <t>Meals physically uplifted on board - quantity vs menu checklist</t>
        </is>
      </c>
      <c r="K662" s="73" t="inlineStr">
        <is>
          <t>Enter expected &amp; actual</t>
        </is>
      </c>
      <c r="L662" s="73" t="inlineStr">
        <is>
          <t>User brief (T-12 hours - physical uplift)</t>
        </is>
      </c>
      <c r="M662" s="73" t="inlineStr"/>
      <c r="N662" s="73" t="inlineStr">
        <is>
          <t>Required</t>
        </is>
      </c>
      <c r="O662" s="73" t="inlineStr">
        <is>
          <t>Confirm on board before departure; completion time must fall inside the uplift window.</t>
        </is>
      </c>
      <c r="P662" s="63" t="inlineStr">
        <is>
          <t>KUL</t>
        </is>
      </c>
      <c r="Q662" s="65">
        <f>Flights!$AF$24</f>
        <v/>
      </c>
      <c r="R662" s="65">
        <f>Q662+(IF(AND(INDEX(TZ_DSTS,MATCH(P662,TZ_STN,0))&lt;&gt;"",Q662&gt;=INDEX(TZ_DSTS,MATCH(P662,TZ_STN,0)),Q662&lt;INDEX(TZ_DSTE,MATCH(P662,TZ_STN,0))),INDEX(TZ_DST,MATCH(P662,TZ_STN,0)),INDEX(TZ_STD,MATCH(P662,TZ_STN,0))))/24</f>
        <v/>
      </c>
      <c r="S662" s="65">
        <f>Q662-UpliftWindowH/24</f>
        <v/>
      </c>
      <c r="T662" s="66" t="n"/>
      <c r="U662" s="66" t="n"/>
      <c r="V662" s="66" t="n"/>
      <c r="W662" s="67" t="n"/>
      <c r="X662" s="66" t="n"/>
      <c r="Y662" s="66" t="n"/>
      <c r="Z662" s="66" t="n"/>
      <c r="AA662" s="66" t="n"/>
      <c r="AB662" s="66" t="n"/>
      <c r="AC662" s="66" t="n"/>
      <c r="AD662" s="72" t="n"/>
      <c r="AE662" s="66" t="n"/>
      <c r="AF662" s="67">
        <f>IF(AND(ISNUMBER(X662),ISNUMBER(Y662)),Y662-X662,"")</f>
        <v/>
      </c>
      <c r="AG662" s="68">
        <f>IF(ISNUMBER(AD662),AD662-(IF(AND(INDEX(TZ_DSTS,MATCH(P662,TZ_STN,0))&lt;&gt;"",(AD662-INDEX(TZ_STD,MATCH(P662,TZ_STN,0))/24)&gt;=INDEX(TZ_DSTS,MATCH(P662,TZ_STN,0)),(AD662-INDEX(TZ_STD,MATCH(P662,TZ_STN,0))/24)&lt;INDEX(TZ_DSTE,MATCH(P662,TZ_STN,0))),INDEX(TZ_DST,MATCH(P662,TZ_STN,0)),INDEX(TZ_STD,MATCH(P662,TZ_STN,0))))/24,"")</f>
        <v/>
      </c>
      <c r="AH662" s="71">
        <f>IF(N662="N/A – rule","N/A – RULE",IF(TRIM(U662)="N/A",IF(AT662=0,"INVALID – N/A not permitted for this mandatory check",IF(AND(TRIM(AC662)&lt;&gt;"",TRIM(AE662)&lt;&gt;"",TRIM(T662)&lt;&gt;""),"N/A – JUSTIFIED","INVALID – N/A needs justification, PIC and verifier")),IF(OR(TRIM(U662)="Pass",TRIM(U662)="Pass after CA"),IF(NOT(ISNUMBER(AD662)),"INVALID – completion time missing",IF(TRIM(T662)="","INVALID – PIC missing",IF(TRIM(Z662)="","INVALID – evidence missing",IF(TRIM(AE662)="","INVALID – verifier missing",IF(AND(AQ662=1,TRIM(W662)=""),"INVALID – batch ID missing",IF(AND(AR662=1,OR(NOT(ISNUMBER(X662)),NOT(ISNUMBER(Y662)))),"INVALID – expected/actual qty missing",IF(IF(AND(TRIM(U662)="Pass",ISNUMBER(AF662)),IF(AF662&lt;&gt;0,"INVALID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recorded/closed","")&lt;&gt;"",IF(AND(TRIM(U662)="Pass",ISNUMBER(AF662)),IF(AF662&lt;&gt;0,"INVALID – qty variance: use Fail or Pass after CA",""),"")&amp;IF(AND(TRIM(U662)="Pass",AB662="Open"),"INVALID – corrective action still open: use Fail, then Pass after CA","")&amp;IF(AND(TRIM(U662)="Pass after CA",OR(TRIM(AA662)="",AB662&lt;&gt;"Closed")),"INVALID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window"),IF(AG662&gt;Flights!$AA$24,"INVALID – completed after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f>
        <v/>
      </c>
      <c r="AI662" s="67">
        <f>IF(OR(AH662="N/A – RULE",AH662="N/A – JUSTIFIED"),0,1)</f>
        <v/>
      </c>
      <c r="AJ662" s="67">
        <f>IF(LEFT(AH662,8)="COMPLETE",1,0)</f>
        <v/>
      </c>
      <c r="AK662" s="67">
        <f>IF(AND(AI662=1,AJ662=0,AsOfUTC&gt;Q662),1,0)</f>
        <v/>
      </c>
      <c r="AL662" s="67">
        <f>IF(AND(AI662=1,OR(TRIM(U662)="Fail",AB662="Open",AND(ISNUMBER(AF662),AF662&lt;&gt;0,TRIM(U662)&lt;&gt;"Pass after CA"))),1,0)</f>
        <v/>
      </c>
      <c r="AM662" s="67">
        <f>IF(LEFT(AH662,7)="INVALID",1,0)</f>
        <v/>
      </c>
      <c r="AN662" s="67">
        <f>IF(AND(N662="Clarification required",AI662=1,AJ662=0),1,0)</f>
        <v/>
      </c>
      <c r="AO662" s="67">
        <f>IF(AK662=1,SUM(AK$5:AK662),"")</f>
        <v/>
      </c>
      <c r="AP662" s="67">
        <f>IF(AL662=1,SUM(AL$5:AL662),"")</f>
        <v/>
      </c>
      <c r="AQ662" s="67" t="n">
        <v>0</v>
      </c>
      <c r="AR662" s="67" t="n">
        <v>1</v>
      </c>
      <c r="AS662" s="67" t="n">
        <v>0</v>
      </c>
      <c r="AT662" s="67" t="n">
        <v>0</v>
      </c>
    </row>
    <row r="663" ht="40" customHeight="1">
      <c r="A663" s="63" t="inlineStr">
        <is>
          <t>F20-UPL-02</t>
        </is>
      </c>
      <c r="B663" s="63" t="inlineStr">
        <is>
          <t>F20</t>
        </is>
      </c>
      <c r="C663" s="63">
        <f>Flights!$F$24</f>
        <v/>
      </c>
      <c r="D663" s="64">
        <f>Flights!$D$24</f>
        <v/>
      </c>
      <c r="E663" s="63">
        <f>Flights!$G$24&amp;"-"&amp;Flights!$H$24</f>
        <v/>
      </c>
      <c r="F663" s="63">
        <f>Flights!$K$24</f>
        <v/>
      </c>
      <c r="G663" s="63" t="inlineStr">
        <is>
          <t>UPLIFT</t>
        </is>
      </c>
      <c r="H663" s="63" t="inlineStr">
        <is>
          <t>Physical uplift</t>
        </is>
      </c>
      <c r="I663" s="63" t="inlineStr">
        <is>
          <t>Equipment</t>
        </is>
      </c>
      <c r="J663" s="63" t="inlineStr">
        <is>
          <t>Equipment physically loaded at GLD positions - quantity &amp; positions</t>
        </is>
      </c>
      <c r="K663" s="73" t="inlineStr">
        <is>
          <t>Enter expected &amp; actual</t>
        </is>
      </c>
      <c r="L663" s="73" t="inlineStr">
        <is>
          <t>User brief (T-12 hours - physical uplift)</t>
        </is>
      </c>
      <c r="M663" s="73" t="inlineStr"/>
      <c r="N663" s="73" t="inlineStr">
        <is>
          <t>Required</t>
        </is>
      </c>
      <c r="O663" s="73" t="inlineStr">
        <is>
          <t>Confirm on board before departure; completion time must fall inside the uplift window.</t>
        </is>
      </c>
      <c r="P663" s="63" t="inlineStr">
        <is>
          <t>KUL</t>
        </is>
      </c>
      <c r="Q663" s="65">
        <f>Flights!$AF$24</f>
        <v/>
      </c>
      <c r="R663" s="65">
        <f>Q663+(IF(AND(INDEX(TZ_DSTS,MATCH(P663,TZ_STN,0))&lt;&gt;"",Q663&gt;=INDEX(TZ_DSTS,MATCH(P663,TZ_STN,0)),Q663&lt;INDEX(TZ_DSTE,MATCH(P663,TZ_STN,0))),INDEX(TZ_DST,MATCH(P663,TZ_STN,0)),INDEX(TZ_STD,MATCH(P663,TZ_STN,0))))/24</f>
        <v/>
      </c>
      <c r="S663" s="65">
        <f>Q663-UpliftWindowH/24</f>
        <v/>
      </c>
      <c r="T663" s="66" t="n"/>
      <c r="U663" s="66" t="n"/>
      <c r="V663" s="66" t="n"/>
      <c r="W663" s="67" t="n"/>
      <c r="X663" s="66" t="n"/>
      <c r="Y663" s="66" t="n"/>
      <c r="Z663" s="66" t="n"/>
      <c r="AA663" s="66" t="n"/>
      <c r="AB663" s="66" t="n"/>
      <c r="AC663" s="66" t="n"/>
      <c r="AD663" s="72" t="n"/>
      <c r="AE663" s="66" t="n"/>
      <c r="AF663" s="67">
        <f>IF(AND(ISNUMBER(X663),ISNUMBER(Y663)),Y663-X663,"")</f>
        <v/>
      </c>
      <c r="AG663" s="68">
        <f>IF(ISNUMBER(AD663),AD663-(IF(AND(INDEX(TZ_DSTS,MATCH(P663,TZ_STN,0))&lt;&gt;"",(AD663-INDEX(TZ_STD,MATCH(P663,TZ_STN,0))/24)&gt;=INDEX(TZ_DSTS,MATCH(P663,TZ_STN,0)),(AD663-INDEX(TZ_STD,MATCH(P663,TZ_STN,0))/24)&lt;INDEX(TZ_DSTE,MATCH(P663,TZ_STN,0))),INDEX(TZ_DST,MATCH(P663,TZ_STN,0)),INDEX(TZ_STD,MATCH(P663,TZ_STN,0))))/24,"")</f>
        <v/>
      </c>
      <c r="AH663" s="71">
        <f>IF(N663="N/A – rule","N/A – RULE",IF(TRIM(U663)="N/A",IF(AT663=0,"INVALID – N/A not permitted for this mandatory check",IF(AND(TRIM(AC663)&lt;&gt;"",TRIM(AE663)&lt;&gt;"",TRIM(T663)&lt;&gt;""),"N/A – JUSTIFIED","INVALID – N/A needs justification, PIC and verifier")),IF(OR(TRIM(U663)="Pass",TRIM(U663)="Pass after CA"),IF(NOT(ISNUMBER(AD663)),"INVALID – completion time missing",IF(TRIM(T663)="","INVALID – PIC missing",IF(TRIM(Z663)="","INVALID – evidence missing",IF(TRIM(AE663)="","INVALID – verifier missing",IF(AND(AQ663=1,TRIM(W663)=""),"INVALID – batch ID missing",IF(AND(AR663=1,OR(NOT(ISNUMBER(X663)),NOT(ISNUMBER(Y663)))),"INVALID – expected/actual qty missing",IF(IF(AND(TRIM(U663)="Pass",ISNUMBER(AF663)),IF(AF663&lt;&gt;0,"INVALID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recorded/closed","")&lt;&gt;"",IF(AND(TRIM(U663)="Pass",ISNUMBER(AF663)),IF(AF663&lt;&gt;0,"INVALID – qty variance: use Fail or Pass after CA",""),"")&amp;IF(AND(TRIM(U663)="Pass",AB663="Open"),"INVALID – corrective action still open: use Fail, then Pass after CA","")&amp;IF(AND(TRIM(U663)="Pass after CA",OR(TRIM(AA663)="",AB663&lt;&gt;"Closed")),"INVALID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window"),IF(AG663&gt;Flights!$AA$24,"INVALID – completed after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f>
        <v/>
      </c>
      <c r="AI663" s="67">
        <f>IF(OR(AH663="N/A – RULE",AH663="N/A – JUSTIFIED"),0,1)</f>
        <v/>
      </c>
      <c r="AJ663" s="67">
        <f>IF(LEFT(AH663,8)="COMPLETE",1,0)</f>
        <v/>
      </c>
      <c r="AK663" s="67">
        <f>IF(AND(AI663=1,AJ663=0,AsOfUTC&gt;Q663),1,0)</f>
        <v/>
      </c>
      <c r="AL663" s="67">
        <f>IF(AND(AI663=1,OR(TRIM(U663)="Fail",AB663="Open",AND(ISNUMBER(AF663),AF663&lt;&gt;0,TRIM(U663)&lt;&gt;"Pass after CA"))),1,0)</f>
        <v/>
      </c>
      <c r="AM663" s="67">
        <f>IF(LEFT(AH663,7)="INVALID",1,0)</f>
        <v/>
      </c>
      <c r="AN663" s="67">
        <f>IF(AND(N663="Clarification required",AI663=1,AJ663=0),1,0)</f>
        <v/>
      </c>
      <c r="AO663" s="67">
        <f>IF(AK663=1,SUM(AK$5:AK663),"")</f>
        <v/>
      </c>
      <c r="AP663" s="67">
        <f>IF(AL663=1,SUM(AL$5:AL663),"")</f>
        <v/>
      </c>
      <c r="AQ663" s="67" t="n">
        <v>0</v>
      </c>
      <c r="AR663" s="67" t="n">
        <v>1</v>
      </c>
      <c r="AS663" s="67" t="n">
        <v>0</v>
      </c>
      <c r="AT663" s="67" t="n">
        <v>0</v>
      </c>
    </row>
    <row r="664" ht="40" customHeight="1">
      <c r="A664" s="63" t="inlineStr">
        <is>
          <t>F20-UPL-03</t>
        </is>
      </c>
      <c r="B664" s="63" t="inlineStr">
        <is>
          <t>F20</t>
        </is>
      </c>
      <c r="C664" s="63">
        <f>Flights!$F$24</f>
        <v/>
      </c>
      <c r="D664" s="64">
        <f>Flights!$D$24</f>
        <v/>
      </c>
      <c r="E664" s="63">
        <f>Flights!$G$24&amp;"-"&amp;Flights!$H$24</f>
        <v/>
      </c>
      <c r="F664" s="63">
        <f>Flights!$K$24</f>
        <v/>
      </c>
      <c r="G664" s="63" t="inlineStr">
        <is>
          <t>UPLIFT</t>
        </is>
      </c>
      <c r="H664" s="63" t="inlineStr">
        <is>
          <t>Physical uplift</t>
        </is>
      </c>
      <c r="I664" s="63" t="inlineStr">
        <is>
          <t>Seat Linen</t>
        </is>
      </c>
      <c r="J664" s="63" t="inlineStr">
        <is>
          <t>Seat pillow (EY) - on board</t>
        </is>
      </c>
      <c r="K664" s="73" t="inlineStr">
        <is>
          <t>Available 100% (ticked in reference)</t>
        </is>
      </c>
      <c r="L664" s="73" t="inlineStr">
        <is>
          <t>STD UPLIFT INFORMATION.xlsx &gt; SEAT LINEN!I64</t>
        </is>
      </c>
      <c r="M664" s="73" t="inlineStr">
        <is>
          <t>Not stated in reference</t>
        </is>
      </c>
      <c r="N664" s="73" t="inlineStr">
        <is>
          <t>Required</t>
        </is>
      </c>
      <c r="O664" s="73" t="inlineStr"/>
      <c r="P664" s="63" t="inlineStr">
        <is>
          <t>KUL</t>
        </is>
      </c>
      <c r="Q664" s="65">
        <f>Flights!$AF$24</f>
        <v/>
      </c>
      <c r="R664" s="65">
        <f>Q664+(IF(AND(INDEX(TZ_DSTS,MATCH(P664,TZ_STN,0))&lt;&gt;"",Q664&gt;=INDEX(TZ_DSTS,MATCH(P664,TZ_STN,0)),Q664&lt;INDEX(TZ_DSTE,MATCH(P664,TZ_STN,0))),INDEX(TZ_DST,MATCH(P664,TZ_STN,0)),INDEX(TZ_STD,MATCH(P664,TZ_STN,0))))/24</f>
        <v/>
      </c>
      <c r="S664" s="65">
        <f>Q664-UpliftWindowH/24</f>
        <v/>
      </c>
      <c r="T664" s="66" t="n"/>
      <c r="U664" s="66" t="n"/>
      <c r="V664" s="66" t="n"/>
      <c r="W664" s="67" t="n"/>
      <c r="X664" s="66" t="n"/>
      <c r="Y664" s="66" t="n"/>
      <c r="Z664" s="66" t="n"/>
      <c r="AA664" s="66" t="n"/>
      <c r="AB664" s="66" t="n"/>
      <c r="AC664" s="66" t="n"/>
      <c r="AD664" s="72" t="n"/>
      <c r="AE664" s="66" t="n"/>
      <c r="AF664" s="67">
        <f>IF(AND(ISNUMBER(X664),ISNUMBER(Y664)),Y664-X664,"")</f>
        <v/>
      </c>
      <c r="AG664" s="68">
        <f>IF(ISNUMBER(AD664),AD664-(IF(AND(INDEX(TZ_DSTS,MATCH(P664,TZ_STN,0))&lt;&gt;"",(AD664-INDEX(TZ_STD,MATCH(P664,TZ_STN,0))/24)&gt;=INDEX(TZ_DSTS,MATCH(P664,TZ_STN,0)),(AD664-INDEX(TZ_STD,MATCH(P664,TZ_STN,0))/24)&lt;INDEX(TZ_DSTE,MATCH(P664,TZ_STN,0))),INDEX(TZ_DST,MATCH(P664,TZ_STN,0)),INDEX(TZ_STD,MATCH(P664,TZ_STN,0))))/24,"")</f>
        <v/>
      </c>
      <c r="AH664" s="71">
        <f>IF(N664="N/A – rule","N/A – RULE",IF(TRIM(U664)="N/A",IF(AT664=0,"INVALID – N/A not permitted for this mandatory check",IF(AND(TRIM(AC664)&lt;&gt;"",TRIM(AE664)&lt;&gt;"",TRIM(T664)&lt;&gt;""),"N/A – JUSTIFIED","INVALID – N/A needs justification, PIC and verifier")),IF(OR(TRIM(U664)="Pass",TRIM(U664)="Pass after CA"),IF(NOT(ISNUMBER(AD664)),"INVALID – completion time missing",IF(TRIM(T664)="","INVALID – PIC missing",IF(TRIM(Z664)="","INVALID – evidence missing",IF(TRIM(AE664)="","INVALID – verifier missing",IF(AND(AQ664=1,TRIM(W664)=""),"INVALID – batch ID missing",IF(AND(AR664=1,OR(NOT(ISNUMBER(X664)),NOT(ISNUMBER(Y664)))),"INVALID – expected/actual qty missing",IF(IF(AND(TRIM(U664)="Pass",ISNUMBER(AF664)),IF(AF664&lt;&gt;0,"INVALID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recorded/closed","")&lt;&gt;"",IF(AND(TRIM(U664)="Pass",ISNUMBER(AF664)),IF(AF664&lt;&gt;0,"INVALID – qty variance: use Fail or Pass after CA",""),"")&amp;IF(AND(TRIM(U664)="Pass",AB664="Open"),"INVALID – corrective action still open: use Fail, then Pass after CA","")&amp;IF(AND(TRIM(U664)="Pass after CA",OR(TRIM(AA664)="",AB664&lt;&gt;"Closed")),"INVALID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window"),IF(AG664&gt;Flights!$AA$24,"INVALID – completed after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f>
        <v/>
      </c>
      <c r="AI664" s="67">
        <f>IF(OR(AH664="N/A – RULE",AH664="N/A – JUSTIFIED"),0,1)</f>
        <v/>
      </c>
      <c r="AJ664" s="67">
        <f>IF(LEFT(AH664,8)="COMPLETE",1,0)</f>
        <v/>
      </c>
      <c r="AK664" s="67">
        <f>IF(AND(AI664=1,AJ664=0,AsOfUTC&gt;Q664),1,0)</f>
        <v/>
      </c>
      <c r="AL664" s="67">
        <f>IF(AND(AI664=1,OR(TRIM(U664)="Fail",AB664="Open",AND(ISNUMBER(AF664),AF664&lt;&gt;0,TRIM(U664)&lt;&gt;"Pass after CA"))),1,0)</f>
        <v/>
      </c>
      <c r="AM664" s="67">
        <f>IF(LEFT(AH664,7)="INVALID",1,0)</f>
        <v/>
      </c>
      <c r="AN664" s="67">
        <f>IF(AND(N664="Clarification required",AI664=1,AJ664=0),1,0)</f>
        <v/>
      </c>
      <c r="AO664" s="67">
        <f>IF(AK664=1,SUM(AK$5:AK664),"")</f>
        <v/>
      </c>
      <c r="AP664" s="67">
        <f>IF(AL664=1,SUM(AL$5:AL664),"")</f>
        <v/>
      </c>
      <c r="AQ664" s="67" t="n">
        <v>0</v>
      </c>
      <c r="AR664" s="67" t="n">
        <v>0</v>
      </c>
      <c r="AS664" s="67" t="n">
        <v>0</v>
      </c>
      <c r="AT664" s="67" t="n">
        <v>1</v>
      </c>
    </row>
    <row r="665" ht="40" customHeight="1">
      <c r="A665" s="63" t="inlineStr">
        <is>
          <t>F21-T7-01</t>
        </is>
      </c>
      <c r="B665" s="63" t="inlineStr">
        <is>
          <t>F21</t>
        </is>
      </c>
      <c r="C665" s="63">
        <f>Flights!$F$25</f>
        <v/>
      </c>
      <c r="D665" s="64">
        <f>Flights!$D$25</f>
        <v/>
      </c>
      <c r="E665" s="63">
        <f>Flights!$G$25&amp;"-"&amp;Flights!$H$25</f>
        <v/>
      </c>
      <c r="F665" s="63">
        <f>Flights!$K$25</f>
        <v/>
      </c>
      <c r="G665" s="63" t="inlineStr">
        <is>
          <t>T-7D</t>
        </is>
      </c>
      <c r="H665" s="63" t="inlineStr">
        <is>
          <t>Preparation</t>
        </is>
      </c>
      <c r="I665" s="63" t="inlineStr">
        <is>
          <t>Meal</t>
        </is>
      </c>
      <c r="J665" s="63" t="inlineStr">
        <is>
          <t>Meal sensory testing completed for this flight's menu cycle (assessed class)</t>
        </is>
      </c>
      <c r="K665" s="73" t="inlineStr">
        <is>
          <t>Record panel result / score in Result</t>
        </is>
      </c>
      <c r="L665" s="73" t="inlineStr">
        <is>
          <t>User brief (T-7 days)</t>
        </is>
      </c>
      <c r="M665" s="73" t="inlineStr"/>
      <c r="N665" s="73" t="inlineStr">
        <is>
          <t>Required</t>
        </is>
      </c>
      <c r="O665" s="73" t="inlineStr">
        <is>
          <t>Refreshment service: sensory test covers the refreshment items.</t>
        </is>
      </c>
      <c r="P665" s="63" t="inlineStr">
        <is>
          <t>KUL</t>
        </is>
      </c>
      <c r="Q665" s="65">
        <f>Flights!$AC$25</f>
        <v/>
      </c>
      <c r="R665" s="65">
        <f>Q665+(IF(AND(INDEX(TZ_DSTS,MATCH(P665,TZ_STN,0))&lt;&gt;"",Q665&gt;=INDEX(TZ_DSTS,MATCH(P665,TZ_STN,0)),Q665&lt;INDEX(TZ_DSTE,MATCH(P665,TZ_STN,0))),INDEX(TZ_DST,MATCH(P665,TZ_STN,0)),INDEX(TZ_STD,MATCH(P665,TZ_STN,0))))/24</f>
        <v/>
      </c>
      <c r="S665" s="65" t="inlineStr"/>
      <c r="T665" s="66" t="n"/>
      <c r="U665" s="66" t="n"/>
      <c r="V665" s="66" t="n"/>
      <c r="W665" s="67" t="n"/>
      <c r="X665" s="66" t="n"/>
      <c r="Y665" s="66" t="n"/>
      <c r="Z665" s="66" t="n"/>
      <c r="AA665" s="66" t="n"/>
      <c r="AB665" s="66" t="n"/>
      <c r="AC665" s="66" t="n"/>
      <c r="AD665" s="72" t="n"/>
      <c r="AE665" s="66" t="n"/>
      <c r="AF665" s="67">
        <f>IF(AND(ISNUMBER(X665),ISNUMBER(Y665)),Y665-X665,"")</f>
        <v/>
      </c>
      <c r="AG665" s="68">
        <f>IF(ISNUMBER(AD665),AD665-(IF(AND(INDEX(TZ_DSTS,MATCH(P665,TZ_STN,0))&lt;&gt;"",(AD665-INDEX(TZ_STD,MATCH(P665,TZ_STN,0))/24)&gt;=INDEX(TZ_DSTS,MATCH(P665,TZ_STN,0)),(AD665-INDEX(TZ_STD,MATCH(P665,TZ_STN,0))/24)&lt;INDEX(TZ_DSTE,MATCH(P665,TZ_STN,0))),INDEX(TZ_DST,MATCH(P665,TZ_STN,0)),INDEX(TZ_STD,MATCH(P665,TZ_STN,0))))/24,"")</f>
        <v/>
      </c>
      <c r="AH665" s="71">
        <f>IF(N665="N/A – rule","N/A – RULE",IF(TRIM(U665)="N/A",IF(AT665=0,"INVALID – N/A not permitted for this mandatory check",IF(AND(TRIM(AC665)&lt;&gt;"",TRIM(AE665)&lt;&gt;"",TRIM(T665)&lt;&gt;""),"N/A – JUSTIFIED","INVALID – N/A needs justification, PIC and verifier")),IF(OR(TRIM(U665)="Pass",TRIM(U665)="Pass after CA"),IF(NOT(ISNUMBER(AD665)),"INVALID – completion time missing",IF(TRIM(T665)="","INVALID – PIC missing",IF(TRIM(Z665)="","INVALID – evidence missing",IF(TRIM(AE665)="","INVALID – verifier missing",IF(AND(AQ665=1,TRIM(W665)=""),"INVALID – batch ID missing",IF(AND(AR665=1,OR(NOT(ISNUMBER(X665)),NOT(ISNUMBER(Y665)))),"INVALID – expected/actual qty missing",IF(IF(AND(TRIM(U665)="Pass",ISNUMBER(AF665)),IF(AF665&lt;&gt;0,"INVALID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recorded/closed","")&lt;&gt;"",IF(AND(TRIM(U665)="Pass",ISNUMBER(AF665)),IF(AF665&lt;&gt;0,"INVALID – qty variance: use Fail or Pass after CA",""),"")&amp;IF(AND(TRIM(U665)="Pass",AB665="Open"),"INVALID – corrective action still open: use Fail, then Pass after CA","")&amp;IF(AND(TRIM(U665)="Pass after CA",OR(TRIM(AA665)="",AB665&lt;&gt;"Closed")),"INVALID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window"),IF(AG665&gt;Flights!$AA$25,"INVALID – completed after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f>
        <v/>
      </c>
      <c r="AI665" s="67">
        <f>IF(OR(AH665="N/A – RULE",AH665="N/A – JUSTIFIED"),0,1)</f>
        <v/>
      </c>
      <c r="AJ665" s="67">
        <f>IF(LEFT(AH665,8)="COMPLETE",1,0)</f>
        <v/>
      </c>
      <c r="AK665" s="67">
        <f>IF(AND(AI665=1,AJ665=0,AsOfUTC&gt;Q665),1,0)</f>
        <v/>
      </c>
      <c r="AL665" s="67">
        <f>IF(AND(AI665=1,OR(TRIM(U665)="Fail",AB665="Open",AND(ISNUMBER(AF665),AF665&lt;&gt;0,TRIM(U665)&lt;&gt;"Pass after CA"))),1,0)</f>
        <v/>
      </c>
      <c r="AM665" s="67">
        <f>IF(LEFT(AH665,7)="INVALID",1,0)</f>
        <v/>
      </c>
      <c r="AN665" s="67">
        <f>IF(AND(N665="Clarification required",AI665=1,AJ665=0),1,0)</f>
        <v/>
      </c>
      <c r="AO665" s="67">
        <f>IF(AK665=1,SUM(AK$5:AK665),"")</f>
        <v/>
      </c>
      <c r="AP665" s="67">
        <f>IF(AL665=1,SUM(AL$5:AL665),"")</f>
        <v/>
      </c>
      <c r="AQ665" s="67" t="n">
        <v>0</v>
      </c>
      <c r="AR665" s="67" t="n">
        <v>0</v>
      </c>
      <c r="AS665" s="67" t="n">
        <v>0</v>
      </c>
      <c r="AT665" s="67" t="n">
        <v>0</v>
      </c>
    </row>
    <row r="666" ht="41.5" customHeight="1">
      <c r="A666" s="63" t="inlineStr">
        <is>
          <t>F21-T7-02</t>
        </is>
      </c>
      <c r="B666" s="63" t="inlineStr">
        <is>
          <t>F21</t>
        </is>
      </c>
      <c r="C666" s="63">
        <f>Flights!$F$25</f>
        <v/>
      </c>
      <c r="D666" s="64">
        <f>Flights!$D$25</f>
        <v/>
      </c>
      <c r="E666" s="63">
        <f>Flights!$G$25&amp;"-"&amp;Flights!$H$25</f>
        <v/>
      </c>
      <c r="F666" s="63">
        <f>Flights!$K$25</f>
        <v/>
      </c>
      <c r="G666" s="63" t="inlineStr">
        <is>
          <t>T-7D</t>
        </is>
      </c>
      <c r="H666" s="63" t="inlineStr">
        <is>
          <t>Preparation</t>
        </is>
      </c>
      <c r="I666" s="63" t="inlineStr">
        <is>
          <t>Menu</t>
        </is>
      </c>
      <c r="J666" s="63" t="inlineStr">
        <is>
          <t>Printed menu cards confirmed (content, cycle, language, quantity)</t>
        </is>
      </c>
      <c r="K666" s="73" t="inlineStr">
        <is>
          <t>Menu card matches approved menu for this flight</t>
        </is>
      </c>
      <c r="L666" s="73" t="inlineStr">
        <is>
          <t>User brief (T-7 days)</t>
        </is>
      </c>
      <c r="M666" s="73" t="inlineStr"/>
      <c r="N666" s="73" t="inlineStr">
        <is>
          <t>Required</t>
        </is>
      </c>
      <c r="O666" s="73" t="inlineStr">
        <is>
          <t>Refreshment service (peanut &amp; water). If no printed menu card is used, mark N/A with the confirmation as justification.</t>
        </is>
      </c>
      <c r="P666" s="63" t="inlineStr">
        <is>
          <t>KUL</t>
        </is>
      </c>
      <c r="Q666" s="65">
        <f>Flights!$AC$25</f>
        <v/>
      </c>
      <c r="R666" s="65">
        <f>Q666+(IF(AND(INDEX(TZ_DSTS,MATCH(P666,TZ_STN,0))&lt;&gt;"",Q666&gt;=INDEX(TZ_DSTS,MATCH(P666,TZ_STN,0)),Q666&lt;INDEX(TZ_DSTE,MATCH(P666,TZ_STN,0))),INDEX(TZ_DST,MATCH(P666,TZ_STN,0)),INDEX(TZ_STD,MATCH(P666,TZ_STN,0))))/24</f>
        <v/>
      </c>
      <c r="S666" s="65" t="inlineStr"/>
      <c r="T666" s="66" t="n"/>
      <c r="U666" s="66" t="n"/>
      <c r="V666" s="66" t="n"/>
      <c r="W666" s="67" t="n"/>
      <c r="X666" s="66" t="n"/>
      <c r="Y666" s="66" t="n"/>
      <c r="Z666" s="66" t="n"/>
      <c r="AA666" s="66" t="n"/>
      <c r="AB666" s="66" t="n"/>
      <c r="AC666" s="66" t="n"/>
      <c r="AD666" s="72" t="n"/>
      <c r="AE666" s="66" t="n"/>
      <c r="AF666" s="67">
        <f>IF(AND(ISNUMBER(X666),ISNUMBER(Y666)),Y666-X666,"")</f>
        <v/>
      </c>
      <c r="AG666" s="68">
        <f>IF(ISNUMBER(AD666),AD666-(IF(AND(INDEX(TZ_DSTS,MATCH(P666,TZ_STN,0))&lt;&gt;"",(AD666-INDEX(TZ_STD,MATCH(P666,TZ_STN,0))/24)&gt;=INDEX(TZ_DSTS,MATCH(P666,TZ_STN,0)),(AD666-INDEX(TZ_STD,MATCH(P666,TZ_STN,0))/24)&lt;INDEX(TZ_DSTE,MATCH(P666,TZ_STN,0))),INDEX(TZ_DST,MATCH(P666,TZ_STN,0)),INDEX(TZ_STD,MATCH(P666,TZ_STN,0))))/24,"")</f>
        <v/>
      </c>
      <c r="AH666" s="71">
        <f>IF(N666="N/A – rule","N/A – RULE",IF(TRIM(U666)="N/A",IF(AT666=0,"INVALID – N/A not permitted for this mandatory check",IF(AND(TRIM(AC666)&lt;&gt;"",TRIM(AE666)&lt;&gt;"",TRIM(T666)&lt;&gt;""),"N/A – JUSTIFIED","INVALID – N/A needs justification, PIC and verifier")),IF(OR(TRIM(U666)="Pass",TRIM(U666)="Pass after CA"),IF(NOT(ISNUMBER(AD666)),"INVALID – completion time missing",IF(TRIM(T666)="","INVALID – PIC missing",IF(TRIM(Z666)="","INVALID – evidence missing",IF(TRIM(AE666)="","INVALID – verifier missing",IF(AND(AQ666=1,TRIM(W666)=""),"INVALID – batch ID missing",IF(AND(AR666=1,OR(NOT(ISNUMBER(X666)),NOT(ISNUMBER(Y666)))),"INVALID – expected/actual qty missing",IF(IF(AND(TRIM(U666)="Pass",ISNUMBER(AF666)),IF(AF666&lt;&gt;0,"INVALID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recorded/closed","")&lt;&gt;"",IF(AND(TRIM(U666)="Pass",ISNUMBER(AF666)),IF(AF666&lt;&gt;0,"INVALID – qty variance: use Fail or Pass after CA",""),"")&amp;IF(AND(TRIM(U666)="Pass",AB666="Open"),"INVALID – corrective action still open: use Fail, then Pass after CA","")&amp;IF(AND(TRIM(U666)="Pass after CA",OR(TRIM(AA666)="",AB666&lt;&gt;"Closed")),"INVALID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window"),IF(AG666&gt;Flights!$AA$25,"INVALID – completed after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f>
        <v/>
      </c>
      <c r="AI666" s="67">
        <f>IF(OR(AH666="N/A – RULE",AH666="N/A – JUSTIFIED"),0,1)</f>
        <v/>
      </c>
      <c r="AJ666" s="67">
        <f>IF(LEFT(AH666,8)="COMPLETE",1,0)</f>
        <v/>
      </c>
      <c r="AK666" s="67">
        <f>IF(AND(AI666=1,AJ666=0,AsOfUTC&gt;Q666),1,0)</f>
        <v/>
      </c>
      <c r="AL666" s="67">
        <f>IF(AND(AI666=1,OR(TRIM(U666)="Fail",AB666="Open",AND(ISNUMBER(AF666),AF666&lt;&gt;0,TRIM(U666)&lt;&gt;"Pass after CA"))),1,0)</f>
        <v/>
      </c>
      <c r="AM666" s="67">
        <f>IF(LEFT(AH666,7)="INVALID",1,0)</f>
        <v/>
      </c>
      <c r="AN666" s="67">
        <f>IF(AND(N666="Clarification required",AI666=1,AJ666=0),1,0)</f>
        <v/>
      </c>
      <c r="AO666" s="67">
        <f>IF(AK666=1,SUM(AK$5:AK666),"")</f>
        <v/>
      </c>
      <c r="AP666" s="67">
        <f>IF(AL666=1,SUM(AL$5:AL666),"")</f>
        <v/>
      </c>
      <c r="AQ666" s="67" t="n">
        <v>0</v>
      </c>
      <c r="AR666" s="67" t="n">
        <v>0</v>
      </c>
      <c r="AS666" s="67" t="n">
        <v>0</v>
      </c>
      <c r="AT666" s="67" t="n">
        <v>1</v>
      </c>
    </row>
    <row r="667" ht="41.5" customHeight="1">
      <c r="A667" s="63" t="inlineStr">
        <is>
          <t>F21-T7-03</t>
        </is>
      </c>
      <c r="B667" s="63" t="inlineStr">
        <is>
          <t>F21</t>
        </is>
      </c>
      <c r="C667" s="63">
        <f>Flights!$F$25</f>
        <v/>
      </c>
      <c r="D667" s="64">
        <f>Flights!$D$25</f>
        <v/>
      </c>
      <c r="E667" s="63">
        <f>Flights!$G$25&amp;"-"&amp;Flights!$H$25</f>
        <v/>
      </c>
      <c r="F667" s="63">
        <f>Flights!$K$25</f>
        <v/>
      </c>
      <c r="G667" s="63" t="inlineStr">
        <is>
          <t>T-7D</t>
        </is>
      </c>
      <c r="H667" s="63" t="inlineStr">
        <is>
          <t>Preparation</t>
        </is>
      </c>
      <c r="I667" s="63" t="inlineStr">
        <is>
          <t>IFE</t>
        </is>
      </c>
      <c r="J667" s="63" t="inlineStr">
        <is>
          <t>Digital menu in IFE confirmed (A339 only)</t>
        </is>
      </c>
      <c r="K667" s="73" t="inlineStr">
        <is>
          <t>Applies when fleet = A339</t>
        </is>
      </c>
      <c r="L667" s="73" t="inlineStr">
        <is>
          <t>User brief (T-7 days)</t>
        </is>
      </c>
      <c r="M667" s="73" t="inlineStr"/>
      <c r="N667" s="73">
        <f>IF(TRIM(Flights!$L$25)="A339","Required","N/A – rule")</f>
        <v/>
      </c>
      <c r="O667" s="73" t="inlineStr">
        <is>
          <t>Digital IFE menu applies to A339 only (user brief). Applicability follows the Fleet cell on Flights.</t>
        </is>
      </c>
      <c r="P667" s="63" t="inlineStr">
        <is>
          <t>KUL</t>
        </is>
      </c>
      <c r="Q667" s="65">
        <f>Flights!$AC$25</f>
        <v/>
      </c>
      <c r="R667" s="65">
        <f>Q667+(IF(AND(INDEX(TZ_DSTS,MATCH(P667,TZ_STN,0))&lt;&gt;"",Q667&gt;=INDEX(TZ_DSTS,MATCH(P667,TZ_STN,0)),Q667&lt;INDEX(TZ_DSTE,MATCH(P667,TZ_STN,0))),INDEX(TZ_DST,MATCH(P667,TZ_STN,0)),INDEX(TZ_STD,MATCH(P667,TZ_STN,0))))/24</f>
        <v/>
      </c>
      <c r="S667" s="65" t="inlineStr"/>
      <c r="T667" s="66" t="n"/>
      <c r="U667" s="66" t="n"/>
      <c r="V667" s="66" t="n"/>
      <c r="W667" s="67" t="n"/>
      <c r="X667" s="66" t="n"/>
      <c r="Y667" s="66" t="n"/>
      <c r="Z667" s="66" t="n"/>
      <c r="AA667" s="66" t="n"/>
      <c r="AB667" s="66" t="n"/>
      <c r="AC667" s="66" t="n"/>
      <c r="AD667" s="72" t="n"/>
      <c r="AE667" s="66" t="n"/>
      <c r="AF667" s="67">
        <f>IF(AND(ISNUMBER(X667),ISNUMBER(Y667)),Y667-X667,"")</f>
        <v/>
      </c>
      <c r="AG667" s="68">
        <f>IF(ISNUMBER(AD667),AD667-(IF(AND(INDEX(TZ_DSTS,MATCH(P667,TZ_STN,0))&lt;&gt;"",(AD667-INDEX(TZ_STD,MATCH(P667,TZ_STN,0))/24)&gt;=INDEX(TZ_DSTS,MATCH(P667,TZ_STN,0)),(AD667-INDEX(TZ_STD,MATCH(P667,TZ_STN,0))/24)&lt;INDEX(TZ_DSTE,MATCH(P667,TZ_STN,0))),INDEX(TZ_DST,MATCH(P667,TZ_STN,0)),INDEX(TZ_STD,MATCH(P667,TZ_STN,0))))/24,"")</f>
        <v/>
      </c>
      <c r="AH667" s="71">
        <f>IF(N667="N/A – rule","N/A – RULE",IF(TRIM(U667)="N/A",IF(AT667=0,"INVALID – N/A not permitted for this mandatory check",IF(AND(TRIM(AC667)&lt;&gt;"",TRIM(AE667)&lt;&gt;"",TRIM(T667)&lt;&gt;""),"N/A – JUSTIFIED","INVALID – N/A needs justification, PIC and verifier")),IF(OR(TRIM(U667)="Pass",TRIM(U667)="Pass after CA"),IF(NOT(ISNUMBER(AD667)),"INVALID – completion time missing",IF(TRIM(T667)="","INVALID – PIC missing",IF(TRIM(Z667)="","INVALID – evidence missing",IF(TRIM(AE667)="","INVALID – verifier missing",IF(AND(AQ667=1,TRIM(W667)=""),"INVALID – batch ID missing",IF(AND(AR667=1,OR(NOT(ISNUMBER(X667)),NOT(ISNUMBER(Y667)))),"INVALID – expected/actual qty missing",IF(IF(AND(TRIM(U667)="Pass",ISNUMBER(AF667)),IF(AF667&lt;&gt;0,"INVALID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recorded/closed","")&lt;&gt;"",IF(AND(TRIM(U667)="Pass",ISNUMBER(AF667)),IF(AF667&lt;&gt;0,"INVALID – qty variance: use Fail or Pass after CA",""),"")&amp;IF(AND(TRIM(U667)="Pass",AB667="Open"),"INVALID – corrective action still open: use Fail, then Pass after CA","")&amp;IF(AND(TRIM(U667)="Pass after CA",OR(TRIM(AA667)="",AB667&lt;&gt;"Closed")),"INVALID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window"),IF(AG667&gt;Flights!$AA$25,"INVALID – completed after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f>
        <v/>
      </c>
      <c r="AI667" s="67">
        <f>IF(OR(AH667="N/A – RULE",AH667="N/A – JUSTIFIED"),0,1)</f>
        <v/>
      </c>
      <c r="AJ667" s="67">
        <f>IF(LEFT(AH667,8)="COMPLETE",1,0)</f>
        <v/>
      </c>
      <c r="AK667" s="67">
        <f>IF(AND(AI667=1,AJ667=0,AsOfUTC&gt;Q667),1,0)</f>
        <v/>
      </c>
      <c r="AL667" s="67">
        <f>IF(AND(AI667=1,OR(TRIM(U667)="Fail",AB667="Open",AND(ISNUMBER(AF667),AF667&lt;&gt;0,TRIM(U667)&lt;&gt;"Pass after CA"))),1,0)</f>
        <v/>
      </c>
      <c r="AM667" s="67">
        <f>IF(LEFT(AH667,7)="INVALID",1,0)</f>
        <v/>
      </c>
      <c r="AN667" s="67">
        <f>IF(AND(N667="Clarification required",AI667=1,AJ667=0),1,0)</f>
        <v/>
      </c>
      <c r="AO667" s="67">
        <f>IF(AK667=1,SUM(AK$5:AK667),"")</f>
        <v/>
      </c>
      <c r="AP667" s="67">
        <f>IF(AL667=1,SUM(AL$5:AL667),"")</f>
        <v/>
      </c>
      <c r="AQ667" s="67" t="n">
        <v>0</v>
      </c>
      <c r="AR667" s="67" t="n">
        <v>0</v>
      </c>
      <c r="AS667" s="67" t="n">
        <v>0</v>
      </c>
      <c r="AT667" s="67" t="n">
        <v>0</v>
      </c>
    </row>
    <row r="668" ht="40" customHeight="1">
      <c r="A668" s="63" t="inlineStr">
        <is>
          <t>F21-T7-04</t>
        </is>
      </c>
      <c r="B668" s="63" t="inlineStr">
        <is>
          <t>F21</t>
        </is>
      </c>
      <c r="C668" s="63">
        <f>Flights!$F$25</f>
        <v/>
      </c>
      <c r="D668" s="64">
        <f>Flights!$D$25</f>
        <v/>
      </c>
      <c r="E668" s="63">
        <f>Flights!$G$25&amp;"-"&amp;Flights!$H$25</f>
        <v/>
      </c>
      <c r="F668" s="63">
        <f>Flights!$K$25</f>
        <v/>
      </c>
      <c r="G668" s="63" t="inlineStr">
        <is>
          <t>T-7D</t>
        </is>
      </c>
      <c r="H668" s="63" t="inlineStr">
        <is>
          <t>Preparation</t>
        </is>
      </c>
      <c r="I668" s="63" t="inlineStr">
        <is>
          <t>Staffing</t>
        </is>
      </c>
      <c r="J668" s="63" t="inlineStr">
        <is>
          <t>Experienced catering officer assigned to this flight</t>
        </is>
      </c>
      <c r="K668" s="73" t="inlineStr">
        <is>
          <t>Record officer name in Result</t>
        </is>
      </c>
      <c r="L668" s="73" t="inlineStr">
        <is>
          <t>User brief (T-7 days)</t>
        </is>
      </c>
      <c r="M668" s="73" t="inlineStr"/>
      <c r="N668" s="73" t="inlineStr">
        <is>
          <t>Required</t>
        </is>
      </c>
      <c r="O668" s="73" t="inlineStr"/>
      <c r="P668" s="63" t="inlineStr">
        <is>
          <t>KUL</t>
        </is>
      </c>
      <c r="Q668" s="65">
        <f>Flights!$AC$25</f>
        <v/>
      </c>
      <c r="R668" s="65">
        <f>Q668+(IF(AND(INDEX(TZ_DSTS,MATCH(P668,TZ_STN,0))&lt;&gt;"",Q668&gt;=INDEX(TZ_DSTS,MATCH(P668,TZ_STN,0)),Q668&lt;INDEX(TZ_DSTE,MATCH(P668,TZ_STN,0))),INDEX(TZ_DST,MATCH(P668,TZ_STN,0)),INDEX(TZ_STD,MATCH(P668,TZ_STN,0))))/24</f>
        <v/>
      </c>
      <c r="S668" s="65" t="inlineStr"/>
      <c r="T668" s="66" t="n"/>
      <c r="U668" s="66" t="n"/>
      <c r="V668" s="66" t="n"/>
      <c r="W668" s="67" t="n"/>
      <c r="X668" s="66" t="n"/>
      <c r="Y668" s="66" t="n"/>
      <c r="Z668" s="66" t="n"/>
      <c r="AA668" s="66" t="n"/>
      <c r="AB668" s="66" t="n"/>
      <c r="AC668" s="66" t="n"/>
      <c r="AD668" s="72" t="n"/>
      <c r="AE668" s="66" t="n"/>
      <c r="AF668" s="67">
        <f>IF(AND(ISNUMBER(X668),ISNUMBER(Y668)),Y668-X668,"")</f>
        <v/>
      </c>
      <c r="AG668" s="68">
        <f>IF(ISNUMBER(AD668),AD668-(IF(AND(INDEX(TZ_DSTS,MATCH(P668,TZ_STN,0))&lt;&gt;"",(AD668-INDEX(TZ_STD,MATCH(P668,TZ_STN,0))/24)&gt;=INDEX(TZ_DSTS,MATCH(P668,TZ_STN,0)),(AD668-INDEX(TZ_STD,MATCH(P668,TZ_STN,0))/24)&lt;INDEX(TZ_DSTE,MATCH(P668,TZ_STN,0))),INDEX(TZ_DST,MATCH(P668,TZ_STN,0)),INDEX(TZ_STD,MATCH(P668,TZ_STN,0))))/24,"")</f>
        <v/>
      </c>
      <c r="AH668" s="71">
        <f>IF(N668="N/A – rule","N/A – RULE",IF(TRIM(U668)="N/A",IF(AT668=0,"INVALID – N/A not permitted for this mandatory check",IF(AND(TRIM(AC668)&lt;&gt;"",TRIM(AE668)&lt;&gt;"",TRIM(T668)&lt;&gt;""),"N/A – JUSTIFIED","INVALID – N/A needs justification, PIC and verifier")),IF(OR(TRIM(U668)="Pass",TRIM(U668)="Pass after CA"),IF(NOT(ISNUMBER(AD668)),"INVALID – completion time missing",IF(TRIM(T668)="","INVALID – PIC missing",IF(TRIM(Z668)="","INVALID – evidence missing",IF(TRIM(AE668)="","INVALID – verifier missing",IF(AND(AQ668=1,TRIM(W668)=""),"INVALID – batch ID missing",IF(AND(AR668=1,OR(NOT(ISNUMBER(X668)),NOT(ISNUMBER(Y668)))),"INVALID – expected/actual qty missing",IF(IF(AND(TRIM(U668)="Pass",ISNUMBER(AF668)),IF(AF668&lt;&gt;0,"INVALID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recorded/closed","")&lt;&gt;"",IF(AND(TRIM(U668)="Pass",ISNUMBER(AF668)),IF(AF668&lt;&gt;0,"INVALID – qty variance: use Fail or Pass after CA",""),"")&amp;IF(AND(TRIM(U668)="Pass",AB668="Open"),"INVALID – corrective action still open: use Fail, then Pass after CA","")&amp;IF(AND(TRIM(U668)="Pass after CA",OR(TRIM(AA668)="",AB668&lt;&gt;"Closed")),"INVALID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window"),IF(AG668&gt;Flights!$AA$25,"INVALID – completed after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f>
        <v/>
      </c>
      <c r="AI668" s="67">
        <f>IF(OR(AH668="N/A – RULE",AH668="N/A – JUSTIFIED"),0,1)</f>
        <v/>
      </c>
      <c r="AJ668" s="67">
        <f>IF(LEFT(AH668,8)="COMPLETE",1,0)</f>
        <v/>
      </c>
      <c r="AK668" s="67">
        <f>IF(AND(AI668=1,AJ668=0,AsOfUTC&gt;Q668),1,0)</f>
        <v/>
      </c>
      <c r="AL668" s="67">
        <f>IF(AND(AI668=1,OR(TRIM(U668)="Fail",AB668="Open",AND(ISNUMBER(AF668),AF668&lt;&gt;0,TRIM(U668)&lt;&gt;"Pass after CA"))),1,0)</f>
        <v/>
      </c>
      <c r="AM668" s="67">
        <f>IF(LEFT(AH668,7)="INVALID",1,0)</f>
        <v/>
      </c>
      <c r="AN668" s="67">
        <f>IF(AND(N668="Clarification required",AI668=1,AJ668=0),1,0)</f>
        <v/>
      </c>
      <c r="AO668" s="67">
        <f>IF(AK668=1,SUM(AK$5:AK668),"")</f>
        <v/>
      </c>
      <c r="AP668" s="67">
        <f>IF(AL668=1,SUM(AL$5:AL668),"")</f>
        <v/>
      </c>
      <c r="AQ668" s="67" t="n">
        <v>0</v>
      </c>
      <c r="AR668" s="67" t="n">
        <v>0</v>
      </c>
      <c r="AS668" s="67" t="n">
        <v>0</v>
      </c>
      <c r="AT668" s="67" t="n">
        <v>0</v>
      </c>
    </row>
    <row r="669" ht="40" customHeight="1">
      <c r="A669" s="63" t="inlineStr">
        <is>
          <t>F21-T7-05</t>
        </is>
      </c>
      <c r="B669" s="63" t="inlineStr">
        <is>
          <t>F21</t>
        </is>
      </c>
      <c r="C669" s="63">
        <f>Flights!$F$25</f>
        <v/>
      </c>
      <c r="D669" s="64">
        <f>Flights!$D$25</f>
        <v/>
      </c>
      <c r="E669" s="63">
        <f>Flights!$G$25&amp;"-"&amp;Flights!$H$25</f>
        <v/>
      </c>
      <c r="F669" s="63">
        <f>Flights!$K$25</f>
        <v/>
      </c>
      <c r="G669" s="63" t="inlineStr">
        <is>
          <t>T-7D</t>
        </is>
      </c>
      <c r="H669" s="63" t="inlineStr">
        <is>
          <t>Preparation</t>
        </is>
      </c>
      <c r="I669" s="63" t="inlineStr">
        <is>
          <t>ISOP</t>
        </is>
      </c>
      <c r="J669" s="63" t="inlineStr">
        <is>
          <t>All latest applicable ISOP revisions communicated to caterer</t>
        </is>
      </c>
      <c r="K669" s="73" t="inlineStr">
        <is>
          <t>List revision numbers in Result (see ISOP register)</t>
        </is>
      </c>
      <c r="L669" s="73" t="inlineStr">
        <is>
          <t>User brief (T-7 days)</t>
        </is>
      </c>
      <c r="M669" s="73" t="inlineStr"/>
      <c r="N669" s="73" t="inlineStr">
        <is>
          <t>Required</t>
        </is>
      </c>
      <c r="O669" s="73" t="inlineStr"/>
      <c r="P669" s="63" t="inlineStr">
        <is>
          <t>KUL</t>
        </is>
      </c>
      <c r="Q669" s="65">
        <f>Flights!$AC$25</f>
        <v/>
      </c>
      <c r="R669" s="65">
        <f>Q669+(IF(AND(INDEX(TZ_DSTS,MATCH(P669,TZ_STN,0))&lt;&gt;"",Q669&gt;=INDEX(TZ_DSTS,MATCH(P669,TZ_STN,0)),Q669&lt;INDEX(TZ_DSTE,MATCH(P669,TZ_STN,0))),INDEX(TZ_DST,MATCH(P669,TZ_STN,0)),INDEX(TZ_STD,MATCH(P669,TZ_STN,0))))/24</f>
        <v/>
      </c>
      <c r="S669" s="65" t="inlineStr"/>
      <c r="T669" s="66" t="n"/>
      <c r="U669" s="66" t="n"/>
      <c r="V669" s="66" t="n"/>
      <c r="W669" s="67" t="n"/>
      <c r="X669" s="66" t="n"/>
      <c r="Y669" s="66" t="n"/>
      <c r="Z669" s="66" t="n"/>
      <c r="AA669" s="66" t="n"/>
      <c r="AB669" s="66" t="n"/>
      <c r="AC669" s="66" t="n"/>
      <c r="AD669" s="72" t="n"/>
      <c r="AE669" s="66" t="n"/>
      <c r="AF669" s="67">
        <f>IF(AND(ISNUMBER(X669),ISNUMBER(Y669)),Y669-X669,"")</f>
        <v/>
      </c>
      <c r="AG669" s="68">
        <f>IF(ISNUMBER(AD669),AD669-(IF(AND(INDEX(TZ_DSTS,MATCH(P669,TZ_STN,0))&lt;&gt;"",(AD669-INDEX(TZ_STD,MATCH(P669,TZ_STN,0))/24)&gt;=INDEX(TZ_DSTS,MATCH(P669,TZ_STN,0)),(AD669-INDEX(TZ_STD,MATCH(P669,TZ_STN,0))/24)&lt;INDEX(TZ_DSTE,MATCH(P669,TZ_STN,0))),INDEX(TZ_DST,MATCH(P669,TZ_STN,0)),INDEX(TZ_STD,MATCH(P669,TZ_STN,0))))/24,"")</f>
        <v/>
      </c>
      <c r="AH669" s="71">
        <f>IF(N669="N/A – rule","N/A – RULE",IF(TRIM(U669)="N/A",IF(AT669=0,"INVALID – N/A not permitted for this mandatory check",IF(AND(TRIM(AC669)&lt;&gt;"",TRIM(AE669)&lt;&gt;"",TRIM(T669)&lt;&gt;""),"N/A – JUSTIFIED","INVALID – N/A needs justification, PIC and verifier")),IF(OR(TRIM(U669)="Pass",TRIM(U669)="Pass after CA"),IF(NOT(ISNUMBER(AD669)),"INVALID – completion time missing",IF(TRIM(T669)="","INVALID – PIC missing",IF(TRIM(Z669)="","INVALID – evidence missing",IF(TRIM(AE669)="","INVALID – verifier missing",IF(AND(AQ669=1,TRIM(W669)=""),"INVALID – batch ID missing",IF(AND(AR669=1,OR(NOT(ISNUMBER(X669)),NOT(ISNUMBER(Y669)))),"INVALID – expected/actual qty missing",IF(IF(AND(TRIM(U669)="Pass",ISNUMBER(AF669)),IF(AF669&lt;&gt;0,"INVALID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recorded/closed","")&lt;&gt;"",IF(AND(TRIM(U669)="Pass",ISNUMBER(AF669)),IF(AF669&lt;&gt;0,"INVALID – qty variance: use Fail or Pass after CA",""),"")&amp;IF(AND(TRIM(U669)="Pass",AB669="Open"),"INVALID – corrective action still open: use Fail, then Pass after CA","")&amp;IF(AND(TRIM(U669)="Pass after CA",OR(TRIM(AA669)="",AB669&lt;&gt;"Closed")),"INVALID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window"),IF(AG669&gt;Flights!$AA$25,"INVALID – completed after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f>
        <v/>
      </c>
      <c r="AI669" s="67">
        <f>IF(OR(AH669="N/A – RULE",AH669="N/A – JUSTIFIED"),0,1)</f>
        <v/>
      </c>
      <c r="AJ669" s="67">
        <f>IF(LEFT(AH669,8)="COMPLETE",1,0)</f>
        <v/>
      </c>
      <c r="AK669" s="67">
        <f>IF(AND(AI669=1,AJ669=0,AsOfUTC&gt;Q669),1,0)</f>
        <v/>
      </c>
      <c r="AL669" s="67">
        <f>IF(AND(AI669=1,OR(TRIM(U669)="Fail",AB669="Open",AND(ISNUMBER(AF669),AF669&lt;&gt;0,TRIM(U669)&lt;&gt;"Pass after CA"))),1,0)</f>
        <v/>
      </c>
      <c r="AM669" s="67">
        <f>IF(LEFT(AH669,7)="INVALID",1,0)</f>
        <v/>
      </c>
      <c r="AN669" s="67">
        <f>IF(AND(N669="Clarification required",AI669=1,AJ669=0),1,0)</f>
        <v/>
      </c>
      <c r="AO669" s="67">
        <f>IF(AK669=1,SUM(AK$5:AK669),"")</f>
        <v/>
      </c>
      <c r="AP669" s="67">
        <f>IF(AL669=1,SUM(AL$5:AL669),"")</f>
        <v/>
      </c>
      <c r="AQ669" s="67" t="n">
        <v>0</v>
      </c>
      <c r="AR669" s="67" t="n">
        <v>0</v>
      </c>
      <c r="AS669" s="67" t="n">
        <v>0</v>
      </c>
      <c r="AT669" s="67" t="n">
        <v>0</v>
      </c>
    </row>
    <row r="670" ht="40" customHeight="1">
      <c r="A670" s="63" t="inlineStr">
        <is>
          <t>F21-T7-06</t>
        </is>
      </c>
      <c r="B670" s="63" t="inlineStr">
        <is>
          <t>F21</t>
        </is>
      </c>
      <c r="C670" s="63">
        <f>Flights!$F$25</f>
        <v/>
      </c>
      <c r="D670" s="64">
        <f>Flights!$D$25</f>
        <v/>
      </c>
      <c r="E670" s="63">
        <f>Flights!$G$25&amp;"-"&amp;Flights!$H$25</f>
        <v/>
      </c>
      <c r="F670" s="63">
        <f>Flights!$K$25</f>
        <v/>
      </c>
      <c r="G670" s="63" t="inlineStr">
        <is>
          <t>T-7D</t>
        </is>
      </c>
      <c r="H670" s="63" t="inlineStr">
        <is>
          <t>Preparation</t>
        </is>
      </c>
      <c r="I670" s="63" t="inlineStr">
        <is>
          <t>ISOP</t>
        </is>
      </c>
      <c r="J670" s="63" t="inlineStr">
        <is>
          <t>Caterer acknowledgement of ISOP revisions recorded</t>
        </is>
      </c>
      <c r="K670" s="73" t="inlineStr">
        <is>
          <t>Record acknowledgement ref in Evidence</t>
        </is>
      </c>
      <c r="L670" s="73" t="inlineStr">
        <is>
          <t>User brief (T-7 days)</t>
        </is>
      </c>
      <c r="M670" s="73" t="inlineStr"/>
      <c r="N670" s="73" t="inlineStr">
        <is>
          <t>Required</t>
        </is>
      </c>
      <c r="O670" s="73" t="inlineStr"/>
      <c r="P670" s="63" t="inlineStr">
        <is>
          <t>KUL</t>
        </is>
      </c>
      <c r="Q670" s="65">
        <f>Flights!$AC$25</f>
        <v/>
      </c>
      <c r="R670" s="65">
        <f>Q670+(IF(AND(INDEX(TZ_DSTS,MATCH(P670,TZ_STN,0))&lt;&gt;"",Q670&gt;=INDEX(TZ_DSTS,MATCH(P670,TZ_STN,0)),Q670&lt;INDEX(TZ_DSTE,MATCH(P670,TZ_STN,0))),INDEX(TZ_DST,MATCH(P670,TZ_STN,0)),INDEX(TZ_STD,MATCH(P670,TZ_STN,0))))/24</f>
        <v/>
      </c>
      <c r="S670" s="65" t="inlineStr"/>
      <c r="T670" s="66" t="n"/>
      <c r="U670" s="66" t="n"/>
      <c r="V670" s="66" t="n"/>
      <c r="W670" s="67" t="n"/>
      <c r="X670" s="66" t="n"/>
      <c r="Y670" s="66" t="n"/>
      <c r="Z670" s="66" t="n"/>
      <c r="AA670" s="66" t="n"/>
      <c r="AB670" s="66" t="n"/>
      <c r="AC670" s="66" t="n"/>
      <c r="AD670" s="72" t="n"/>
      <c r="AE670" s="66" t="n"/>
      <c r="AF670" s="67">
        <f>IF(AND(ISNUMBER(X670),ISNUMBER(Y670)),Y670-X670,"")</f>
        <v/>
      </c>
      <c r="AG670" s="68">
        <f>IF(ISNUMBER(AD670),AD670-(IF(AND(INDEX(TZ_DSTS,MATCH(P670,TZ_STN,0))&lt;&gt;"",(AD670-INDEX(TZ_STD,MATCH(P670,TZ_STN,0))/24)&gt;=INDEX(TZ_DSTS,MATCH(P670,TZ_STN,0)),(AD670-INDEX(TZ_STD,MATCH(P670,TZ_STN,0))/24)&lt;INDEX(TZ_DSTE,MATCH(P670,TZ_STN,0))),INDEX(TZ_DST,MATCH(P670,TZ_STN,0)),INDEX(TZ_STD,MATCH(P670,TZ_STN,0))))/24,"")</f>
        <v/>
      </c>
      <c r="AH670" s="71">
        <f>IF(N670="N/A – rule","N/A – RULE",IF(TRIM(U670)="N/A",IF(AT670=0,"INVALID – N/A not permitted for this mandatory check",IF(AND(TRIM(AC670)&lt;&gt;"",TRIM(AE670)&lt;&gt;"",TRIM(T670)&lt;&gt;""),"N/A – JUSTIFIED","INVALID – N/A needs justification, PIC and verifier")),IF(OR(TRIM(U670)="Pass",TRIM(U670)="Pass after CA"),IF(NOT(ISNUMBER(AD670)),"INVALID – completion time missing",IF(TRIM(T670)="","INVALID – PIC missing",IF(TRIM(Z670)="","INVALID – evidence missing",IF(TRIM(AE670)="","INVALID – verifier missing",IF(AND(AQ670=1,TRIM(W670)=""),"INVALID – batch ID missing",IF(AND(AR670=1,OR(NOT(ISNUMBER(X670)),NOT(ISNUMBER(Y670)))),"INVALID – expected/actual qty missing",IF(IF(AND(TRIM(U670)="Pass",ISNUMBER(AF670)),IF(AF670&lt;&gt;0,"INVALID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recorded/closed","")&lt;&gt;"",IF(AND(TRIM(U670)="Pass",ISNUMBER(AF670)),IF(AF670&lt;&gt;0,"INVALID – qty variance: use Fail or Pass after CA",""),"")&amp;IF(AND(TRIM(U670)="Pass",AB670="Open"),"INVALID – corrective action still open: use Fail, then Pass after CA","")&amp;IF(AND(TRIM(U670)="Pass after CA",OR(TRIM(AA670)="",AB670&lt;&gt;"Closed")),"INVALID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window"),IF(AG670&gt;Flights!$AA$25,"INVALID – completed after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f>
        <v/>
      </c>
      <c r="AI670" s="67">
        <f>IF(OR(AH670="N/A – RULE",AH670="N/A – JUSTIFIED"),0,1)</f>
        <v/>
      </c>
      <c r="AJ670" s="67">
        <f>IF(LEFT(AH670,8)="COMPLETE",1,0)</f>
        <v/>
      </c>
      <c r="AK670" s="67">
        <f>IF(AND(AI670=1,AJ670=0,AsOfUTC&gt;Q670),1,0)</f>
        <v/>
      </c>
      <c r="AL670" s="67">
        <f>IF(AND(AI670=1,OR(TRIM(U670)="Fail",AB670="Open",AND(ISNUMBER(AF670),AF670&lt;&gt;0,TRIM(U670)&lt;&gt;"Pass after CA"))),1,0)</f>
        <v/>
      </c>
      <c r="AM670" s="67">
        <f>IF(LEFT(AH670,7)="INVALID",1,0)</f>
        <v/>
      </c>
      <c r="AN670" s="67">
        <f>IF(AND(N670="Clarification required",AI670=1,AJ670=0),1,0)</f>
        <v/>
      </c>
      <c r="AO670" s="67">
        <f>IF(AK670=1,SUM(AK$5:AK670),"")</f>
        <v/>
      </c>
      <c r="AP670" s="67">
        <f>IF(AL670=1,SUM(AL$5:AL670),"")</f>
        <v/>
      </c>
      <c r="AQ670" s="67" t="n">
        <v>0</v>
      </c>
      <c r="AR670" s="67" t="n">
        <v>0</v>
      </c>
      <c r="AS670" s="67" t="n">
        <v>0</v>
      </c>
      <c r="AT670" s="67" t="n">
        <v>0</v>
      </c>
    </row>
    <row r="671" ht="40" customHeight="1">
      <c r="A671" s="63" t="inlineStr">
        <is>
          <t>F21-T7-07</t>
        </is>
      </c>
      <c r="B671" s="63" t="inlineStr">
        <is>
          <t>F21</t>
        </is>
      </c>
      <c r="C671" s="63">
        <f>Flights!$F$25</f>
        <v/>
      </c>
      <c r="D671" s="64">
        <f>Flights!$D$25</f>
        <v/>
      </c>
      <c r="E671" s="63">
        <f>Flights!$G$25&amp;"-"&amp;Flights!$H$25</f>
        <v/>
      </c>
      <c r="F671" s="63">
        <f>Flights!$K$25</f>
        <v/>
      </c>
      <c r="G671" s="63" t="inlineStr">
        <is>
          <t>T-7D</t>
        </is>
      </c>
      <c r="H671" s="63" t="inlineStr">
        <is>
          <t>Preparation</t>
        </is>
      </c>
      <c r="I671" s="63" t="inlineStr">
        <is>
          <t>Documents</t>
        </is>
      </c>
      <c r="J671" s="63" t="inlineStr">
        <is>
          <t>Galley loading diagram (GLD) received, revision recorded &amp; attached</t>
        </is>
      </c>
      <c r="K671" s="73" t="inlineStr">
        <is>
          <t>Documents sheet row complete</t>
        </is>
      </c>
      <c r="L671" s="73" t="inlineStr">
        <is>
          <t>User brief (T-7 days)</t>
        </is>
      </c>
      <c r="M671" s="73" t="inlineStr"/>
      <c r="N671" s="73" t="inlineStr">
        <is>
          <t>Required</t>
        </is>
      </c>
      <c r="O671" s="73" t="inlineStr"/>
      <c r="P671" s="63" t="inlineStr">
        <is>
          <t>KUL</t>
        </is>
      </c>
      <c r="Q671" s="65">
        <f>Flights!$AC$25</f>
        <v/>
      </c>
      <c r="R671" s="65">
        <f>Q671+(IF(AND(INDEX(TZ_DSTS,MATCH(P671,TZ_STN,0))&lt;&gt;"",Q671&gt;=INDEX(TZ_DSTS,MATCH(P671,TZ_STN,0)),Q671&lt;INDEX(TZ_DSTE,MATCH(P671,TZ_STN,0))),INDEX(TZ_DST,MATCH(P671,TZ_STN,0)),INDEX(TZ_STD,MATCH(P671,TZ_STN,0))))/24</f>
        <v/>
      </c>
      <c r="S671" s="65" t="inlineStr"/>
      <c r="T671" s="66" t="n"/>
      <c r="U671" s="66" t="n"/>
      <c r="V671" s="66" t="n"/>
      <c r="W671" s="67" t="n"/>
      <c r="X671" s="66" t="n"/>
      <c r="Y671" s="66" t="n"/>
      <c r="Z671" s="66" t="n"/>
      <c r="AA671" s="66" t="n"/>
      <c r="AB671" s="66" t="n"/>
      <c r="AC671" s="66" t="n"/>
      <c r="AD671" s="72" t="n"/>
      <c r="AE671" s="66" t="n"/>
      <c r="AF671" s="67">
        <f>IF(AND(ISNUMBER(X671),ISNUMBER(Y671)),Y671-X671,"")</f>
        <v/>
      </c>
      <c r="AG671" s="68">
        <f>IF(ISNUMBER(AD671),AD671-(IF(AND(INDEX(TZ_DSTS,MATCH(P671,TZ_STN,0))&lt;&gt;"",(AD671-INDEX(TZ_STD,MATCH(P671,TZ_STN,0))/24)&gt;=INDEX(TZ_DSTS,MATCH(P671,TZ_STN,0)),(AD671-INDEX(TZ_STD,MATCH(P671,TZ_STN,0))/24)&lt;INDEX(TZ_DSTE,MATCH(P671,TZ_STN,0))),INDEX(TZ_DST,MATCH(P671,TZ_STN,0)),INDEX(TZ_STD,MATCH(P671,TZ_STN,0))))/24,"")</f>
        <v/>
      </c>
      <c r="AH671" s="71">
        <f>IF(N671="N/A – rule","N/A – RULE",IF(TRIM(U671)="N/A",IF(AT671=0,"INVALID – N/A not permitted for this mandatory check",IF(AND(TRIM(AC671)&lt;&gt;"",TRIM(AE671)&lt;&gt;"",TRIM(T671)&lt;&gt;""),"N/A – JUSTIFIED","INVALID – N/A needs justification, PIC and verifier")),IF(OR(TRIM(U671)="Pass",TRIM(U671)="Pass after CA"),IF(NOT(ISNUMBER(AD671)),"INVALID – completion time missing",IF(TRIM(T671)="","INVALID – PIC missing",IF(TRIM(Z671)="","INVALID – evidence missing",IF(TRIM(AE671)="","INVALID – verifier missing",IF(AND(AQ671=1,TRIM(W671)=""),"INVALID – batch ID missing",IF(AND(AR671=1,OR(NOT(ISNUMBER(X671)),NOT(ISNUMBER(Y671)))),"INVALID – expected/actual qty missing",IF(IF(AND(TRIM(U671)="Pass",ISNUMBER(AF671)),IF(AF671&lt;&gt;0,"INVALID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recorded/closed","")&lt;&gt;"",IF(AND(TRIM(U671)="Pass",ISNUMBER(AF671)),IF(AF671&lt;&gt;0,"INVALID – qty variance: use Fail or Pass after CA",""),"")&amp;IF(AND(TRIM(U671)="Pass",AB671="Open"),"INVALID – corrective action still open: use Fail, then Pass after CA","")&amp;IF(AND(TRIM(U671)="Pass after CA",OR(TRIM(AA671)="",AB671&lt;&gt;"Closed")),"INVALID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window"),IF(AG671&gt;Flights!$AA$25,"INVALID – completed after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f>
        <v/>
      </c>
      <c r="AI671" s="67">
        <f>IF(OR(AH671="N/A – RULE",AH671="N/A – JUSTIFIED"),0,1)</f>
        <v/>
      </c>
      <c r="AJ671" s="67">
        <f>IF(LEFT(AH671,8)="COMPLETE",1,0)</f>
        <v/>
      </c>
      <c r="AK671" s="67">
        <f>IF(AND(AI671=1,AJ671=0,AsOfUTC&gt;Q671),1,0)</f>
        <v/>
      </c>
      <c r="AL671" s="67">
        <f>IF(AND(AI671=1,OR(TRIM(U671)="Fail",AB671="Open",AND(ISNUMBER(AF671),AF671&lt;&gt;0,TRIM(U671)&lt;&gt;"Pass after CA"))),1,0)</f>
        <v/>
      </c>
      <c r="AM671" s="67">
        <f>IF(LEFT(AH671,7)="INVALID",1,0)</f>
        <v/>
      </c>
      <c r="AN671" s="67">
        <f>IF(AND(N671="Clarification required",AI671=1,AJ671=0),1,0)</f>
        <v/>
      </c>
      <c r="AO671" s="67">
        <f>IF(AK671=1,SUM(AK$5:AK671),"")</f>
        <v/>
      </c>
      <c r="AP671" s="67">
        <f>IF(AL671=1,SUM(AL$5:AL671),"")</f>
        <v/>
      </c>
      <c r="AQ671" s="67" t="n">
        <v>0</v>
      </c>
      <c r="AR671" s="67" t="n">
        <v>0</v>
      </c>
      <c r="AS671" s="67" t="n">
        <v>1</v>
      </c>
      <c r="AT671" s="67" t="n">
        <v>0</v>
      </c>
    </row>
    <row r="672" ht="40" customHeight="1">
      <c r="A672" s="63" t="inlineStr">
        <is>
          <t>F21-T7-08</t>
        </is>
      </c>
      <c r="B672" s="63" t="inlineStr">
        <is>
          <t>F21</t>
        </is>
      </c>
      <c r="C672" s="63">
        <f>Flights!$F$25</f>
        <v/>
      </c>
      <c r="D672" s="64">
        <f>Flights!$D$25</f>
        <v/>
      </c>
      <c r="E672" s="63">
        <f>Flights!$G$25&amp;"-"&amp;Flights!$H$25</f>
        <v/>
      </c>
      <c r="F672" s="63">
        <f>Flights!$K$25</f>
        <v/>
      </c>
      <c r="G672" s="63" t="inlineStr">
        <is>
          <t>T-7D</t>
        </is>
      </c>
      <c r="H672" s="63" t="inlineStr">
        <is>
          <t>Preparation</t>
        </is>
      </c>
      <c r="I672" s="63" t="inlineStr">
        <is>
          <t>Documents</t>
        </is>
      </c>
      <c r="J672" s="63" t="inlineStr">
        <is>
          <t>Menu checklist received, revision recorded &amp; attached</t>
        </is>
      </c>
      <c r="K672" s="73" t="inlineStr">
        <is>
          <t>Documents sheet row complete</t>
        </is>
      </c>
      <c r="L672" s="73" t="inlineStr">
        <is>
          <t>User brief (T-7 days)</t>
        </is>
      </c>
      <c r="M672" s="73" t="inlineStr"/>
      <c r="N672" s="73" t="inlineStr">
        <is>
          <t>Required</t>
        </is>
      </c>
      <c r="O672" s="73" t="inlineStr"/>
      <c r="P672" s="63" t="inlineStr">
        <is>
          <t>KUL</t>
        </is>
      </c>
      <c r="Q672" s="65">
        <f>Flights!$AC$25</f>
        <v/>
      </c>
      <c r="R672" s="65">
        <f>Q672+(IF(AND(INDEX(TZ_DSTS,MATCH(P672,TZ_STN,0))&lt;&gt;"",Q672&gt;=INDEX(TZ_DSTS,MATCH(P672,TZ_STN,0)),Q672&lt;INDEX(TZ_DSTE,MATCH(P672,TZ_STN,0))),INDEX(TZ_DST,MATCH(P672,TZ_STN,0)),INDEX(TZ_STD,MATCH(P672,TZ_STN,0))))/24</f>
        <v/>
      </c>
      <c r="S672" s="65" t="inlineStr"/>
      <c r="T672" s="66" t="n"/>
      <c r="U672" s="66" t="n"/>
      <c r="V672" s="66" t="n"/>
      <c r="W672" s="67" t="n"/>
      <c r="X672" s="66" t="n"/>
      <c r="Y672" s="66" t="n"/>
      <c r="Z672" s="66" t="n"/>
      <c r="AA672" s="66" t="n"/>
      <c r="AB672" s="66" t="n"/>
      <c r="AC672" s="66" t="n"/>
      <c r="AD672" s="72" t="n"/>
      <c r="AE672" s="66" t="n"/>
      <c r="AF672" s="67">
        <f>IF(AND(ISNUMBER(X672),ISNUMBER(Y672)),Y672-X672,"")</f>
        <v/>
      </c>
      <c r="AG672" s="68">
        <f>IF(ISNUMBER(AD672),AD672-(IF(AND(INDEX(TZ_DSTS,MATCH(P672,TZ_STN,0))&lt;&gt;"",(AD672-INDEX(TZ_STD,MATCH(P672,TZ_STN,0))/24)&gt;=INDEX(TZ_DSTS,MATCH(P672,TZ_STN,0)),(AD672-INDEX(TZ_STD,MATCH(P672,TZ_STN,0))/24)&lt;INDEX(TZ_DSTE,MATCH(P672,TZ_STN,0))),INDEX(TZ_DST,MATCH(P672,TZ_STN,0)),INDEX(TZ_STD,MATCH(P672,TZ_STN,0))))/24,"")</f>
        <v/>
      </c>
      <c r="AH672" s="71">
        <f>IF(N672="N/A – rule","N/A – RULE",IF(TRIM(U672)="N/A",IF(AT672=0,"INVALID – N/A not permitted for this mandatory check",IF(AND(TRIM(AC672)&lt;&gt;"",TRIM(AE672)&lt;&gt;"",TRIM(T672)&lt;&gt;""),"N/A – JUSTIFIED","INVALID – N/A needs justification, PIC and verifier")),IF(OR(TRIM(U672)="Pass",TRIM(U672)="Pass after CA"),IF(NOT(ISNUMBER(AD672)),"INVALID – completion time missing",IF(TRIM(T672)="","INVALID – PIC missing",IF(TRIM(Z672)="","INVALID – evidence missing",IF(TRIM(AE672)="","INVALID – verifier missing",IF(AND(AQ672=1,TRIM(W672)=""),"INVALID – batch ID missing",IF(AND(AR672=1,OR(NOT(ISNUMBER(X672)),NOT(ISNUMBER(Y672)))),"INVALID – expected/actual qty missing",IF(IF(AND(TRIM(U672)="Pass",ISNUMBER(AF672)),IF(AF672&lt;&gt;0,"INVALID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recorded/closed","")&lt;&gt;"",IF(AND(TRIM(U672)="Pass",ISNUMBER(AF672)),IF(AF672&lt;&gt;0,"INVALID – qty variance: use Fail or Pass after CA",""),"")&amp;IF(AND(TRIM(U672)="Pass",AB672="Open"),"INVALID – corrective action still open: use Fail, then Pass after CA","")&amp;IF(AND(TRIM(U672)="Pass after CA",OR(TRIM(AA672)="",AB672&lt;&gt;"Closed")),"INVALID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window"),IF(AG672&gt;Flights!$AA$25,"INVALID – completed after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f>
        <v/>
      </c>
      <c r="AI672" s="67">
        <f>IF(OR(AH672="N/A – RULE",AH672="N/A – JUSTIFIED"),0,1)</f>
        <v/>
      </c>
      <c r="AJ672" s="67">
        <f>IF(LEFT(AH672,8)="COMPLETE",1,0)</f>
        <v/>
      </c>
      <c r="AK672" s="67">
        <f>IF(AND(AI672=1,AJ672=0,AsOfUTC&gt;Q672),1,0)</f>
        <v/>
      </c>
      <c r="AL672" s="67">
        <f>IF(AND(AI672=1,OR(TRIM(U672)="Fail",AB672="Open",AND(ISNUMBER(AF672),AF672&lt;&gt;0,TRIM(U672)&lt;&gt;"Pass after CA"))),1,0)</f>
        <v/>
      </c>
      <c r="AM672" s="67">
        <f>IF(LEFT(AH672,7)="INVALID",1,0)</f>
        <v/>
      </c>
      <c r="AN672" s="67">
        <f>IF(AND(N672="Clarification required",AI672=1,AJ672=0),1,0)</f>
        <v/>
      </c>
      <c r="AO672" s="67">
        <f>IF(AK672=1,SUM(AK$5:AK672),"")</f>
        <v/>
      </c>
      <c r="AP672" s="67">
        <f>IF(AL672=1,SUM(AL$5:AL672),"")</f>
        <v/>
      </c>
      <c r="AQ672" s="67" t="n">
        <v>0</v>
      </c>
      <c r="AR672" s="67" t="n">
        <v>0</v>
      </c>
      <c r="AS672" s="67" t="n">
        <v>2</v>
      </c>
      <c r="AT672" s="67" t="n">
        <v>0</v>
      </c>
    </row>
    <row r="673" ht="41.5" customHeight="1">
      <c r="A673" s="63" t="inlineStr">
        <is>
          <t>F21-T7-09</t>
        </is>
      </c>
      <c r="B673" s="63" t="inlineStr">
        <is>
          <t>F21</t>
        </is>
      </c>
      <c r="C673" s="63">
        <f>Flights!$F$25</f>
        <v/>
      </c>
      <c r="D673" s="64">
        <f>Flights!$D$25</f>
        <v/>
      </c>
      <c r="E673" s="63">
        <f>Flights!$G$25&amp;"-"&amp;Flights!$H$25</f>
        <v/>
      </c>
      <c r="F673" s="63">
        <f>Flights!$K$25</f>
        <v/>
      </c>
      <c r="G673" s="63" t="inlineStr">
        <is>
          <t>T-7D</t>
        </is>
      </c>
      <c r="H673" s="63" t="inlineStr">
        <is>
          <t>Preparation</t>
        </is>
      </c>
      <c r="I673" s="63" t="inlineStr">
        <is>
          <t>Uplift plan</t>
        </is>
      </c>
      <c r="J673" s="63" t="inlineStr">
        <is>
          <t>Uplift plan confirmed with caterer vs STD Uplift Information</t>
        </is>
      </c>
      <c r="K673" s="73" t="inlineStr">
        <is>
          <t>Service: Refreshment (Peanut &amp; Water); meal uplift stn KUL (ref lists KUL)</t>
        </is>
      </c>
      <c r="L673" s="73" t="inlineStr">
        <is>
          <t>STD UPLIFT INFORMATION.xlsx &gt; CATERING UPLIFT STN!C70:G70</t>
        </is>
      </c>
      <c r="M673" s="73" t="inlineStr"/>
      <c r="N673" s="73" t="inlineStr">
        <is>
          <t>Required</t>
        </is>
      </c>
      <c r="O673" s="73" t="inlineStr">
        <is>
          <t>Return catering uplifted at KUL on the outbound rotation (ref uplift stn = KUL). Confirm aircraft rotation.</t>
        </is>
      </c>
      <c r="P673" s="63" t="inlineStr">
        <is>
          <t>KUL</t>
        </is>
      </c>
      <c r="Q673" s="65">
        <f>Flights!$AC$25</f>
        <v/>
      </c>
      <c r="R673" s="65">
        <f>Q673+(IF(AND(INDEX(TZ_DSTS,MATCH(P673,TZ_STN,0))&lt;&gt;"",Q673&gt;=INDEX(TZ_DSTS,MATCH(P673,TZ_STN,0)),Q673&lt;INDEX(TZ_DSTE,MATCH(P673,TZ_STN,0))),INDEX(TZ_DST,MATCH(P673,TZ_STN,0)),INDEX(TZ_STD,MATCH(P673,TZ_STN,0))))/24</f>
        <v/>
      </c>
      <c r="S673" s="65" t="inlineStr"/>
      <c r="T673" s="66" t="n"/>
      <c r="U673" s="66" t="n"/>
      <c r="V673" s="66" t="n"/>
      <c r="W673" s="67" t="n"/>
      <c r="X673" s="66" t="n"/>
      <c r="Y673" s="66" t="n"/>
      <c r="Z673" s="66" t="n"/>
      <c r="AA673" s="66" t="n"/>
      <c r="AB673" s="66" t="n"/>
      <c r="AC673" s="66" t="n"/>
      <c r="AD673" s="72" t="n"/>
      <c r="AE673" s="66" t="n"/>
      <c r="AF673" s="67">
        <f>IF(AND(ISNUMBER(X673),ISNUMBER(Y673)),Y673-X673,"")</f>
        <v/>
      </c>
      <c r="AG673" s="68">
        <f>IF(ISNUMBER(AD673),AD673-(IF(AND(INDEX(TZ_DSTS,MATCH(P673,TZ_STN,0))&lt;&gt;"",(AD673-INDEX(TZ_STD,MATCH(P673,TZ_STN,0))/24)&gt;=INDEX(TZ_DSTS,MATCH(P673,TZ_STN,0)),(AD673-INDEX(TZ_STD,MATCH(P673,TZ_STN,0))/24)&lt;INDEX(TZ_DSTE,MATCH(P673,TZ_STN,0))),INDEX(TZ_DST,MATCH(P673,TZ_STN,0)),INDEX(TZ_STD,MATCH(P673,TZ_STN,0))))/24,"")</f>
        <v/>
      </c>
      <c r="AH673" s="71">
        <f>IF(N673="N/A – rule","N/A – RULE",IF(TRIM(U673)="N/A",IF(AT673=0,"INVALID – N/A not permitted for this mandatory check",IF(AND(TRIM(AC673)&lt;&gt;"",TRIM(AE673)&lt;&gt;"",TRIM(T673)&lt;&gt;""),"N/A – JUSTIFIED","INVALID – N/A needs justification, PIC and verifier")),IF(OR(TRIM(U673)="Pass",TRIM(U673)="Pass after CA"),IF(NOT(ISNUMBER(AD673)),"INVALID – completion time missing",IF(TRIM(T673)="","INVALID – PIC missing",IF(TRIM(Z673)="","INVALID – evidence missing",IF(TRIM(AE673)="","INVALID – verifier missing",IF(AND(AQ673=1,TRIM(W673)=""),"INVALID – batch ID missing",IF(AND(AR673=1,OR(NOT(ISNUMBER(X673)),NOT(ISNUMBER(Y673)))),"INVALID – expected/actual qty missing",IF(IF(AND(TRIM(U673)="Pass",ISNUMBER(AF673)),IF(AF673&lt;&gt;0,"INVALID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recorded/closed","")&lt;&gt;"",IF(AND(TRIM(U673)="Pass",ISNUMBER(AF673)),IF(AF673&lt;&gt;0,"INVALID – qty variance: use Fail or Pass after CA",""),"")&amp;IF(AND(TRIM(U673)="Pass",AB673="Open"),"INVALID – corrective action still open: use Fail, then Pass after CA","")&amp;IF(AND(TRIM(U673)="Pass after CA",OR(TRIM(AA673)="",AB673&lt;&gt;"Closed")),"INVALID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window"),IF(AG673&gt;Flights!$AA$25,"INVALID – completed after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f>
        <v/>
      </c>
      <c r="AI673" s="67">
        <f>IF(OR(AH673="N/A – RULE",AH673="N/A – JUSTIFIED"),0,1)</f>
        <v/>
      </c>
      <c r="AJ673" s="67">
        <f>IF(LEFT(AH673,8)="COMPLETE",1,0)</f>
        <v/>
      </c>
      <c r="AK673" s="67">
        <f>IF(AND(AI673=1,AJ673=0,AsOfUTC&gt;Q673),1,0)</f>
        <v/>
      </c>
      <c r="AL673" s="67">
        <f>IF(AND(AI673=1,OR(TRIM(U673)="Fail",AB673="Open",AND(ISNUMBER(AF673),AF673&lt;&gt;0,TRIM(U673)&lt;&gt;"Pass after CA"))),1,0)</f>
        <v/>
      </c>
      <c r="AM673" s="67">
        <f>IF(LEFT(AH673,7)="INVALID",1,0)</f>
        <v/>
      </c>
      <c r="AN673" s="67">
        <f>IF(AND(N673="Clarification required",AI673=1,AJ673=0),1,0)</f>
        <v/>
      </c>
      <c r="AO673" s="67">
        <f>IF(AK673=1,SUM(AK$5:AK673),"")</f>
        <v/>
      </c>
      <c r="AP673" s="67">
        <f>IF(AL673=1,SUM(AL$5:AL673),"")</f>
        <v/>
      </c>
      <c r="AQ673" s="67" t="n">
        <v>0</v>
      </c>
      <c r="AR673" s="67" t="n">
        <v>0</v>
      </c>
      <c r="AS673" s="67" t="n">
        <v>0</v>
      </c>
      <c r="AT673" s="67" t="n">
        <v>0</v>
      </c>
    </row>
    <row r="674" ht="91.5" customHeight="1">
      <c r="A674" s="63" t="inlineStr">
        <is>
          <t>F21-T7-10</t>
        </is>
      </c>
      <c r="B674" s="63" t="inlineStr">
        <is>
          <t>F21</t>
        </is>
      </c>
      <c r="C674" s="63">
        <f>Flights!$F$25</f>
        <v/>
      </c>
      <c r="D674" s="64">
        <f>Flights!$D$25</f>
        <v/>
      </c>
      <c r="E674" s="63">
        <f>Flights!$G$25&amp;"-"&amp;Flights!$H$25</f>
        <v/>
      </c>
      <c r="F674" s="63">
        <f>Flights!$K$25</f>
        <v/>
      </c>
      <c r="G674" s="63" t="inlineStr">
        <is>
          <t>T-7D</t>
        </is>
      </c>
      <c r="H674" s="63" t="inlineStr">
        <is>
          <t>Preparation</t>
        </is>
      </c>
      <c r="I674" s="63" t="inlineStr">
        <is>
          <t>Uplift plan</t>
        </is>
      </c>
      <c r="J674" s="63" t="inlineStr">
        <is>
          <t>Carrying flight for this leg's return catering identified and its KUL departure (UTC) entered on Flights col AX</t>
        </is>
      </c>
      <c r="K674" s="73" t="inlineStr">
        <is>
          <t>All catering for MH1437 LGK-KUL is uplifted at KUL (ref uplift stn KUL only)</t>
        </is>
      </c>
      <c r="L674" s="73" t="inlineStr">
        <is>
          <t>STD UPLIFT INFORMATION.xlsx &gt; CATERING UPLIFT STN!C70:G70</t>
        </is>
      </c>
      <c r="M674" s="73" t="inlineStr"/>
      <c r="N674" s="73" t="inlineStr">
        <is>
          <t>Clarification required</t>
        </is>
      </c>
      <c r="O674" s="73" t="inlineStr">
        <is>
          <t>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t>
        </is>
      </c>
      <c r="P674" s="63" t="inlineStr">
        <is>
          <t>KUL</t>
        </is>
      </c>
      <c r="Q674" s="65">
        <f>Flights!$AC$25</f>
        <v/>
      </c>
      <c r="R674" s="65">
        <f>Q674+(IF(AND(INDEX(TZ_DSTS,MATCH(P674,TZ_STN,0))&lt;&gt;"",Q674&gt;=INDEX(TZ_DSTS,MATCH(P674,TZ_STN,0)),Q674&lt;INDEX(TZ_DSTE,MATCH(P674,TZ_STN,0))),INDEX(TZ_DST,MATCH(P674,TZ_STN,0)),INDEX(TZ_STD,MATCH(P674,TZ_STN,0))))/24</f>
        <v/>
      </c>
      <c r="S674" s="65" t="inlineStr"/>
      <c r="T674" s="66" t="n"/>
      <c r="U674" s="66" t="n"/>
      <c r="V674" s="66" t="n"/>
      <c r="W674" s="67" t="n"/>
      <c r="X674" s="66" t="n"/>
      <c r="Y674" s="66" t="n"/>
      <c r="Z674" s="66" t="n"/>
      <c r="AA674" s="66" t="n"/>
      <c r="AB674" s="66" t="n"/>
      <c r="AC674" s="66" t="n"/>
      <c r="AD674" s="72" t="n"/>
      <c r="AE674" s="66" t="n"/>
      <c r="AF674" s="67">
        <f>IF(AND(ISNUMBER(X674),ISNUMBER(Y674)),Y674-X674,"")</f>
        <v/>
      </c>
      <c r="AG674" s="68">
        <f>IF(ISNUMBER(AD674),AD674-(IF(AND(INDEX(TZ_DSTS,MATCH(P674,TZ_STN,0))&lt;&gt;"",(AD674-INDEX(TZ_STD,MATCH(P674,TZ_STN,0))/24)&gt;=INDEX(TZ_DSTS,MATCH(P674,TZ_STN,0)),(AD674-INDEX(TZ_STD,MATCH(P674,TZ_STN,0))/24)&lt;INDEX(TZ_DSTE,MATCH(P674,TZ_STN,0))),INDEX(TZ_DST,MATCH(P674,TZ_STN,0)),INDEX(TZ_STD,MATCH(P674,TZ_STN,0))))/24,"")</f>
        <v/>
      </c>
      <c r="AH674" s="71">
        <f>IF(N674="N/A – rule","N/A – RULE",IF(TRIM(U674)="N/A",IF(AT674=0,"INVALID – N/A not permitted for this mandatory check",IF(AND(TRIM(AC674)&lt;&gt;"",TRIM(AE674)&lt;&gt;"",TRIM(T674)&lt;&gt;""),"N/A – JUSTIFIED","INVALID – N/A needs justification, PIC and verifier")),IF(OR(TRIM(U674)="Pass",TRIM(U674)="Pass after CA"),IF(NOT(ISNUMBER(AD674)),"INVALID – completion time missing",IF(TRIM(T674)="","INVALID – PIC missing",IF(TRIM(Z674)="","INVALID – evidence missing",IF(TRIM(AE674)="","INVALID – verifier missing",IF(AND(AQ674=1,TRIM(W674)=""),"INVALID – batch ID missing",IF(AND(AR674=1,OR(NOT(ISNUMBER(X674)),NOT(ISNUMBER(Y674)))),"INVALID – expected/actual qty missing",IF(IF(AND(TRIM(U674)="Pass",ISNUMBER(AF674)),IF(AF674&lt;&gt;0,"INVALID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recorded/closed","")&lt;&gt;"",IF(AND(TRIM(U674)="Pass",ISNUMBER(AF674)),IF(AF674&lt;&gt;0,"INVALID – qty variance: use Fail or Pass after CA",""),"")&amp;IF(AND(TRIM(U674)="Pass",AB674="Open"),"INVALID – corrective action still open: use Fail, then Pass after CA","")&amp;IF(AND(TRIM(U674)="Pass after CA",OR(TRIM(AA674)="",AB674&lt;&gt;"Closed")),"INVALID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window"),IF(AG674&gt;Flights!$AA$25,"INVALID – completed after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f>
        <v/>
      </c>
      <c r="AI674" s="67">
        <f>IF(OR(AH674="N/A – RULE",AH674="N/A – JUSTIFIED"),0,1)</f>
        <v/>
      </c>
      <c r="AJ674" s="67">
        <f>IF(LEFT(AH674,8)="COMPLETE",1,0)</f>
        <v/>
      </c>
      <c r="AK674" s="67">
        <f>IF(AND(AI674=1,AJ674=0,AsOfUTC&gt;Q674),1,0)</f>
        <v/>
      </c>
      <c r="AL674" s="67">
        <f>IF(AND(AI674=1,OR(TRIM(U674)="Fail",AB674="Open",AND(ISNUMBER(AF674),AF674&lt;&gt;0,TRIM(U674)&lt;&gt;"Pass after CA"))),1,0)</f>
        <v/>
      </c>
      <c r="AM674" s="67">
        <f>IF(LEFT(AH674,7)="INVALID",1,0)</f>
        <v/>
      </c>
      <c r="AN674" s="67">
        <f>IF(AND(N674="Clarification required",AI674=1,AJ674=0),1,0)</f>
        <v/>
      </c>
      <c r="AO674" s="67">
        <f>IF(AK674=1,SUM(AK$5:AK674),"")</f>
        <v/>
      </c>
      <c r="AP674" s="67">
        <f>IF(AL674=1,SUM(AL$5:AL674),"")</f>
        <v/>
      </c>
      <c r="AQ674" s="67" t="n">
        <v>0</v>
      </c>
      <c r="AR674" s="67" t="n">
        <v>0</v>
      </c>
      <c r="AS674" s="67" t="n">
        <v>3</v>
      </c>
      <c r="AT674" s="67" t="n">
        <v>1</v>
      </c>
    </row>
    <row r="675" ht="40" customHeight="1">
      <c r="A675" s="63" t="inlineStr">
        <is>
          <t>F21-T24-01</t>
        </is>
      </c>
      <c r="B675" s="63" t="inlineStr">
        <is>
          <t>F21</t>
        </is>
      </c>
      <c r="C675" s="63">
        <f>Flights!$F$25</f>
        <v/>
      </c>
      <c r="D675" s="64">
        <f>Flights!$D$25</f>
        <v/>
      </c>
      <c r="E675" s="63">
        <f>Flights!$G$25&amp;"-"&amp;Flights!$H$25</f>
        <v/>
      </c>
      <c r="F675" s="63">
        <f>Flights!$K$25</f>
        <v/>
      </c>
      <c r="G675" s="63" t="inlineStr">
        <is>
          <t>T-24H</t>
        </is>
      </c>
      <c r="H675" s="63" t="inlineStr">
        <is>
          <t>Preparation</t>
        </is>
      </c>
      <c r="I675" s="63" t="inlineStr">
        <is>
          <t>Meal</t>
        </is>
      </c>
      <c r="J675" s="63" t="inlineStr">
        <is>
          <t>Sensory test repeated on ACTUAL production batch for this flight</t>
        </is>
      </c>
      <c r="K675" s="73" t="inlineStr">
        <is>
          <t>Batch ID, result, CA and acceptance mandatory</t>
        </is>
      </c>
      <c r="L675" s="73" t="inlineStr">
        <is>
          <t>User brief (T-24 hours)</t>
        </is>
      </c>
      <c r="M675" s="73" t="inlineStr"/>
      <c r="N675" s="73" t="inlineStr">
        <is>
          <t>Required</t>
        </is>
      </c>
      <c r="O675" s="73" t="inlineStr">
        <is>
          <t>Round-trip catered from KUL: due capped at the KUL loading deadline (Flights AY).</t>
        </is>
      </c>
      <c r="P675" s="63" t="inlineStr">
        <is>
          <t>KUL</t>
        </is>
      </c>
      <c r="Q675" s="65">
        <f>MIN(Flights!$AD$25,Flights!$AY$25)</f>
        <v/>
      </c>
      <c r="R675" s="65">
        <f>Q675+(IF(AND(INDEX(TZ_DSTS,MATCH(P675,TZ_STN,0))&lt;&gt;"",Q675&gt;=INDEX(TZ_DSTS,MATCH(P675,TZ_STN,0)),Q675&lt;INDEX(TZ_DSTE,MATCH(P675,TZ_STN,0))),INDEX(TZ_DST,MATCH(P675,TZ_STN,0)),INDEX(TZ_STD,MATCH(P675,TZ_STN,0))))/24</f>
        <v/>
      </c>
      <c r="S675" s="65">
        <f>Q675-T24EarlyH/24</f>
        <v/>
      </c>
      <c r="T675" s="66" t="n"/>
      <c r="U675" s="66" t="n"/>
      <c r="V675" s="66" t="n"/>
      <c r="W675" s="66" t="n"/>
      <c r="X675" s="66" t="n"/>
      <c r="Y675" s="66" t="n"/>
      <c r="Z675" s="66" t="n"/>
      <c r="AA675" s="66" t="n"/>
      <c r="AB675" s="66" t="n"/>
      <c r="AC675" s="66" t="n"/>
      <c r="AD675" s="72" t="n"/>
      <c r="AE675" s="66" t="n"/>
      <c r="AF675" s="67">
        <f>IF(AND(ISNUMBER(X675),ISNUMBER(Y675)),Y675-X675,"")</f>
        <v/>
      </c>
      <c r="AG675" s="68">
        <f>IF(ISNUMBER(AD675),AD675-(IF(AND(INDEX(TZ_DSTS,MATCH(P675,TZ_STN,0))&lt;&gt;"",(AD675-INDEX(TZ_STD,MATCH(P675,TZ_STN,0))/24)&gt;=INDEX(TZ_DSTS,MATCH(P675,TZ_STN,0)),(AD675-INDEX(TZ_STD,MATCH(P675,TZ_STN,0))/24)&lt;INDEX(TZ_DSTE,MATCH(P675,TZ_STN,0))),INDEX(TZ_DST,MATCH(P675,TZ_STN,0)),INDEX(TZ_STD,MATCH(P675,TZ_STN,0))))/24,"")</f>
        <v/>
      </c>
      <c r="AH675" s="71">
        <f>IF(N675="N/A – rule","N/A – RULE",IF(TRIM(U675)="N/A",IF(AT675=0,"INVALID – N/A not permitted for this mandatory check",IF(AND(TRIM(AC675)&lt;&gt;"",TRIM(AE675)&lt;&gt;"",TRIM(T675)&lt;&gt;""),"N/A – JUSTIFIED","INVALID – N/A needs justification, PIC and verifier")),IF(OR(TRIM(U675)="Pass",TRIM(U675)="Pass after CA"),IF(NOT(ISNUMBER(AD675)),"INVALID – completion time missing",IF(TRIM(T675)="","INVALID – PIC missing",IF(TRIM(Z675)="","INVALID – evidence missing",IF(TRIM(AE675)="","INVALID – verifier missing",IF(AND(AQ675=1,TRIM(W675)=""),"INVALID – batch ID missing",IF(AND(AR675=1,OR(NOT(ISNUMBER(X675)),NOT(ISNUMBER(Y675)))),"INVALID – expected/actual qty missing",IF(IF(AND(TRIM(U675)="Pass",ISNUMBER(AF675)),IF(AF675&lt;&gt;0,"INVALID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recorded/closed","")&lt;&gt;"",IF(AND(TRIM(U675)="Pass",ISNUMBER(AF675)),IF(AF675&lt;&gt;0,"INVALID – qty variance: use Fail or Pass after CA",""),"")&amp;IF(AND(TRIM(U675)="Pass",AB675="Open"),"INVALID – corrective action still open: use Fail, then Pass after CA","")&amp;IF(AND(TRIM(U675)="Pass after CA",OR(TRIM(AA675)="",AB675&lt;&gt;"Closed")),"INVALID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window"),IF(AG675&gt;Flights!$AA$25,"INVALID – completed after departure (cannot establish readiness)",IF(AND(H675="Physical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f>
        <v/>
      </c>
      <c r="AI675" s="67">
        <f>IF(OR(AH675="N/A – RULE",AH675="N/A – JUSTIFIED"),0,1)</f>
        <v/>
      </c>
      <c r="AJ675" s="67">
        <f>IF(LEFT(AH675,8)="COMPLETE",1,0)</f>
        <v/>
      </c>
      <c r="AK675" s="67">
        <f>IF(AND(AI675=1,AJ675=0,AsOfUTC&gt;Q675),1,0)</f>
        <v/>
      </c>
      <c r="AL675" s="67">
        <f>IF(AND(AI675=1,OR(TRIM(U675)="Fail",AB675="Open",AND(ISNUMBER(AF675),AF675&lt;&gt;0,TRIM(U675)&lt;&gt;"Pass after CA"))),1,0)</f>
        <v/>
      </c>
      <c r="AM675" s="67">
        <f>IF(LEFT(AH675,7)="INVALID",1,0)</f>
        <v/>
      </c>
      <c r="AN675" s="67">
        <f>IF(AND(N675="Clarification required",AI675=1,AJ675=0),1,0)</f>
        <v/>
      </c>
      <c r="AO675" s="67">
        <f>IF(AK675=1,SUM(AK$5:AK675),"")</f>
        <v/>
      </c>
      <c r="AP675" s="67">
        <f>IF(AL675=1,SUM(AL$5:AL675),"")</f>
        <v/>
      </c>
      <c r="AQ675" s="67" t="n">
        <v>1</v>
      </c>
      <c r="AR675" s="67" t="n">
        <v>0</v>
      </c>
      <c r="AS675" s="67" t="n">
        <v>0</v>
      </c>
      <c r="AT675" s="67" t="n">
        <v>0</v>
      </c>
    </row>
    <row r="676" ht="41.5" customHeight="1">
      <c r="A676" s="63" t="inlineStr">
        <is>
          <t>F21-T12-01</t>
        </is>
      </c>
      <c r="B676" s="63" t="inlineStr">
        <is>
          <t>F21</t>
        </is>
      </c>
      <c r="C676" s="63">
        <f>Flights!$F$25</f>
        <v/>
      </c>
      <c r="D676" s="64">
        <f>Flights!$D$25</f>
        <v/>
      </c>
      <c r="E676" s="63">
        <f>Flights!$G$25&amp;"-"&amp;Flights!$H$25</f>
        <v/>
      </c>
      <c r="F676" s="63">
        <f>Flights!$K$25</f>
        <v/>
      </c>
      <c r="G676" s="63" t="inlineStr">
        <is>
          <t>T-12H PREP</t>
        </is>
      </c>
      <c r="H676" s="63" t="inlineStr">
        <is>
          <t>Preparation</t>
        </is>
      </c>
      <c r="I676" s="63" t="inlineStr">
        <is>
          <t>Meal</t>
        </is>
      </c>
      <c r="J676" s="63" t="inlineStr">
        <is>
          <t>Meal quality vs menu checklist</t>
        </is>
      </c>
      <c r="K676" s="73" t="inlineStr"/>
      <c r="L676" s="73" t="inlineStr">
        <is>
          <t>User brief (T-12 hours)</t>
        </is>
      </c>
      <c r="M676" s="73" t="inlineStr"/>
      <c r="N676" s="73" t="inlineStr">
        <is>
          <t>Required</t>
        </is>
      </c>
      <c r="O676" s="73" t="inlineStr">
        <is>
          <t>Preparation check at caterer - does NOT confirm loading. Round-trip catered from KUL: due capped at the KUL loading deadline (Flights AY).</t>
        </is>
      </c>
      <c r="P676" s="63" t="inlineStr">
        <is>
          <t>KUL</t>
        </is>
      </c>
      <c r="Q676" s="65">
        <f>MIN(Flights!$AE$25,Flights!$AY$25)</f>
        <v/>
      </c>
      <c r="R676" s="65">
        <f>Q676+(IF(AND(INDEX(TZ_DSTS,MATCH(P676,TZ_STN,0))&lt;&gt;"",Q676&gt;=INDEX(TZ_DSTS,MATCH(P676,TZ_STN,0)),Q676&lt;INDEX(TZ_DSTE,MATCH(P676,TZ_STN,0))),INDEX(TZ_DST,MATCH(P676,TZ_STN,0)),INDEX(TZ_STD,MATCH(P676,TZ_STN,0))))/24</f>
        <v/>
      </c>
      <c r="S676" s="65">
        <f>Q676-T12EarlyH/24</f>
        <v/>
      </c>
      <c r="T676" s="66" t="n"/>
      <c r="U676" s="66" t="n"/>
      <c r="V676" s="66" t="n"/>
      <c r="W676" s="67" t="n"/>
      <c r="X676" s="66" t="n"/>
      <c r="Y676" s="66" t="n"/>
      <c r="Z676" s="66" t="n"/>
      <c r="AA676" s="66" t="n"/>
      <c r="AB676" s="66" t="n"/>
      <c r="AC676" s="66" t="n"/>
      <c r="AD676" s="72" t="n"/>
      <c r="AE676" s="66" t="n"/>
      <c r="AF676" s="67">
        <f>IF(AND(ISNUMBER(X676),ISNUMBER(Y676)),Y676-X676,"")</f>
        <v/>
      </c>
      <c r="AG676" s="68">
        <f>IF(ISNUMBER(AD676),AD676-(IF(AND(INDEX(TZ_DSTS,MATCH(P676,TZ_STN,0))&lt;&gt;"",(AD676-INDEX(TZ_STD,MATCH(P676,TZ_STN,0))/24)&gt;=INDEX(TZ_DSTS,MATCH(P676,TZ_STN,0)),(AD676-INDEX(TZ_STD,MATCH(P676,TZ_STN,0))/24)&lt;INDEX(TZ_DSTE,MATCH(P676,TZ_STN,0))),INDEX(TZ_DST,MATCH(P676,TZ_STN,0)),INDEX(TZ_STD,MATCH(P676,TZ_STN,0))))/24,"")</f>
        <v/>
      </c>
      <c r="AH676" s="71">
        <f>IF(N676="N/A – rule","N/A – RULE",IF(TRIM(U676)="N/A",IF(AT676=0,"INVALID – N/A not permitted for this mandatory check",IF(AND(TRIM(AC676)&lt;&gt;"",TRIM(AE676)&lt;&gt;"",TRIM(T676)&lt;&gt;""),"N/A – JUSTIFIED","INVALID – N/A needs justification, PIC and verifier")),IF(OR(TRIM(U676)="Pass",TRIM(U676)="Pass after CA"),IF(NOT(ISNUMBER(AD676)),"INVALID – completion time missing",IF(TRIM(T676)="","INVALID – PIC missing",IF(TRIM(Z676)="","INVALID – evidence missing",IF(TRIM(AE676)="","INVALID – verifier missing",IF(AND(AQ676=1,TRIM(W676)=""),"INVALID – batch ID missing",IF(AND(AR676=1,OR(NOT(ISNUMBER(X676)),NOT(ISNUMBER(Y676)))),"INVALID – expected/actual qty missing",IF(IF(AND(TRIM(U676)="Pass",ISNUMBER(AF676)),IF(AF676&lt;&gt;0,"INVALID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recorded/closed","")&lt;&gt;"",IF(AND(TRIM(U676)="Pass",ISNUMBER(AF676)),IF(AF676&lt;&gt;0,"INVALID – qty variance: use Fail or Pass after CA",""),"")&amp;IF(AND(TRIM(U676)="Pass",AB676="Open"),"INVALID – corrective action still open: use Fail, then Pass after CA","")&amp;IF(AND(TRIM(U676)="Pass after CA",OR(TRIM(AA676)="",AB676&lt;&gt;"Closed")),"INVALID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window"),IF(AG676&gt;Flights!$AA$25,"INVALID – completed after departure (cannot establish readiness)",IF(AND(H676="Physical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f>
        <v/>
      </c>
      <c r="AI676" s="67">
        <f>IF(OR(AH676="N/A – RULE",AH676="N/A – JUSTIFIED"),0,1)</f>
        <v/>
      </c>
      <c r="AJ676" s="67">
        <f>IF(LEFT(AH676,8)="COMPLETE",1,0)</f>
        <v/>
      </c>
      <c r="AK676" s="67">
        <f>IF(AND(AI676=1,AJ676=0,AsOfUTC&gt;Q676),1,0)</f>
        <v/>
      </c>
      <c r="AL676" s="67">
        <f>IF(AND(AI676=1,OR(TRIM(U676)="Fail",AB676="Open",AND(ISNUMBER(AF676),AF676&lt;&gt;0,TRIM(U676)&lt;&gt;"Pass after CA"))),1,0)</f>
        <v/>
      </c>
      <c r="AM676" s="67">
        <f>IF(LEFT(AH676,7)="INVALID",1,0)</f>
        <v/>
      </c>
      <c r="AN676" s="67">
        <f>IF(AND(N676="Clarification required",AI676=1,AJ676=0),1,0)</f>
        <v/>
      </c>
      <c r="AO676" s="67">
        <f>IF(AK676=1,SUM(AK$5:AK676),"")</f>
        <v/>
      </c>
      <c r="AP676" s="67">
        <f>IF(AL676=1,SUM(AL$5:AL676),"")</f>
        <v/>
      </c>
      <c r="AQ676" s="67" t="n">
        <v>0</v>
      </c>
      <c r="AR676" s="67" t="n">
        <v>0</v>
      </c>
      <c r="AS676" s="67" t="n">
        <v>0</v>
      </c>
      <c r="AT676" s="67" t="n">
        <v>0</v>
      </c>
    </row>
    <row r="677" ht="41.5" customHeight="1">
      <c r="A677" s="63" t="inlineStr">
        <is>
          <t>F21-T12-02</t>
        </is>
      </c>
      <c r="B677" s="63" t="inlineStr">
        <is>
          <t>F21</t>
        </is>
      </c>
      <c r="C677" s="63">
        <f>Flights!$F$25</f>
        <v/>
      </c>
      <c r="D677" s="64">
        <f>Flights!$D$25</f>
        <v/>
      </c>
      <c r="E677" s="63">
        <f>Flights!$G$25&amp;"-"&amp;Flights!$H$25</f>
        <v/>
      </c>
      <c r="F677" s="63">
        <f>Flights!$K$25</f>
        <v/>
      </c>
      <c r="G677" s="63" t="inlineStr">
        <is>
          <t>T-12H PREP</t>
        </is>
      </c>
      <c r="H677" s="63" t="inlineStr">
        <is>
          <t>Preparation</t>
        </is>
      </c>
      <c r="I677" s="63" t="inlineStr">
        <is>
          <t>Meal</t>
        </is>
      </c>
      <c r="J677" s="63" t="inlineStr">
        <is>
          <t>Meal quantities vs menu checklist</t>
        </is>
      </c>
      <c r="K677" s="73" t="inlineStr">
        <is>
          <t>Enter expected &amp; actual</t>
        </is>
      </c>
      <c r="L677" s="73" t="inlineStr">
        <is>
          <t>User brief (T-12 hours)</t>
        </is>
      </c>
      <c r="M677" s="73" t="inlineStr"/>
      <c r="N677" s="73" t="inlineStr">
        <is>
          <t>Required</t>
        </is>
      </c>
      <c r="O677" s="73" t="inlineStr">
        <is>
          <t>Preparation check at caterer - does NOT confirm loading. Round-trip catered from KUL: due capped at the KUL loading deadline (Flights AY).</t>
        </is>
      </c>
      <c r="P677" s="63" t="inlineStr">
        <is>
          <t>KUL</t>
        </is>
      </c>
      <c r="Q677" s="65">
        <f>MIN(Flights!$AE$25,Flights!$AY$25)</f>
        <v/>
      </c>
      <c r="R677" s="65">
        <f>Q677+(IF(AND(INDEX(TZ_DSTS,MATCH(P677,TZ_STN,0))&lt;&gt;"",Q677&gt;=INDEX(TZ_DSTS,MATCH(P677,TZ_STN,0)),Q677&lt;INDEX(TZ_DSTE,MATCH(P677,TZ_STN,0))),INDEX(TZ_DST,MATCH(P677,TZ_STN,0)),INDEX(TZ_STD,MATCH(P677,TZ_STN,0))))/24</f>
        <v/>
      </c>
      <c r="S677" s="65">
        <f>Q677-T12EarlyH/24</f>
        <v/>
      </c>
      <c r="T677" s="66" t="n"/>
      <c r="U677" s="66" t="n"/>
      <c r="V677" s="66" t="n"/>
      <c r="W677" s="67" t="n"/>
      <c r="X677" s="66" t="n"/>
      <c r="Y677" s="66" t="n"/>
      <c r="Z677" s="66" t="n"/>
      <c r="AA677" s="66" t="n"/>
      <c r="AB677" s="66" t="n"/>
      <c r="AC677" s="66" t="n"/>
      <c r="AD677" s="72" t="n"/>
      <c r="AE677" s="66" t="n"/>
      <c r="AF677" s="67">
        <f>IF(AND(ISNUMBER(X677),ISNUMBER(Y677)),Y677-X677,"")</f>
        <v/>
      </c>
      <c r="AG677" s="68">
        <f>IF(ISNUMBER(AD677),AD677-(IF(AND(INDEX(TZ_DSTS,MATCH(P677,TZ_STN,0))&lt;&gt;"",(AD677-INDEX(TZ_STD,MATCH(P677,TZ_STN,0))/24)&gt;=INDEX(TZ_DSTS,MATCH(P677,TZ_STN,0)),(AD677-INDEX(TZ_STD,MATCH(P677,TZ_STN,0))/24)&lt;INDEX(TZ_DSTE,MATCH(P677,TZ_STN,0))),INDEX(TZ_DST,MATCH(P677,TZ_STN,0)),INDEX(TZ_STD,MATCH(P677,TZ_STN,0))))/24,"")</f>
        <v/>
      </c>
      <c r="AH677" s="71">
        <f>IF(N677="N/A – rule","N/A – RULE",IF(TRIM(U677)="N/A",IF(AT677=0,"INVALID – N/A not permitted for this mandatory check",IF(AND(TRIM(AC677)&lt;&gt;"",TRIM(AE677)&lt;&gt;"",TRIM(T677)&lt;&gt;""),"N/A – JUSTIFIED","INVALID – N/A needs justification, PIC and verifier")),IF(OR(TRIM(U677)="Pass",TRIM(U677)="Pass after CA"),IF(NOT(ISNUMBER(AD677)),"INVALID – completion time missing",IF(TRIM(T677)="","INVALID – PIC missing",IF(TRIM(Z677)="","INVALID – evidence missing",IF(TRIM(AE677)="","INVALID – verifier missing",IF(AND(AQ677=1,TRIM(W677)=""),"INVALID – batch ID missing",IF(AND(AR677=1,OR(NOT(ISNUMBER(X677)),NOT(ISNUMBER(Y677)))),"INVALID – expected/actual qty missing",IF(IF(AND(TRIM(U677)="Pass",ISNUMBER(AF677)),IF(AF677&lt;&gt;0,"INVALID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recorded/closed","")&lt;&gt;"",IF(AND(TRIM(U677)="Pass",ISNUMBER(AF677)),IF(AF677&lt;&gt;0,"INVALID – qty variance: use Fail or Pass after CA",""),"")&amp;IF(AND(TRIM(U677)="Pass",AB677="Open"),"INVALID – corrective action still open: use Fail, then Pass after CA","")&amp;IF(AND(TRIM(U677)="Pass after CA",OR(TRIM(AA677)="",AB677&lt;&gt;"Closed")),"INVALID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window"),IF(AG677&gt;Flights!$AA$25,"INVALID – completed after departure (cannot establish readiness)",IF(AND(H677="Physical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f>
        <v/>
      </c>
      <c r="AI677" s="67">
        <f>IF(OR(AH677="N/A – RULE",AH677="N/A – JUSTIFIED"),0,1)</f>
        <v/>
      </c>
      <c r="AJ677" s="67">
        <f>IF(LEFT(AH677,8)="COMPLETE",1,0)</f>
        <v/>
      </c>
      <c r="AK677" s="67">
        <f>IF(AND(AI677=1,AJ677=0,AsOfUTC&gt;Q677),1,0)</f>
        <v/>
      </c>
      <c r="AL677" s="67">
        <f>IF(AND(AI677=1,OR(TRIM(U677)="Fail",AB677="Open",AND(ISNUMBER(AF677),AF677&lt;&gt;0,TRIM(U677)&lt;&gt;"Pass after CA"))),1,0)</f>
        <v/>
      </c>
      <c r="AM677" s="67">
        <f>IF(LEFT(AH677,7)="INVALID",1,0)</f>
        <v/>
      </c>
      <c r="AN677" s="67">
        <f>IF(AND(N677="Clarification required",AI677=1,AJ677=0),1,0)</f>
        <v/>
      </c>
      <c r="AO677" s="67">
        <f>IF(AK677=1,SUM(AK$5:AK677),"")</f>
        <v/>
      </c>
      <c r="AP677" s="67">
        <f>IF(AL677=1,SUM(AL$5:AL677),"")</f>
        <v/>
      </c>
      <c r="AQ677" s="67" t="n">
        <v>0</v>
      </c>
      <c r="AR677" s="67" t="n">
        <v>1</v>
      </c>
      <c r="AS677" s="67" t="n">
        <v>0</v>
      </c>
      <c r="AT677" s="67" t="n">
        <v>0</v>
      </c>
    </row>
    <row r="678" ht="41.5" customHeight="1">
      <c r="A678" s="63" t="inlineStr">
        <is>
          <t>F21-T12-03</t>
        </is>
      </c>
      <c r="B678" s="63" t="inlineStr">
        <is>
          <t>F21</t>
        </is>
      </c>
      <c r="C678" s="63">
        <f>Flights!$F$25</f>
        <v/>
      </c>
      <c r="D678" s="64">
        <f>Flights!$D$25</f>
        <v/>
      </c>
      <c r="E678" s="63">
        <f>Flights!$G$25&amp;"-"&amp;Flights!$H$25</f>
        <v/>
      </c>
      <c r="F678" s="63">
        <f>Flights!$K$25</f>
        <v/>
      </c>
      <c r="G678" s="63" t="inlineStr">
        <is>
          <t>T-12H PREP</t>
        </is>
      </c>
      <c r="H678" s="63" t="inlineStr">
        <is>
          <t>Preparation</t>
        </is>
      </c>
      <c r="I678" s="63" t="inlineStr">
        <is>
          <t>Equipment</t>
        </is>
      </c>
      <c r="J678" s="63" t="inlineStr">
        <is>
          <t>Equipment cleanliness vs GLD</t>
        </is>
      </c>
      <c r="K678" s="73" t="inlineStr"/>
      <c r="L678" s="73" t="inlineStr">
        <is>
          <t>User brief (T-12 hours)</t>
        </is>
      </c>
      <c r="M678" s="73" t="inlineStr"/>
      <c r="N678" s="73" t="inlineStr">
        <is>
          <t>Required</t>
        </is>
      </c>
      <c r="O678" s="73" t="inlineStr">
        <is>
          <t>Preparation check at caterer - does NOT confirm loading. Round-trip catered from KUL: due capped at the KUL loading deadline (Flights AY).</t>
        </is>
      </c>
      <c r="P678" s="63" t="inlineStr">
        <is>
          <t>KUL</t>
        </is>
      </c>
      <c r="Q678" s="65">
        <f>MIN(Flights!$AE$25,Flights!$AY$25)</f>
        <v/>
      </c>
      <c r="R678" s="65">
        <f>Q678+(IF(AND(INDEX(TZ_DSTS,MATCH(P678,TZ_STN,0))&lt;&gt;"",Q678&gt;=INDEX(TZ_DSTS,MATCH(P678,TZ_STN,0)),Q678&lt;INDEX(TZ_DSTE,MATCH(P678,TZ_STN,0))),INDEX(TZ_DST,MATCH(P678,TZ_STN,0)),INDEX(TZ_STD,MATCH(P678,TZ_STN,0))))/24</f>
        <v/>
      </c>
      <c r="S678" s="65">
        <f>Q678-T12EarlyH/24</f>
        <v/>
      </c>
      <c r="T678" s="66" t="n"/>
      <c r="U678" s="66" t="n"/>
      <c r="V678" s="66" t="n"/>
      <c r="W678" s="67" t="n"/>
      <c r="X678" s="66" t="n"/>
      <c r="Y678" s="66" t="n"/>
      <c r="Z678" s="66" t="n"/>
      <c r="AA678" s="66" t="n"/>
      <c r="AB678" s="66" t="n"/>
      <c r="AC678" s="66" t="n"/>
      <c r="AD678" s="72" t="n"/>
      <c r="AE678" s="66" t="n"/>
      <c r="AF678" s="67">
        <f>IF(AND(ISNUMBER(X678),ISNUMBER(Y678)),Y678-X678,"")</f>
        <v/>
      </c>
      <c r="AG678" s="68">
        <f>IF(ISNUMBER(AD678),AD678-(IF(AND(INDEX(TZ_DSTS,MATCH(P678,TZ_STN,0))&lt;&gt;"",(AD678-INDEX(TZ_STD,MATCH(P678,TZ_STN,0))/24)&gt;=INDEX(TZ_DSTS,MATCH(P678,TZ_STN,0)),(AD678-INDEX(TZ_STD,MATCH(P678,TZ_STN,0))/24)&lt;INDEX(TZ_DSTE,MATCH(P678,TZ_STN,0))),INDEX(TZ_DST,MATCH(P678,TZ_STN,0)),INDEX(TZ_STD,MATCH(P678,TZ_STN,0))))/24,"")</f>
        <v/>
      </c>
      <c r="AH678" s="71">
        <f>IF(N678="N/A – rule","N/A – RULE",IF(TRIM(U678)="N/A",IF(AT678=0,"INVALID – N/A not permitted for this mandatory check",IF(AND(TRIM(AC678)&lt;&gt;"",TRIM(AE678)&lt;&gt;"",TRIM(T678)&lt;&gt;""),"N/A – JUSTIFIED","INVALID – N/A needs justification, PIC and verifier")),IF(OR(TRIM(U678)="Pass",TRIM(U678)="Pass after CA"),IF(NOT(ISNUMBER(AD678)),"INVALID – completion time missing",IF(TRIM(T678)="","INVALID – PIC missing",IF(TRIM(Z678)="","INVALID – evidence missing",IF(TRIM(AE678)="","INVALID – verifier missing",IF(AND(AQ678=1,TRIM(W678)=""),"INVALID – batch ID missing",IF(AND(AR678=1,OR(NOT(ISNUMBER(X678)),NOT(ISNUMBER(Y678)))),"INVALID – expected/actual qty missing",IF(IF(AND(TRIM(U678)="Pass",ISNUMBER(AF678)),IF(AF678&lt;&gt;0,"INVALID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recorded/closed","")&lt;&gt;"",IF(AND(TRIM(U678)="Pass",ISNUMBER(AF678)),IF(AF678&lt;&gt;0,"INVALID – qty variance: use Fail or Pass after CA",""),"")&amp;IF(AND(TRIM(U678)="Pass",AB678="Open"),"INVALID – corrective action still open: use Fail, then Pass after CA","")&amp;IF(AND(TRIM(U678)="Pass after CA",OR(TRIM(AA678)="",AB678&lt;&gt;"Closed")),"INVALID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window"),IF(AG678&gt;Flights!$AA$25,"INVALID – completed after departure (cannot establish readiness)",IF(AND(H678="Physical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f>
        <v/>
      </c>
      <c r="AI678" s="67">
        <f>IF(OR(AH678="N/A – RULE",AH678="N/A – JUSTIFIED"),0,1)</f>
        <v/>
      </c>
      <c r="AJ678" s="67">
        <f>IF(LEFT(AH678,8)="COMPLETE",1,0)</f>
        <v/>
      </c>
      <c r="AK678" s="67">
        <f>IF(AND(AI678=1,AJ678=0,AsOfUTC&gt;Q678),1,0)</f>
        <v/>
      </c>
      <c r="AL678" s="67">
        <f>IF(AND(AI678=1,OR(TRIM(U678)="Fail",AB678="Open",AND(ISNUMBER(AF678),AF678&lt;&gt;0,TRIM(U678)&lt;&gt;"Pass after CA"))),1,0)</f>
        <v/>
      </c>
      <c r="AM678" s="67">
        <f>IF(LEFT(AH678,7)="INVALID",1,0)</f>
        <v/>
      </c>
      <c r="AN678" s="67">
        <f>IF(AND(N678="Clarification required",AI678=1,AJ678=0),1,0)</f>
        <v/>
      </c>
      <c r="AO678" s="67">
        <f>IF(AK678=1,SUM(AK$5:AK678),"")</f>
        <v/>
      </c>
      <c r="AP678" s="67">
        <f>IF(AL678=1,SUM(AL$5:AL678),"")</f>
        <v/>
      </c>
      <c r="AQ678" s="67" t="n">
        <v>0</v>
      </c>
      <c r="AR678" s="67" t="n">
        <v>0</v>
      </c>
      <c r="AS678" s="67" t="n">
        <v>0</v>
      </c>
      <c r="AT678" s="67" t="n">
        <v>0</v>
      </c>
    </row>
    <row r="679" ht="41.5" customHeight="1">
      <c r="A679" s="63" t="inlineStr">
        <is>
          <t>F21-T12-04</t>
        </is>
      </c>
      <c r="B679" s="63" t="inlineStr">
        <is>
          <t>F21</t>
        </is>
      </c>
      <c r="C679" s="63">
        <f>Flights!$F$25</f>
        <v/>
      </c>
      <c r="D679" s="64">
        <f>Flights!$D$25</f>
        <v/>
      </c>
      <c r="E679" s="63">
        <f>Flights!$G$25&amp;"-"&amp;Flights!$H$25</f>
        <v/>
      </c>
      <c r="F679" s="63">
        <f>Flights!$K$25</f>
        <v/>
      </c>
      <c r="G679" s="63" t="inlineStr">
        <is>
          <t>T-12H PREP</t>
        </is>
      </c>
      <c r="H679" s="63" t="inlineStr">
        <is>
          <t>Preparation</t>
        </is>
      </c>
      <c r="I679" s="63" t="inlineStr">
        <is>
          <t>Equipment</t>
        </is>
      </c>
      <c r="J679" s="63" t="inlineStr">
        <is>
          <t>Equipment presentation vs GLD</t>
        </is>
      </c>
      <c r="K679" s="73" t="inlineStr"/>
      <c r="L679" s="73" t="inlineStr">
        <is>
          <t>User brief (T-12 hours)</t>
        </is>
      </c>
      <c r="M679" s="73" t="inlineStr"/>
      <c r="N679" s="73" t="inlineStr">
        <is>
          <t>Required</t>
        </is>
      </c>
      <c r="O679" s="73" t="inlineStr">
        <is>
          <t>Preparation check at caterer - does NOT confirm loading. Round-trip catered from KUL: due capped at the KUL loading deadline (Flights AY).</t>
        </is>
      </c>
      <c r="P679" s="63" t="inlineStr">
        <is>
          <t>KUL</t>
        </is>
      </c>
      <c r="Q679" s="65">
        <f>MIN(Flights!$AE$25,Flights!$AY$25)</f>
        <v/>
      </c>
      <c r="R679" s="65">
        <f>Q679+(IF(AND(INDEX(TZ_DSTS,MATCH(P679,TZ_STN,0))&lt;&gt;"",Q679&gt;=INDEX(TZ_DSTS,MATCH(P679,TZ_STN,0)),Q679&lt;INDEX(TZ_DSTE,MATCH(P679,TZ_STN,0))),INDEX(TZ_DST,MATCH(P679,TZ_STN,0)),INDEX(TZ_STD,MATCH(P679,TZ_STN,0))))/24</f>
        <v/>
      </c>
      <c r="S679" s="65">
        <f>Q679-T12EarlyH/24</f>
        <v/>
      </c>
      <c r="T679" s="66" t="n"/>
      <c r="U679" s="66" t="n"/>
      <c r="V679" s="66" t="n"/>
      <c r="W679" s="67" t="n"/>
      <c r="X679" s="66" t="n"/>
      <c r="Y679" s="66" t="n"/>
      <c r="Z679" s="66" t="n"/>
      <c r="AA679" s="66" t="n"/>
      <c r="AB679" s="66" t="n"/>
      <c r="AC679" s="66" t="n"/>
      <c r="AD679" s="72" t="n"/>
      <c r="AE679" s="66" t="n"/>
      <c r="AF679" s="67">
        <f>IF(AND(ISNUMBER(X679),ISNUMBER(Y679)),Y679-X679,"")</f>
        <v/>
      </c>
      <c r="AG679" s="68">
        <f>IF(ISNUMBER(AD679),AD679-(IF(AND(INDEX(TZ_DSTS,MATCH(P679,TZ_STN,0))&lt;&gt;"",(AD679-INDEX(TZ_STD,MATCH(P679,TZ_STN,0))/24)&gt;=INDEX(TZ_DSTS,MATCH(P679,TZ_STN,0)),(AD679-INDEX(TZ_STD,MATCH(P679,TZ_STN,0))/24)&lt;INDEX(TZ_DSTE,MATCH(P679,TZ_STN,0))),INDEX(TZ_DST,MATCH(P679,TZ_STN,0)),INDEX(TZ_STD,MATCH(P679,TZ_STN,0))))/24,"")</f>
        <v/>
      </c>
      <c r="AH679" s="71">
        <f>IF(N679="N/A – rule","N/A – RULE",IF(TRIM(U679)="N/A",IF(AT679=0,"INVALID – N/A not permitted for this mandatory check",IF(AND(TRIM(AC679)&lt;&gt;"",TRIM(AE679)&lt;&gt;"",TRIM(T679)&lt;&gt;""),"N/A – JUSTIFIED","INVALID – N/A needs justification, PIC and verifier")),IF(OR(TRIM(U679)="Pass",TRIM(U679)="Pass after CA"),IF(NOT(ISNUMBER(AD679)),"INVALID – completion time missing",IF(TRIM(T679)="","INVALID – PIC missing",IF(TRIM(Z679)="","INVALID – evidence missing",IF(TRIM(AE679)="","INVALID – verifier missing",IF(AND(AQ679=1,TRIM(W679)=""),"INVALID – batch ID missing",IF(AND(AR679=1,OR(NOT(ISNUMBER(X679)),NOT(ISNUMBER(Y679)))),"INVALID – expected/actual qty missing",IF(IF(AND(TRIM(U679)="Pass",ISNUMBER(AF679)),IF(AF679&lt;&gt;0,"INVALID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recorded/closed","")&lt;&gt;"",IF(AND(TRIM(U679)="Pass",ISNUMBER(AF679)),IF(AF679&lt;&gt;0,"INVALID – qty variance: use Fail or Pass after CA",""),"")&amp;IF(AND(TRIM(U679)="Pass",AB679="Open"),"INVALID – corrective action still open: use Fail, then Pass after CA","")&amp;IF(AND(TRIM(U679)="Pass after CA",OR(TRIM(AA679)="",AB679&lt;&gt;"Closed")),"INVALID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window"),IF(AG679&gt;Flights!$AA$25,"INVALID – completed after departure (cannot establish readiness)",IF(AND(H679="Physical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f>
        <v/>
      </c>
      <c r="AI679" s="67">
        <f>IF(OR(AH679="N/A – RULE",AH679="N/A – JUSTIFIED"),0,1)</f>
        <v/>
      </c>
      <c r="AJ679" s="67">
        <f>IF(LEFT(AH679,8)="COMPLETE",1,0)</f>
        <v/>
      </c>
      <c r="AK679" s="67">
        <f>IF(AND(AI679=1,AJ679=0,AsOfUTC&gt;Q679),1,0)</f>
        <v/>
      </c>
      <c r="AL679" s="67">
        <f>IF(AND(AI679=1,OR(TRIM(U679)="Fail",AB679="Open",AND(ISNUMBER(AF679),AF679&lt;&gt;0,TRIM(U679)&lt;&gt;"Pass after CA"))),1,0)</f>
        <v/>
      </c>
      <c r="AM679" s="67">
        <f>IF(LEFT(AH679,7)="INVALID",1,0)</f>
        <v/>
      </c>
      <c r="AN679" s="67">
        <f>IF(AND(N679="Clarification required",AI679=1,AJ679=0),1,0)</f>
        <v/>
      </c>
      <c r="AO679" s="67">
        <f>IF(AK679=1,SUM(AK$5:AK679),"")</f>
        <v/>
      </c>
      <c r="AP679" s="67">
        <f>IF(AL679=1,SUM(AL$5:AL679),"")</f>
        <v/>
      </c>
      <c r="AQ679" s="67" t="n">
        <v>0</v>
      </c>
      <c r="AR679" s="67" t="n">
        <v>0</v>
      </c>
      <c r="AS679" s="67" t="n">
        <v>0</v>
      </c>
      <c r="AT679" s="67" t="n">
        <v>0</v>
      </c>
    </row>
    <row r="680" ht="41.5" customHeight="1">
      <c r="A680" s="63" t="inlineStr">
        <is>
          <t>F21-T12-05</t>
        </is>
      </c>
      <c r="B680" s="63" t="inlineStr">
        <is>
          <t>F21</t>
        </is>
      </c>
      <c r="C680" s="63">
        <f>Flights!$F$25</f>
        <v/>
      </c>
      <c r="D680" s="64">
        <f>Flights!$D$25</f>
        <v/>
      </c>
      <c r="E680" s="63">
        <f>Flights!$G$25&amp;"-"&amp;Flights!$H$25</f>
        <v/>
      </c>
      <c r="F680" s="63">
        <f>Flights!$K$25</f>
        <v/>
      </c>
      <c r="G680" s="63" t="inlineStr">
        <is>
          <t>T-12H PREP</t>
        </is>
      </c>
      <c r="H680" s="63" t="inlineStr">
        <is>
          <t>Preparation</t>
        </is>
      </c>
      <c r="I680" s="63" t="inlineStr">
        <is>
          <t>Equipment</t>
        </is>
      </c>
      <c r="J680" s="63" t="inlineStr">
        <is>
          <t>Equipment serviceability vs GLD</t>
        </is>
      </c>
      <c r="K680" s="73" t="inlineStr"/>
      <c r="L680" s="73" t="inlineStr">
        <is>
          <t>User brief (T-12 hours)</t>
        </is>
      </c>
      <c r="M680" s="73" t="inlineStr"/>
      <c r="N680" s="73" t="inlineStr">
        <is>
          <t>Required</t>
        </is>
      </c>
      <c r="O680" s="73" t="inlineStr">
        <is>
          <t>Preparation check at caterer - does NOT confirm loading. Round-trip catered from KUL: due capped at the KUL loading deadline (Flights AY).</t>
        </is>
      </c>
      <c r="P680" s="63" t="inlineStr">
        <is>
          <t>KUL</t>
        </is>
      </c>
      <c r="Q680" s="65">
        <f>MIN(Flights!$AE$25,Flights!$AY$25)</f>
        <v/>
      </c>
      <c r="R680" s="65">
        <f>Q680+(IF(AND(INDEX(TZ_DSTS,MATCH(P680,TZ_STN,0))&lt;&gt;"",Q680&gt;=INDEX(TZ_DSTS,MATCH(P680,TZ_STN,0)),Q680&lt;INDEX(TZ_DSTE,MATCH(P680,TZ_STN,0))),INDEX(TZ_DST,MATCH(P680,TZ_STN,0)),INDEX(TZ_STD,MATCH(P680,TZ_STN,0))))/24</f>
        <v/>
      </c>
      <c r="S680" s="65">
        <f>Q680-T12EarlyH/24</f>
        <v/>
      </c>
      <c r="T680" s="66" t="n"/>
      <c r="U680" s="66" t="n"/>
      <c r="V680" s="66" t="n"/>
      <c r="W680" s="67" t="n"/>
      <c r="X680" s="66" t="n"/>
      <c r="Y680" s="66" t="n"/>
      <c r="Z680" s="66" t="n"/>
      <c r="AA680" s="66" t="n"/>
      <c r="AB680" s="66" t="n"/>
      <c r="AC680" s="66" t="n"/>
      <c r="AD680" s="72" t="n"/>
      <c r="AE680" s="66" t="n"/>
      <c r="AF680" s="67">
        <f>IF(AND(ISNUMBER(X680),ISNUMBER(Y680)),Y680-X680,"")</f>
        <v/>
      </c>
      <c r="AG680" s="68">
        <f>IF(ISNUMBER(AD680),AD680-(IF(AND(INDEX(TZ_DSTS,MATCH(P680,TZ_STN,0))&lt;&gt;"",(AD680-INDEX(TZ_STD,MATCH(P680,TZ_STN,0))/24)&gt;=INDEX(TZ_DSTS,MATCH(P680,TZ_STN,0)),(AD680-INDEX(TZ_STD,MATCH(P680,TZ_STN,0))/24)&lt;INDEX(TZ_DSTE,MATCH(P680,TZ_STN,0))),INDEX(TZ_DST,MATCH(P680,TZ_STN,0)),INDEX(TZ_STD,MATCH(P680,TZ_STN,0))))/24,"")</f>
        <v/>
      </c>
      <c r="AH680" s="71">
        <f>IF(N680="N/A – rule","N/A – RULE",IF(TRIM(U680)="N/A",IF(AT680=0,"INVALID – N/A not permitted for this mandatory check",IF(AND(TRIM(AC680)&lt;&gt;"",TRIM(AE680)&lt;&gt;"",TRIM(T680)&lt;&gt;""),"N/A – JUSTIFIED","INVALID – N/A needs justification, PIC and verifier")),IF(OR(TRIM(U680)="Pass",TRIM(U680)="Pass after CA"),IF(NOT(ISNUMBER(AD680)),"INVALID – completion time missing",IF(TRIM(T680)="","INVALID – PIC missing",IF(TRIM(Z680)="","INVALID – evidence missing",IF(TRIM(AE680)="","INVALID – verifier missing",IF(AND(AQ680=1,TRIM(W680)=""),"INVALID – batch ID missing",IF(AND(AR680=1,OR(NOT(ISNUMBER(X680)),NOT(ISNUMBER(Y680)))),"INVALID – expected/actual qty missing",IF(IF(AND(TRIM(U680)="Pass",ISNUMBER(AF680)),IF(AF680&lt;&gt;0,"INVALID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recorded/closed","")&lt;&gt;"",IF(AND(TRIM(U680)="Pass",ISNUMBER(AF680)),IF(AF680&lt;&gt;0,"INVALID – qty variance: use Fail or Pass after CA",""),"")&amp;IF(AND(TRIM(U680)="Pass",AB680="Open"),"INVALID – corrective action still open: use Fail, then Pass after CA","")&amp;IF(AND(TRIM(U680)="Pass after CA",OR(TRIM(AA680)="",AB680&lt;&gt;"Closed")),"INVALID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window"),IF(AG680&gt;Flights!$AA$25,"INVALID – completed after departure (cannot establish readiness)",IF(AND(H680="Physical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f>
        <v/>
      </c>
      <c r="AI680" s="67">
        <f>IF(OR(AH680="N/A – RULE",AH680="N/A – JUSTIFIED"),0,1)</f>
        <v/>
      </c>
      <c r="AJ680" s="67">
        <f>IF(LEFT(AH680,8)="COMPLETE",1,0)</f>
        <v/>
      </c>
      <c r="AK680" s="67">
        <f>IF(AND(AI680=1,AJ680=0,AsOfUTC&gt;Q680),1,0)</f>
        <v/>
      </c>
      <c r="AL680" s="67">
        <f>IF(AND(AI680=1,OR(TRIM(U680)="Fail",AB680="Open",AND(ISNUMBER(AF680),AF680&lt;&gt;0,TRIM(U680)&lt;&gt;"Pass after CA"))),1,0)</f>
        <v/>
      </c>
      <c r="AM680" s="67">
        <f>IF(LEFT(AH680,7)="INVALID",1,0)</f>
        <v/>
      </c>
      <c r="AN680" s="67">
        <f>IF(AND(N680="Clarification required",AI680=1,AJ680=0),1,0)</f>
        <v/>
      </c>
      <c r="AO680" s="67">
        <f>IF(AK680=1,SUM(AK$5:AK680),"")</f>
        <v/>
      </c>
      <c r="AP680" s="67">
        <f>IF(AL680=1,SUM(AL$5:AL680),"")</f>
        <v/>
      </c>
      <c r="AQ680" s="67" t="n">
        <v>0</v>
      </c>
      <c r="AR680" s="67" t="n">
        <v>0</v>
      </c>
      <c r="AS680" s="67" t="n">
        <v>0</v>
      </c>
      <c r="AT680" s="67" t="n">
        <v>0</v>
      </c>
    </row>
    <row r="681" ht="79" customHeight="1">
      <c r="A681" s="63" t="inlineStr">
        <is>
          <t>F21-T12-06</t>
        </is>
      </c>
      <c r="B681" s="63" t="inlineStr">
        <is>
          <t>F21</t>
        </is>
      </c>
      <c r="C681" s="63">
        <f>Flights!$F$25</f>
        <v/>
      </c>
      <c r="D681" s="64">
        <f>Flights!$D$25</f>
        <v/>
      </c>
      <c r="E681" s="63">
        <f>Flights!$G$25&amp;"-"&amp;Flights!$H$25</f>
        <v/>
      </c>
      <c r="F681" s="63">
        <f>Flights!$K$25</f>
        <v/>
      </c>
      <c r="G681" s="63" t="inlineStr">
        <is>
          <t>T-12H PREP</t>
        </is>
      </c>
      <c r="H681" s="63" t="inlineStr">
        <is>
          <t>Preparation</t>
        </is>
      </c>
      <c r="I681" s="63" t="inlineStr">
        <is>
          <t>Equipment</t>
        </is>
      </c>
      <c r="J681" s="63" t="inlineStr">
        <is>
          <t>Equipment quantities vs GLD</t>
        </is>
      </c>
      <c r="K681" s="73" t="inlineStr">
        <is>
          <t>Enter expected &amp; actual. Aircraft galley data: B737-8 (B7M8): carts 10.5, SU 25, ovens 6, warming ovens -, fridges -, water heaters 3, beverage makers -, espresso -, folding trolleys -, headsets - (AIRCRAFT TYPE!C16:R16)</t>
        </is>
      </c>
      <c r="L681" s="73" t="inlineStr">
        <is>
          <t>User brief (T-12 hours)</t>
        </is>
      </c>
      <c r="M681" s="73" t="inlineStr"/>
      <c r="N681" s="73" t="inlineStr">
        <is>
          <t>Required</t>
        </is>
      </c>
      <c r="O681" s="73" t="inlineStr">
        <is>
          <t>Preparation check at caterer - does NOT confirm loading. Round-trip catered from KUL: due capped at the KUL loading deadline (Flights AY).</t>
        </is>
      </c>
      <c r="P681" s="63" t="inlineStr">
        <is>
          <t>KUL</t>
        </is>
      </c>
      <c r="Q681" s="65">
        <f>MIN(Flights!$AE$25,Flights!$AY$25)</f>
        <v/>
      </c>
      <c r="R681" s="65">
        <f>Q681+(IF(AND(INDEX(TZ_DSTS,MATCH(P681,TZ_STN,0))&lt;&gt;"",Q681&gt;=INDEX(TZ_DSTS,MATCH(P681,TZ_STN,0)),Q681&lt;INDEX(TZ_DSTE,MATCH(P681,TZ_STN,0))),INDEX(TZ_DST,MATCH(P681,TZ_STN,0)),INDEX(TZ_STD,MATCH(P681,TZ_STN,0))))/24</f>
        <v/>
      </c>
      <c r="S681" s="65">
        <f>Q681-T12EarlyH/24</f>
        <v/>
      </c>
      <c r="T681" s="66" t="n"/>
      <c r="U681" s="66" t="n"/>
      <c r="V681" s="66" t="n"/>
      <c r="W681" s="67" t="n"/>
      <c r="X681" s="66" t="n"/>
      <c r="Y681" s="66" t="n"/>
      <c r="Z681" s="66" t="n"/>
      <c r="AA681" s="66" t="n"/>
      <c r="AB681" s="66" t="n"/>
      <c r="AC681" s="66" t="n"/>
      <c r="AD681" s="72" t="n"/>
      <c r="AE681" s="66" t="n"/>
      <c r="AF681" s="67">
        <f>IF(AND(ISNUMBER(X681),ISNUMBER(Y681)),Y681-X681,"")</f>
        <v/>
      </c>
      <c r="AG681" s="68">
        <f>IF(ISNUMBER(AD681),AD681-(IF(AND(INDEX(TZ_DSTS,MATCH(P681,TZ_STN,0))&lt;&gt;"",(AD681-INDEX(TZ_STD,MATCH(P681,TZ_STN,0))/24)&gt;=INDEX(TZ_DSTS,MATCH(P681,TZ_STN,0)),(AD681-INDEX(TZ_STD,MATCH(P681,TZ_STN,0))/24)&lt;INDEX(TZ_DSTE,MATCH(P681,TZ_STN,0))),INDEX(TZ_DST,MATCH(P681,TZ_STN,0)),INDEX(TZ_STD,MATCH(P681,TZ_STN,0))))/24,"")</f>
        <v/>
      </c>
      <c r="AH681" s="71">
        <f>IF(N681="N/A – rule","N/A – RULE",IF(TRIM(U681)="N/A",IF(AT681=0,"INVALID – N/A not permitted for this mandatory check",IF(AND(TRIM(AC681)&lt;&gt;"",TRIM(AE681)&lt;&gt;"",TRIM(T681)&lt;&gt;""),"N/A – JUSTIFIED","INVALID – N/A needs justification, PIC and verifier")),IF(OR(TRIM(U681)="Pass",TRIM(U681)="Pass after CA"),IF(NOT(ISNUMBER(AD681)),"INVALID – completion time missing",IF(TRIM(T681)="","INVALID – PIC missing",IF(TRIM(Z681)="","INVALID – evidence missing",IF(TRIM(AE681)="","INVALID – verifier missing",IF(AND(AQ681=1,TRIM(W681)=""),"INVALID – batch ID missing",IF(AND(AR681=1,OR(NOT(ISNUMBER(X681)),NOT(ISNUMBER(Y681)))),"INVALID – expected/actual qty missing",IF(IF(AND(TRIM(U681)="Pass",ISNUMBER(AF681)),IF(AF681&lt;&gt;0,"INVALID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recorded/closed","")&lt;&gt;"",IF(AND(TRIM(U681)="Pass",ISNUMBER(AF681)),IF(AF681&lt;&gt;0,"INVALID – qty variance: use Fail or Pass after CA",""),"")&amp;IF(AND(TRIM(U681)="Pass",AB681="Open"),"INVALID – corrective action still open: use Fail, then Pass after CA","")&amp;IF(AND(TRIM(U681)="Pass after CA",OR(TRIM(AA681)="",AB681&lt;&gt;"Closed")),"INVALID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window"),IF(AG681&gt;Flights!$AA$25,"INVALID – completed after departure (cannot establish readiness)",IF(AND(H681="Physical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f>
        <v/>
      </c>
      <c r="AI681" s="67">
        <f>IF(OR(AH681="N/A – RULE",AH681="N/A – JUSTIFIED"),0,1)</f>
        <v/>
      </c>
      <c r="AJ681" s="67">
        <f>IF(LEFT(AH681,8)="COMPLETE",1,0)</f>
        <v/>
      </c>
      <c r="AK681" s="67">
        <f>IF(AND(AI681=1,AJ681=0,AsOfUTC&gt;Q681),1,0)</f>
        <v/>
      </c>
      <c r="AL681" s="67">
        <f>IF(AND(AI681=1,OR(TRIM(U681)="Fail",AB681="Open",AND(ISNUMBER(AF681),AF681&lt;&gt;0,TRIM(U681)&lt;&gt;"Pass after CA"))),1,0)</f>
        <v/>
      </c>
      <c r="AM681" s="67">
        <f>IF(LEFT(AH681,7)="INVALID",1,0)</f>
        <v/>
      </c>
      <c r="AN681" s="67">
        <f>IF(AND(N681="Clarification required",AI681=1,AJ681=0),1,0)</f>
        <v/>
      </c>
      <c r="AO681" s="67">
        <f>IF(AK681=1,SUM(AK$5:AK681),"")</f>
        <v/>
      </c>
      <c r="AP681" s="67">
        <f>IF(AL681=1,SUM(AL$5:AL681),"")</f>
        <v/>
      </c>
      <c r="AQ681" s="67" t="n">
        <v>0</v>
      </c>
      <c r="AR681" s="67" t="n">
        <v>1</v>
      </c>
      <c r="AS681" s="67" t="n">
        <v>0</v>
      </c>
      <c r="AT681" s="67" t="n">
        <v>0</v>
      </c>
    </row>
    <row r="682" ht="41.5" customHeight="1">
      <c r="A682" s="63" t="inlineStr">
        <is>
          <t>F21-T12-07</t>
        </is>
      </c>
      <c r="B682" s="63" t="inlineStr">
        <is>
          <t>F21</t>
        </is>
      </c>
      <c r="C682" s="63">
        <f>Flights!$F$25</f>
        <v/>
      </c>
      <c r="D682" s="64">
        <f>Flights!$D$25</f>
        <v/>
      </c>
      <c r="E682" s="63">
        <f>Flights!$G$25&amp;"-"&amp;Flights!$H$25</f>
        <v/>
      </c>
      <c r="F682" s="63">
        <f>Flights!$K$25</f>
        <v/>
      </c>
      <c r="G682" s="63" t="inlineStr">
        <is>
          <t>T-12H PREP</t>
        </is>
      </c>
      <c r="H682" s="63" t="inlineStr">
        <is>
          <t>Preparation</t>
        </is>
      </c>
      <c r="I682" s="63" t="inlineStr">
        <is>
          <t>Equipment</t>
        </is>
      </c>
      <c r="J682" s="63" t="inlineStr">
        <is>
          <t>Loading positions planned vs GLD</t>
        </is>
      </c>
      <c r="K682" s="73" t="inlineStr"/>
      <c r="L682" s="73" t="inlineStr">
        <is>
          <t>User brief (T-12 hours)</t>
        </is>
      </c>
      <c r="M682" s="73" t="inlineStr"/>
      <c r="N682" s="73" t="inlineStr">
        <is>
          <t>Required</t>
        </is>
      </c>
      <c r="O682" s="73" t="inlineStr">
        <is>
          <t>Preparation check at caterer - does NOT confirm loading. Round-trip catered from KUL: due capped at the KUL loading deadline (Flights AY).</t>
        </is>
      </c>
      <c r="P682" s="63" t="inlineStr">
        <is>
          <t>KUL</t>
        </is>
      </c>
      <c r="Q682" s="65">
        <f>MIN(Flights!$AE$25,Flights!$AY$25)</f>
        <v/>
      </c>
      <c r="R682" s="65">
        <f>Q682+(IF(AND(INDEX(TZ_DSTS,MATCH(P682,TZ_STN,0))&lt;&gt;"",Q682&gt;=INDEX(TZ_DSTS,MATCH(P682,TZ_STN,0)),Q682&lt;INDEX(TZ_DSTE,MATCH(P682,TZ_STN,0))),INDEX(TZ_DST,MATCH(P682,TZ_STN,0)),INDEX(TZ_STD,MATCH(P682,TZ_STN,0))))/24</f>
        <v/>
      </c>
      <c r="S682" s="65">
        <f>Q682-T12EarlyH/24</f>
        <v/>
      </c>
      <c r="T682" s="66" t="n"/>
      <c r="U682" s="66" t="n"/>
      <c r="V682" s="66" t="n"/>
      <c r="W682" s="67" t="n"/>
      <c r="X682" s="66" t="n"/>
      <c r="Y682" s="66" t="n"/>
      <c r="Z682" s="66" t="n"/>
      <c r="AA682" s="66" t="n"/>
      <c r="AB682" s="66" t="n"/>
      <c r="AC682" s="66" t="n"/>
      <c r="AD682" s="72" t="n"/>
      <c r="AE682" s="66" t="n"/>
      <c r="AF682" s="67">
        <f>IF(AND(ISNUMBER(X682),ISNUMBER(Y682)),Y682-X682,"")</f>
        <v/>
      </c>
      <c r="AG682" s="68">
        <f>IF(ISNUMBER(AD682),AD682-(IF(AND(INDEX(TZ_DSTS,MATCH(P682,TZ_STN,0))&lt;&gt;"",(AD682-INDEX(TZ_STD,MATCH(P682,TZ_STN,0))/24)&gt;=INDEX(TZ_DSTS,MATCH(P682,TZ_STN,0)),(AD682-INDEX(TZ_STD,MATCH(P682,TZ_STN,0))/24)&lt;INDEX(TZ_DSTE,MATCH(P682,TZ_STN,0))),INDEX(TZ_DST,MATCH(P682,TZ_STN,0)),INDEX(TZ_STD,MATCH(P682,TZ_STN,0))))/24,"")</f>
        <v/>
      </c>
      <c r="AH682" s="71">
        <f>IF(N682="N/A – rule","N/A – RULE",IF(TRIM(U682)="N/A",IF(AT682=0,"INVALID – N/A not permitted for this mandatory check",IF(AND(TRIM(AC682)&lt;&gt;"",TRIM(AE682)&lt;&gt;"",TRIM(T682)&lt;&gt;""),"N/A – JUSTIFIED","INVALID – N/A needs justification, PIC and verifier")),IF(OR(TRIM(U682)="Pass",TRIM(U682)="Pass after CA"),IF(NOT(ISNUMBER(AD682)),"INVALID – completion time missing",IF(TRIM(T682)="","INVALID – PIC missing",IF(TRIM(Z682)="","INVALID – evidence missing",IF(TRIM(AE682)="","INVALID – verifier missing",IF(AND(AQ682=1,TRIM(W682)=""),"INVALID – batch ID missing",IF(AND(AR682=1,OR(NOT(ISNUMBER(X682)),NOT(ISNUMBER(Y682)))),"INVALID – expected/actual qty missing",IF(IF(AND(TRIM(U682)="Pass",ISNUMBER(AF682)),IF(AF682&lt;&gt;0,"INVALID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recorded/closed","")&lt;&gt;"",IF(AND(TRIM(U682)="Pass",ISNUMBER(AF682)),IF(AF682&lt;&gt;0,"INVALID – qty variance: use Fail or Pass after CA",""),"")&amp;IF(AND(TRIM(U682)="Pass",AB682="Open"),"INVALID – corrective action still open: use Fail, then Pass after CA","")&amp;IF(AND(TRIM(U682)="Pass after CA",OR(TRIM(AA682)="",AB682&lt;&gt;"Closed")),"INVALID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window"),IF(AG682&gt;Flights!$AA$25,"INVALID – completed after departure (cannot establish readiness)",IF(AND(H682="Physical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f>
        <v/>
      </c>
      <c r="AI682" s="67">
        <f>IF(OR(AH682="N/A – RULE",AH682="N/A – JUSTIFIED"),0,1)</f>
        <v/>
      </c>
      <c r="AJ682" s="67">
        <f>IF(LEFT(AH682,8)="COMPLETE",1,0)</f>
        <v/>
      </c>
      <c r="AK682" s="67">
        <f>IF(AND(AI682=1,AJ682=0,AsOfUTC&gt;Q682),1,0)</f>
        <v/>
      </c>
      <c r="AL682" s="67">
        <f>IF(AND(AI682=1,OR(TRIM(U682)="Fail",AB682="Open",AND(ISNUMBER(AF682),AF682&lt;&gt;0,TRIM(U682)&lt;&gt;"Pass after CA"))),1,0)</f>
        <v/>
      </c>
      <c r="AM682" s="67">
        <f>IF(LEFT(AH682,7)="INVALID",1,0)</f>
        <v/>
      </c>
      <c r="AN682" s="67">
        <f>IF(AND(N682="Clarification required",AI682=1,AJ682=0),1,0)</f>
        <v/>
      </c>
      <c r="AO682" s="67">
        <f>IF(AK682=1,SUM(AK$5:AK682),"")</f>
        <v/>
      </c>
      <c r="AP682" s="67">
        <f>IF(AL682=1,SUM(AL$5:AL682),"")</f>
        <v/>
      </c>
      <c r="AQ682" s="67" t="n">
        <v>0</v>
      </c>
      <c r="AR682" s="67" t="n">
        <v>0</v>
      </c>
      <c r="AS682" s="67" t="n">
        <v>0</v>
      </c>
      <c r="AT682" s="67" t="n">
        <v>0</v>
      </c>
    </row>
    <row r="683" ht="91.5" customHeight="1">
      <c r="A683" s="63" t="inlineStr">
        <is>
          <t>F21-T12-08</t>
        </is>
      </c>
      <c r="B683" s="63" t="inlineStr">
        <is>
          <t>F21</t>
        </is>
      </c>
      <c r="C683" s="63">
        <f>Flights!$F$25</f>
        <v/>
      </c>
      <c r="D683" s="64">
        <f>Flights!$D$25</f>
        <v/>
      </c>
      <c r="E683" s="63">
        <f>Flights!$G$25&amp;"-"&amp;Flights!$H$25</f>
        <v/>
      </c>
      <c r="F683" s="63">
        <f>Flights!$K$25</f>
        <v/>
      </c>
      <c r="G683" s="63" t="inlineStr">
        <is>
          <t>T-12H PREP</t>
        </is>
      </c>
      <c r="H683" s="63" t="inlineStr">
        <is>
          <t>Preparation</t>
        </is>
      </c>
      <c r="I683" s="63" t="inlineStr">
        <is>
          <t>Amenities</t>
        </is>
      </c>
      <c r="J683" s="63" t="inlineStr">
        <is>
          <t>Disposable slippers in DAM cart (BC, on request) - prepared</t>
        </is>
      </c>
      <c r="K683" s="73" t="inlineStr">
        <is>
          <t>Available in DAM cart on request basis</t>
        </is>
      </c>
      <c r="L683" s="73" t="inlineStr">
        <is>
          <t>STD UPLIFT INFORMATION.xlsx &gt; AMENITIES!G74 / C83</t>
        </is>
      </c>
      <c r="M683" s="73" t="inlineStr">
        <is>
          <t>Not stated in reference</t>
        </is>
      </c>
      <c r="N683" s="73" t="inlineStr">
        <is>
          <t>Required</t>
        </is>
      </c>
      <c r="O683" s="73" t="inlineStr">
        <is>
          <t>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is>
      </c>
      <c r="P683" s="63" t="inlineStr">
        <is>
          <t>KUL</t>
        </is>
      </c>
      <c r="Q683" s="65">
        <f>MIN(Flights!$AE$25,Flights!$AY$25)</f>
        <v/>
      </c>
      <c r="R683" s="65">
        <f>Q683+(IF(AND(INDEX(TZ_DSTS,MATCH(P683,TZ_STN,0))&lt;&gt;"",Q683&gt;=INDEX(TZ_DSTS,MATCH(P683,TZ_STN,0)),Q683&lt;INDEX(TZ_DSTE,MATCH(P683,TZ_STN,0))),INDEX(TZ_DST,MATCH(P683,TZ_STN,0)),INDEX(TZ_STD,MATCH(P683,TZ_STN,0))))/24</f>
        <v/>
      </c>
      <c r="S683" s="65">
        <f>Q683-T12EarlyH/24</f>
        <v/>
      </c>
      <c r="T683" s="66" t="n"/>
      <c r="U683" s="66" t="n"/>
      <c r="V683" s="66" t="n"/>
      <c r="W683" s="67" t="n"/>
      <c r="X683" s="66" t="n"/>
      <c r="Y683" s="66" t="n"/>
      <c r="Z683" s="66" t="n"/>
      <c r="AA683" s="66" t="n"/>
      <c r="AB683" s="66" t="n"/>
      <c r="AC683" s="66" t="n"/>
      <c r="AD683" s="72" t="n"/>
      <c r="AE683" s="66" t="n"/>
      <c r="AF683" s="67">
        <f>IF(AND(ISNUMBER(X683),ISNUMBER(Y683)),Y683-X683,"")</f>
        <v/>
      </c>
      <c r="AG683" s="68">
        <f>IF(ISNUMBER(AD683),AD683-(IF(AND(INDEX(TZ_DSTS,MATCH(P683,TZ_STN,0))&lt;&gt;"",(AD683-INDEX(TZ_STD,MATCH(P683,TZ_STN,0))/24)&gt;=INDEX(TZ_DSTS,MATCH(P683,TZ_STN,0)),(AD683-INDEX(TZ_STD,MATCH(P683,TZ_STN,0))/24)&lt;INDEX(TZ_DSTE,MATCH(P683,TZ_STN,0))),INDEX(TZ_DST,MATCH(P683,TZ_STN,0)),INDEX(TZ_STD,MATCH(P683,TZ_STN,0))))/24,"")</f>
        <v/>
      </c>
      <c r="AH683" s="71">
        <f>IF(N683="N/A – rule","N/A – RULE",IF(TRIM(U683)="N/A",IF(AT683=0,"INVALID – N/A not permitted for this mandatory check",IF(AND(TRIM(AC683)&lt;&gt;"",TRIM(AE683)&lt;&gt;"",TRIM(T683)&lt;&gt;""),"N/A – JUSTIFIED","INVALID – N/A needs justification, PIC and verifier")),IF(OR(TRIM(U683)="Pass",TRIM(U683)="Pass after CA"),IF(NOT(ISNUMBER(AD683)),"INVALID – completion time missing",IF(TRIM(T683)="","INVALID – PIC missing",IF(TRIM(Z683)="","INVALID – evidence missing",IF(TRIM(AE683)="","INVALID – verifier missing",IF(AND(AQ683=1,TRIM(W683)=""),"INVALID – batch ID missing",IF(AND(AR683=1,OR(NOT(ISNUMBER(X683)),NOT(ISNUMBER(Y683)))),"INVALID – expected/actual qty missing",IF(IF(AND(TRIM(U683)="Pass",ISNUMBER(AF683)),IF(AF683&lt;&gt;0,"INVALID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recorded/closed","")&lt;&gt;"",IF(AND(TRIM(U683)="Pass",ISNUMBER(AF683)),IF(AF683&lt;&gt;0,"INVALID – qty variance: use Fail or Pass after CA",""),"")&amp;IF(AND(TRIM(U683)="Pass",AB683="Open"),"INVALID – corrective action still open: use Fail, then Pass after CA","")&amp;IF(AND(TRIM(U683)="Pass after CA",OR(TRIM(AA683)="",AB683&lt;&gt;"Closed")),"INVALID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window"),IF(AG683&gt;Flights!$AA$25,"INVALID – completed after departure (cannot establish readiness)",IF(AND(H683="Physical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f>
        <v/>
      </c>
      <c r="AI683" s="67">
        <f>IF(OR(AH683="N/A – RULE",AH683="N/A – JUSTIFIED"),0,1)</f>
        <v/>
      </c>
      <c r="AJ683" s="67">
        <f>IF(LEFT(AH683,8)="COMPLETE",1,0)</f>
        <v/>
      </c>
      <c r="AK683" s="67">
        <f>IF(AND(AI683=1,AJ683=0,AsOfUTC&gt;Q683),1,0)</f>
        <v/>
      </c>
      <c r="AL683" s="67">
        <f>IF(AND(AI683=1,OR(TRIM(U683)="Fail",AB683="Open",AND(ISNUMBER(AF683),AF683&lt;&gt;0,TRIM(U683)&lt;&gt;"Pass after CA"))),1,0)</f>
        <v/>
      </c>
      <c r="AM683" s="67">
        <f>IF(LEFT(AH683,7)="INVALID",1,0)</f>
        <v/>
      </c>
      <c r="AN683" s="67">
        <f>IF(AND(N683="Clarification required",AI683=1,AJ683=0),1,0)</f>
        <v/>
      </c>
      <c r="AO683" s="67">
        <f>IF(AK683=1,SUM(AK$5:AK683),"")</f>
        <v/>
      </c>
      <c r="AP683" s="67">
        <f>IF(AL683=1,SUM(AL$5:AL683),"")</f>
        <v/>
      </c>
      <c r="AQ683" s="67" t="n">
        <v>0</v>
      </c>
      <c r="AR683" s="67" t="n">
        <v>0</v>
      </c>
      <c r="AS683" s="67" t="n">
        <v>0</v>
      </c>
      <c r="AT683" s="67" t="n">
        <v>1</v>
      </c>
    </row>
    <row r="684" ht="66.5" customHeight="1">
      <c r="A684" s="63" t="inlineStr">
        <is>
          <t>F21-T12-09</t>
        </is>
      </c>
      <c r="B684" s="63" t="inlineStr">
        <is>
          <t>F21</t>
        </is>
      </c>
      <c r="C684" s="63">
        <f>Flights!$F$25</f>
        <v/>
      </c>
      <c r="D684" s="64">
        <f>Flights!$D$25</f>
        <v/>
      </c>
      <c r="E684" s="63">
        <f>Flights!$G$25&amp;"-"&amp;Flights!$H$25</f>
        <v/>
      </c>
      <c r="F684" s="63">
        <f>Flights!$K$25</f>
        <v/>
      </c>
      <c r="G684" s="63" t="inlineStr">
        <is>
          <t>T-12H PREP</t>
        </is>
      </c>
      <c r="H684" s="63" t="inlineStr">
        <is>
          <t>Preparation</t>
        </is>
      </c>
      <c r="I684" s="63" t="inlineStr">
        <is>
          <t>F&amp;B Linen</t>
        </is>
      </c>
      <c r="J684" s="63" t="inlineStr">
        <is>
          <t>Towel - prepared</t>
        </is>
      </c>
      <c r="K684" s="73" t="inlineStr">
        <is>
          <t>Available (ticked in reference)</t>
        </is>
      </c>
      <c r="L684" s="73" t="inlineStr">
        <is>
          <t>STD UPLIFT INFORMATION.xlsx &gt; F&amp;B LINEN!D68</t>
        </is>
      </c>
      <c r="M684" s="73" t="inlineStr">
        <is>
          <t>Not stated in reference</t>
        </is>
      </c>
      <c r="N684" s="73" t="inlineStr">
        <is>
          <t>Required</t>
        </is>
      </c>
      <c r="O684" s="73" t="inlineStr">
        <is>
          <t>Reference gives no uplift stn for this item: preparation checked at the meal uplift stn (KUL) - confirm with caterer. Round-trip catered from KUL: due capped at the KUL loading deadline (Flights AY).</t>
        </is>
      </c>
      <c r="P684" s="63" t="inlineStr">
        <is>
          <t>KUL</t>
        </is>
      </c>
      <c r="Q684" s="65">
        <f>MIN(Flights!$AE$25,Flights!$AY$25)</f>
        <v/>
      </c>
      <c r="R684" s="65">
        <f>Q684+(IF(AND(INDEX(TZ_DSTS,MATCH(P684,TZ_STN,0))&lt;&gt;"",Q684&gt;=INDEX(TZ_DSTS,MATCH(P684,TZ_STN,0)),Q684&lt;INDEX(TZ_DSTE,MATCH(P684,TZ_STN,0))),INDEX(TZ_DST,MATCH(P684,TZ_STN,0)),INDEX(TZ_STD,MATCH(P684,TZ_STN,0))))/24</f>
        <v/>
      </c>
      <c r="S684" s="65">
        <f>Q684-T12EarlyH/24</f>
        <v/>
      </c>
      <c r="T684" s="66" t="n"/>
      <c r="U684" s="66" t="n"/>
      <c r="V684" s="66" t="n"/>
      <c r="W684" s="67" t="n"/>
      <c r="X684" s="66" t="n"/>
      <c r="Y684" s="66" t="n"/>
      <c r="Z684" s="66" t="n"/>
      <c r="AA684" s="66" t="n"/>
      <c r="AB684" s="66" t="n"/>
      <c r="AC684" s="66" t="n"/>
      <c r="AD684" s="72" t="n"/>
      <c r="AE684" s="66" t="n"/>
      <c r="AF684" s="67">
        <f>IF(AND(ISNUMBER(X684),ISNUMBER(Y684)),Y684-X684,"")</f>
        <v/>
      </c>
      <c r="AG684" s="68">
        <f>IF(ISNUMBER(AD684),AD684-(IF(AND(INDEX(TZ_DSTS,MATCH(P684,TZ_STN,0))&lt;&gt;"",(AD684-INDEX(TZ_STD,MATCH(P684,TZ_STN,0))/24)&gt;=INDEX(TZ_DSTS,MATCH(P684,TZ_STN,0)),(AD684-INDEX(TZ_STD,MATCH(P684,TZ_STN,0))/24)&lt;INDEX(TZ_DSTE,MATCH(P684,TZ_STN,0))),INDEX(TZ_DST,MATCH(P684,TZ_STN,0)),INDEX(TZ_STD,MATCH(P684,TZ_STN,0))))/24,"")</f>
        <v/>
      </c>
      <c r="AH684" s="71">
        <f>IF(N684="N/A – rule","N/A – RULE",IF(TRIM(U684)="N/A",IF(AT684=0,"INVALID – N/A not permitted for this mandatory check",IF(AND(TRIM(AC684)&lt;&gt;"",TRIM(AE684)&lt;&gt;"",TRIM(T684)&lt;&gt;""),"N/A – JUSTIFIED","INVALID – N/A needs justification, PIC and verifier")),IF(OR(TRIM(U684)="Pass",TRIM(U684)="Pass after CA"),IF(NOT(ISNUMBER(AD684)),"INVALID – completion time missing",IF(TRIM(T684)="","INVALID – PIC missing",IF(TRIM(Z684)="","INVALID – evidence missing",IF(TRIM(AE684)="","INVALID – verifier missing",IF(AND(AQ684=1,TRIM(W684)=""),"INVALID – batch ID missing",IF(AND(AR684=1,OR(NOT(ISNUMBER(X684)),NOT(ISNUMBER(Y684)))),"INVALID – expected/actual qty missing",IF(IF(AND(TRIM(U684)="Pass",ISNUMBER(AF684)),IF(AF684&lt;&gt;0,"INVALID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recorded/closed","")&lt;&gt;"",IF(AND(TRIM(U684)="Pass",ISNUMBER(AF684)),IF(AF684&lt;&gt;0,"INVALID – qty variance: use Fail or Pass after CA",""),"")&amp;IF(AND(TRIM(U684)="Pass",AB684="Open"),"INVALID – corrective action still open: use Fail, then Pass after CA","")&amp;IF(AND(TRIM(U684)="Pass after CA",OR(TRIM(AA684)="",AB684&lt;&gt;"Closed")),"INVALID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window"),IF(AG684&gt;Flights!$AA$25,"INVALID – completed after departure (cannot establish readiness)",IF(AND(H684="Physical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f>
        <v/>
      </c>
      <c r="AI684" s="67">
        <f>IF(OR(AH684="N/A – RULE",AH684="N/A – JUSTIFIED"),0,1)</f>
        <v/>
      </c>
      <c r="AJ684" s="67">
        <f>IF(LEFT(AH684,8)="COMPLETE",1,0)</f>
        <v/>
      </c>
      <c r="AK684" s="67">
        <f>IF(AND(AI684=1,AJ684=0,AsOfUTC&gt;Q684),1,0)</f>
        <v/>
      </c>
      <c r="AL684" s="67">
        <f>IF(AND(AI684=1,OR(TRIM(U684)="Fail",AB684="Open",AND(ISNUMBER(AF684),AF684&lt;&gt;0,TRIM(U684)&lt;&gt;"Pass after CA"))),1,0)</f>
        <v/>
      </c>
      <c r="AM684" s="67">
        <f>IF(LEFT(AH684,7)="INVALID",1,0)</f>
        <v/>
      </c>
      <c r="AN684" s="67">
        <f>IF(AND(N684="Clarification required",AI684=1,AJ684=0),1,0)</f>
        <v/>
      </c>
      <c r="AO684" s="67">
        <f>IF(AK684=1,SUM(AK$5:AK684),"")</f>
        <v/>
      </c>
      <c r="AP684" s="67">
        <f>IF(AL684=1,SUM(AL$5:AL684),"")</f>
        <v/>
      </c>
      <c r="AQ684" s="67" t="n">
        <v>0</v>
      </c>
      <c r="AR684" s="67" t="n">
        <v>0</v>
      </c>
      <c r="AS684" s="67" t="n">
        <v>0</v>
      </c>
      <c r="AT684" s="67" t="n">
        <v>1</v>
      </c>
    </row>
    <row r="685" ht="66.5" customHeight="1">
      <c r="A685" s="63" t="inlineStr">
        <is>
          <t>F21-T12-10</t>
        </is>
      </c>
      <c r="B685" s="63" t="inlineStr">
        <is>
          <t>F21</t>
        </is>
      </c>
      <c r="C685" s="63">
        <f>Flights!$F$25</f>
        <v/>
      </c>
      <c r="D685" s="64">
        <f>Flights!$D$25</f>
        <v/>
      </c>
      <c r="E685" s="63">
        <f>Flights!$G$25&amp;"-"&amp;Flights!$H$25</f>
        <v/>
      </c>
      <c r="F685" s="63">
        <f>Flights!$K$25</f>
        <v/>
      </c>
      <c r="G685" s="63" t="inlineStr">
        <is>
          <t>T-12H PREP</t>
        </is>
      </c>
      <c r="H685" s="63" t="inlineStr">
        <is>
          <t>Preparation</t>
        </is>
      </c>
      <c r="I685" s="63" t="inlineStr">
        <is>
          <t>F&amp;B Linen</t>
        </is>
      </c>
      <c r="J685" s="63" t="inlineStr">
        <is>
          <t>Tray cloth - prepared</t>
        </is>
      </c>
      <c r="K685" s="73" t="inlineStr">
        <is>
          <t>Available (ticked in reference)</t>
        </is>
      </c>
      <c r="L685" s="73" t="inlineStr">
        <is>
          <t>STD UPLIFT INFORMATION.xlsx &gt; F&amp;B LINEN!E68</t>
        </is>
      </c>
      <c r="M685" s="73" t="inlineStr">
        <is>
          <t>Not stated in reference</t>
        </is>
      </c>
      <c r="N685" s="73" t="inlineStr">
        <is>
          <t>Required</t>
        </is>
      </c>
      <c r="O685" s="73" t="inlineStr">
        <is>
          <t>Reference gives no uplift stn for this item: preparation checked at the meal uplift stn (KUL) - confirm with caterer. Round-trip catered from KUL: due capped at the KUL loading deadline (Flights AY).</t>
        </is>
      </c>
      <c r="P685" s="63" t="inlineStr">
        <is>
          <t>KUL</t>
        </is>
      </c>
      <c r="Q685" s="65">
        <f>MIN(Flights!$AE$25,Flights!$AY$25)</f>
        <v/>
      </c>
      <c r="R685" s="65">
        <f>Q685+(IF(AND(INDEX(TZ_DSTS,MATCH(P685,TZ_STN,0))&lt;&gt;"",Q685&gt;=INDEX(TZ_DSTS,MATCH(P685,TZ_STN,0)),Q685&lt;INDEX(TZ_DSTE,MATCH(P685,TZ_STN,0))),INDEX(TZ_DST,MATCH(P685,TZ_STN,0)),INDEX(TZ_STD,MATCH(P685,TZ_STN,0))))/24</f>
        <v/>
      </c>
      <c r="S685" s="65">
        <f>Q685-T12EarlyH/24</f>
        <v/>
      </c>
      <c r="T685" s="66" t="n"/>
      <c r="U685" s="66" t="n"/>
      <c r="V685" s="66" t="n"/>
      <c r="W685" s="67" t="n"/>
      <c r="X685" s="66" t="n"/>
      <c r="Y685" s="66" t="n"/>
      <c r="Z685" s="66" t="n"/>
      <c r="AA685" s="66" t="n"/>
      <c r="AB685" s="66" t="n"/>
      <c r="AC685" s="66" t="n"/>
      <c r="AD685" s="72" t="n"/>
      <c r="AE685" s="66" t="n"/>
      <c r="AF685" s="67">
        <f>IF(AND(ISNUMBER(X685),ISNUMBER(Y685)),Y685-X685,"")</f>
        <v/>
      </c>
      <c r="AG685" s="68">
        <f>IF(ISNUMBER(AD685),AD685-(IF(AND(INDEX(TZ_DSTS,MATCH(P685,TZ_STN,0))&lt;&gt;"",(AD685-INDEX(TZ_STD,MATCH(P685,TZ_STN,0))/24)&gt;=INDEX(TZ_DSTS,MATCH(P685,TZ_STN,0)),(AD685-INDEX(TZ_STD,MATCH(P685,TZ_STN,0))/24)&lt;INDEX(TZ_DSTE,MATCH(P685,TZ_STN,0))),INDEX(TZ_DST,MATCH(P685,TZ_STN,0)),INDEX(TZ_STD,MATCH(P685,TZ_STN,0))))/24,"")</f>
        <v/>
      </c>
      <c r="AH685" s="71">
        <f>IF(N685="N/A – rule","N/A – RULE",IF(TRIM(U685)="N/A",IF(AT685=0,"INVALID – N/A not permitted for this mandatory check",IF(AND(TRIM(AC685)&lt;&gt;"",TRIM(AE685)&lt;&gt;"",TRIM(T685)&lt;&gt;""),"N/A – JUSTIFIED","INVALID – N/A needs justification, PIC and verifier")),IF(OR(TRIM(U685)="Pass",TRIM(U685)="Pass after CA"),IF(NOT(ISNUMBER(AD685)),"INVALID – completion time missing",IF(TRIM(T685)="","INVALID – PIC missing",IF(TRIM(Z685)="","INVALID – evidence missing",IF(TRIM(AE685)="","INVALID – verifier missing",IF(AND(AQ685=1,TRIM(W685)=""),"INVALID – batch ID missing",IF(AND(AR685=1,OR(NOT(ISNUMBER(X685)),NOT(ISNUMBER(Y685)))),"INVALID – expected/actual qty missing",IF(IF(AND(TRIM(U685)="Pass",ISNUMBER(AF685)),IF(AF685&lt;&gt;0,"INVALID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recorded/closed","")&lt;&gt;"",IF(AND(TRIM(U685)="Pass",ISNUMBER(AF685)),IF(AF685&lt;&gt;0,"INVALID – qty variance: use Fail or Pass after CA",""),"")&amp;IF(AND(TRIM(U685)="Pass",AB685="Open"),"INVALID – corrective action still open: use Fail, then Pass after CA","")&amp;IF(AND(TRIM(U685)="Pass after CA",OR(TRIM(AA685)="",AB685&lt;&gt;"Closed")),"INVALID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window"),IF(AG685&gt;Flights!$AA$25,"INVALID – completed after departure (cannot establish readiness)",IF(AND(H685="Physical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f>
        <v/>
      </c>
      <c r="AI685" s="67">
        <f>IF(OR(AH685="N/A – RULE",AH685="N/A – JUSTIFIED"),0,1)</f>
        <v/>
      </c>
      <c r="AJ685" s="67">
        <f>IF(LEFT(AH685,8)="COMPLETE",1,0)</f>
        <v/>
      </c>
      <c r="AK685" s="67">
        <f>IF(AND(AI685=1,AJ685=0,AsOfUTC&gt;Q685),1,0)</f>
        <v/>
      </c>
      <c r="AL685" s="67">
        <f>IF(AND(AI685=1,OR(TRIM(U685)="Fail",AB685="Open",AND(ISNUMBER(AF685),AF685&lt;&gt;0,TRIM(U685)&lt;&gt;"Pass after CA"))),1,0)</f>
        <v/>
      </c>
      <c r="AM685" s="67">
        <f>IF(LEFT(AH685,7)="INVALID",1,0)</f>
        <v/>
      </c>
      <c r="AN685" s="67">
        <f>IF(AND(N685="Clarification required",AI685=1,AJ685=0),1,0)</f>
        <v/>
      </c>
      <c r="AO685" s="67">
        <f>IF(AK685=1,SUM(AK$5:AK685),"")</f>
        <v/>
      </c>
      <c r="AP685" s="67">
        <f>IF(AL685=1,SUM(AL$5:AL685),"")</f>
        <v/>
      </c>
      <c r="AQ685" s="67" t="n">
        <v>0</v>
      </c>
      <c r="AR685" s="67" t="n">
        <v>0</v>
      </c>
      <c r="AS685" s="67" t="n">
        <v>0</v>
      </c>
      <c r="AT685" s="67" t="n">
        <v>1</v>
      </c>
    </row>
    <row r="686" ht="66.5" customHeight="1">
      <c r="A686" s="63" t="inlineStr">
        <is>
          <t>F21-T12-11</t>
        </is>
      </c>
      <c r="B686" s="63" t="inlineStr">
        <is>
          <t>F21</t>
        </is>
      </c>
      <c r="C686" s="63">
        <f>Flights!$F$25</f>
        <v/>
      </c>
      <c r="D686" s="64">
        <f>Flights!$D$25</f>
        <v/>
      </c>
      <c r="E686" s="63">
        <f>Flights!$G$25&amp;"-"&amp;Flights!$H$25</f>
        <v/>
      </c>
      <c r="F686" s="63">
        <f>Flights!$K$25</f>
        <v/>
      </c>
      <c r="G686" s="63" t="inlineStr">
        <is>
          <t>T-12H PREP</t>
        </is>
      </c>
      <c r="H686" s="63" t="inlineStr">
        <is>
          <t>Preparation</t>
        </is>
      </c>
      <c r="I686" s="63" t="inlineStr">
        <is>
          <t>F&amp;B Linen</t>
        </is>
      </c>
      <c r="J686" s="63" t="inlineStr">
        <is>
          <t>Napkin - prepared</t>
        </is>
      </c>
      <c r="K686" s="73" t="inlineStr">
        <is>
          <t>Available (ticked in reference)</t>
        </is>
      </c>
      <c r="L686" s="73" t="inlineStr">
        <is>
          <t>STD UPLIFT INFORMATION.xlsx &gt; F&amp;B LINEN!F68</t>
        </is>
      </c>
      <c r="M686" s="73" t="inlineStr">
        <is>
          <t>Not stated in reference</t>
        </is>
      </c>
      <c r="N686" s="73" t="inlineStr">
        <is>
          <t>Required</t>
        </is>
      </c>
      <c r="O686" s="73" t="inlineStr">
        <is>
          <t>Reference gives no uplift stn for this item: preparation checked at the meal uplift stn (KUL) - confirm with caterer. Round-trip catered from KUL: due capped at the KUL loading deadline (Flights AY).</t>
        </is>
      </c>
      <c r="P686" s="63" t="inlineStr">
        <is>
          <t>KUL</t>
        </is>
      </c>
      <c r="Q686" s="65">
        <f>MIN(Flights!$AE$25,Flights!$AY$25)</f>
        <v/>
      </c>
      <c r="R686" s="65">
        <f>Q686+(IF(AND(INDEX(TZ_DSTS,MATCH(P686,TZ_STN,0))&lt;&gt;"",Q686&gt;=INDEX(TZ_DSTS,MATCH(P686,TZ_STN,0)),Q686&lt;INDEX(TZ_DSTE,MATCH(P686,TZ_STN,0))),INDEX(TZ_DST,MATCH(P686,TZ_STN,0)),INDEX(TZ_STD,MATCH(P686,TZ_STN,0))))/24</f>
        <v/>
      </c>
      <c r="S686" s="65">
        <f>Q686-T12EarlyH/24</f>
        <v/>
      </c>
      <c r="T686" s="66" t="n"/>
      <c r="U686" s="66" t="n"/>
      <c r="V686" s="66" t="n"/>
      <c r="W686" s="67" t="n"/>
      <c r="X686" s="66" t="n"/>
      <c r="Y686" s="66" t="n"/>
      <c r="Z686" s="66" t="n"/>
      <c r="AA686" s="66" t="n"/>
      <c r="AB686" s="66" t="n"/>
      <c r="AC686" s="66" t="n"/>
      <c r="AD686" s="72" t="n"/>
      <c r="AE686" s="66" t="n"/>
      <c r="AF686" s="67">
        <f>IF(AND(ISNUMBER(X686),ISNUMBER(Y686)),Y686-X686,"")</f>
        <v/>
      </c>
      <c r="AG686" s="68">
        <f>IF(ISNUMBER(AD686),AD686-(IF(AND(INDEX(TZ_DSTS,MATCH(P686,TZ_STN,0))&lt;&gt;"",(AD686-INDEX(TZ_STD,MATCH(P686,TZ_STN,0))/24)&gt;=INDEX(TZ_DSTS,MATCH(P686,TZ_STN,0)),(AD686-INDEX(TZ_STD,MATCH(P686,TZ_STN,0))/24)&lt;INDEX(TZ_DSTE,MATCH(P686,TZ_STN,0))),INDEX(TZ_DST,MATCH(P686,TZ_STN,0)),INDEX(TZ_STD,MATCH(P686,TZ_STN,0))))/24,"")</f>
        <v/>
      </c>
      <c r="AH686" s="71">
        <f>IF(N686="N/A – rule","N/A – RULE",IF(TRIM(U686)="N/A",IF(AT686=0,"INVALID – N/A not permitted for this mandatory check",IF(AND(TRIM(AC686)&lt;&gt;"",TRIM(AE686)&lt;&gt;"",TRIM(T686)&lt;&gt;""),"N/A – JUSTIFIED","INVALID – N/A needs justification, PIC and verifier")),IF(OR(TRIM(U686)="Pass",TRIM(U686)="Pass after CA"),IF(NOT(ISNUMBER(AD686)),"INVALID – completion time missing",IF(TRIM(T686)="","INVALID – PIC missing",IF(TRIM(Z686)="","INVALID – evidence missing",IF(TRIM(AE686)="","INVALID – verifier missing",IF(AND(AQ686=1,TRIM(W686)=""),"INVALID – batch ID missing",IF(AND(AR686=1,OR(NOT(ISNUMBER(X686)),NOT(ISNUMBER(Y686)))),"INVALID – expected/actual qty missing",IF(IF(AND(TRIM(U686)="Pass",ISNUMBER(AF686)),IF(AF686&lt;&gt;0,"INVALID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recorded/closed","")&lt;&gt;"",IF(AND(TRIM(U686)="Pass",ISNUMBER(AF686)),IF(AF686&lt;&gt;0,"INVALID – qty variance: use Fail or Pass after CA",""),"")&amp;IF(AND(TRIM(U686)="Pass",AB686="Open"),"INVALID – corrective action still open: use Fail, then Pass after CA","")&amp;IF(AND(TRIM(U686)="Pass after CA",OR(TRIM(AA686)="",AB686&lt;&gt;"Closed")),"INVALID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window"),IF(AG686&gt;Flights!$AA$25,"INVALID – completed after departure (cannot establish readiness)",IF(AND(H686="Physical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f>
        <v/>
      </c>
      <c r="AI686" s="67">
        <f>IF(OR(AH686="N/A – RULE",AH686="N/A – JUSTIFIED"),0,1)</f>
        <v/>
      </c>
      <c r="AJ686" s="67">
        <f>IF(LEFT(AH686,8)="COMPLETE",1,0)</f>
        <v/>
      </c>
      <c r="AK686" s="67">
        <f>IF(AND(AI686=1,AJ686=0,AsOfUTC&gt;Q686),1,0)</f>
        <v/>
      </c>
      <c r="AL686" s="67">
        <f>IF(AND(AI686=1,OR(TRIM(U686)="Fail",AB686="Open",AND(ISNUMBER(AF686),AF686&lt;&gt;0,TRIM(U686)&lt;&gt;"Pass after CA"))),1,0)</f>
        <v/>
      </c>
      <c r="AM686" s="67">
        <f>IF(LEFT(AH686,7)="INVALID",1,0)</f>
        <v/>
      </c>
      <c r="AN686" s="67">
        <f>IF(AND(N686="Clarification required",AI686=1,AJ686=0),1,0)</f>
        <v/>
      </c>
      <c r="AO686" s="67">
        <f>IF(AK686=1,SUM(AK$5:AK686),"")</f>
        <v/>
      </c>
      <c r="AP686" s="67">
        <f>IF(AL686=1,SUM(AL$5:AL686),"")</f>
        <v/>
      </c>
      <c r="AQ686" s="67" t="n">
        <v>0</v>
      </c>
      <c r="AR686" s="67" t="n">
        <v>0</v>
      </c>
      <c r="AS686" s="67" t="n">
        <v>0</v>
      </c>
      <c r="AT686" s="67" t="n">
        <v>1</v>
      </c>
    </row>
    <row r="687" ht="66.5" customHeight="1">
      <c r="A687" s="63" t="inlineStr">
        <is>
          <t>F21-T12-12</t>
        </is>
      </c>
      <c r="B687" s="63" t="inlineStr">
        <is>
          <t>F21</t>
        </is>
      </c>
      <c r="C687" s="63">
        <f>Flights!$F$25</f>
        <v/>
      </c>
      <c r="D687" s="64">
        <f>Flights!$D$25</f>
        <v/>
      </c>
      <c r="E687" s="63">
        <f>Flights!$G$25&amp;"-"&amp;Flights!$H$25</f>
        <v/>
      </c>
      <c r="F687" s="63">
        <f>Flights!$K$25</f>
        <v/>
      </c>
      <c r="G687" s="63" t="inlineStr">
        <is>
          <t>T-12H PREP</t>
        </is>
      </c>
      <c r="H687" s="63" t="inlineStr">
        <is>
          <t>Preparation</t>
        </is>
      </c>
      <c r="I687" s="63" t="inlineStr">
        <is>
          <t>F&amp;B Linen</t>
        </is>
      </c>
      <c r="J687" s="63" t="inlineStr">
        <is>
          <t>Trolley cloth - prepared</t>
        </is>
      </c>
      <c r="K687" s="73" t="inlineStr">
        <is>
          <t>Narrow body: Top only</t>
        </is>
      </c>
      <c r="L687" s="73" t="inlineStr">
        <is>
          <t>STD UPLIFT INFORMATION.xlsx &gt; F&amp;B LINEN!I68</t>
        </is>
      </c>
      <c r="M687" s="73" t="inlineStr">
        <is>
          <t>Not stated in reference</t>
        </is>
      </c>
      <c r="N687" s="73" t="inlineStr">
        <is>
          <t>Required</t>
        </is>
      </c>
      <c r="O687" s="73" t="inlineStr">
        <is>
          <t>Per note F&amp;B LINEN!B79:C80. Reference gives no uplift stn for this item: preparation checked at the meal uplift stn (KUL) - confirm with caterer. Round-trip catered from KUL: due capped at the KUL loading deadline (Flights AY).</t>
        </is>
      </c>
      <c r="P687" s="63" t="inlineStr">
        <is>
          <t>KUL</t>
        </is>
      </c>
      <c r="Q687" s="65">
        <f>MIN(Flights!$AE$25,Flights!$AY$25)</f>
        <v/>
      </c>
      <c r="R687" s="65">
        <f>Q687+(IF(AND(INDEX(TZ_DSTS,MATCH(P687,TZ_STN,0))&lt;&gt;"",Q687&gt;=INDEX(TZ_DSTS,MATCH(P687,TZ_STN,0)),Q687&lt;INDEX(TZ_DSTE,MATCH(P687,TZ_STN,0))),INDEX(TZ_DST,MATCH(P687,TZ_STN,0)),INDEX(TZ_STD,MATCH(P687,TZ_STN,0))))/24</f>
        <v/>
      </c>
      <c r="S687" s="65">
        <f>Q687-T12EarlyH/24</f>
        <v/>
      </c>
      <c r="T687" s="66" t="n"/>
      <c r="U687" s="66" t="n"/>
      <c r="V687" s="66" t="n"/>
      <c r="W687" s="67" t="n"/>
      <c r="X687" s="66" t="n"/>
      <c r="Y687" s="66" t="n"/>
      <c r="Z687" s="66" t="n"/>
      <c r="AA687" s="66" t="n"/>
      <c r="AB687" s="66" t="n"/>
      <c r="AC687" s="66" t="n"/>
      <c r="AD687" s="72" t="n"/>
      <c r="AE687" s="66" t="n"/>
      <c r="AF687" s="67">
        <f>IF(AND(ISNUMBER(X687),ISNUMBER(Y687)),Y687-X687,"")</f>
        <v/>
      </c>
      <c r="AG687" s="68">
        <f>IF(ISNUMBER(AD687),AD687-(IF(AND(INDEX(TZ_DSTS,MATCH(P687,TZ_STN,0))&lt;&gt;"",(AD687-INDEX(TZ_STD,MATCH(P687,TZ_STN,0))/24)&gt;=INDEX(TZ_DSTS,MATCH(P687,TZ_STN,0)),(AD687-INDEX(TZ_STD,MATCH(P687,TZ_STN,0))/24)&lt;INDEX(TZ_DSTE,MATCH(P687,TZ_STN,0))),INDEX(TZ_DST,MATCH(P687,TZ_STN,0)),INDEX(TZ_STD,MATCH(P687,TZ_STN,0))))/24,"")</f>
        <v/>
      </c>
      <c r="AH687" s="71">
        <f>IF(N687="N/A – rule","N/A – RULE",IF(TRIM(U687)="N/A",IF(AT687=0,"INVALID – N/A not permitted for this mandatory check",IF(AND(TRIM(AC687)&lt;&gt;"",TRIM(AE687)&lt;&gt;"",TRIM(T687)&lt;&gt;""),"N/A – JUSTIFIED","INVALID – N/A needs justification, PIC and verifier")),IF(OR(TRIM(U687)="Pass",TRIM(U687)="Pass after CA"),IF(NOT(ISNUMBER(AD687)),"INVALID – completion time missing",IF(TRIM(T687)="","INVALID – PIC missing",IF(TRIM(Z687)="","INVALID – evidence missing",IF(TRIM(AE687)="","INVALID – verifier missing",IF(AND(AQ687=1,TRIM(W687)=""),"INVALID – batch ID missing",IF(AND(AR687=1,OR(NOT(ISNUMBER(X687)),NOT(ISNUMBER(Y687)))),"INVALID – expected/actual qty missing",IF(IF(AND(TRIM(U687)="Pass",ISNUMBER(AF687)),IF(AF687&lt;&gt;0,"INVALID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recorded/closed","")&lt;&gt;"",IF(AND(TRIM(U687)="Pass",ISNUMBER(AF687)),IF(AF687&lt;&gt;0,"INVALID – qty variance: use Fail or Pass after CA",""),"")&amp;IF(AND(TRIM(U687)="Pass",AB687="Open"),"INVALID – corrective action still open: use Fail, then Pass after CA","")&amp;IF(AND(TRIM(U687)="Pass after CA",OR(TRIM(AA687)="",AB687&lt;&gt;"Closed")),"INVALID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window"),IF(AG687&gt;Flights!$AA$25,"INVALID – completed after departure (cannot establish readiness)",IF(AND(H687="Physical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f>
        <v/>
      </c>
      <c r="AI687" s="67">
        <f>IF(OR(AH687="N/A – RULE",AH687="N/A – JUSTIFIED"),0,1)</f>
        <v/>
      </c>
      <c r="AJ687" s="67">
        <f>IF(LEFT(AH687,8)="COMPLETE",1,0)</f>
        <v/>
      </c>
      <c r="AK687" s="67">
        <f>IF(AND(AI687=1,AJ687=0,AsOfUTC&gt;Q687),1,0)</f>
        <v/>
      </c>
      <c r="AL687" s="67">
        <f>IF(AND(AI687=1,OR(TRIM(U687)="Fail",AB687="Open",AND(ISNUMBER(AF687),AF687&lt;&gt;0,TRIM(U687)&lt;&gt;"Pass after CA"))),1,0)</f>
        <v/>
      </c>
      <c r="AM687" s="67">
        <f>IF(LEFT(AH687,7)="INVALID",1,0)</f>
        <v/>
      </c>
      <c r="AN687" s="67">
        <f>IF(AND(N687="Clarification required",AI687=1,AJ687=0),1,0)</f>
        <v/>
      </c>
      <c r="AO687" s="67">
        <f>IF(AK687=1,SUM(AK$5:AK687),"")</f>
        <v/>
      </c>
      <c r="AP687" s="67">
        <f>IF(AL687=1,SUM(AL$5:AL687),"")</f>
        <v/>
      </c>
      <c r="AQ687" s="67" t="n">
        <v>0</v>
      </c>
      <c r="AR687" s="67" t="n">
        <v>0</v>
      </c>
      <c r="AS687" s="67" t="n">
        <v>0</v>
      </c>
      <c r="AT687" s="67" t="n">
        <v>1</v>
      </c>
    </row>
    <row r="688" ht="66.5" customHeight="1">
      <c r="A688" s="63" t="inlineStr">
        <is>
          <t>F21-T12-13</t>
        </is>
      </c>
      <c r="B688" s="63" t="inlineStr">
        <is>
          <t>F21</t>
        </is>
      </c>
      <c r="C688" s="63">
        <f>Flights!$F$25</f>
        <v/>
      </c>
      <c r="D688" s="64">
        <f>Flights!$D$25</f>
        <v/>
      </c>
      <c r="E688" s="63">
        <f>Flights!$G$25&amp;"-"&amp;Flights!$H$25</f>
        <v/>
      </c>
      <c r="F688" s="63">
        <f>Flights!$K$25</f>
        <v/>
      </c>
      <c r="G688" s="63" t="inlineStr">
        <is>
          <t>T-12H PREP</t>
        </is>
      </c>
      <c r="H688" s="63" t="inlineStr">
        <is>
          <t>Preparation</t>
        </is>
      </c>
      <c r="I688" s="63" t="inlineStr">
        <is>
          <t>F&amp;B Linen</t>
        </is>
      </c>
      <c r="J688" s="63" t="inlineStr">
        <is>
          <t>Linen bag - prepared</t>
        </is>
      </c>
      <c r="K688" s="73" t="inlineStr">
        <is>
          <t>Available (ticked in reference)</t>
        </is>
      </c>
      <c r="L688" s="73" t="inlineStr">
        <is>
          <t>STD UPLIFT INFORMATION.xlsx &gt; F&amp;B LINEN!J68</t>
        </is>
      </c>
      <c r="M688" s="73" t="inlineStr">
        <is>
          <t>Not stated in reference</t>
        </is>
      </c>
      <c r="N688" s="73" t="inlineStr">
        <is>
          <t>Required</t>
        </is>
      </c>
      <c r="O688" s="73" t="inlineStr">
        <is>
          <t>Reference gives no uplift stn for this item: preparation checked at the meal uplift stn (KUL) - confirm with caterer. Round-trip catered from KUL: due capped at the KUL loading deadline (Flights AY).</t>
        </is>
      </c>
      <c r="P688" s="63" t="inlineStr">
        <is>
          <t>KUL</t>
        </is>
      </c>
      <c r="Q688" s="65">
        <f>MIN(Flights!$AE$25,Flights!$AY$25)</f>
        <v/>
      </c>
      <c r="R688" s="65">
        <f>Q688+(IF(AND(INDEX(TZ_DSTS,MATCH(P688,TZ_STN,0))&lt;&gt;"",Q688&gt;=INDEX(TZ_DSTS,MATCH(P688,TZ_STN,0)),Q688&lt;INDEX(TZ_DSTE,MATCH(P688,TZ_STN,0))),INDEX(TZ_DST,MATCH(P688,TZ_STN,0)),INDEX(TZ_STD,MATCH(P688,TZ_STN,0))))/24</f>
        <v/>
      </c>
      <c r="S688" s="65">
        <f>Q688-T12EarlyH/24</f>
        <v/>
      </c>
      <c r="T688" s="66" t="n"/>
      <c r="U688" s="66" t="n"/>
      <c r="V688" s="66" t="n"/>
      <c r="W688" s="67" t="n"/>
      <c r="X688" s="66" t="n"/>
      <c r="Y688" s="66" t="n"/>
      <c r="Z688" s="66" t="n"/>
      <c r="AA688" s="66" t="n"/>
      <c r="AB688" s="66" t="n"/>
      <c r="AC688" s="66" t="n"/>
      <c r="AD688" s="72" t="n"/>
      <c r="AE688" s="66" t="n"/>
      <c r="AF688" s="67">
        <f>IF(AND(ISNUMBER(X688),ISNUMBER(Y688)),Y688-X688,"")</f>
        <v/>
      </c>
      <c r="AG688" s="68">
        <f>IF(ISNUMBER(AD688),AD688-(IF(AND(INDEX(TZ_DSTS,MATCH(P688,TZ_STN,0))&lt;&gt;"",(AD688-INDEX(TZ_STD,MATCH(P688,TZ_STN,0))/24)&gt;=INDEX(TZ_DSTS,MATCH(P688,TZ_STN,0)),(AD688-INDEX(TZ_STD,MATCH(P688,TZ_STN,0))/24)&lt;INDEX(TZ_DSTE,MATCH(P688,TZ_STN,0))),INDEX(TZ_DST,MATCH(P688,TZ_STN,0)),INDEX(TZ_STD,MATCH(P688,TZ_STN,0))))/24,"")</f>
        <v/>
      </c>
      <c r="AH688" s="71">
        <f>IF(N688="N/A – rule","N/A – RULE",IF(TRIM(U688)="N/A",IF(AT688=0,"INVALID – N/A not permitted for this mandatory check",IF(AND(TRIM(AC688)&lt;&gt;"",TRIM(AE688)&lt;&gt;"",TRIM(T688)&lt;&gt;""),"N/A – JUSTIFIED","INVALID – N/A needs justification, PIC and verifier")),IF(OR(TRIM(U688)="Pass",TRIM(U688)="Pass after CA"),IF(NOT(ISNUMBER(AD688)),"INVALID – completion time missing",IF(TRIM(T688)="","INVALID – PIC missing",IF(TRIM(Z688)="","INVALID – evidence missing",IF(TRIM(AE688)="","INVALID – verifier missing",IF(AND(AQ688=1,TRIM(W688)=""),"INVALID – batch ID missing",IF(AND(AR688=1,OR(NOT(ISNUMBER(X688)),NOT(ISNUMBER(Y688)))),"INVALID – expected/actual qty missing",IF(IF(AND(TRIM(U688)="Pass",ISNUMBER(AF688)),IF(AF688&lt;&gt;0,"INVALID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recorded/closed","")&lt;&gt;"",IF(AND(TRIM(U688)="Pass",ISNUMBER(AF688)),IF(AF688&lt;&gt;0,"INVALID – qty variance: use Fail or Pass after CA",""),"")&amp;IF(AND(TRIM(U688)="Pass",AB688="Open"),"INVALID – corrective action still open: use Fail, then Pass after CA","")&amp;IF(AND(TRIM(U688)="Pass after CA",OR(TRIM(AA688)="",AB688&lt;&gt;"Closed")),"INVALID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window"),IF(AG688&gt;Flights!$AA$25,"INVALID – completed after departure (cannot establish readiness)",IF(AND(H688="Physical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f>
        <v/>
      </c>
      <c r="AI688" s="67">
        <f>IF(OR(AH688="N/A – RULE",AH688="N/A – JUSTIFIED"),0,1)</f>
        <v/>
      </c>
      <c r="AJ688" s="67">
        <f>IF(LEFT(AH688,8)="COMPLETE",1,0)</f>
        <v/>
      </c>
      <c r="AK688" s="67">
        <f>IF(AND(AI688=1,AJ688=0,AsOfUTC&gt;Q688),1,0)</f>
        <v/>
      </c>
      <c r="AL688" s="67">
        <f>IF(AND(AI688=1,OR(TRIM(U688)="Fail",AB688="Open",AND(ISNUMBER(AF688),AF688&lt;&gt;0,TRIM(U688)&lt;&gt;"Pass after CA"))),1,0)</f>
        <v/>
      </c>
      <c r="AM688" s="67">
        <f>IF(LEFT(AH688,7)="INVALID",1,0)</f>
        <v/>
      </c>
      <c r="AN688" s="67">
        <f>IF(AND(N688="Clarification required",AI688=1,AJ688=0),1,0)</f>
        <v/>
      </c>
      <c r="AO688" s="67">
        <f>IF(AK688=1,SUM(AK$5:AK688),"")</f>
        <v/>
      </c>
      <c r="AP688" s="67">
        <f>IF(AL688=1,SUM(AL$5:AL688),"")</f>
        <v/>
      </c>
      <c r="AQ688" s="67" t="n">
        <v>0</v>
      </c>
      <c r="AR688" s="67" t="n">
        <v>0</v>
      </c>
      <c r="AS688" s="67" t="n">
        <v>0</v>
      </c>
      <c r="AT688" s="67" t="n">
        <v>1</v>
      </c>
    </row>
    <row r="689" ht="66.5" customHeight="1">
      <c r="A689" s="63" t="inlineStr">
        <is>
          <t>F21-T12-14</t>
        </is>
      </c>
      <c r="B689" s="63" t="inlineStr">
        <is>
          <t>F21</t>
        </is>
      </c>
      <c r="C689" s="63">
        <f>Flights!$F$25</f>
        <v/>
      </c>
      <c r="D689" s="64">
        <f>Flights!$D$25</f>
        <v/>
      </c>
      <c r="E689" s="63">
        <f>Flights!$G$25&amp;"-"&amp;Flights!$H$25</f>
        <v/>
      </c>
      <c r="F689" s="63">
        <f>Flights!$K$25</f>
        <v/>
      </c>
      <c r="G689" s="63" t="inlineStr">
        <is>
          <t>T-12H PREP</t>
        </is>
      </c>
      <c r="H689" s="63" t="inlineStr">
        <is>
          <t>Preparation</t>
        </is>
      </c>
      <c r="I689" s="63" t="inlineStr">
        <is>
          <t>Seat Linen</t>
        </is>
      </c>
      <c r="J689" s="63" t="inlineStr">
        <is>
          <t>Seat pillow (BS &amp; BC) - prepared</t>
        </is>
      </c>
      <c r="K689" s="73" t="inlineStr">
        <is>
          <t>Available 100% (ticked in reference)</t>
        </is>
      </c>
      <c r="L689" s="73" t="inlineStr">
        <is>
          <t>STD UPLIFT INFORMATION.xlsx &gt; SEAT LINEN!E64</t>
        </is>
      </c>
      <c r="M689" s="73" t="inlineStr">
        <is>
          <t>Not stated in reference</t>
        </is>
      </c>
      <c r="N689" s="73" t="inlineStr">
        <is>
          <t>Required</t>
        </is>
      </c>
      <c r="O689" s="73" t="inlineStr">
        <is>
          <t>Reference gives no uplift stn for this item: preparation checked at the meal uplift stn (KUL) - confirm with caterer. Round-trip catered from KUL: due capped at the KUL loading deadline (Flights AY).</t>
        </is>
      </c>
      <c r="P689" s="63" t="inlineStr">
        <is>
          <t>KUL</t>
        </is>
      </c>
      <c r="Q689" s="65">
        <f>MIN(Flights!$AE$25,Flights!$AY$25)</f>
        <v/>
      </c>
      <c r="R689" s="65">
        <f>Q689+(IF(AND(INDEX(TZ_DSTS,MATCH(P689,TZ_STN,0))&lt;&gt;"",Q689&gt;=INDEX(TZ_DSTS,MATCH(P689,TZ_STN,0)),Q689&lt;INDEX(TZ_DSTE,MATCH(P689,TZ_STN,0))),INDEX(TZ_DST,MATCH(P689,TZ_STN,0)),INDEX(TZ_STD,MATCH(P689,TZ_STN,0))))/24</f>
        <v/>
      </c>
      <c r="S689" s="65">
        <f>Q689-T12EarlyH/24</f>
        <v/>
      </c>
      <c r="T689" s="66" t="n"/>
      <c r="U689" s="66" t="n"/>
      <c r="V689" s="66" t="n"/>
      <c r="W689" s="67" t="n"/>
      <c r="X689" s="66" t="n"/>
      <c r="Y689" s="66" t="n"/>
      <c r="Z689" s="66" t="n"/>
      <c r="AA689" s="66" t="n"/>
      <c r="AB689" s="66" t="n"/>
      <c r="AC689" s="66" t="n"/>
      <c r="AD689" s="72" t="n"/>
      <c r="AE689" s="66" t="n"/>
      <c r="AF689" s="67">
        <f>IF(AND(ISNUMBER(X689),ISNUMBER(Y689)),Y689-X689,"")</f>
        <v/>
      </c>
      <c r="AG689" s="68">
        <f>IF(ISNUMBER(AD689),AD689-(IF(AND(INDEX(TZ_DSTS,MATCH(P689,TZ_STN,0))&lt;&gt;"",(AD689-INDEX(TZ_STD,MATCH(P689,TZ_STN,0))/24)&gt;=INDEX(TZ_DSTS,MATCH(P689,TZ_STN,0)),(AD689-INDEX(TZ_STD,MATCH(P689,TZ_STN,0))/24)&lt;INDEX(TZ_DSTE,MATCH(P689,TZ_STN,0))),INDEX(TZ_DST,MATCH(P689,TZ_STN,0)),INDEX(TZ_STD,MATCH(P689,TZ_STN,0))))/24,"")</f>
        <v/>
      </c>
      <c r="AH689" s="71">
        <f>IF(N689="N/A – rule","N/A – RULE",IF(TRIM(U689)="N/A",IF(AT689=0,"INVALID – N/A not permitted for this mandatory check",IF(AND(TRIM(AC689)&lt;&gt;"",TRIM(AE689)&lt;&gt;"",TRIM(T689)&lt;&gt;""),"N/A – JUSTIFIED","INVALID – N/A needs justification, PIC and verifier")),IF(OR(TRIM(U689)="Pass",TRIM(U689)="Pass after CA"),IF(NOT(ISNUMBER(AD689)),"INVALID – completion time missing",IF(TRIM(T689)="","INVALID – PIC missing",IF(TRIM(Z689)="","INVALID – evidence missing",IF(TRIM(AE689)="","INVALID – verifier missing",IF(AND(AQ689=1,TRIM(W689)=""),"INVALID – batch ID missing",IF(AND(AR689=1,OR(NOT(ISNUMBER(X689)),NOT(ISNUMBER(Y689)))),"INVALID – expected/actual qty missing",IF(IF(AND(TRIM(U689)="Pass",ISNUMBER(AF689)),IF(AF689&lt;&gt;0,"INVALID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recorded/closed","")&lt;&gt;"",IF(AND(TRIM(U689)="Pass",ISNUMBER(AF689)),IF(AF689&lt;&gt;0,"INVALID – qty variance: use Fail or Pass after CA",""),"")&amp;IF(AND(TRIM(U689)="Pass",AB689="Open"),"INVALID – corrective action still open: use Fail, then Pass after CA","")&amp;IF(AND(TRIM(U689)="Pass after CA",OR(TRIM(AA689)="",AB689&lt;&gt;"Closed")),"INVALID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window"),IF(AG689&gt;Flights!$AA$25,"INVALID – completed after departure (cannot establish readiness)",IF(AND(H689="Physical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f>
        <v/>
      </c>
      <c r="AI689" s="67">
        <f>IF(OR(AH689="N/A – RULE",AH689="N/A – JUSTIFIED"),0,1)</f>
        <v/>
      </c>
      <c r="AJ689" s="67">
        <f>IF(LEFT(AH689,8)="COMPLETE",1,0)</f>
        <v/>
      </c>
      <c r="AK689" s="67">
        <f>IF(AND(AI689=1,AJ689=0,AsOfUTC&gt;Q689),1,0)</f>
        <v/>
      </c>
      <c r="AL689" s="67">
        <f>IF(AND(AI689=1,OR(TRIM(U689)="Fail",AB689="Open",AND(ISNUMBER(AF689),AF689&lt;&gt;0,TRIM(U689)&lt;&gt;"Pass after CA"))),1,0)</f>
        <v/>
      </c>
      <c r="AM689" s="67">
        <f>IF(LEFT(AH689,7)="INVALID",1,0)</f>
        <v/>
      </c>
      <c r="AN689" s="67">
        <f>IF(AND(N689="Clarification required",AI689=1,AJ689=0),1,0)</f>
        <v/>
      </c>
      <c r="AO689" s="67">
        <f>IF(AK689=1,SUM(AK$5:AK689),"")</f>
        <v/>
      </c>
      <c r="AP689" s="67">
        <f>IF(AL689=1,SUM(AL$5:AL689),"")</f>
        <v/>
      </c>
      <c r="AQ689" s="67" t="n">
        <v>0</v>
      </c>
      <c r="AR689" s="67" t="n">
        <v>0</v>
      </c>
      <c r="AS689" s="67" t="n">
        <v>0</v>
      </c>
      <c r="AT689" s="67" t="n">
        <v>1</v>
      </c>
    </row>
    <row r="690" ht="66.5" customHeight="1">
      <c r="A690" s="63" t="inlineStr">
        <is>
          <t>F21-T12-15</t>
        </is>
      </c>
      <c r="B690" s="63" t="inlineStr">
        <is>
          <t>F21</t>
        </is>
      </c>
      <c r="C690" s="63">
        <f>Flights!$F$25</f>
        <v/>
      </c>
      <c r="D690" s="64">
        <f>Flights!$D$25</f>
        <v/>
      </c>
      <c r="E690" s="63">
        <f>Flights!$G$25&amp;"-"&amp;Flights!$H$25</f>
        <v/>
      </c>
      <c r="F690" s="63">
        <f>Flights!$K$25</f>
        <v/>
      </c>
      <c r="G690" s="63" t="inlineStr">
        <is>
          <t>T-12H PREP</t>
        </is>
      </c>
      <c r="H690" s="63" t="inlineStr">
        <is>
          <t>Preparation</t>
        </is>
      </c>
      <c r="I690" s="63" t="inlineStr">
        <is>
          <t>Seat Linen</t>
        </is>
      </c>
      <c r="J690" s="63" t="inlineStr">
        <is>
          <t>Blanket (BS &amp; BC) - prepared</t>
        </is>
      </c>
      <c r="K690" s="73" t="inlineStr">
        <is>
          <t>Available 100% (ticked in reference)</t>
        </is>
      </c>
      <c r="L690" s="73" t="inlineStr">
        <is>
          <t>STD UPLIFT INFORMATION.xlsx &gt; SEAT LINEN!H64</t>
        </is>
      </c>
      <c r="M690" s="73" t="inlineStr">
        <is>
          <t>Not stated in reference</t>
        </is>
      </c>
      <c r="N690" s="73" t="inlineStr">
        <is>
          <t>Required</t>
        </is>
      </c>
      <c r="O690" s="73" t="inlineStr">
        <is>
          <t>Reference gives no uplift stn for this item: preparation checked at the meal uplift stn (KUL) - confirm with caterer. Round-trip catered from KUL: due capped at the KUL loading deadline (Flights AY).</t>
        </is>
      </c>
      <c r="P690" s="63" t="inlineStr">
        <is>
          <t>KUL</t>
        </is>
      </c>
      <c r="Q690" s="65">
        <f>MIN(Flights!$AE$25,Flights!$AY$25)</f>
        <v/>
      </c>
      <c r="R690" s="65">
        <f>Q690+(IF(AND(INDEX(TZ_DSTS,MATCH(P690,TZ_STN,0))&lt;&gt;"",Q690&gt;=INDEX(TZ_DSTS,MATCH(P690,TZ_STN,0)),Q690&lt;INDEX(TZ_DSTE,MATCH(P690,TZ_STN,0))),INDEX(TZ_DST,MATCH(P690,TZ_STN,0)),INDEX(TZ_STD,MATCH(P690,TZ_STN,0))))/24</f>
        <v/>
      </c>
      <c r="S690" s="65">
        <f>Q690-T12EarlyH/24</f>
        <v/>
      </c>
      <c r="T690" s="66" t="n"/>
      <c r="U690" s="66" t="n"/>
      <c r="V690" s="66" t="n"/>
      <c r="W690" s="67" t="n"/>
      <c r="X690" s="66" t="n"/>
      <c r="Y690" s="66" t="n"/>
      <c r="Z690" s="66" t="n"/>
      <c r="AA690" s="66" t="n"/>
      <c r="AB690" s="66" t="n"/>
      <c r="AC690" s="66" t="n"/>
      <c r="AD690" s="72" t="n"/>
      <c r="AE690" s="66" t="n"/>
      <c r="AF690" s="67">
        <f>IF(AND(ISNUMBER(X690),ISNUMBER(Y690)),Y690-X690,"")</f>
        <v/>
      </c>
      <c r="AG690" s="68">
        <f>IF(ISNUMBER(AD690),AD690-(IF(AND(INDEX(TZ_DSTS,MATCH(P690,TZ_STN,0))&lt;&gt;"",(AD690-INDEX(TZ_STD,MATCH(P690,TZ_STN,0))/24)&gt;=INDEX(TZ_DSTS,MATCH(P690,TZ_STN,0)),(AD690-INDEX(TZ_STD,MATCH(P690,TZ_STN,0))/24)&lt;INDEX(TZ_DSTE,MATCH(P690,TZ_STN,0))),INDEX(TZ_DST,MATCH(P690,TZ_STN,0)),INDEX(TZ_STD,MATCH(P690,TZ_STN,0))))/24,"")</f>
        <v/>
      </c>
      <c r="AH690" s="71">
        <f>IF(N690="N/A – rule","N/A – RULE",IF(TRIM(U690)="N/A",IF(AT690=0,"INVALID – N/A not permitted for this mandatory check",IF(AND(TRIM(AC690)&lt;&gt;"",TRIM(AE690)&lt;&gt;"",TRIM(T690)&lt;&gt;""),"N/A – JUSTIFIED","INVALID – N/A needs justification, PIC and verifier")),IF(OR(TRIM(U690)="Pass",TRIM(U690)="Pass after CA"),IF(NOT(ISNUMBER(AD690)),"INVALID – completion time missing",IF(TRIM(T690)="","INVALID – PIC missing",IF(TRIM(Z690)="","INVALID – evidence missing",IF(TRIM(AE690)="","INVALID – verifier missing",IF(AND(AQ690=1,TRIM(W690)=""),"INVALID – batch ID missing",IF(AND(AR690=1,OR(NOT(ISNUMBER(X690)),NOT(ISNUMBER(Y690)))),"INVALID – expected/actual qty missing",IF(IF(AND(TRIM(U690)="Pass",ISNUMBER(AF690)),IF(AF690&lt;&gt;0,"INVALID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recorded/closed","")&lt;&gt;"",IF(AND(TRIM(U690)="Pass",ISNUMBER(AF690)),IF(AF690&lt;&gt;0,"INVALID – qty variance: use Fail or Pass after CA",""),"")&amp;IF(AND(TRIM(U690)="Pass",AB690="Open"),"INVALID – corrective action still open: use Fail, then Pass after CA","")&amp;IF(AND(TRIM(U690)="Pass after CA",OR(TRIM(AA690)="",AB690&lt;&gt;"Closed")),"INVALID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window"),IF(AG690&gt;Flights!$AA$25,"INVALID – completed after departure (cannot establish readiness)",IF(AND(H690="Physical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f>
        <v/>
      </c>
      <c r="AI690" s="67">
        <f>IF(OR(AH690="N/A – RULE",AH690="N/A – JUSTIFIED"),0,1)</f>
        <v/>
      </c>
      <c r="AJ690" s="67">
        <f>IF(LEFT(AH690,8)="COMPLETE",1,0)</f>
        <v/>
      </c>
      <c r="AK690" s="67">
        <f>IF(AND(AI690=1,AJ690=0,AsOfUTC&gt;Q690),1,0)</f>
        <v/>
      </c>
      <c r="AL690" s="67">
        <f>IF(AND(AI690=1,OR(TRIM(U690)="Fail",AB690="Open",AND(ISNUMBER(AF690),AF690&lt;&gt;0,TRIM(U690)&lt;&gt;"Pass after CA"))),1,0)</f>
        <v/>
      </c>
      <c r="AM690" s="67">
        <f>IF(LEFT(AH690,7)="INVALID",1,0)</f>
        <v/>
      </c>
      <c r="AN690" s="67">
        <f>IF(AND(N690="Clarification required",AI690=1,AJ690=0),1,0)</f>
        <v/>
      </c>
      <c r="AO690" s="67">
        <f>IF(AK690=1,SUM(AK$5:AK690),"")</f>
        <v/>
      </c>
      <c r="AP690" s="67">
        <f>IF(AL690=1,SUM(AL$5:AL690),"")</f>
        <v/>
      </c>
      <c r="AQ690" s="67" t="n">
        <v>0</v>
      </c>
      <c r="AR690" s="67" t="n">
        <v>0</v>
      </c>
      <c r="AS690" s="67" t="n">
        <v>0</v>
      </c>
      <c r="AT690" s="67" t="n">
        <v>1</v>
      </c>
    </row>
    <row r="691" ht="40" customHeight="1">
      <c r="A691" s="63" t="inlineStr">
        <is>
          <t>F21-UPL-01</t>
        </is>
      </c>
      <c r="B691" s="63" t="inlineStr">
        <is>
          <t>F21</t>
        </is>
      </c>
      <c r="C691" s="63">
        <f>Flights!$F$25</f>
        <v/>
      </c>
      <c r="D691" s="64">
        <f>Flights!$D$25</f>
        <v/>
      </c>
      <c r="E691" s="63">
        <f>Flights!$G$25&amp;"-"&amp;Flights!$H$25</f>
        <v/>
      </c>
      <c r="F691" s="63">
        <f>Flights!$K$25</f>
        <v/>
      </c>
      <c r="G691" s="63" t="inlineStr">
        <is>
          <t>UPLIFT</t>
        </is>
      </c>
      <c r="H691" s="63" t="inlineStr">
        <is>
          <t>Physical uplift</t>
        </is>
      </c>
      <c r="I691" s="63" t="inlineStr">
        <is>
          <t>Meal</t>
        </is>
      </c>
      <c r="J691" s="63" t="inlineStr">
        <is>
          <t>Meals physically uplifted on board - quantity vs menu checklist</t>
        </is>
      </c>
      <c r="K691" s="73" t="inlineStr">
        <is>
          <t>Enter expected &amp; actual</t>
        </is>
      </c>
      <c r="L691" s="73" t="inlineStr">
        <is>
          <t>User brief (T-12 hours - physical uplift)</t>
        </is>
      </c>
      <c r="M691" s="73" t="inlineStr"/>
      <c r="N691" s="73" t="inlineStr">
        <is>
          <t>Required</t>
        </is>
      </c>
      <c r="O691" s="73" t="inlineStr">
        <is>
          <t>Confirm on board before departure; completion time must fall inside the uplift window.</t>
        </is>
      </c>
      <c r="P691" s="63" t="inlineStr">
        <is>
          <t>LGK</t>
        </is>
      </c>
      <c r="Q691" s="65">
        <f>Flights!$AF$25</f>
        <v/>
      </c>
      <c r="R691" s="65">
        <f>Q691+(IF(AND(INDEX(TZ_DSTS,MATCH(P691,TZ_STN,0))&lt;&gt;"",Q691&gt;=INDEX(TZ_DSTS,MATCH(P691,TZ_STN,0)),Q691&lt;INDEX(TZ_DSTE,MATCH(P691,TZ_STN,0))),INDEX(TZ_DST,MATCH(P691,TZ_STN,0)),INDEX(TZ_STD,MATCH(P691,TZ_STN,0))))/24</f>
        <v/>
      </c>
      <c r="S691" s="65">
        <f>Q691-UpliftWindowH/24</f>
        <v/>
      </c>
      <c r="T691" s="66" t="n"/>
      <c r="U691" s="66" t="n"/>
      <c r="V691" s="66" t="n"/>
      <c r="W691" s="67" t="n"/>
      <c r="X691" s="66" t="n"/>
      <c r="Y691" s="66" t="n"/>
      <c r="Z691" s="66" t="n"/>
      <c r="AA691" s="66" t="n"/>
      <c r="AB691" s="66" t="n"/>
      <c r="AC691" s="66" t="n"/>
      <c r="AD691" s="72" t="n"/>
      <c r="AE691" s="66" t="n"/>
      <c r="AF691" s="67">
        <f>IF(AND(ISNUMBER(X691),ISNUMBER(Y691)),Y691-X691,"")</f>
        <v/>
      </c>
      <c r="AG691" s="68">
        <f>IF(ISNUMBER(AD691),AD691-(IF(AND(INDEX(TZ_DSTS,MATCH(P691,TZ_STN,0))&lt;&gt;"",(AD691-INDEX(TZ_STD,MATCH(P691,TZ_STN,0))/24)&gt;=INDEX(TZ_DSTS,MATCH(P691,TZ_STN,0)),(AD691-INDEX(TZ_STD,MATCH(P691,TZ_STN,0))/24)&lt;INDEX(TZ_DSTE,MATCH(P691,TZ_STN,0))),INDEX(TZ_DST,MATCH(P691,TZ_STN,0)),INDEX(TZ_STD,MATCH(P691,TZ_STN,0))))/24,"")</f>
        <v/>
      </c>
      <c r="AH691" s="71">
        <f>IF(N691="N/A – rule","N/A – RULE",IF(TRIM(U691)="N/A",IF(AT691=0,"INVALID – N/A not permitted for this mandatory check",IF(AND(TRIM(AC691)&lt;&gt;"",TRIM(AE691)&lt;&gt;"",TRIM(T691)&lt;&gt;""),"N/A – JUSTIFIED","INVALID – N/A needs justification, PIC and verifier")),IF(OR(TRIM(U691)="Pass",TRIM(U691)="Pass after CA"),IF(NOT(ISNUMBER(AD691)),"INVALID – completion time missing",IF(TRIM(T691)="","INVALID – PIC missing",IF(TRIM(Z691)="","INVALID – evidence missing",IF(TRIM(AE691)="","INVALID – verifier missing",IF(AND(AQ691=1,TRIM(W691)=""),"INVALID – batch ID missing",IF(AND(AR691=1,OR(NOT(ISNUMBER(X691)),NOT(ISNUMBER(Y691)))),"INVALID – expected/actual qty missing",IF(IF(AND(TRIM(U691)="Pass",ISNUMBER(AF691)),IF(AF691&lt;&gt;0,"INVALID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recorded/closed","")&lt;&gt;"",IF(AND(TRIM(U691)="Pass",ISNUMBER(AF691)),IF(AF691&lt;&gt;0,"INVALID – qty variance: use Fail or Pass after CA",""),"")&amp;IF(AND(TRIM(U691)="Pass",AB691="Open"),"INVALID – corrective action still open: use Fail, then Pass after CA","")&amp;IF(AND(TRIM(U691)="Pass after CA",OR(TRIM(AA691)="",AB691&lt;&gt;"Closed")),"INVALID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window"),IF(AG691&gt;Flights!$AA$25,"INVALID – completed after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f>
        <v/>
      </c>
      <c r="AI691" s="67">
        <f>IF(OR(AH691="N/A – RULE",AH691="N/A – JUSTIFIED"),0,1)</f>
        <v/>
      </c>
      <c r="AJ691" s="67">
        <f>IF(LEFT(AH691,8)="COMPLETE",1,0)</f>
        <v/>
      </c>
      <c r="AK691" s="67">
        <f>IF(AND(AI691=1,AJ691=0,AsOfUTC&gt;Q691),1,0)</f>
        <v/>
      </c>
      <c r="AL691" s="67">
        <f>IF(AND(AI691=1,OR(TRIM(U691)="Fail",AB691="Open",AND(ISNUMBER(AF691),AF691&lt;&gt;0,TRIM(U691)&lt;&gt;"Pass after CA"))),1,0)</f>
        <v/>
      </c>
      <c r="AM691" s="67">
        <f>IF(LEFT(AH691,7)="INVALID",1,0)</f>
        <v/>
      </c>
      <c r="AN691" s="67">
        <f>IF(AND(N691="Clarification required",AI691=1,AJ691=0),1,0)</f>
        <v/>
      </c>
      <c r="AO691" s="67">
        <f>IF(AK691=1,SUM(AK$5:AK691),"")</f>
        <v/>
      </c>
      <c r="AP691" s="67">
        <f>IF(AL691=1,SUM(AL$5:AL691),"")</f>
        <v/>
      </c>
      <c r="AQ691" s="67" t="n">
        <v>0</v>
      </c>
      <c r="AR691" s="67" t="n">
        <v>1</v>
      </c>
      <c r="AS691" s="67" t="n">
        <v>0</v>
      </c>
      <c r="AT691" s="67" t="n">
        <v>0</v>
      </c>
    </row>
    <row r="692" ht="40" customHeight="1">
      <c r="A692" s="63" t="inlineStr">
        <is>
          <t>F21-UPL-02</t>
        </is>
      </c>
      <c r="B692" s="63" t="inlineStr">
        <is>
          <t>F21</t>
        </is>
      </c>
      <c r="C692" s="63">
        <f>Flights!$F$25</f>
        <v/>
      </c>
      <c r="D692" s="64">
        <f>Flights!$D$25</f>
        <v/>
      </c>
      <c r="E692" s="63">
        <f>Flights!$G$25&amp;"-"&amp;Flights!$H$25</f>
        <v/>
      </c>
      <c r="F692" s="63">
        <f>Flights!$K$25</f>
        <v/>
      </c>
      <c r="G692" s="63" t="inlineStr">
        <is>
          <t>UPLIFT</t>
        </is>
      </c>
      <c r="H692" s="63" t="inlineStr">
        <is>
          <t>Physical uplift</t>
        </is>
      </c>
      <c r="I692" s="63" t="inlineStr">
        <is>
          <t>Equipment</t>
        </is>
      </c>
      <c r="J692" s="63" t="inlineStr">
        <is>
          <t>Equipment physically loaded at GLD positions - quantity &amp; positions</t>
        </is>
      </c>
      <c r="K692" s="73" t="inlineStr">
        <is>
          <t>Enter expected &amp; actual</t>
        </is>
      </c>
      <c r="L692" s="73" t="inlineStr">
        <is>
          <t>User brief (T-12 hours - physical uplift)</t>
        </is>
      </c>
      <c r="M692" s="73" t="inlineStr"/>
      <c r="N692" s="73" t="inlineStr">
        <is>
          <t>Required</t>
        </is>
      </c>
      <c r="O692" s="73" t="inlineStr">
        <is>
          <t>Confirm on board before departure; completion time must fall inside the uplift window.</t>
        </is>
      </c>
      <c r="P692" s="63" t="inlineStr">
        <is>
          <t>LGK</t>
        </is>
      </c>
      <c r="Q692" s="65">
        <f>Flights!$AF$25</f>
        <v/>
      </c>
      <c r="R692" s="65">
        <f>Q692+(IF(AND(INDEX(TZ_DSTS,MATCH(P692,TZ_STN,0))&lt;&gt;"",Q692&gt;=INDEX(TZ_DSTS,MATCH(P692,TZ_STN,0)),Q692&lt;INDEX(TZ_DSTE,MATCH(P692,TZ_STN,0))),INDEX(TZ_DST,MATCH(P692,TZ_STN,0)),INDEX(TZ_STD,MATCH(P692,TZ_STN,0))))/24</f>
        <v/>
      </c>
      <c r="S692" s="65">
        <f>Q692-UpliftWindowH/24</f>
        <v/>
      </c>
      <c r="T692" s="66" t="n"/>
      <c r="U692" s="66" t="n"/>
      <c r="V692" s="66" t="n"/>
      <c r="W692" s="67" t="n"/>
      <c r="X692" s="66" t="n"/>
      <c r="Y692" s="66" t="n"/>
      <c r="Z692" s="66" t="n"/>
      <c r="AA692" s="66" t="n"/>
      <c r="AB692" s="66" t="n"/>
      <c r="AC692" s="66" t="n"/>
      <c r="AD692" s="72" t="n"/>
      <c r="AE692" s="66" t="n"/>
      <c r="AF692" s="67">
        <f>IF(AND(ISNUMBER(X692),ISNUMBER(Y692)),Y692-X692,"")</f>
        <v/>
      </c>
      <c r="AG692" s="68">
        <f>IF(ISNUMBER(AD692),AD692-(IF(AND(INDEX(TZ_DSTS,MATCH(P692,TZ_STN,0))&lt;&gt;"",(AD692-INDEX(TZ_STD,MATCH(P692,TZ_STN,0))/24)&gt;=INDEX(TZ_DSTS,MATCH(P692,TZ_STN,0)),(AD692-INDEX(TZ_STD,MATCH(P692,TZ_STN,0))/24)&lt;INDEX(TZ_DSTE,MATCH(P692,TZ_STN,0))),INDEX(TZ_DST,MATCH(P692,TZ_STN,0)),INDEX(TZ_STD,MATCH(P692,TZ_STN,0))))/24,"")</f>
        <v/>
      </c>
      <c r="AH692" s="71">
        <f>IF(N692="N/A – rule","N/A – RULE",IF(TRIM(U692)="N/A",IF(AT692=0,"INVALID – N/A not permitted for this mandatory check",IF(AND(TRIM(AC692)&lt;&gt;"",TRIM(AE692)&lt;&gt;"",TRIM(T692)&lt;&gt;""),"N/A – JUSTIFIED","INVALID – N/A needs justification, PIC and verifier")),IF(OR(TRIM(U692)="Pass",TRIM(U692)="Pass after CA"),IF(NOT(ISNUMBER(AD692)),"INVALID – completion time missing",IF(TRIM(T692)="","INVALID – PIC missing",IF(TRIM(Z692)="","INVALID – evidence missing",IF(TRIM(AE692)="","INVALID – verifier missing",IF(AND(AQ692=1,TRIM(W692)=""),"INVALID – batch ID missing",IF(AND(AR692=1,OR(NOT(ISNUMBER(X692)),NOT(ISNUMBER(Y692)))),"INVALID – expected/actual qty missing",IF(IF(AND(TRIM(U692)="Pass",ISNUMBER(AF692)),IF(AF692&lt;&gt;0,"INVALID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recorded/closed","")&lt;&gt;"",IF(AND(TRIM(U692)="Pass",ISNUMBER(AF692)),IF(AF692&lt;&gt;0,"INVALID – qty variance: use Fail or Pass after CA",""),"")&amp;IF(AND(TRIM(U692)="Pass",AB692="Open"),"INVALID – corrective action still open: use Fail, then Pass after CA","")&amp;IF(AND(TRIM(U692)="Pass after CA",OR(TRIM(AA692)="",AB692&lt;&gt;"Closed")),"INVALID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window"),IF(AG692&gt;Flights!$AA$25,"INVALID – completed after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f>
        <v/>
      </c>
      <c r="AI692" s="67">
        <f>IF(OR(AH692="N/A – RULE",AH692="N/A – JUSTIFIED"),0,1)</f>
        <v/>
      </c>
      <c r="AJ692" s="67">
        <f>IF(LEFT(AH692,8)="COMPLETE",1,0)</f>
        <v/>
      </c>
      <c r="AK692" s="67">
        <f>IF(AND(AI692=1,AJ692=0,AsOfUTC&gt;Q692),1,0)</f>
        <v/>
      </c>
      <c r="AL692" s="67">
        <f>IF(AND(AI692=1,OR(TRIM(U692)="Fail",AB692="Open",AND(ISNUMBER(AF692),AF692&lt;&gt;0,TRIM(U692)&lt;&gt;"Pass after CA"))),1,0)</f>
        <v/>
      </c>
      <c r="AM692" s="67">
        <f>IF(LEFT(AH692,7)="INVALID",1,0)</f>
        <v/>
      </c>
      <c r="AN692" s="67">
        <f>IF(AND(N692="Clarification required",AI692=1,AJ692=0),1,0)</f>
        <v/>
      </c>
      <c r="AO692" s="67">
        <f>IF(AK692=1,SUM(AK$5:AK692),"")</f>
        <v/>
      </c>
      <c r="AP692" s="67">
        <f>IF(AL692=1,SUM(AL$5:AL692),"")</f>
        <v/>
      </c>
      <c r="AQ692" s="67" t="n">
        <v>0</v>
      </c>
      <c r="AR692" s="67" t="n">
        <v>1</v>
      </c>
      <c r="AS692" s="67" t="n">
        <v>0</v>
      </c>
      <c r="AT692" s="67" t="n">
        <v>0</v>
      </c>
    </row>
    <row r="693" ht="79" customHeight="1">
      <c r="A693" s="63" t="inlineStr">
        <is>
          <t>F21-UPL-03</t>
        </is>
      </c>
      <c r="B693" s="63" t="inlineStr">
        <is>
          <t>F21</t>
        </is>
      </c>
      <c r="C693" s="63">
        <f>Flights!$F$25</f>
        <v/>
      </c>
      <c r="D693" s="64">
        <f>Flights!$D$25</f>
        <v/>
      </c>
      <c r="E693" s="63">
        <f>Flights!$G$25&amp;"-"&amp;Flights!$H$25</f>
        <v/>
      </c>
      <c r="F693" s="63">
        <f>Flights!$K$25</f>
        <v/>
      </c>
      <c r="G693" s="63" t="inlineStr">
        <is>
          <t>UPLIFT</t>
        </is>
      </c>
      <c r="H693" s="63" t="inlineStr">
        <is>
          <t>Physical uplift</t>
        </is>
      </c>
      <c r="I693" s="63" t="inlineStr">
        <is>
          <t>Uplift plan</t>
        </is>
      </c>
      <c r="J693" s="63" t="inlineStr">
        <is>
          <t>Return catering for MH1437 physically loaded at KUL on the carrying flight (meals, equipment and all items below)</t>
        </is>
      </c>
      <c r="K693" s="73" t="inlineStr">
        <is>
          <t>Items: meals / refreshment, equipment, Disposable slippers in DAM cart (BC, on request), Towel, Tray cloth, Napkin, Trolley cloth, Linen bag, Seat pillow (BS &amp; BC), Blanket (BS &amp; BC). Quantities as per menu checklist, GLD and Requirements</t>
        </is>
      </c>
      <c r="L693" s="73" t="inlineStr">
        <is>
          <t>User brief (physical uplift) + CATERING UPLIFT STN (KUL only)</t>
        </is>
      </c>
      <c r="M693" s="73" t="inlineStr"/>
      <c r="N693" s="73" t="inlineStr">
        <is>
          <t>Required</t>
        </is>
      </c>
      <c r="O693" s="73" t="inlineStr">
        <is>
          <t>Loading happens at KUL, so it is confirmed at KUL inside the uplift window before the carrying flight's KUL departure (Flights AX). The on-board lines below are then re-checked at the departure station.</t>
        </is>
      </c>
      <c r="P693" s="63" t="inlineStr">
        <is>
          <t>KUL</t>
        </is>
      </c>
      <c r="Q693" s="65">
        <f>Flights!$AY$25+UpliftWindowH/24</f>
        <v/>
      </c>
      <c r="R693" s="65">
        <f>Q693+(IF(AND(INDEX(TZ_DSTS,MATCH(P693,TZ_STN,0))&lt;&gt;"",Q693&gt;=INDEX(TZ_DSTS,MATCH(P693,TZ_STN,0)),Q693&lt;INDEX(TZ_DSTE,MATCH(P693,TZ_STN,0))),INDEX(TZ_DST,MATCH(P693,TZ_STN,0)),INDEX(TZ_STD,MATCH(P693,TZ_STN,0))))/24</f>
        <v/>
      </c>
      <c r="S693" s="65">
        <f>Q693-UpliftWindowH/24</f>
        <v/>
      </c>
      <c r="T693" s="66" t="n"/>
      <c r="U693" s="66" t="n"/>
      <c r="V693" s="66" t="n"/>
      <c r="W693" s="67" t="n"/>
      <c r="X693" s="66" t="n"/>
      <c r="Y693" s="66" t="n"/>
      <c r="Z693" s="66" t="n"/>
      <c r="AA693" s="66" t="n"/>
      <c r="AB693" s="66" t="n"/>
      <c r="AC693" s="66" t="n"/>
      <c r="AD693" s="72" t="n"/>
      <c r="AE693" s="66" t="n"/>
      <c r="AF693" s="67">
        <f>IF(AND(ISNUMBER(X693),ISNUMBER(Y693)),Y693-X693,"")</f>
        <v/>
      </c>
      <c r="AG693" s="68">
        <f>IF(ISNUMBER(AD693),AD693-(IF(AND(INDEX(TZ_DSTS,MATCH(P693,TZ_STN,0))&lt;&gt;"",(AD693-INDEX(TZ_STD,MATCH(P693,TZ_STN,0))/24)&gt;=INDEX(TZ_DSTS,MATCH(P693,TZ_STN,0)),(AD693-INDEX(TZ_STD,MATCH(P693,TZ_STN,0))/24)&lt;INDEX(TZ_DSTE,MATCH(P693,TZ_STN,0))),INDEX(TZ_DST,MATCH(P693,TZ_STN,0)),INDEX(TZ_STD,MATCH(P693,TZ_STN,0))))/24,"")</f>
        <v/>
      </c>
      <c r="AH693" s="71">
        <f>IF(N693="N/A – rule","N/A – RULE",IF(TRIM(U693)="N/A",IF(AT693=0,"INVALID – N/A not permitted for this mandatory check",IF(AND(TRIM(AC693)&lt;&gt;"",TRIM(AE693)&lt;&gt;"",TRIM(T693)&lt;&gt;""),"N/A – JUSTIFIED","INVALID – N/A needs justification, PIC and verifier")),IF(OR(TRIM(U693)="Pass",TRIM(U693)="Pass after CA"),IF(NOT(ISNUMBER(AD693)),"INVALID – completion time missing",IF(TRIM(T693)="","INVALID – PIC missing",IF(TRIM(Z693)="","INVALID – evidence missing",IF(TRIM(AE693)="","INVALID – verifier missing",IF(AND(AQ693=1,TRIM(W693)=""),"INVALID – batch ID missing",IF(AND(AR693=1,OR(NOT(ISNUMBER(X693)),NOT(ISNUMBER(Y693)))),"INVALID – expected/actual qty missing",IF(IF(AND(TRIM(U693)="Pass",ISNUMBER(AF693)),IF(AF693&lt;&gt;0,"INVALID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recorded/closed","")&lt;&gt;"",IF(AND(TRIM(U693)="Pass",ISNUMBER(AF693)),IF(AF693&lt;&gt;0,"INVALID – qty variance: use Fail or Pass after CA",""),"")&amp;IF(AND(TRIM(U693)="Pass",AB693="Open"),"INVALID – corrective action still open: use Fail, then Pass after CA","")&amp;IF(AND(TRIM(U693)="Pass after CA",OR(TRIM(AA693)="",AB693&lt;&gt;"Closed")),"INVALID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window"),IF(AG693&gt;Flights!$AA$25,"INVALID – completed after departure (cannot establish readiness)",IF(AND(H693="Physical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f>
        <v/>
      </c>
      <c r="AI693" s="67">
        <f>IF(OR(AH693="N/A – RULE",AH693="N/A – JUSTIFIED"),0,1)</f>
        <v/>
      </c>
      <c r="AJ693" s="67">
        <f>IF(LEFT(AH693,8)="COMPLETE",1,0)</f>
        <v/>
      </c>
      <c r="AK693" s="67">
        <f>IF(AND(AI693=1,AJ693=0,AsOfUTC&gt;Q693),1,0)</f>
        <v/>
      </c>
      <c r="AL693" s="67">
        <f>IF(AND(AI693=1,OR(TRIM(U693)="Fail",AB693="Open",AND(ISNUMBER(AF693),AF693&lt;&gt;0,TRIM(U693)&lt;&gt;"Pass after CA"))),1,0)</f>
        <v/>
      </c>
      <c r="AM693" s="67">
        <f>IF(LEFT(AH693,7)="INVALID",1,0)</f>
        <v/>
      </c>
      <c r="AN693" s="67">
        <f>IF(AND(N693="Clarification required",AI693=1,AJ693=0),1,0)</f>
        <v/>
      </c>
      <c r="AO693" s="67">
        <f>IF(AK693=1,SUM(AK$5:AK693),"")</f>
        <v/>
      </c>
      <c r="AP693" s="67">
        <f>IF(AL693=1,SUM(AL$5:AL693),"")</f>
        <v/>
      </c>
      <c r="AQ693" s="67" t="n">
        <v>0</v>
      </c>
      <c r="AR693" s="67" t="n">
        <v>0</v>
      </c>
      <c r="AS693" s="67" t="n">
        <v>0</v>
      </c>
      <c r="AT693" s="67" t="n">
        <v>0</v>
      </c>
    </row>
    <row r="694" ht="41.5" customHeight="1">
      <c r="A694" s="63" t="inlineStr">
        <is>
          <t>F21-UPL-04</t>
        </is>
      </c>
      <c r="B694" s="63" t="inlineStr">
        <is>
          <t>F21</t>
        </is>
      </c>
      <c r="C694" s="63">
        <f>Flights!$F$25</f>
        <v/>
      </c>
      <c r="D694" s="64">
        <f>Flights!$D$25</f>
        <v/>
      </c>
      <c r="E694" s="63">
        <f>Flights!$G$25&amp;"-"&amp;Flights!$H$25</f>
        <v/>
      </c>
      <c r="F694" s="63">
        <f>Flights!$K$25</f>
        <v/>
      </c>
      <c r="G694" s="63" t="inlineStr">
        <is>
          <t>UPLIFT</t>
        </is>
      </c>
      <c r="H694" s="63" t="inlineStr">
        <is>
          <t>Physical uplift</t>
        </is>
      </c>
      <c r="I694" s="63" t="inlineStr">
        <is>
          <t>Amenities</t>
        </is>
      </c>
      <c r="J694" s="63" t="inlineStr">
        <is>
          <t>Disposable slippers in DAM cart (BC, on request) - on board</t>
        </is>
      </c>
      <c r="K694" s="73" t="inlineStr">
        <is>
          <t>Available in DAM cart on request basis</t>
        </is>
      </c>
      <c r="L694" s="73" t="inlineStr">
        <is>
          <t>STD UPLIFT INFORMATION.xlsx &gt; AMENITIES!G74 / C83</t>
        </is>
      </c>
      <c r="M694" s="73" t="inlineStr">
        <is>
          <t>Not stated in reference</t>
        </is>
      </c>
      <c r="N694" s="73" t="inlineStr">
        <is>
          <t>Required</t>
        </is>
      </c>
      <c r="O694" s="73" t="inlineStr">
        <is>
          <t>Sector has no BC slippers; note C83: disposable slipper available in DAM cart (on request basis).</t>
        </is>
      </c>
      <c r="P694" s="63" t="inlineStr">
        <is>
          <t>LGK</t>
        </is>
      </c>
      <c r="Q694" s="65">
        <f>Flights!$AF$25</f>
        <v/>
      </c>
      <c r="R694" s="65">
        <f>Q694+(IF(AND(INDEX(TZ_DSTS,MATCH(P694,TZ_STN,0))&lt;&gt;"",Q694&gt;=INDEX(TZ_DSTS,MATCH(P694,TZ_STN,0)),Q694&lt;INDEX(TZ_DSTE,MATCH(P694,TZ_STN,0))),INDEX(TZ_DST,MATCH(P694,TZ_STN,0)),INDEX(TZ_STD,MATCH(P694,TZ_STN,0))))/24</f>
        <v/>
      </c>
      <c r="S694" s="65">
        <f>Q694-UpliftWindowH/24</f>
        <v/>
      </c>
      <c r="T694" s="66" t="n"/>
      <c r="U694" s="66" t="n"/>
      <c r="V694" s="66" t="n"/>
      <c r="W694" s="67" t="n"/>
      <c r="X694" s="66" t="n"/>
      <c r="Y694" s="66" t="n"/>
      <c r="Z694" s="66" t="n"/>
      <c r="AA694" s="66" t="n"/>
      <c r="AB694" s="66" t="n"/>
      <c r="AC694" s="66" t="n"/>
      <c r="AD694" s="72" t="n"/>
      <c r="AE694" s="66" t="n"/>
      <c r="AF694" s="67">
        <f>IF(AND(ISNUMBER(X694),ISNUMBER(Y694)),Y694-X694,"")</f>
        <v/>
      </c>
      <c r="AG694" s="68">
        <f>IF(ISNUMBER(AD694),AD694-(IF(AND(INDEX(TZ_DSTS,MATCH(P694,TZ_STN,0))&lt;&gt;"",(AD694-INDEX(TZ_STD,MATCH(P694,TZ_STN,0))/24)&gt;=INDEX(TZ_DSTS,MATCH(P694,TZ_STN,0)),(AD694-INDEX(TZ_STD,MATCH(P694,TZ_STN,0))/24)&lt;INDEX(TZ_DSTE,MATCH(P694,TZ_STN,0))),INDEX(TZ_DST,MATCH(P694,TZ_STN,0)),INDEX(TZ_STD,MATCH(P694,TZ_STN,0))))/24,"")</f>
        <v/>
      </c>
      <c r="AH694" s="71">
        <f>IF(N694="N/A – rule","N/A – RULE",IF(TRIM(U694)="N/A",IF(AT694=0,"INVALID – N/A not permitted for this mandatory check",IF(AND(TRIM(AC694)&lt;&gt;"",TRIM(AE694)&lt;&gt;"",TRIM(T694)&lt;&gt;""),"N/A – JUSTIFIED","INVALID – N/A needs justification, PIC and verifier")),IF(OR(TRIM(U694)="Pass",TRIM(U694)="Pass after CA"),IF(NOT(ISNUMBER(AD694)),"INVALID – completion time missing",IF(TRIM(T694)="","INVALID – PIC missing",IF(TRIM(Z694)="","INVALID – evidence missing",IF(TRIM(AE694)="","INVALID – verifier missing",IF(AND(AQ694=1,TRIM(W694)=""),"INVALID – batch ID missing",IF(AND(AR694=1,OR(NOT(ISNUMBER(X694)),NOT(ISNUMBER(Y694)))),"INVALID – expected/actual qty missing",IF(IF(AND(TRIM(U694)="Pass",ISNUMBER(AF694)),IF(AF694&lt;&gt;0,"INVALID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recorded/closed","")&lt;&gt;"",IF(AND(TRIM(U694)="Pass",ISNUMBER(AF694)),IF(AF694&lt;&gt;0,"INVALID – qty variance: use Fail or Pass after CA",""),"")&amp;IF(AND(TRIM(U694)="Pass",AB694="Open"),"INVALID – corrective action still open: use Fail, then Pass after CA","")&amp;IF(AND(TRIM(U694)="Pass after CA",OR(TRIM(AA694)="",AB694&lt;&gt;"Closed")),"INVALID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window"),IF(AG694&gt;Flights!$AA$25,"INVALID – completed after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f>
        <v/>
      </c>
      <c r="AI694" s="67">
        <f>IF(OR(AH694="N/A – RULE",AH694="N/A – JUSTIFIED"),0,1)</f>
        <v/>
      </c>
      <c r="AJ694" s="67">
        <f>IF(LEFT(AH694,8)="COMPLETE",1,0)</f>
        <v/>
      </c>
      <c r="AK694" s="67">
        <f>IF(AND(AI694=1,AJ694=0,AsOfUTC&gt;Q694),1,0)</f>
        <v/>
      </c>
      <c r="AL694" s="67">
        <f>IF(AND(AI694=1,OR(TRIM(U694)="Fail",AB694="Open",AND(ISNUMBER(AF694),AF694&lt;&gt;0,TRIM(U694)&lt;&gt;"Pass after CA"))),1,0)</f>
        <v/>
      </c>
      <c r="AM694" s="67">
        <f>IF(LEFT(AH694,7)="INVALID",1,0)</f>
        <v/>
      </c>
      <c r="AN694" s="67">
        <f>IF(AND(N694="Clarification required",AI694=1,AJ694=0),1,0)</f>
        <v/>
      </c>
      <c r="AO694" s="67">
        <f>IF(AK694=1,SUM(AK$5:AK694),"")</f>
        <v/>
      </c>
      <c r="AP694" s="67">
        <f>IF(AL694=1,SUM(AL$5:AL694),"")</f>
        <v/>
      </c>
      <c r="AQ694" s="67" t="n">
        <v>0</v>
      </c>
      <c r="AR694" s="67" t="n">
        <v>0</v>
      </c>
      <c r="AS694" s="67" t="n">
        <v>0</v>
      </c>
      <c r="AT694" s="67" t="n">
        <v>1</v>
      </c>
    </row>
    <row r="695" ht="40" customHeight="1">
      <c r="A695" s="63" t="inlineStr">
        <is>
          <t>F21-UPL-05</t>
        </is>
      </c>
      <c r="B695" s="63" t="inlineStr">
        <is>
          <t>F21</t>
        </is>
      </c>
      <c r="C695" s="63">
        <f>Flights!$F$25</f>
        <v/>
      </c>
      <c r="D695" s="64">
        <f>Flights!$D$25</f>
        <v/>
      </c>
      <c r="E695" s="63">
        <f>Flights!$G$25&amp;"-"&amp;Flights!$H$25</f>
        <v/>
      </c>
      <c r="F695" s="63">
        <f>Flights!$K$25</f>
        <v/>
      </c>
      <c r="G695" s="63" t="inlineStr">
        <is>
          <t>UPLIFT</t>
        </is>
      </c>
      <c r="H695" s="63" t="inlineStr">
        <is>
          <t>Physical uplift</t>
        </is>
      </c>
      <c r="I695" s="63" t="inlineStr">
        <is>
          <t>F&amp;B Linen</t>
        </is>
      </c>
      <c r="J695" s="63" t="inlineStr">
        <is>
          <t>Towel - on board</t>
        </is>
      </c>
      <c r="K695" s="73" t="inlineStr">
        <is>
          <t>Available (ticked in reference)</t>
        </is>
      </c>
      <c r="L695" s="73" t="inlineStr">
        <is>
          <t>STD UPLIFT INFORMATION.xlsx &gt; F&amp;B LINEN!D68</t>
        </is>
      </c>
      <c r="M695" s="73" t="inlineStr">
        <is>
          <t>Not stated in reference</t>
        </is>
      </c>
      <c r="N695" s="73" t="inlineStr">
        <is>
          <t>Required</t>
        </is>
      </c>
      <c r="O695" s="73" t="inlineStr"/>
      <c r="P695" s="63" t="inlineStr">
        <is>
          <t>LGK</t>
        </is>
      </c>
      <c r="Q695" s="65">
        <f>Flights!$AF$25</f>
        <v/>
      </c>
      <c r="R695" s="65">
        <f>Q695+(IF(AND(INDEX(TZ_DSTS,MATCH(P695,TZ_STN,0))&lt;&gt;"",Q695&gt;=INDEX(TZ_DSTS,MATCH(P695,TZ_STN,0)),Q695&lt;INDEX(TZ_DSTE,MATCH(P695,TZ_STN,0))),INDEX(TZ_DST,MATCH(P695,TZ_STN,0)),INDEX(TZ_STD,MATCH(P695,TZ_STN,0))))/24</f>
        <v/>
      </c>
      <c r="S695" s="65">
        <f>Q695-UpliftWindowH/24</f>
        <v/>
      </c>
      <c r="T695" s="66" t="n"/>
      <c r="U695" s="66" t="n"/>
      <c r="V695" s="66" t="n"/>
      <c r="W695" s="67" t="n"/>
      <c r="X695" s="66" t="n"/>
      <c r="Y695" s="66" t="n"/>
      <c r="Z695" s="66" t="n"/>
      <c r="AA695" s="66" t="n"/>
      <c r="AB695" s="66" t="n"/>
      <c r="AC695" s="66" t="n"/>
      <c r="AD695" s="72" t="n"/>
      <c r="AE695" s="66" t="n"/>
      <c r="AF695" s="67">
        <f>IF(AND(ISNUMBER(X695),ISNUMBER(Y695)),Y695-X695,"")</f>
        <v/>
      </c>
      <c r="AG695" s="68">
        <f>IF(ISNUMBER(AD695),AD695-(IF(AND(INDEX(TZ_DSTS,MATCH(P695,TZ_STN,0))&lt;&gt;"",(AD695-INDEX(TZ_STD,MATCH(P695,TZ_STN,0))/24)&gt;=INDEX(TZ_DSTS,MATCH(P695,TZ_STN,0)),(AD695-INDEX(TZ_STD,MATCH(P695,TZ_STN,0))/24)&lt;INDEX(TZ_DSTE,MATCH(P695,TZ_STN,0))),INDEX(TZ_DST,MATCH(P695,TZ_STN,0)),INDEX(TZ_STD,MATCH(P695,TZ_STN,0))))/24,"")</f>
        <v/>
      </c>
      <c r="AH695" s="71">
        <f>IF(N695="N/A – rule","N/A – RULE",IF(TRIM(U695)="N/A",IF(AT695=0,"INVALID – N/A not permitted for this mandatory check",IF(AND(TRIM(AC695)&lt;&gt;"",TRIM(AE695)&lt;&gt;"",TRIM(T695)&lt;&gt;""),"N/A – JUSTIFIED","INVALID – N/A needs justification, PIC and verifier")),IF(OR(TRIM(U695)="Pass",TRIM(U695)="Pass after CA"),IF(NOT(ISNUMBER(AD695)),"INVALID – completion time missing",IF(TRIM(T695)="","INVALID – PIC missing",IF(TRIM(Z695)="","INVALID – evidence missing",IF(TRIM(AE695)="","INVALID – verifier missing",IF(AND(AQ695=1,TRIM(W695)=""),"INVALID – batch ID missing",IF(AND(AR695=1,OR(NOT(ISNUMBER(X695)),NOT(ISNUMBER(Y695)))),"INVALID – expected/actual qty missing",IF(IF(AND(TRIM(U695)="Pass",ISNUMBER(AF695)),IF(AF695&lt;&gt;0,"INVALID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recorded/closed","")&lt;&gt;"",IF(AND(TRIM(U695)="Pass",ISNUMBER(AF695)),IF(AF695&lt;&gt;0,"INVALID – qty variance: use Fail or Pass after CA",""),"")&amp;IF(AND(TRIM(U695)="Pass",AB695="Open"),"INVALID – corrective action still open: use Fail, then Pass after CA","")&amp;IF(AND(TRIM(U695)="Pass after CA",OR(TRIM(AA695)="",AB695&lt;&gt;"Closed")),"INVALID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window"),IF(AG695&gt;Flights!$AA$25,"INVALID – completed after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f>
        <v/>
      </c>
      <c r="AI695" s="67">
        <f>IF(OR(AH695="N/A – RULE",AH695="N/A – JUSTIFIED"),0,1)</f>
        <v/>
      </c>
      <c r="AJ695" s="67">
        <f>IF(LEFT(AH695,8)="COMPLETE",1,0)</f>
        <v/>
      </c>
      <c r="AK695" s="67">
        <f>IF(AND(AI695=1,AJ695=0,AsOfUTC&gt;Q695),1,0)</f>
        <v/>
      </c>
      <c r="AL695" s="67">
        <f>IF(AND(AI695=1,OR(TRIM(U695)="Fail",AB695="Open",AND(ISNUMBER(AF695),AF695&lt;&gt;0,TRIM(U695)&lt;&gt;"Pass after CA"))),1,0)</f>
        <v/>
      </c>
      <c r="AM695" s="67">
        <f>IF(LEFT(AH695,7)="INVALID",1,0)</f>
        <v/>
      </c>
      <c r="AN695" s="67">
        <f>IF(AND(N695="Clarification required",AI695=1,AJ695=0),1,0)</f>
        <v/>
      </c>
      <c r="AO695" s="67">
        <f>IF(AK695=1,SUM(AK$5:AK695),"")</f>
        <v/>
      </c>
      <c r="AP695" s="67">
        <f>IF(AL695=1,SUM(AL$5:AL695),"")</f>
        <v/>
      </c>
      <c r="AQ695" s="67" t="n">
        <v>0</v>
      </c>
      <c r="AR695" s="67" t="n">
        <v>0</v>
      </c>
      <c r="AS695" s="67" t="n">
        <v>0</v>
      </c>
      <c r="AT695" s="67" t="n">
        <v>1</v>
      </c>
    </row>
    <row r="696" ht="40" customHeight="1">
      <c r="A696" s="63" t="inlineStr">
        <is>
          <t>F21-UPL-06</t>
        </is>
      </c>
      <c r="B696" s="63" t="inlineStr">
        <is>
          <t>F21</t>
        </is>
      </c>
      <c r="C696" s="63">
        <f>Flights!$F$25</f>
        <v/>
      </c>
      <c r="D696" s="64">
        <f>Flights!$D$25</f>
        <v/>
      </c>
      <c r="E696" s="63">
        <f>Flights!$G$25&amp;"-"&amp;Flights!$H$25</f>
        <v/>
      </c>
      <c r="F696" s="63">
        <f>Flights!$K$25</f>
        <v/>
      </c>
      <c r="G696" s="63" t="inlineStr">
        <is>
          <t>UPLIFT</t>
        </is>
      </c>
      <c r="H696" s="63" t="inlineStr">
        <is>
          <t>Physical uplift</t>
        </is>
      </c>
      <c r="I696" s="63" t="inlineStr">
        <is>
          <t>F&amp;B Linen</t>
        </is>
      </c>
      <c r="J696" s="63" t="inlineStr">
        <is>
          <t>Tray cloth - on board</t>
        </is>
      </c>
      <c r="K696" s="73" t="inlineStr">
        <is>
          <t>Available (ticked in reference)</t>
        </is>
      </c>
      <c r="L696" s="73" t="inlineStr">
        <is>
          <t>STD UPLIFT INFORMATION.xlsx &gt; F&amp;B LINEN!E68</t>
        </is>
      </c>
      <c r="M696" s="73" t="inlineStr">
        <is>
          <t>Not stated in reference</t>
        </is>
      </c>
      <c r="N696" s="73" t="inlineStr">
        <is>
          <t>Required</t>
        </is>
      </c>
      <c r="O696" s="73" t="inlineStr"/>
      <c r="P696" s="63" t="inlineStr">
        <is>
          <t>LGK</t>
        </is>
      </c>
      <c r="Q696" s="65">
        <f>Flights!$AF$25</f>
        <v/>
      </c>
      <c r="R696" s="65">
        <f>Q696+(IF(AND(INDEX(TZ_DSTS,MATCH(P696,TZ_STN,0))&lt;&gt;"",Q696&gt;=INDEX(TZ_DSTS,MATCH(P696,TZ_STN,0)),Q696&lt;INDEX(TZ_DSTE,MATCH(P696,TZ_STN,0))),INDEX(TZ_DST,MATCH(P696,TZ_STN,0)),INDEX(TZ_STD,MATCH(P696,TZ_STN,0))))/24</f>
        <v/>
      </c>
      <c r="S696" s="65">
        <f>Q696-UpliftWindowH/24</f>
        <v/>
      </c>
      <c r="T696" s="66" t="n"/>
      <c r="U696" s="66" t="n"/>
      <c r="V696" s="66" t="n"/>
      <c r="W696" s="67" t="n"/>
      <c r="X696" s="66" t="n"/>
      <c r="Y696" s="66" t="n"/>
      <c r="Z696" s="66" t="n"/>
      <c r="AA696" s="66" t="n"/>
      <c r="AB696" s="66" t="n"/>
      <c r="AC696" s="66" t="n"/>
      <c r="AD696" s="72" t="n"/>
      <c r="AE696" s="66" t="n"/>
      <c r="AF696" s="67">
        <f>IF(AND(ISNUMBER(X696),ISNUMBER(Y696)),Y696-X696,"")</f>
        <v/>
      </c>
      <c r="AG696" s="68">
        <f>IF(ISNUMBER(AD696),AD696-(IF(AND(INDEX(TZ_DSTS,MATCH(P696,TZ_STN,0))&lt;&gt;"",(AD696-INDEX(TZ_STD,MATCH(P696,TZ_STN,0))/24)&gt;=INDEX(TZ_DSTS,MATCH(P696,TZ_STN,0)),(AD696-INDEX(TZ_STD,MATCH(P696,TZ_STN,0))/24)&lt;INDEX(TZ_DSTE,MATCH(P696,TZ_STN,0))),INDEX(TZ_DST,MATCH(P696,TZ_STN,0)),INDEX(TZ_STD,MATCH(P696,TZ_STN,0))))/24,"")</f>
        <v/>
      </c>
      <c r="AH696" s="71">
        <f>IF(N696="N/A – rule","N/A – RULE",IF(TRIM(U696)="N/A",IF(AT696=0,"INVALID – N/A not permitted for this mandatory check",IF(AND(TRIM(AC696)&lt;&gt;"",TRIM(AE696)&lt;&gt;"",TRIM(T696)&lt;&gt;""),"N/A – JUSTIFIED","INVALID – N/A needs justification, PIC and verifier")),IF(OR(TRIM(U696)="Pass",TRIM(U696)="Pass after CA"),IF(NOT(ISNUMBER(AD696)),"INVALID – completion time missing",IF(TRIM(T696)="","INVALID – PIC missing",IF(TRIM(Z696)="","INVALID – evidence missing",IF(TRIM(AE696)="","INVALID – verifier missing",IF(AND(AQ696=1,TRIM(W696)=""),"INVALID – batch ID missing",IF(AND(AR696=1,OR(NOT(ISNUMBER(X696)),NOT(ISNUMBER(Y696)))),"INVALID – expected/actual qty missing",IF(IF(AND(TRIM(U696)="Pass",ISNUMBER(AF696)),IF(AF696&lt;&gt;0,"INVALID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recorded/closed","")&lt;&gt;"",IF(AND(TRIM(U696)="Pass",ISNUMBER(AF696)),IF(AF696&lt;&gt;0,"INVALID – qty variance: use Fail or Pass after CA",""),"")&amp;IF(AND(TRIM(U696)="Pass",AB696="Open"),"INVALID – corrective action still open: use Fail, then Pass after CA","")&amp;IF(AND(TRIM(U696)="Pass after CA",OR(TRIM(AA696)="",AB696&lt;&gt;"Closed")),"INVALID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window"),IF(AG696&gt;Flights!$AA$25,"INVALID – completed after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f>
        <v/>
      </c>
      <c r="AI696" s="67">
        <f>IF(OR(AH696="N/A – RULE",AH696="N/A – JUSTIFIED"),0,1)</f>
        <v/>
      </c>
      <c r="AJ696" s="67">
        <f>IF(LEFT(AH696,8)="COMPLETE",1,0)</f>
        <v/>
      </c>
      <c r="AK696" s="67">
        <f>IF(AND(AI696=1,AJ696=0,AsOfUTC&gt;Q696),1,0)</f>
        <v/>
      </c>
      <c r="AL696" s="67">
        <f>IF(AND(AI696=1,OR(TRIM(U696)="Fail",AB696="Open",AND(ISNUMBER(AF696),AF696&lt;&gt;0,TRIM(U696)&lt;&gt;"Pass after CA"))),1,0)</f>
        <v/>
      </c>
      <c r="AM696" s="67">
        <f>IF(LEFT(AH696,7)="INVALID",1,0)</f>
        <v/>
      </c>
      <c r="AN696" s="67">
        <f>IF(AND(N696="Clarification required",AI696=1,AJ696=0),1,0)</f>
        <v/>
      </c>
      <c r="AO696" s="67">
        <f>IF(AK696=1,SUM(AK$5:AK696),"")</f>
        <v/>
      </c>
      <c r="AP696" s="67">
        <f>IF(AL696=1,SUM(AL$5:AL696),"")</f>
        <v/>
      </c>
      <c r="AQ696" s="67" t="n">
        <v>0</v>
      </c>
      <c r="AR696" s="67" t="n">
        <v>0</v>
      </c>
      <c r="AS696" s="67" t="n">
        <v>0</v>
      </c>
      <c r="AT696" s="67" t="n">
        <v>1</v>
      </c>
    </row>
    <row r="697" ht="40" customHeight="1">
      <c r="A697" s="63" t="inlineStr">
        <is>
          <t>F21-UPL-07</t>
        </is>
      </c>
      <c r="B697" s="63" t="inlineStr">
        <is>
          <t>F21</t>
        </is>
      </c>
      <c r="C697" s="63">
        <f>Flights!$F$25</f>
        <v/>
      </c>
      <c r="D697" s="64">
        <f>Flights!$D$25</f>
        <v/>
      </c>
      <c r="E697" s="63">
        <f>Flights!$G$25&amp;"-"&amp;Flights!$H$25</f>
        <v/>
      </c>
      <c r="F697" s="63">
        <f>Flights!$K$25</f>
        <v/>
      </c>
      <c r="G697" s="63" t="inlineStr">
        <is>
          <t>UPLIFT</t>
        </is>
      </c>
      <c r="H697" s="63" t="inlineStr">
        <is>
          <t>Physical uplift</t>
        </is>
      </c>
      <c r="I697" s="63" t="inlineStr">
        <is>
          <t>F&amp;B Linen</t>
        </is>
      </c>
      <c r="J697" s="63" t="inlineStr">
        <is>
          <t>Napkin - on board</t>
        </is>
      </c>
      <c r="K697" s="73" t="inlineStr">
        <is>
          <t>Available (ticked in reference)</t>
        </is>
      </c>
      <c r="L697" s="73" t="inlineStr">
        <is>
          <t>STD UPLIFT INFORMATION.xlsx &gt; F&amp;B LINEN!F68</t>
        </is>
      </c>
      <c r="M697" s="73" t="inlineStr">
        <is>
          <t>Not stated in reference</t>
        </is>
      </c>
      <c r="N697" s="73" t="inlineStr">
        <is>
          <t>Required</t>
        </is>
      </c>
      <c r="O697" s="73" t="inlineStr"/>
      <c r="P697" s="63" t="inlineStr">
        <is>
          <t>LGK</t>
        </is>
      </c>
      <c r="Q697" s="65">
        <f>Flights!$AF$25</f>
        <v/>
      </c>
      <c r="R697" s="65">
        <f>Q697+(IF(AND(INDEX(TZ_DSTS,MATCH(P697,TZ_STN,0))&lt;&gt;"",Q697&gt;=INDEX(TZ_DSTS,MATCH(P697,TZ_STN,0)),Q697&lt;INDEX(TZ_DSTE,MATCH(P697,TZ_STN,0))),INDEX(TZ_DST,MATCH(P697,TZ_STN,0)),INDEX(TZ_STD,MATCH(P697,TZ_STN,0))))/24</f>
        <v/>
      </c>
      <c r="S697" s="65">
        <f>Q697-UpliftWindowH/24</f>
        <v/>
      </c>
      <c r="T697" s="66" t="n"/>
      <c r="U697" s="66" t="n"/>
      <c r="V697" s="66" t="n"/>
      <c r="W697" s="67" t="n"/>
      <c r="X697" s="66" t="n"/>
      <c r="Y697" s="66" t="n"/>
      <c r="Z697" s="66" t="n"/>
      <c r="AA697" s="66" t="n"/>
      <c r="AB697" s="66" t="n"/>
      <c r="AC697" s="66" t="n"/>
      <c r="AD697" s="72" t="n"/>
      <c r="AE697" s="66" t="n"/>
      <c r="AF697" s="67">
        <f>IF(AND(ISNUMBER(X697),ISNUMBER(Y697)),Y697-X697,"")</f>
        <v/>
      </c>
      <c r="AG697" s="68">
        <f>IF(ISNUMBER(AD697),AD697-(IF(AND(INDEX(TZ_DSTS,MATCH(P697,TZ_STN,0))&lt;&gt;"",(AD697-INDEX(TZ_STD,MATCH(P697,TZ_STN,0))/24)&gt;=INDEX(TZ_DSTS,MATCH(P697,TZ_STN,0)),(AD697-INDEX(TZ_STD,MATCH(P697,TZ_STN,0))/24)&lt;INDEX(TZ_DSTE,MATCH(P697,TZ_STN,0))),INDEX(TZ_DST,MATCH(P697,TZ_STN,0)),INDEX(TZ_STD,MATCH(P697,TZ_STN,0))))/24,"")</f>
        <v/>
      </c>
      <c r="AH697" s="71">
        <f>IF(N697="N/A – rule","N/A – RULE",IF(TRIM(U697)="N/A",IF(AT697=0,"INVALID – N/A not permitted for this mandatory check",IF(AND(TRIM(AC697)&lt;&gt;"",TRIM(AE697)&lt;&gt;"",TRIM(T697)&lt;&gt;""),"N/A – JUSTIFIED","INVALID – N/A needs justification, PIC and verifier")),IF(OR(TRIM(U697)="Pass",TRIM(U697)="Pass after CA"),IF(NOT(ISNUMBER(AD697)),"INVALID – completion time missing",IF(TRIM(T697)="","INVALID – PIC missing",IF(TRIM(Z697)="","INVALID – evidence missing",IF(TRIM(AE697)="","INVALID – verifier missing",IF(AND(AQ697=1,TRIM(W697)=""),"INVALID – batch ID missing",IF(AND(AR697=1,OR(NOT(ISNUMBER(X697)),NOT(ISNUMBER(Y697)))),"INVALID – expected/actual qty missing",IF(IF(AND(TRIM(U697)="Pass",ISNUMBER(AF697)),IF(AF697&lt;&gt;0,"INVALID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recorded/closed","")&lt;&gt;"",IF(AND(TRIM(U697)="Pass",ISNUMBER(AF697)),IF(AF697&lt;&gt;0,"INVALID – qty variance: use Fail or Pass after CA",""),"")&amp;IF(AND(TRIM(U697)="Pass",AB697="Open"),"INVALID – corrective action still open: use Fail, then Pass after CA","")&amp;IF(AND(TRIM(U697)="Pass after CA",OR(TRIM(AA697)="",AB697&lt;&gt;"Closed")),"INVALID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window"),IF(AG697&gt;Flights!$AA$25,"INVALID – completed after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f>
        <v/>
      </c>
      <c r="AI697" s="67">
        <f>IF(OR(AH697="N/A – RULE",AH697="N/A – JUSTIFIED"),0,1)</f>
        <v/>
      </c>
      <c r="AJ697" s="67">
        <f>IF(LEFT(AH697,8)="COMPLETE",1,0)</f>
        <v/>
      </c>
      <c r="AK697" s="67">
        <f>IF(AND(AI697=1,AJ697=0,AsOfUTC&gt;Q697),1,0)</f>
        <v/>
      </c>
      <c r="AL697" s="67">
        <f>IF(AND(AI697=1,OR(TRIM(U697)="Fail",AB697="Open",AND(ISNUMBER(AF697),AF697&lt;&gt;0,TRIM(U697)&lt;&gt;"Pass after CA"))),1,0)</f>
        <v/>
      </c>
      <c r="AM697" s="67">
        <f>IF(LEFT(AH697,7)="INVALID",1,0)</f>
        <v/>
      </c>
      <c r="AN697" s="67">
        <f>IF(AND(N697="Clarification required",AI697=1,AJ697=0),1,0)</f>
        <v/>
      </c>
      <c r="AO697" s="67">
        <f>IF(AK697=1,SUM(AK$5:AK697),"")</f>
        <v/>
      </c>
      <c r="AP697" s="67">
        <f>IF(AL697=1,SUM(AL$5:AL697),"")</f>
        <v/>
      </c>
      <c r="AQ697" s="67" t="n">
        <v>0</v>
      </c>
      <c r="AR697" s="67" t="n">
        <v>0</v>
      </c>
      <c r="AS697" s="67" t="n">
        <v>0</v>
      </c>
      <c r="AT697" s="67" t="n">
        <v>1</v>
      </c>
    </row>
    <row r="698" ht="40" customHeight="1">
      <c r="A698" s="63" t="inlineStr">
        <is>
          <t>F21-UPL-08</t>
        </is>
      </c>
      <c r="B698" s="63" t="inlineStr">
        <is>
          <t>F21</t>
        </is>
      </c>
      <c r="C698" s="63">
        <f>Flights!$F$25</f>
        <v/>
      </c>
      <c r="D698" s="64">
        <f>Flights!$D$25</f>
        <v/>
      </c>
      <c r="E698" s="63">
        <f>Flights!$G$25&amp;"-"&amp;Flights!$H$25</f>
        <v/>
      </c>
      <c r="F698" s="63">
        <f>Flights!$K$25</f>
        <v/>
      </c>
      <c r="G698" s="63" t="inlineStr">
        <is>
          <t>UPLIFT</t>
        </is>
      </c>
      <c r="H698" s="63" t="inlineStr">
        <is>
          <t>Physical uplift</t>
        </is>
      </c>
      <c r="I698" s="63" t="inlineStr">
        <is>
          <t>F&amp;B Linen</t>
        </is>
      </c>
      <c r="J698" s="63" t="inlineStr">
        <is>
          <t>Trolley cloth - on board</t>
        </is>
      </c>
      <c r="K698" s="73" t="inlineStr">
        <is>
          <t>Narrow body: Top only</t>
        </is>
      </c>
      <c r="L698" s="73" t="inlineStr">
        <is>
          <t>STD UPLIFT INFORMATION.xlsx &gt; F&amp;B LINEN!I68</t>
        </is>
      </c>
      <c r="M698" s="73" t="inlineStr">
        <is>
          <t>Not stated in reference</t>
        </is>
      </c>
      <c r="N698" s="73" t="inlineStr">
        <is>
          <t>Required</t>
        </is>
      </c>
      <c r="O698" s="73" t="inlineStr">
        <is>
          <t>Per note F&amp;B LINEN!B79:C80.</t>
        </is>
      </c>
      <c r="P698" s="63" t="inlineStr">
        <is>
          <t>LGK</t>
        </is>
      </c>
      <c r="Q698" s="65">
        <f>Flights!$AF$25</f>
        <v/>
      </c>
      <c r="R698" s="65">
        <f>Q698+(IF(AND(INDEX(TZ_DSTS,MATCH(P698,TZ_STN,0))&lt;&gt;"",Q698&gt;=INDEX(TZ_DSTS,MATCH(P698,TZ_STN,0)),Q698&lt;INDEX(TZ_DSTE,MATCH(P698,TZ_STN,0))),INDEX(TZ_DST,MATCH(P698,TZ_STN,0)),INDEX(TZ_STD,MATCH(P698,TZ_STN,0))))/24</f>
        <v/>
      </c>
      <c r="S698" s="65">
        <f>Q698-UpliftWindowH/24</f>
        <v/>
      </c>
      <c r="T698" s="66" t="n"/>
      <c r="U698" s="66" t="n"/>
      <c r="V698" s="66" t="n"/>
      <c r="W698" s="67" t="n"/>
      <c r="X698" s="66" t="n"/>
      <c r="Y698" s="66" t="n"/>
      <c r="Z698" s="66" t="n"/>
      <c r="AA698" s="66" t="n"/>
      <c r="AB698" s="66" t="n"/>
      <c r="AC698" s="66" t="n"/>
      <c r="AD698" s="72" t="n"/>
      <c r="AE698" s="66" t="n"/>
      <c r="AF698" s="67">
        <f>IF(AND(ISNUMBER(X698),ISNUMBER(Y698)),Y698-X698,"")</f>
        <v/>
      </c>
      <c r="AG698" s="68">
        <f>IF(ISNUMBER(AD698),AD698-(IF(AND(INDEX(TZ_DSTS,MATCH(P698,TZ_STN,0))&lt;&gt;"",(AD698-INDEX(TZ_STD,MATCH(P698,TZ_STN,0))/24)&gt;=INDEX(TZ_DSTS,MATCH(P698,TZ_STN,0)),(AD698-INDEX(TZ_STD,MATCH(P698,TZ_STN,0))/24)&lt;INDEX(TZ_DSTE,MATCH(P698,TZ_STN,0))),INDEX(TZ_DST,MATCH(P698,TZ_STN,0)),INDEX(TZ_STD,MATCH(P698,TZ_STN,0))))/24,"")</f>
        <v/>
      </c>
      <c r="AH698" s="71">
        <f>IF(N698="N/A – rule","N/A – RULE",IF(TRIM(U698)="N/A",IF(AT698=0,"INVALID – N/A not permitted for this mandatory check",IF(AND(TRIM(AC698)&lt;&gt;"",TRIM(AE698)&lt;&gt;"",TRIM(T698)&lt;&gt;""),"N/A – JUSTIFIED","INVALID – N/A needs justification, PIC and verifier")),IF(OR(TRIM(U698)="Pass",TRIM(U698)="Pass after CA"),IF(NOT(ISNUMBER(AD698)),"INVALID – completion time missing",IF(TRIM(T698)="","INVALID – PIC missing",IF(TRIM(Z698)="","INVALID – evidence missing",IF(TRIM(AE698)="","INVALID – verifier missing",IF(AND(AQ698=1,TRIM(W698)=""),"INVALID – batch ID missing",IF(AND(AR698=1,OR(NOT(ISNUMBER(X698)),NOT(ISNUMBER(Y698)))),"INVALID – expected/actual qty missing",IF(IF(AND(TRIM(U698)="Pass",ISNUMBER(AF698)),IF(AF698&lt;&gt;0,"INVALID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recorded/closed","")&lt;&gt;"",IF(AND(TRIM(U698)="Pass",ISNUMBER(AF698)),IF(AF698&lt;&gt;0,"INVALID – qty variance: use Fail or Pass after CA",""),"")&amp;IF(AND(TRIM(U698)="Pass",AB698="Open"),"INVALID – corrective action still open: use Fail, then Pass after CA","")&amp;IF(AND(TRIM(U698)="Pass after CA",OR(TRIM(AA698)="",AB698&lt;&gt;"Closed")),"INVALID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window"),IF(AG698&gt;Flights!$AA$25,"INVALID – completed after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f>
        <v/>
      </c>
      <c r="AI698" s="67">
        <f>IF(OR(AH698="N/A – RULE",AH698="N/A – JUSTIFIED"),0,1)</f>
        <v/>
      </c>
      <c r="AJ698" s="67">
        <f>IF(LEFT(AH698,8)="COMPLETE",1,0)</f>
        <v/>
      </c>
      <c r="AK698" s="67">
        <f>IF(AND(AI698=1,AJ698=0,AsOfUTC&gt;Q698),1,0)</f>
        <v/>
      </c>
      <c r="AL698" s="67">
        <f>IF(AND(AI698=1,OR(TRIM(U698)="Fail",AB698="Open",AND(ISNUMBER(AF698),AF698&lt;&gt;0,TRIM(U698)&lt;&gt;"Pass after CA"))),1,0)</f>
        <v/>
      </c>
      <c r="AM698" s="67">
        <f>IF(LEFT(AH698,7)="INVALID",1,0)</f>
        <v/>
      </c>
      <c r="AN698" s="67">
        <f>IF(AND(N698="Clarification required",AI698=1,AJ698=0),1,0)</f>
        <v/>
      </c>
      <c r="AO698" s="67">
        <f>IF(AK698=1,SUM(AK$5:AK698),"")</f>
        <v/>
      </c>
      <c r="AP698" s="67">
        <f>IF(AL698=1,SUM(AL$5:AL698),"")</f>
        <v/>
      </c>
      <c r="AQ698" s="67" t="n">
        <v>0</v>
      </c>
      <c r="AR698" s="67" t="n">
        <v>0</v>
      </c>
      <c r="AS698" s="67" t="n">
        <v>0</v>
      </c>
      <c r="AT698" s="67" t="n">
        <v>1</v>
      </c>
    </row>
    <row r="699" ht="40" customHeight="1">
      <c r="A699" s="63" t="inlineStr">
        <is>
          <t>F21-UPL-09</t>
        </is>
      </c>
      <c r="B699" s="63" t="inlineStr">
        <is>
          <t>F21</t>
        </is>
      </c>
      <c r="C699" s="63">
        <f>Flights!$F$25</f>
        <v/>
      </c>
      <c r="D699" s="64">
        <f>Flights!$D$25</f>
        <v/>
      </c>
      <c r="E699" s="63">
        <f>Flights!$G$25&amp;"-"&amp;Flights!$H$25</f>
        <v/>
      </c>
      <c r="F699" s="63">
        <f>Flights!$K$25</f>
        <v/>
      </c>
      <c r="G699" s="63" t="inlineStr">
        <is>
          <t>UPLIFT</t>
        </is>
      </c>
      <c r="H699" s="63" t="inlineStr">
        <is>
          <t>Physical uplift</t>
        </is>
      </c>
      <c r="I699" s="63" t="inlineStr">
        <is>
          <t>F&amp;B Linen</t>
        </is>
      </c>
      <c r="J699" s="63" t="inlineStr">
        <is>
          <t>Linen bag - on board</t>
        </is>
      </c>
      <c r="K699" s="73" t="inlineStr">
        <is>
          <t>Available (ticked in reference)</t>
        </is>
      </c>
      <c r="L699" s="73" t="inlineStr">
        <is>
          <t>STD UPLIFT INFORMATION.xlsx &gt; F&amp;B LINEN!J68</t>
        </is>
      </c>
      <c r="M699" s="73" t="inlineStr">
        <is>
          <t>Not stated in reference</t>
        </is>
      </c>
      <c r="N699" s="73" t="inlineStr">
        <is>
          <t>Required</t>
        </is>
      </c>
      <c r="O699" s="73" t="inlineStr"/>
      <c r="P699" s="63" t="inlineStr">
        <is>
          <t>LGK</t>
        </is>
      </c>
      <c r="Q699" s="65">
        <f>Flights!$AF$25</f>
        <v/>
      </c>
      <c r="R699" s="65">
        <f>Q699+(IF(AND(INDEX(TZ_DSTS,MATCH(P699,TZ_STN,0))&lt;&gt;"",Q699&gt;=INDEX(TZ_DSTS,MATCH(P699,TZ_STN,0)),Q699&lt;INDEX(TZ_DSTE,MATCH(P699,TZ_STN,0))),INDEX(TZ_DST,MATCH(P699,TZ_STN,0)),INDEX(TZ_STD,MATCH(P699,TZ_STN,0))))/24</f>
        <v/>
      </c>
      <c r="S699" s="65">
        <f>Q699-UpliftWindowH/24</f>
        <v/>
      </c>
      <c r="T699" s="66" t="n"/>
      <c r="U699" s="66" t="n"/>
      <c r="V699" s="66" t="n"/>
      <c r="W699" s="67" t="n"/>
      <c r="X699" s="66" t="n"/>
      <c r="Y699" s="66" t="n"/>
      <c r="Z699" s="66" t="n"/>
      <c r="AA699" s="66" t="n"/>
      <c r="AB699" s="66" t="n"/>
      <c r="AC699" s="66" t="n"/>
      <c r="AD699" s="72" t="n"/>
      <c r="AE699" s="66" t="n"/>
      <c r="AF699" s="67">
        <f>IF(AND(ISNUMBER(X699),ISNUMBER(Y699)),Y699-X699,"")</f>
        <v/>
      </c>
      <c r="AG699" s="68">
        <f>IF(ISNUMBER(AD699),AD699-(IF(AND(INDEX(TZ_DSTS,MATCH(P699,TZ_STN,0))&lt;&gt;"",(AD699-INDEX(TZ_STD,MATCH(P699,TZ_STN,0))/24)&gt;=INDEX(TZ_DSTS,MATCH(P699,TZ_STN,0)),(AD699-INDEX(TZ_STD,MATCH(P699,TZ_STN,0))/24)&lt;INDEX(TZ_DSTE,MATCH(P699,TZ_STN,0))),INDEX(TZ_DST,MATCH(P699,TZ_STN,0)),INDEX(TZ_STD,MATCH(P699,TZ_STN,0))))/24,"")</f>
        <v/>
      </c>
      <c r="AH699" s="71">
        <f>IF(N699="N/A – rule","N/A – RULE",IF(TRIM(U699)="N/A",IF(AT699=0,"INVALID – N/A not permitted for this mandatory check",IF(AND(TRIM(AC699)&lt;&gt;"",TRIM(AE699)&lt;&gt;"",TRIM(T699)&lt;&gt;""),"N/A – JUSTIFIED","INVALID – N/A needs justification, PIC and verifier")),IF(OR(TRIM(U699)="Pass",TRIM(U699)="Pass after CA"),IF(NOT(ISNUMBER(AD699)),"INVALID – completion time missing",IF(TRIM(T699)="","INVALID – PIC missing",IF(TRIM(Z699)="","INVALID – evidence missing",IF(TRIM(AE699)="","INVALID – verifier missing",IF(AND(AQ699=1,TRIM(W699)=""),"INVALID – batch ID missing",IF(AND(AR699=1,OR(NOT(ISNUMBER(X699)),NOT(ISNUMBER(Y699)))),"INVALID – expected/actual qty missing",IF(IF(AND(TRIM(U699)="Pass",ISNUMBER(AF699)),IF(AF699&lt;&gt;0,"INVALID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recorded/closed","")&lt;&gt;"",IF(AND(TRIM(U699)="Pass",ISNUMBER(AF699)),IF(AF699&lt;&gt;0,"INVALID – qty variance: use Fail or Pass after CA",""),"")&amp;IF(AND(TRIM(U699)="Pass",AB699="Open"),"INVALID – corrective action still open: use Fail, then Pass after CA","")&amp;IF(AND(TRIM(U699)="Pass after CA",OR(TRIM(AA699)="",AB699&lt;&gt;"Closed")),"INVALID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window"),IF(AG699&gt;Flights!$AA$25,"INVALID – completed after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f>
        <v/>
      </c>
      <c r="AI699" s="67">
        <f>IF(OR(AH699="N/A – RULE",AH699="N/A – JUSTIFIED"),0,1)</f>
        <v/>
      </c>
      <c r="AJ699" s="67">
        <f>IF(LEFT(AH699,8)="COMPLETE",1,0)</f>
        <v/>
      </c>
      <c r="AK699" s="67">
        <f>IF(AND(AI699=1,AJ699=0,AsOfUTC&gt;Q699),1,0)</f>
        <v/>
      </c>
      <c r="AL699" s="67">
        <f>IF(AND(AI699=1,OR(TRIM(U699)="Fail",AB699="Open",AND(ISNUMBER(AF699),AF699&lt;&gt;0,TRIM(U699)&lt;&gt;"Pass after CA"))),1,0)</f>
        <v/>
      </c>
      <c r="AM699" s="67">
        <f>IF(LEFT(AH699,7)="INVALID",1,0)</f>
        <v/>
      </c>
      <c r="AN699" s="67">
        <f>IF(AND(N699="Clarification required",AI699=1,AJ699=0),1,0)</f>
        <v/>
      </c>
      <c r="AO699" s="67">
        <f>IF(AK699=1,SUM(AK$5:AK699),"")</f>
        <v/>
      </c>
      <c r="AP699" s="67">
        <f>IF(AL699=1,SUM(AL$5:AL699),"")</f>
        <v/>
      </c>
      <c r="AQ699" s="67" t="n">
        <v>0</v>
      </c>
      <c r="AR699" s="67" t="n">
        <v>0</v>
      </c>
      <c r="AS699" s="67" t="n">
        <v>0</v>
      </c>
      <c r="AT699" s="67" t="n">
        <v>1</v>
      </c>
    </row>
    <row r="700" ht="40" customHeight="1">
      <c r="A700" s="63" t="inlineStr">
        <is>
          <t>F21-UPL-10</t>
        </is>
      </c>
      <c r="B700" s="63" t="inlineStr">
        <is>
          <t>F21</t>
        </is>
      </c>
      <c r="C700" s="63">
        <f>Flights!$F$25</f>
        <v/>
      </c>
      <c r="D700" s="64">
        <f>Flights!$D$25</f>
        <v/>
      </c>
      <c r="E700" s="63">
        <f>Flights!$G$25&amp;"-"&amp;Flights!$H$25</f>
        <v/>
      </c>
      <c r="F700" s="63">
        <f>Flights!$K$25</f>
        <v/>
      </c>
      <c r="G700" s="63" t="inlineStr">
        <is>
          <t>UPLIFT</t>
        </is>
      </c>
      <c r="H700" s="63" t="inlineStr">
        <is>
          <t>Physical uplift</t>
        </is>
      </c>
      <c r="I700" s="63" t="inlineStr">
        <is>
          <t>Seat Linen</t>
        </is>
      </c>
      <c r="J700" s="63" t="inlineStr">
        <is>
          <t>Seat pillow (BS &amp; BC) - on board</t>
        </is>
      </c>
      <c r="K700" s="73" t="inlineStr">
        <is>
          <t>Available 100% (ticked in reference)</t>
        </is>
      </c>
      <c r="L700" s="73" t="inlineStr">
        <is>
          <t>STD UPLIFT INFORMATION.xlsx &gt; SEAT LINEN!E64</t>
        </is>
      </c>
      <c r="M700" s="73" t="inlineStr">
        <is>
          <t>Not stated in reference</t>
        </is>
      </c>
      <c r="N700" s="73" t="inlineStr">
        <is>
          <t>Required</t>
        </is>
      </c>
      <c r="O700" s="73" t="inlineStr"/>
      <c r="P700" s="63" t="inlineStr">
        <is>
          <t>LGK</t>
        </is>
      </c>
      <c r="Q700" s="65">
        <f>Flights!$AF$25</f>
        <v/>
      </c>
      <c r="R700" s="65">
        <f>Q700+(IF(AND(INDEX(TZ_DSTS,MATCH(P700,TZ_STN,0))&lt;&gt;"",Q700&gt;=INDEX(TZ_DSTS,MATCH(P700,TZ_STN,0)),Q700&lt;INDEX(TZ_DSTE,MATCH(P700,TZ_STN,0))),INDEX(TZ_DST,MATCH(P700,TZ_STN,0)),INDEX(TZ_STD,MATCH(P700,TZ_STN,0))))/24</f>
        <v/>
      </c>
      <c r="S700" s="65">
        <f>Q700-UpliftWindowH/24</f>
        <v/>
      </c>
      <c r="T700" s="66" t="n"/>
      <c r="U700" s="66" t="n"/>
      <c r="V700" s="66" t="n"/>
      <c r="W700" s="67" t="n"/>
      <c r="X700" s="66" t="n"/>
      <c r="Y700" s="66" t="n"/>
      <c r="Z700" s="66" t="n"/>
      <c r="AA700" s="66" t="n"/>
      <c r="AB700" s="66" t="n"/>
      <c r="AC700" s="66" t="n"/>
      <c r="AD700" s="72" t="n"/>
      <c r="AE700" s="66" t="n"/>
      <c r="AF700" s="67">
        <f>IF(AND(ISNUMBER(X700),ISNUMBER(Y700)),Y700-X700,"")</f>
        <v/>
      </c>
      <c r="AG700" s="68">
        <f>IF(ISNUMBER(AD700),AD700-(IF(AND(INDEX(TZ_DSTS,MATCH(P700,TZ_STN,0))&lt;&gt;"",(AD700-INDEX(TZ_STD,MATCH(P700,TZ_STN,0))/24)&gt;=INDEX(TZ_DSTS,MATCH(P700,TZ_STN,0)),(AD700-INDEX(TZ_STD,MATCH(P700,TZ_STN,0))/24)&lt;INDEX(TZ_DSTE,MATCH(P700,TZ_STN,0))),INDEX(TZ_DST,MATCH(P700,TZ_STN,0)),INDEX(TZ_STD,MATCH(P700,TZ_STN,0))))/24,"")</f>
        <v/>
      </c>
      <c r="AH700" s="71">
        <f>IF(N700="N/A – rule","N/A – RULE",IF(TRIM(U700)="N/A",IF(AT700=0,"INVALID – N/A not permitted for this mandatory check",IF(AND(TRIM(AC700)&lt;&gt;"",TRIM(AE700)&lt;&gt;"",TRIM(T700)&lt;&gt;""),"N/A – JUSTIFIED","INVALID – N/A needs justification, PIC and verifier")),IF(OR(TRIM(U700)="Pass",TRIM(U700)="Pass after CA"),IF(NOT(ISNUMBER(AD700)),"INVALID – completion time missing",IF(TRIM(T700)="","INVALID – PIC missing",IF(TRIM(Z700)="","INVALID – evidence missing",IF(TRIM(AE700)="","INVALID – verifier missing",IF(AND(AQ700=1,TRIM(W700)=""),"INVALID – batch ID missing",IF(AND(AR700=1,OR(NOT(ISNUMBER(X700)),NOT(ISNUMBER(Y700)))),"INVALID – expected/actual qty missing",IF(IF(AND(TRIM(U700)="Pass",ISNUMBER(AF700)),IF(AF700&lt;&gt;0,"INVALID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recorded/closed","")&lt;&gt;"",IF(AND(TRIM(U700)="Pass",ISNUMBER(AF700)),IF(AF700&lt;&gt;0,"INVALID – qty variance: use Fail or Pass after CA",""),"")&amp;IF(AND(TRIM(U700)="Pass",AB700="Open"),"INVALID – corrective action still open: use Fail, then Pass after CA","")&amp;IF(AND(TRIM(U700)="Pass after CA",OR(TRIM(AA700)="",AB700&lt;&gt;"Closed")),"INVALID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window"),IF(AG700&gt;Flights!$AA$25,"INVALID – completed after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f>
        <v/>
      </c>
      <c r="AI700" s="67">
        <f>IF(OR(AH700="N/A – RULE",AH700="N/A – JUSTIFIED"),0,1)</f>
        <v/>
      </c>
      <c r="AJ700" s="67">
        <f>IF(LEFT(AH700,8)="COMPLETE",1,0)</f>
        <v/>
      </c>
      <c r="AK700" s="67">
        <f>IF(AND(AI700=1,AJ700=0,AsOfUTC&gt;Q700),1,0)</f>
        <v/>
      </c>
      <c r="AL700" s="67">
        <f>IF(AND(AI700=1,OR(TRIM(U700)="Fail",AB700="Open",AND(ISNUMBER(AF700),AF700&lt;&gt;0,TRIM(U700)&lt;&gt;"Pass after CA"))),1,0)</f>
        <v/>
      </c>
      <c r="AM700" s="67">
        <f>IF(LEFT(AH700,7)="INVALID",1,0)</f>
        <v/>
      </c>
      <c r="AN700" s="67">
        <f>IF(AND(N700="Clarification required",AI700=1,AJ700=0),1,0)</f>
        <v/>
      </c>
      <c r="AO700" s="67">
        <f>IF(AK700=1,SUM(AK$5:AK700),"")</f>
        <v/>
      </c>
      <c r="AP700" s="67">
        <f>IF(AL700=1,SUM(AL$5:AL700),"")</f>
        <v/>
      </c>
      <c r="AQ700" s="67" t="n">
        <v>0</v>
      </c>
      <c r="AR700" s="67" t="n">
        <v>0</v>
      </c>
      <c r="AS700" s="67" t="n">
        <v>0</v>
      </c>
      <c r="AT700" s="67" t="n">
        <v>1</v>
      </c>
    </row>
    <row r="701" ht="40" customHeight="1">
      <c r="A701" s="63" t="inlineStr">
        <is>
          <t>F21-UPL-11</t>
        </is>
      </c>
      <c r="B701" s="63" t="inlineStr">
        <is>
          <t>F21</t>
        </is>
      </c>
      <c r="C701" s="63">
        <f>Flights!$F$25</f>
        <v/>
      </c>
      <c r="D701" s="64">
        <f>Flights!$D$25</f>
        <v/>
      </c>
      <c r="E701" s="63">
        <f>Flights!$G$25&amp;"-"&amp;Flights!$H$25</f>
        <v/>
      </c>
      <c r="F701" s="63">
        <f>Flights!$K$25</f>
        <v/>
      </c>
      <c r="G701" s="63" t="inlineStr">
        <is>
          <t>UPLIFT</t>
        </is>
      </c>
      <c r="H701" s="63" t="inlineStr">
        <is>
          <t>Physical uplift</t>
        </is>
      </c>
      <c r="I701" s="63" t="inlineStr">
        <is>
          <t>Seat Linen</t>
        </is>
      </c>
      <c r="J701" s="63" t="inlineStr">
        <is>
          <t>Blanket (BS &amp; BC) - on board</t>
        </is>
      </c>
      <c r="K701" s="73" t="inlineStr">
        <is>
          <t>Available 100% (ticked in reference)</t>
        </is>
      </c>
      <c r="L701" s="73" t="inlineStr">
        <is>
          <t>STD UPLIFT INFORMATION.xlsx &gt; SEAT LINEN!H64</t>
        </is>
      </c>
      <c r="M701" s="73" t="inlineStr">
        <is>
          <t>Not stated in reference</t>
        </is>
      </c>
      <c r="N701" s="73" t="inlineStr">
        <is>
          <t>Required</t>
        </is>
      </c>
      <c r="O701" s="73" t="inlineStr"/>
      <c r="P701" s="63" t="inlineStr">
        <is>
          <t>LGK</t>
        </is>
      </c>
      <c r="Q701" s="65">
        <f>Flights!$AF$25</f>
        <v/>
      </c>
      <c r="R701" s="65">
        <f>Q701+(IF(AND(INDEX(TZ_DSTS,MATCH(P701,TZ_STN,0))&lt;&gt;"",Q701&gt;=INDEX(TZ_DSTS,MATCH(P701,TZ_STN,0)),Q701&lt;INDEX(TZ_DSTE,MATCH(P701,TZ_STN,0))),INDEX(TZ_DST,MATCH(P701,TZ_STN,0)),INDEX(TZ_STD,MATCH(P701,TZ_STN,0))))/24</f>
        <v/>
      </c>
      <c r="S701" s="65">
        <f>Q701-UpliftWindowH/24</f>
        <v/>
      </c>
      <c r="T701" s="66" t="n"/>
      <c r="U701" s="66" t="n"/>
      <c r="V701" s="66" t="n"/>
      <c r="W701" s="67" t="n"/>
      <c r="X701" s="66" t="n"/>
      <c r="Y701" s="66" t="n"/>
      <c r="Z701" s="66" t="n"/>
      <c r="AA701" s="66" t="n"/>
      <c r="AB701" s="66" t="n"/>
      <c r="AC701" s="66" t="n"/>
      <c r="AD701" s="72" t="n"/>
      <c r="AE701" s="66" t="n"/>
      <c r="AF701" s="67">
        <f>IF(AND(ISNUMBER(X701),ISNUMBER(Y701)),Y701-X701,"")</f>
        <v/>
      </c>
      <c r="AG701" s="68">
        <f>IF(ISNUMBER(AD701),AD701-(IF(AND(INDEX(TZ_DSTS,MATCH(P701,TZ_STN,0))&lt;&gt;"",(AD701-INDEX(TZ_STD,MATCH(P701,TZ_STN,0))/24)&gt;=INDEX(TZ_DSTS,MATCH(P701,TZ_STN,0)),(AD701-INDEX(TZ_STD,MATCH(P701,TZ_STN,0))/24)&lt;INDEX(TZ_DSTE,MATCH(P701,TZ_STN,0))),INDEX(TZ_DST,MATCH(P701,TZ_STN,0)),INDEX(TZ_STD,MATCH(P701,TZ_STN,0))))/24,"")</f>
        <v/>
      </c>
      <c r="AH701" s="71">
        <f>IF(N701="N/A – rule","N/A – RULE",IF(TRIM(U701)="N/A",IF(AT701=0,"INVALID – N/A not permitted for this mandatory check",IF(AND(TRIM(AC701)&lt;&gt;"",TRIM(AE701)&lt;&gt;"",TRIM(T701)&lt;&gt;""),"N/A – JUSTIFIED","INVALID – N/A needs justification, PIC and verifier")),IF(OR(TRIM(U701)="Pass",TRIM(U701)="Pass after CA"),IF(NOT(ISNUMBER(AD701)),"INVALID – completion time missing",IF(TRIM(T701)="","INVALID – PIC missing",IF(TRIM(Z701)="","INVALID – evidence missing",IF(TRIM(AE701)="","INVALID – verifier missing",IF(AND(AQ701=1,TRIM(W701)=""),"INVALID – batch ID missing",IF(AND(AR701=1,OR(NOT(ISNUMBER(X701)),NOT(ISNUMBER(Y701)))),"INVALID – expected/actual qty missing",IF(IF(AND(TRIM(U701)="Pass",ISNUMBER(AF701)),IF(AF701&lt;&gt;0,"INVALID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recorded/closed","")&lt;&gt;"",IF(AND(TRIM(U701)="Pass",ISNUMBER(AF701)),IF(AF701&lt;&gt;0,"INVALID – qty variance: use Fail or Pass after CA",""),"")&amp;IF(AND(TRIM(U701)="Pass",AB701="Open"),"INVALID – corrective action still open: use Fail, then Pass after CA","")&amp;IF(AND(TRIM(U701)="Pass after CA",OR(TRIM(AA701)="",AB701&lt;&gt;"Closed")),"INVALID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window"),IF(AG701&gt;Flights!$AA$25,"INVALID – completed after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f>
        <v/>
      </c>
      <c r="AI701" s="67">
        <f>IF(OR(AH701="N/A – RULE",AH701="N/A – JUSTIFIED"),0,1)</f>
        <v/>
      </c>
      <c r="AJ701" s="67">
        <f>IF(LEFT(AH701,8)="COMPLETE",1,0)</f>
        <v/>
      </c>
      <c r="AK701" s="67">
        <f>IF(AND(AI701=1,AJ701=0,AsOfUTC&gt;Q701),1,0)</f>
        <v/>
      </c>
      <c r="AL701" s="67">
        <f>IF(AND(AI701=1,OR(TRIM(U701)="Fail",AB701="Open",AND(ISNUMBER(AF701),AF701&lt;&gt;0,TRIM(U701)&lt;&gt;"Pass after CA"))),1,0)</f>
        <v/>
      </c>
      <c r="AM701" s="67">
        <f>IF(LEFT(AH701,7)="INVALID",1,0)</f>
        <v/>
      </c>
      <c r="AN701" s="67">
        <f>IF(AND(N701="Clarification required",AI701=1,AJ701=0),1,0)</f>
        <v/>
      </c>
      <c r="AO701" s="67">
        <f>IF(AK701=1,SUM(AK$5:AK701),"")</f>
        <v/>
      </c>
      <c r="AP701" s="67">
        <f>IF(AL701=1,SUM(AL$5:AL701),"")</f>
        <v/>
      </c>
      <c r="AQ701" s="67" t="n">
        <v>0</v>
      </c>
      <c r="AR701" s="67" t="n">
        <v>0</v>
      </c>
      <c r="AS701" s="67" t="n">
        <v>0</v>
      </c>
      <c r="AT701" s="67" t="n">
        <v>1</v>
      </c>
    </row>
    <row r="702" ht="40" customHeight="1">
      <c r="A702" s="63" t="inlineStr">
        <is>
          <t>F22-T7-01</t>
        </is>
      </c>
      <c r="B702" s="63" t="inlineStr">
        <is>
          <t>F22</t>
        </is>
      </c>
      <c r="C702" s="63">
        <f>Flights!$F$26</f>
        <v/>
      </c>
      <c r="D702" s="64">
        <f>Flights!$D$26</f>
        <v/>
      </c>
      <c r="E702" s="63">
        <f>Flights!$G$26&amp;"-"&amp;Flights!$H$26</f>
        <v/>
      </c>
      <c r="F702" s="63">
        <f>Flights!$K$26</f>
        <v/>
      </c>
      <c r="G702" s="63" t="inlineStr">
        <is>
          <t>T-7D</t>
        </is>
      </c>
      <c r="H702" s="63" t="inlineStr">
        <is>
          <t>Preparation</t>
        </is>
      </c>
      <c r="I702" s="63" t="inlineStr">
        <is>
          <t>Meal</t>
        </is>
      </c>
      <c r="J702" s="63" t="inlineStr">
        <is>
          <t>Meal sensory testing completed for this flight's menu cycle (assessed class)</t>
        </is>
      </c>
      <c r="K702" s="73" t="inlineStr">
        <is>
          <t>Record panel result / score in Result</t>
        </is>
      </c>
      <c r="L702" s="73" t="inlineStr">
        <is>
          <t>User brief (T-7 days)</t>
        </is>
      </c>
      <c r="M702" s="73" t="inlineStr"/>
      <c r="N702" s="73" t="inlineStr">
        <is>
          <t>Required</t>
        </is>
      </c>
      <c r="O702" s="73" t="inlineStr"/>
      <c r="P702" s="63" t="inlineStr">
        <is>
          <t>KUL</t>
        </is>
      </c>
      <c r="Q702" s="65">
        <f>Flights!$AC$26</f>
        <v/>
      </c>
      <c r="R702" s="65">
        <f>Q702+(IF(AND(INDEX(TZ_DSTS,MATCH(P702,TZ_STN,0))&lt;&gt;"",Q702&gt;=INDEX(TZ_DSTS,MATCH(P702,TZ_STN,0)),Q702&lt;INDEX(TZ_DSTE,MATCH(P702,TZ_STN,0))),INDEX(TZ_DST,MATCH(P702,TZ_STN,0)),INDEX(TZ_STD,MATCH(P702,TZ_STN,0))))/24</f>
        <v/>
      </c>
      <c r="S702" s="65" t="inlineStr"/>
      <c r="T702" s="66" t="n"/>
      <c r="U702" s="66" t="n"/>
      <c r="V702" s="66" t="n"/>
      <c r="W702" s="67" t="n"/>
      <c r="X702" s="66" t="n"/>
      <c r="Y702" s="66" t="n"/>
      <c r="Z702" s="66" t="n"/>
      <c r="AA702" s="66" t="n"/>
      <c r="AB702" s="66" t="n"/>
      <c r="AC702" s="66" t="n"/>
      <c r="AD702" s="72" t="n"/>
      <c r="AE702" s="66" t="n"/>
      <c r="AF702" s="67">
        <f>IF(AND(ISNUMBER(X702),ISNUMBER(Y702)),Y702-X702,"")</f>
        <v/>
      </c>
      <c r="AG702" s="68">
        <f>IF(ISNUMBER(AD702),AD702-(IF(AND(INDEX(TZ_DSTS,MATCH(P702,TZ_STN,0))&lt;&gt;"",(AD702-INDEX(TZ_STD,MATCH(P702,TZ_STN,0))/24)&gt;=INDEX(TZ_DSTS,MATCH(P702,TZ_STN,0)),(AD702-INDEX(TZ_STD,MATCH(P702,TZ_STN,0))/24)&lt;INDEX(TZ_DSTE,MATCH(P702,TZ_STN,0))),INDEX(TZ_DST,MATCH(P702,TZ_STN,0)),INDEX(TZ_STD,MATCH(P702,TZ_STN,0))))/24,"")</f>
        <v/>
      </c>
      <c r="AH702" s="71">
        <f>IF(N702="N/A – rule","N/A – RULE",IF(TRIM(U702)="N/A",IF(AT702=0,"INVALID – N/A not permitted for this mandatory check",IF(AND(TRIM(AC702)&lt;&gt;"",TRIM(AE702)&lt;&gt;"",TRIM(T702)&lt;&gt;""),"N/A – JUSTIFIED","INVALID – N/A needs justification, PIC and verifier")),IF(OR(TRIM(U702)="Pass",TRIM(U702)="Pass after CA"),IF(NOT(ISNUMBER(AD702)),"INVALID – completion time missing",IF(TRIM(T702)="","INVALID – PIC missing",IF(TRIM(Z702)="","INVALID – evidence missing",IF(TRIM(AE702)="","INVALID – verifier missing",IF(AND(AQ702=1,TRIM(W702)=""),"INVALID – batch ID missing",IF(AND(AR702=1,OR(NOT(ISNUMBER(X702)),NOT(ISNUMBER(Y702)))),"INVALID – expected/actual qty missing",IF(IF(AND(TRIM(U702)="Pass",ISNUMBER(AF702)),IF(AF702&lt;&gt;0,"INVALID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recorded/closed","")&lt;&gt;"",IF(AND(TRIM(U702)="Pass",ISNUMBER(AF702)),IF(AF702&lt;&gt;0,"INVALID – qty variance: use Fail or Pass after CA",""),"")&amp;IF(AND(TRIM(U702)="Pass",AB702="Open"),"INVALID – corrective action still open: use Fail, then Pass after CA","")&amp;IF(AND(TRIM(U702)="Pass after CA",OR(TRIM(AA702)="",AB702&lt;&gt;"Closed")),"INVALID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window"),IF(AG702&gt;Flights!$AA$26,"INVALID – completed after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f>
        <v/>
      </c>
      <c r="AI702" s="67">
        <f>IF(OR(AH702="N/A – RULE",AH702="N/A – JUSTIFIED"),0,1)</f>
        <v/>
      </c>
      <c r="AJ702" s="67">
        <f>IF(LEFT(AH702,8)="COMPLETE",1,0)</f>
        <v/>
      </c>
      <c r="AK702" s="67">
        <f>IF(AND(AI702=1,AJ702=0,AsOfUTC&gt;Q702),1,0)</f>
        <v/>
      </c>
      <c r="AL702" s="67">
        <f>IF(AND(AI702=1,OR(TRIM(U702)="Fail",AB702="Open",AND(ISNUMBER(AF702),AF702&lt;&gt;0,TRIM(U702)&lt;&gt;"Pass after CA"))),1,0)</f>
        <v/>
      </c>
      <c r="AM702" s="67">
        <f>IF(LEFT(AH702,7)="INVALID",1,0)</f>
        <v/>
      </c>
      <c r="AN702" s="67">
        <f>IF(AND(N702="Clarification required",AI702=1,AJ702=0),1,0)</f>
        <v/>
      </c>
      <c r="AO702" s="67">
        <f>IF(AK702=1,SUM(AK$5:AK702),"")</f>
        <v/>
      </c>
      <c r="AP702" s="67">
        <f>IF(AL702=1,SUM(AL$5:AL702),"")</f>
        <v/>
      </c>
      <c r="AQ702" s="67" t="n">
        <v>0</v>
      </c>
      <c r="AR702" s="67" t="n">
        <v>0</v>
      </c>
      <c r="AS702" s="67" t="n">
        <v>0</v>
      </c>
      <c r="AT702" s="67" t="n">
        <v>0</v>
      </c>
    </row>
    <row r="703" ht="40" customHeight="1">
      <c r="A703" s="63" t="inlineStr">
        <is>
          <t>F22-T7-02</t>
        </is>
      </c>
      <c r="B703" s="63" t="inlineStr">
        <is>
          <t>F22</t>
        </is>
      </c>
      <c r="C703" s="63">
        <f>Flights!$F$26</f>
        <v/>
      </c>
      <c r="D703" s="64">
        <f>Flights!$D$26</f>
        <v/>
      </c>
      <c r="E703" s="63">
        <f>Flights!$G$26&amp;"-"&amp;Flights!$H$26</f>
        <v/>
      </c>
      <c r="F703" s="63">
        <f>Flights!$K$26</f>
        <v/>
      </c>
      <c r="G703" s="63" t="inlineStr">
        <is>
          <t>T-7D</t>
        </is>
      </c>
      <c r="H703" s="63" t="inlineStr">
        <is>
          <t>Preparation</t>
        </is>
      </c>
      <c r="I703" s="63" t="inlineStr">
        <is>
          <t>Menu</t>
        </is>
      </c>
      <c r="J703" s="63" t="inlineStr">
        <is>
          <t>Printed menu cards confirmed (content, cycle, language, quantity)</t>
        </is>
      </c>
      <c r="K703" s="73" t="inlineStr">
        <is>
          <t>Menu card matches approved menu for this flight</t>
        </is>
      </c>
      <c r="L703" s="73" t="inlineStr">
        <is>
          <t>User brief (T-7 days)</t>
        </is>
      </c>
      <c r="M703" s="73" t="inlineStr"/>
      <c r="N703" s="73" t="inlineStr">
        <is>
          <t>Required</t>
        </is>
      </c>
      <c r="O703" s="73" t="inlineStr"/>
      <c r="P703" s="63" t="inlineStr">
        <is>
          <t>KUL</t>
        </is>
      </c>
      <c r="Q703" s="65">
        <f>Flights!$AC$26</f>
        <v/>
      </c>
      <c r="R703" s="65">
        <f>Q703+(IF(AND(INDEX(TZ_DSTS,MATCH(P703,TZ_STN,0))&lt;&gt;"",Q703&gt;=INDEX(TZ_DSTS,MATCH(P703,TZ_STN,0)),Q703&lt;INDEX(TZ_DSTE,MATCH(P703,TZ_STN,0))),INDEX(TZ_DST,MATCH(P703,TZ_STN,0)),INDEX(TZ_STD,MATCH(P703,TZ_STN,0))))/24</f>
        <v/>
      </c>
      <c r="S703" s="65" t="inlineStr"/>
      <c r="T703" s="66" t="n"/>
      <c r="U703" s="66" t="n"/>
      <c r="V703" s="66" t="n"/>
      <c r="W703" s="67" t="n"/>
      <c r="X703" s="66" t="n"/>
      <c r="Y703" s="66" t="n"/>
      <c r="Z703" s="66" t="n"/>
      <c r="AA703" s="66" t="n"/>
      <c r="AB703" s="66" t="n"/>
      <c r="AC703" s="66" t="n"/>
      <c r="AD703" s="72" t="n"/>
      <c r="AE703" s="66" t="n"/>
      <c r="AF703" s="67">
        <f>IF(AND(ISNUMBER(X703),ISNUMBER(Y703)),Y703-X703,"")</f>
        <v/>
      </c>
      <c r="AG703" s="68">
        <f>IF(ISNUMBER(AD703),AD703-(IF(AND(INDEX(TZ_DSTS,MATCH(P703,TZ_STN,0))&lt;&gt;"",(AD703-INDEX(TZ_STD,MATCH(P703,TZ_STN,0))/24)&gt;=INDEX(TZ_DSTS,MATCH(P703,TZ_STN,0)),(AD703-INDEX(TZ_STD,MATCH(P703,TZ_STN,0))/24)&lt;INDEX(TZ_DSTE,MATCH(P703,TZ_STN,0))),INDEX(TZ_DST,MATCH(P703,TZ_STN,0)),INDEX(TZ_STD,MATCH(P703,TZ_STN,0))))/24,"")</f>
        <v/>
      </c>
      <c r="AH703" s="71">
        <f>IF(N703="N/A – rule","N/A – RULE",IF(TRIM(U703)="N/A",IF(AT703=0,"INVALID – N/A not permitted for this mandatory check",IF(AND(TRIM(AC703)&lt;&gt;"",TRIM(AE703)&lt;&gt;"",TRIM(T703)&lt;&gt;""),"N/A – JUSTIFIED","INVALID – N/A needs justification, PIC and verifier")),IF(OR(TRIM(U703)="Pass",TRIM(U703)="Pass after CA"),IF(NOT(ISNUMBER(AD703)),"INVALID – completion time missing",IF(TRIM(T703)="","INVALID – PIC missing",IF(TRIM(Z703)="","INVALID – evidence missing",IF(TRIM(AE703)="","INVALID – verifier missing",IF(AND(AQ703=1,TRIM(W703)=""),"INVALID – batch ID missing",IF(AND(AR703=1,OR(NOT(ISNUMBER(X703)),NOT(ISNUMBER(Y703)))),"INVALID – expected/actual qty missing",IF(IF(AND(TRIM(U703)="Pass",ISNUMBER(AF703)),IF(AF703&lt;&gt;0,"INVALID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recorded/closed","")&lt;&gt;"",IF(AND(TRIM(U703)="Pass",ISNUMBER(AF703)),IF(AF703&lt;&gt;0,"INVALID – qty variance: use Fail or Pass after CA",""),"")&amp;IF(AND(TRIM(U703)="Pass",AB703="Open"),"INVALID – corrective action still open: use Fail, then Pass after CA","")&amp;IF(AND(TRIM(U703)="Pass after CA",OR(TRIM(AA703)="",AB703&lt;&gt;"Closed")),"INVALID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window"),IF(AG703&gt;Flights!$AA$26,"INVALID – completed after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f>
        <v/>
      </c>
      <c r="AI703" s="67">
        <f>IF(OR(AH703="N/A – RULE",AH703="N/A – JUSTIFIED"),0,1)</f>
        <v/>
      </c>
      <c r="AJ703" s="67">
        <f>IF(LEFT(AH703,8)="COMPLETE",1,0)</f>
        <v/>
      </c>
      <c r="AK703" s="67">
        <f>IF(AND(AI703=1,AJ703=0,AsOfUTC&gt;Q703),1,0)</f>
        <v/>
      </c>
      <c r="AL703" s="67">
        <f>IF(AND(AI703=1,OR(TRIM(U703)="Fail",AB703="Open",AND(ISNUMBER(AF703),AF703&lt;&gt;0,TRIM(U703)&lt;&gt;"Pass after CA"))),1,0)</f>
        <v/>
      </c>
      <c r="AM703" s="67">
        <f>IF(LEFT(AH703,7)="INVALID",1,0)</f>
        <v/>
      </c>
      <c r="AN703" s="67">
        <f>IF(AND(N703="Clarification required",AI703=1,AJ703=0),1,0)</f>
        <v/>
      </c>
      <c r="AO703" s="67">
        <f>IF(AK703=1,SUM(AK$5:AK703),"")</f>
        <v/>
      </c>
      <c r="AP703" s="67">
        <f>IF(AL703=1,SUM(AL$5:AL703),"")</f>
        <v/>
      </c>
      <c r="AQ703" s="67" t="n">
        <v>0</v>
      </c>
      <c r="AR703" s="67" t="n">
        <v>0</v>
      </c>
      <c r="AS703" s="67" t="n">
        <v>0</v>
      </c>
      <c r="AT703" s="67" t="n">
        <v>1</v>
      </c>
    </row>
    <row r="704" ht="41.5" customHeight="1">
      <c r="A704" s="63" t="inlineStr">
        <is>
          <t>F22-T7-03</t>
        </is>
      </c>
      <c r="B704" s="63" t="inlineStr">
        <is>
          <t>F22</t>
        </is>
      </c>
      <c r="C704" s="63">
        <f>Flights!$F$26</f>
        <v/>
      </c>
      <c r="D704" s="64">
        <f>Flights!$D$26</f>
        <v/>
      </c>
      <c r="E704" s="63">
        <f>Flights!$G$26&amp;"-"&amp;Flights!$H$26</f>
        <v/>
      </c>
      <c r="F704" s="63">
        <f>Flights!$K$26</f>
        <v/>
      </c>
      <c r="G704" s="63" t="inlineStr">
        <is>
          <t>T-7D</t>
        </is>
      </c>
      <c r="H704" s="63" t="inlineStr">
        <is>
          <t>Preparation</t>
        </is>
      </c>
      <c r="I704" s="63" t="inlineStr">
        <is>
          <t>IFE</t>
        </is>
      </c>
      <c r="J704" s="63" t="inlineStr">
        <is>
          <t>Digital menu in IFE confirmed (A339 only)</t>
        </is>
      </c>
      <c r="K704" s="73" t="inlineStr">
        <is>
          <t>Applies when fleet = A339</t>
        </is>
      </c>
      <c r="L704" s="73" t="inlineStr">
        <is>
          <t>User brief (T-7 days)</t>
        </is>
      </c>
      <c r="M704" s="73" t="inlineStr"/>
      <c r="N704" s="73">
        <f>IF(TRIM(Flights!$L$26)="A339","Required","N/A – rule")</f>
        <v/>
      </c>
      <c r="O704" s="73" t="inlineStr">
        <is>
          <t>Digital IFE menu applies to A339 only (user brief). Applicability follows the Fleet cell on Flights.</t>
        </is>
      </c>
      <c r="P704" s="63" t="inlineStr">
        <is>
          <t>KUL</t>
        </is>
      </c>
      <c r="Q704" s="65">
        <f>Flights!$AC$26</f>
        <v/>
      </c>
      <c r="R704" s="65">
        <f>Q704+(IF(AND(INDEX(TZ_DSTS,MATCH(P704,TZ_STN,0))&lt;&gt;"",Q704&gt;=INDEX(TZ_DSTS,MATCH(P704,TZ_STN,0)),Q704&lt;INDEX(TZ_DSTE,MATCH(P704,TZ_STN,0))),INDEX(TZ_DST,MATCH(P704,TZ_STN,0)),INDEX(TZ_STD,MATCH(P704,TZ_STN,0))))/24</f>
        <v/>
      </c>
      <c r="S704" s="65" t="inlineStr"/>
      <c r="T704" s="66" t="n"/>
      <c r="U704" s="66" t="n"/>
      <c r="V704" s="66" t="n"/>
      <c r="W704" s="67" t="n"/>
      <c r="X704" s="66" t="n"/>
      <c r="Y704" s="66" t="n"/>
      <c r="Z704" s="66" t="n"/>
      <c r="AA704" s="66" t="n"/>
      <c r="AB704" s="66" t="n"/>
      <c r="AC704" s="66" t="n"/>
      <c r="AD704" s="72" t="n"/>
      <c r="AE704" s="66" t="n"/>
      <c r="AF704" s="67">
        <f>IF(AND(ISNUMBER(X704),ISNUMBER(Y704)),Y704-X704,"")</f>
        <v/>
      </c>
      <c r="AG704" s="68">
        <f>IF(ISNUMBER(AD704),AD704-(IF(AND(INDEX(TZ_DSTS,MATCH(P704,TZ_STN,0))&lt;&gt;"",(AD704-INDEX(TZ_STD,MATCH(P704,TZ_STN,0))/24)&gt;=INDEX(TZ_DSTS,MATCH(P704,TZ_STN,0)),(AD704-INDEX(TZ_STD,MATCH(P704,TZ_STN,0))/24)&lt;INDEX(TZ_DSTE,MATCH(P704,TZ_STN,0))),INDEX(TZ_DST,MATCH(P704,TZ_STN,0)),INDEX(TZ_STD,MATCH(P704,TZ_STN,0))))/24,"")</f>
        <v/>
      </c>
      <c r="AH704" s="71">
        <f>IF(N704="N/A – rule","N/A – RULE",IF(TRIM(U704)="N/A",IF(AT704=0,"INVALID – N/A not permitted for this mandatory check",IF(AND(TRIM(AC704)&lt;&gt;"",TRIM(AE704)&lt;&gt;"",TRIM(T704)&lt;&gt;""),"N/A – JUSTIFIED","INVALID – N/A needs justification, PIC and verifier")),IF(OR(TRIM(U704)="Pass",TRIM(U704)="Pass after CA"),IF(NOT(ISNUMBER(AD704)),"INVALID – completion time missing",IF(TRIM(T704)="","INVALID – PIC missing",IF(TRIM(Z704)="","INVALID – evidence missing",IF(TRIM(AE704)="","INVALID – verifier missing",IF(AND(AQ704=1,TRIM(W704)=""),"INVALID – batch ID missing",IF(AND(AR704=1,OR(NOT(ISNUMBER(X704)),NOT(ISNUMBER(Y704)))),"INVALID – expected/actual qty missing",IF(IF(AND(TRIM(U704)="Pass",ISNUMBER(AF704)),IF(AF704&lt;&gt;0,"INVALID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recorded/closed","")&lt;&gt;"",IF(AND(TRIM(U704)="Pass",ISNUMBER(AF704)),IF(AF704&lt;&gt;0,"INVALID – qty variance: use Fail or Pass after CA",""),"")&amp;IF(AND(TRIM(U704)="Pass",AB704="Open"),"INVALID – corrective action still open: use Fail, then Pass after CA","")&amp;IF(AND(TRIM(U704)="Pass after CA",OR(TRIM(AA704)="",AB704&lt;&gt;"Closed")),"INVALID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window"),IF(AG704&gt;Flights!$AA$26,"INVALID – completed after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f>
        <v/>
      </c>
      <c r="AI704" s="67">
        <f>IF(OR(AH704="N/A – RULE",AH704="N/A – JUSTIFIED"),0,1)</f>
        <v/>
      </c>
      <c r="AJ704" s="67">
        <f>IF(LEFT(AH704,8)="COMPLETE",1,0)</f>
        <v/>
      </c>
      <c r="AK704" s="67">
        <f>IF(AND(AI704=1,AJ704=0,AsOfUTC&gt;Q704),1,0)</f>
        <v/>
      </c>
      <c r="AL704" s="67">
        <f>IF(AND(AI704=1,OR(TRIM(U704)="Fail",AB704="Open",AND(ISNUMBER(AF704),AF704&lt;&gt;0,TRIM(U704)&lt;&gt;"Pass after CA"))),1,0)</f>
        <v/>
      </c>
      <c r="AM704" s="67">
        <f>IF(LEFT(AH704,7)="INVALID",1,0)</f>
        <v/>
      </c>
      <c r="AN704" s="67">
        <f>IF(AND(N704="Clarification required",AI704=1,AJ704=0),1,0)</f>
        <v/>
      </c>
      <c r="AO704" s="67">
        <f>IF(AK704=1,SUM(AK$5:AK704),"")</f>
        <v/>
      </c>
      <c r="AP704" s="67">
        <f>IF(AL704=1,SUM(AL$5:AL704),"")</f>
        <v/>
      </c>
      <c r="AQ704" s="67" t="n">
        <v>0</v>
      </c>
      <c r="AR704" s="67" t="n">
        <v>0</v>
      </c>
      <c r="AS704" s="67" t="n">
        <v>0</v>
      </c>
      <c r="AT704" s="67" t="n">
        <v>0</v>
      </c>
    </row>
    <row r="705" ht="40" customHeight="1">
      <c r="A705" s="63" t="inlineStr">
        <is>
          <t>F22-T7-04</t>
        </is>
      </c>
      <c r="B705" s="63" t="inlineStr">
        <is>
          <t>F22</t>
        </is>
      </c>
      <c r="C705" s="63">
        <f>Flights!$F$26</f>
        <v/>
      </c>
      <c r="D705" s="64">
        <f>Flights!$D$26</f>
        <v/>
      </c>
      <c r="E705" s="63">
        <f>Flights!$G$26&amp;"-"&amp;Flights!$H$26</f>
        <v/>
      </c>
      <c r="F705" s="63">
        <f>Flights!$K$26</f>
        <v/>
      </c>
      <c r="G705" s="63" t="inlineStr">
        <is>
          <t>T-7D</t>
        </is>
      </c>
      <c r="H705" s="63" t="inlineStr">
        <is>
          <t>Preparation</t>
        </is>
      </c>
      <c r="I705" s="63" t="inlineStr">
        <is>
          <t>Staffing</t>
        </is>
      </c>
      <c r="J705" s="63" t="inlineStr">
        <is>
          <t>Experienced catering officer assigned to this flight</t>
        </is>
      </c>
      <c r="K705" s="73" t="inlineStr">
        <is>
          <t>Record officer name in Result</t>
        </is>
      </c>
      <c r="L705" s="73" t="inlineStr">
        <is>
          <t>User brief (T-7 days)</t>
        </is>
      </c>
      <c r="M705" s="73" t="inlineStr"/>
      <c r="N705" s="73" t="inlineStr">
        <is>
          <t>Required</t>
        </is>
      </c>
      <c r="O705" s="73" t="inlineStr"/>
      <c r="P705" s="63" t="inlineStr">
        <is>
          <t>KUL</t>
        </is>
      </c>
      <c r="Q705" s="65">
        <f>Flights!$AC$26</f>
        <v/>
      </c>
      <c r="R705" s="65">
        <f>Q705+(IF(AND(INDEX(TZ_DSTS,MATCH(P705,TZ_STN,0))&lt;&gt;"",Q705&gt;=INDEX(TZ_DSTS,MATCH(P705,TZ_STN,0)),Q705&lt;INDEX(TZ_DSTE,MATCH(P705,TZ_STN,0))),INDEX(TZ_DST,MATCH(P705,TZ_STN,0)),INDEX(TZ_STD,MATCH(P705,TZ_STN,0))))/24</f>
        <v/>
      </c>
      <c r="S705" s="65" t="inlineStr"/>
      <c r="T705" s="66" t="n"/>
      <c r="U705" s="66" t="n"/>
      <c r="V705" s="66" t="n"/>
      <c r="W705" s="67" t="n"/>
      <c r="X705" s="66" t="n"/>
      <c r="Y705" s="66" t="n"/>
      <c r="Z705" s="66" t="n"/>
      <c r="AA705" s="66" t="n"/>
      <c r="AB705" s="66" t="n"/>
      <c r="AC705" s="66" t="n"/>
      <c r="AD705" s="72" t="n"/>
      <c r="AE705" s="66" t="n"/>
      <c r="AF705" s="67">
        <f>IF(AND(ISNUMBER(X705),ISNUMBER(Y705)),Y705-X705,"")</f>
        <v/>
      </c>
      <c r="AG705" s="68">
        <f>IF(ISNUMBER(AD705),AD705-(IF(AND(INDEX(TZ_DSTS,MATCH(P705,TZ_STN,0))&lt;&gt;"",(AD705-INDEX(TZ_STD,MATCH(P705,TZ_STN,0))/24)&gt;=INDEX(TZ_DSTS,MATCH(P705,TZ_STN,0)),(AD705-INDEX(TZ_STD,MATCH(P705,TZ_STN,0))/24)&lt;INDEX(TZ_DSTE,MATCH(P705,TZ_STN,0))),INDEX(TZ_DST,MATCH(P705,TZ_STN,0)),INDEX(TZ_STD,MATCH(P705,TZ_STN,0))))/24,"")</f>
        <v/>
      </c>
      <c r="AH705" s="71">
        <f>IF(N705="N/A – rule","N/A – RULE",IF(TRIM(U705)="N/A",IF(AT705=0,"INVALID – N/A not permitted for this mandatory check",IF(AND(TRIM(AC705)&lt;&gt;"",TRIM(AE705)&lt;&gt;"",TRIM(T705)&lt;&gt;""),"N/A – JUSTIFIED","INVALID – N/A needs justification, PIC and verifier")),IF(OR(TRIM(U705)="Pass",TRIM(U705)="Pass after CA"),IF(NOT(ISNUMBER(AD705)),"INVALID – completion time missing",IF(TRIM(T705)="","INVALID – PIC missing",IF(TRIM(Z705)="","INVALID – evidence missing",IF(TRIM(AE705)="","INVALID – verifier missing",IF(AND(AQ705=1,TRIM(W705)=""),"INVALID – batch ID missing",IF(AND(AR705=1,OR(NOT(ISNUMBER(X705)),NOT(ISNUMBER(Y705)))),"INVALID – expected/actual qty missing",IF(IF(AND(TRIM(U705)="Pass",ISNUMBER(AF705)),IF(AF705&lt;&gt;0,"INVALID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recorded/closed","")&lt;&gt;"",IF(AND(TRIM(U705)="Pass",ISNUMBER(AF705)),IF(AF705&lt;&gt;0,"INVALID – qty variance: use Fail or Pass after CA",""),"")&amp;IF(AND(TRIM(U705)="Pass",AB705="Open"),"INVALID – corrective action still open: use Fail, then Pass after CA","")&amp;IF(AND(TRIM(U705)="Pass after CA",OR(TRIM(AA705)="",AB705&lt;&gt;"Closed")),"INVALID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window"),IF(AG705&gt;Flights!$AA$26,"INVALID – completed after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f>
        <v/>
      </c>
      <c r="AI705" s="67">
        <f>IF(OR(AH705="N/A – RULE",AH705="N/A – JUSTIFIED"),0,1)</f>
        <v/>
      </c>
      <c r="AJ705" s="67">
        <f>IF(LEFT(AH705,8)="COMPLETE",1,0)</f>
        <v/>
      </c>
      <c r="AK705" s="67">
        <f>IF(AND(AI705=1,AJ705=0,AsOfUTC&gt;Q705),1,0)</f>
        <v/>
      </c>
      <c r="AL705" s="67">
        <f>IF(AND(AI705=1,OR(TRIM(U705)="Fail",AB705="Open",AND(ISNUMBER(AF705),AF705&lt;&gt;0,TRIM(U705)&lt;&gt;"Pass after CA"))),1,0)</f>
        <v/>
      </c>
      <c r="AM705" s="67">
        <f>IF(LEFT(AH705,7)="INVALID",1,0)</f>
        <v/>
      </c>
      <c r="AN705" s="67">
        <f>IF(AND(N705="Clarification required",AI705=1,AJ705=0),1,0)</f>
        <v/>
      </c>
      <c r="AO705" s="67">
        <f>IF(AK705=1,SUM(AK$5:AK705),"")</f>
        <v/>
      </c>
      <c r="AP705" s="67">
        <f>IF(AL705=1,SUM(AL$5:AL705),"")</f>
        <v/>
      </c>
      <c r="AQ705" s="67" t="n">
        <v>0</v>
      </c>
      <c r="AR705" s="67" t="n">
        <v>0</v>
      </c>
      <c r="AS705" s="67" t="n">
        <v>0</v>
      </c>
      <c r="AT705" s="67" t="n">
        <v>0</v>
      </c>
    </row>
    <row r="706" ht="40" customHeight="1">
      <c r="A706" s="63" t="inlineStr">
        <is>
          <t>F22-T7-05</t>
        </is>
      </c>
      <c r="B706" s="63" t="inlineStr">
        <is>
          <t>F22</t>
        </is>
      </c>
      <c r="C706" s="63">
        <f>Flights!$F$26</f>
        <v/>
      </c>
      <c r="D706" s="64">
        <f>Flights!$D$26</f>
        <v/>
      </c>
      <c r="E706" s="63">
        <f>Flights!$G$26&amp;"-"&amp;Flights!$H$26</f>
        <v/>
      </c>
      <c r="F706" s="63">
        <f>Flights!$K$26</f>
        <v/>
      </c>
      <c r="G706" s="63" t="inlineStr">
        <is>
          <t>T-7D</t>
        </is>
      </c>
      <c r="H706" s="63" t="inlineStr">
        <is>
          <t>Preparation</t>
        </is>
      </c>
      <c r="I706" s="63" t="inlineStr">
        <is>
          <t>ISOP</t>
        </is>
      </c>
      <c r="J706" s="63" t="inlineStr">
        <is>
          <t>All latest applicable ISOP revisions communicated to caterer</t>
        </is>
      </c>
      <c r="K706" s="73" t="inlineStr">
        <is>
          <t>List revision numbers in Result (see ISOP register)</t>
        </is>
      </c>
      <c r="L706" s="73" t="inlineStr">
        <is>
          <t>User brief (T-7 days)</t>
        </is>
      </c>
      <c r="M706" s="73" t="inlineStr"/>
      <c r="N706" s="73" t="inlineStr">
        <is>
          <t>Required</t>
        </is>
      </c>
      <c r="O706" s="73" t="inlineStr"/>
      <c r="P706" s="63" t="inlineStr">
        <is>
          <t>KUL</t>
        </is>
      </c>
      <c r="Q706" s="65">
        <f>Flights!$AC$26</f>
        <v/>
      </c>
      <c r="R706" s="65">
        <f>Q706+(IF(AND(INDEX(TZ_DSTS,MATCH(P706,TZ_STN,0))&lt;&gt;"",Q706&gt;=INDEX(TZ_DSTS,MATCH(P706,TZ_STN,0)),Q706&lt;INDEX(TZ_DSTE,MATCH(P706,TZ_STN,0))),INDEX(TZ_DST,MATCH(P706,TZ_STN,0)),INDEX(TZ_STD,MATCH(P706,TZ_STN,0))))/24</f>
        <v/>
      </c>
      <c r="S706" s="65" t="inlineStr"/>
      <c r="T706" s="66" t="n"/>
      <c r="U706" s="66" t="n"/>
      <c r="V706" s="66" t="n"/>
      <c r="W706" s="67" t="n"/>
      <c r="X706" s="66" t="n"/>
      <c r="Y706" s="66" t="n"/>
      <c r="Z706" s="66" t="n"/>
      <c r="AA706" s="66" t="n"/>
      <c r="AB706" s="66" t="n"/>
      <c r="AC706" s="66" t="n"/>
      <c r="AD706" s="72" t="n"/>
      <c r="AE706" s="66" t="n"/>
      <c r="AF706" s="67">
        <f>IF(AND(ISNUMBER(X706),ISNUMBER(Y706)),Y706-X706,"")</f>
        <v/>
      </c>
      <c r="AG706" s="68">
        <f>IF(ISNUMBER(AD706),AD706-(IF(AND(INDEX(TZ_DSTS,MATCH(P706,TZ_STN,0))&lt;&gt;"",(AD706-INDEX(TZ_STD,MATCH(P706,TZ_STN,0))/24)&gt;=INDEX(TZ_DSTS,MATCH(P706,TZ_STN,0)),(AD706-INDEX(TZ_STD,MATCH(P706,TZ_STN,0))/24)&lt;INDEX(TZ_DSTE,MATCH(P706,TZ_STN,0))),INDEX(TZ_DST,MATCH(P706,TZ_STN,0)),INDEX(TZ_STD,MATCH(P706,TZ_STN,0))))/24,"")</f>
        <v/>
      </c>
      <c r="AH706" s="71">
        <f>IF(N706="N/A – rule","N/A – RULE",IF(TRIM(U706)="N/A",IF(AT706=0,"INVALID – N/A not permitted for this mandatory check",IF(AND(TRIM(AC706)&lt;&gt;"",TRIM(AE706)&lt;&gt;"",TRIM(T706)&lt;&gt;""),"N/A – JUSTIFIED","INVALID – N/A needs justification, PIC and verifier")),IF(OR(TRIM(U706)="Pass",TRIM(U706)="Pass after CA"),IF(NOT(ISNUMBER(AD706)),"INVALID – completion time missing",IF(TRIM(T706)="","INVALID – PIC missing",IF(TRIM(Z706)="","INVALID – evidence missing",IF(TRIM(AE706)="","INVALID – verifier missing",IF(AND(AQ706=1,TRIM(W706)=""),"INVALID – batch ID missing",IF(AND(AR706=1,OR(NOT(ISNUMBER(X706)),NOT(ISNUMBER(Y706)))),"INVALID – expected/actual qty missing",IF(IF(AND(TRIM(U706)="Pass",ISNUMBER(AF706)),IF(AF706&lt;&gt;0,"INVALID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recorded/closed","")&lt;&gt;"",IF(AND(TRIM(U706)="Pass",ISNUMBER(AF706)),IF(AF706&lt;&gt;0,"INVALID – qty variance: use Fail or Pass after CA",""),"")&amp;IF(AND(TRIM(U706)="Pass",AB706="Open"),"INVALID – corrective action still open: use Fail, then Pass after CA","")&amp;IF(AND(TRIM(U706)="Pass after CA",OR(TRIM(AA706)="",AB706&lt;&gt;"Closed")),"INVALID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window"),IF(AG706&gt;Flights!$AA$26,"INVALID – completed after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f>
        <v/>
      </c>
      <c r="AI706" s="67">
        <f>IF(OR(AH706="N/A – RULE",AH706="N/A – JUSTIFIED"),0,1)</f>
        <v/>
      </c>
      <c r="AJ706" s="67">
        <f>IF(LEFT(AH706,8)="COMPLETE",1,0)</f>
        <v/>
      </c>
      <c r="AK706" s="67">
        <f>IF(AND(AI706=1,AJ706=0,AsOfUTC&gt;Q706),1,0)</f>
        <v/>
      </c>
      <c r="AL706" s="67">
        <f>IF(AND(AI706=1,OR(TRIM(U706)="Fail",AB706="Open",AND(ISNUMBER(AF706),AF706&lt;&gt;0,TRIM(U706)&lt;&gt;"Pass after CA"))),1,0)</f>
        <v/>
      </c>
      <c r="AM706" s="67">
        <f>IF(LEFT(AH706,7)="INVALID",1,0)</f>
        <v/>
      </c>
      <c r="AN706" s="67">
        <f>IF(AND(N706="Clarification required",AI706=1,AJ706=0),1,0)</f>
        <v/>
      </c>
      <c r="AO706" s="67">
        <f>IF(AK706=1,SUM(AK$5:AK706),"")</f>
        <v/>
      </c>
      <c r="AP706" s="67">
        <f>IF(AL706=1,SUM(AL$5:AL706),"")</f>
        <v/>
      </c>
      <c r="AQ706" s="67" t="n">
        <v>0</v>
      </c>
      <c r="AR706" s="67" t="n">
        <v>0</v>
      </c>
      <c r="AS706" s="67" t="n">
        <v>0</v>
      </c>
      <c r="AT706" s="67" t="n">
        <v>0</v>
      </c>
    </row>
    <row r="707" ht="40" customHeight="1">
      <c r="A707" s="63" t="inlineStr">
        <is>
          <t>F22-T7-06</t>
        </is>
      </c>
      <c r="B707" s="63" t="inlineStr">
        <is>
          <t>F22</t>
        </is>
      </c>
      <c r="C707" s="63">
        <f>Flights!$F$26</f>
        <v/>
      </c>
      <c r="D707" s="64">
        <f>Flights!$D$26</f>
        <v/>
      </c>
      <c r="E707" s="63">
        <f>Flights!$G$26&amp;"-"&amp;Flights!$H$26</f>
        <v/>
      </c>
      <c r="F707" s="63">
        <f>Flights!$K$26</f>
        <v/>
      </c>
      <c r="G707" s="63" t="inlineStr">
        <is>
          <t>T-7D</t>
        </is>
      </c>
      <c r="H707" s="63" t="inlineStr">
        <is>
          <t>Preparation</t>
        </is>
      </c>
      <c r="I707" s="63" t="inlineStr">
        <is>
          <t>ISOP</t>
        </is>
      </c>
      <c r="J707" s="63" t="inlineStr">
        <is>
          <t>Caterer acknowledgement of ISOP revisions recorded</t>
        </is>
      </c>
      <c r="K707" s="73" t="inlineStr">
        <is>
          <t>Record acknowledgement ref in Evidence</t>
        </is>
      </c>
      <c r="L707" s="73" t="inlineStr">
        <is>
          <t>User brief (T-7 days)</t>
        </is>
      </c>
      <c r="M707" s="73" t="inlineStr"/>
      <c r="N707" s="73" t="inlineStr">
        <is>
          <t>Required</t>
        </is>
      </c>
      <c r="O707" s="73" t="inlineStr"/>
      <c r="P707" s="63" t="inlineStr">
        <is>
          <t>KUL</t>
        </is>
      </c>
      <c r="Q707" s="65">
        <f>Flights!$AC$26</f>
        <v/>
      </c>
      <c r="R707" s="65">
        <f>Q707+(IF(AND(INDEX(TZ_DSTS,MATCH(P707,TZ_STN,0))&lt;&gt;"",Q707&gt;=INDEX(TZ_DSTS,MATCH(P707,TZ_STN,0)),Q707&lt;INDEX(TZ_DSTE,MATCH(P707,TZ_STN,0))),INDEX(TZ_DST,MATCH(P707,TZ_STN,0)),INDEX(TZ_STD,MATCH(P707,TZ_STN,0))))/24</f>
        <v/>
      </c>
      <c r="S707" s="65" t="inlineStr"/>
      <c r="T707" s="66" t="n"/>
      <c r="U707" s="66" t="n"/>
      <c r="V707" s="66" t="n"/>
      <c r="W707" s="67" t="n"/>
      <c r="X707" s="66" t="n"/>
      <c r="Y707" s="66" t="n"/>
      <c r="Z707" s="66" t="n"/>
      <c r="AA707" s="66" t="n"/>
      <c r="AB707" s="66" t="n"/>
      <c r="AC707" s="66" t="n"/>
      <c r="AD707" s="72" t="n"/>
      <c r="AE707" s="66" t="n"/>
      <c r="AF707" s="67">
        <f>IF(AND(ISNUMBER(X707),ISNUMBER(Y707)),Y707-X707,"")</f>
        <v/>
      </c>
      <c r="AG707" s="68">
        <f>IF(ISNUMBER(AD707),AD707-(IF(AND(INDEX(TZ_DSTS,MATCH(P707,TZ_STN,0))&lt;&gt;"",(AD707-INDEX(TZ_STD,MATCH(P707,TZ_STN,0))/24)&gt;=INDEX(TZ_DSTS,MATCH(P707,TZ_STN,0)),(AD707-INDEX(TZ_STD,MATCH(P707,TZ_STN,0))/24)&lt;INDEX(TZ_DSTE,MATCH(P707,TZ_STN,0))),INDEX(TZ_DST,MATCH(P707,TZ_STN,0)),INDEX(TZ_STD,MATCH(P707,TZ_STN,0))))/24,"")</f>
        <v/>
      </c>
      <c r="AH707" s="71">
        <f>IF(N707="N/A – rule","N/A – RULE",IF(TRIM(U707)="N/A",IF(AT707=0,"INVALID – N/A not permitted for this mandatory check",IF(AND(TRIM(AC707)&lt;&gt;"",TRIM(AE707)&lt;&gt;"",TRIM(T707)&lt;&gt;""),"N/A – JUSTIFIED","INVALID – N/A needs justification, PIC and verifier")),IF(OR(TRIM(U707)="Pass",TRIM(U707)="Pass after CA"),IF(NOT(ISNUMBER(AD707)),"INVALID – completion time missing",IF(TRIM(T707)="","INVALID – PIC missing",IF(TRIM(Z707)="","INVALID – evidence missing",IF(TRIM(AE707)="","INVALID – verifier missing",IF(AND(AQ707=1,TRIM(W707)=""),"INVALID – batch ID missing",IF(AND(AR707=1,OR(NOT(ISNUMBER(X707)),NOT(ISNUMBER(Y707)))),"INVALID – expected/actual qty missing",IF(IF(AND(TRIM(U707)="Pass",ISNUMBER(AF707)),IF(AF707&lt;&gt;0,"INVALID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recorded/closed","")&lt;&gt;"",IF(AND(TRIM(U707)="Pass",ISNUMBER(AF707)),IF(AF707&lt;&gt;0,"INVALID – qty variance: use Fail or Pass after CA",""),"")&amp;IF(AND(TRIM(U707)="Pass",AB707="Open"),"INVALID – corrective action still open: use Fail, then Pass after CA","")&amp;IF(AND(TRIM(U707)="Pass after CA",OR(TRIM(AA707)="",AB707&lt;&gt;"Closed")),"INVALID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window"),IF(AG707&gt;Flights!$AA$26,"INVALID – completed after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f>
        <v/>
      </c>
      <c r="AI707" s="67">
        <f>IF(OR(AH707="N/A – RULE",AH707="N/A – JUSTIFIED"),0,1)</f>
        <v/>
      </c>
      <c r="AJ707" s="67">
        <f>IF(LEFT(AH707,8)="COMPLETE",1,0)</f>
        <v/>
      </c>
      <c r="AK707" s="67">
        <f>IF(AND(AI707=1,AJ707=0,AsOfUTC&gt;Q707),1,0)</f>
        <v/>
      </c>
      <c r="AL707" s="67">
        <f>IF(AND(AI707=1,OR(TRIM(U707)="Fail",AB707="Open",AND(ISNUMBER(AF707),AF707&lt;&gt;0,TRIM(U707)&lt;&gt;"Pass after CA"))),1,0)</f>
        <v/>
      </c>
      <c r="AM707" s="67">
        <f>IF(LEFT(AH707,7)="INVALID",1,0)</f>
        <v/>
      </c>
      <c r="AN707" s="67">
        <f>IF(AND(N707="Clarification required",AI707=1,AJ707=0),1,0)</f>
        <v/>
      </c>
      <c r="AO707" s="67">
        <f>IF(AK707=1,SUM(AK$5:AK707),"")</f>
        <v/>
      </c>
      <c r="AP707" s="67">
        <f>IF(AL707=1,SUM(AL$5:AL707),"")</f>
        <v/>
      </c>
      <c r="AQ707" s="67" t="n">
        <v>0</v>
      </c>
      <c r="AR707" s="67" t="n">
        <v>0</v>
      </c>
      <c r="AS707" s="67" t="n">
        <v>0</v>
      </c>
      <c r="AT707" s="67" t="n">
        <v>0</v>
      </c>
    </row>
    <row r="708" ht="40" customHeight="1">
      <c r="A708" s="63" t="inlineStr">
        <is>
          <t>F22-T7-07</t>
        </is>
      </c>
      <c r="B708" s="63" t="inlineStr">
        <is>
          <t>F22</t>
        </is>
      </c>
      <c r="C708" s="63">
        <f>Flights!$F$26</f>
        <v/>
      </c>
      <c r="D708" s="64">
        <f>Flights!$D$26</f>
        <v/>
      </c>
      <c r="E708" s="63">
        <f>Flights!$G$26&amp;"-"&amp;Flights!$H$26</f>
        <v/>
      </c>
      <c r="F708" s="63">
        <f>Flights!$K$26</f>
        <v/>
      </c>
      <c r="G708" s="63" t="inlineStr">
        <is>
          <t>T-7D</t>
        </is>
      </c>
      <c r="H708" s="63" t="inlineStr">
        <is>
          <t>Preparation</t>
        </is>
      </c>
      <c r="I708" s="63" t="inlineStr">
        <is>
          <t>Documents</t>
        </is>
      </c>
      <c r="J708" s="63" t="inlineStr">
        <is>
          <t>Galley loading diagram (GLD) received, revision recorded &amp; attached</t>
        </is>
      </c>
      <c r="K708" s="73" t="inlineStr">
        <is>
          <t>Documents sheet row complete</t>
        </is>
      </c>
      <c r="L708" s="73" t="inlineStr">
        <is>
          <t>User brief (T-7 days)</t>
        </is>
      </c>
      <c r="M708" s="73" t="inlineStr"/>
      <c r="N708" s="73" t="inlineStr">
        <is>
          <t>Required</t>
        </is>
      </c>
      <c r="O708" s="73" t="inlineStr"/>
      <c r="P708" s="63" t="inlineStr">
        <is>
          <t>KUL</t>
        </is>
      </c>
      <c r="Q708" s="65">
        <f>Flights!$AC$26</f>
        <v/>
      </c>
      <c r="R708" s="65">
        <f>Q708+(IF(AND(INDEX(TZ_DSTS,MATCH(P708,TZ_STN,0))&lt;&gt;"",Q708&gt;=INDEX(TZ_DSTS,MATCH(P708,TZ_STN,0)),Q708&lt;INDEX(TZ_DSTE,MATCH(P708,TZ_STN,0))),INDEX(TZ_DST,MATCH(P708,TZ_STN,0)),INDEX(TZ_STD,MATCH(P708,TZ_STN,0))))/24</f>
        <v/>
      </c>
      <c r="S708" s="65" t="inlineStr"/>
      <c r="T708" s="66" t="n"/>
      <c r="U708" s="66" t="n"/>
      <c r="V708" s="66" t="n"/>
      <c r="W708" s="67" t="n"/>
      <c r="X708" s="66" t="n"/>
      <c r="Y708" s="66" t="n"/>
      <c r="Z708" s="66" t="n"/>
      <c r="AA708" s="66" t="n"/>
      <c r="AB708" s="66" t="n"/>
      <c r="AC708" s="66" t="n"/>
      <c r="AD708" s="72" t="n"/>
      <c r="AE708" s="66" t="n"/>
      <c r="AF708" s="67">
        <f>IF(AND(ISNUMBER(X708),ISNUMBER(Y708)),Y708-X708,"")</f>
        <v/>
      </c>
      <c r="AG708" s="68">
        <f>IF(ISNUMBER(AD708),AD708-(IF(AND(INDEX(TZ_DSTS,MATCH(P708,TZ_STN,0))&lt;&gt;"",(AD708-INDEX(TZ_STD,MATCH(P708,TZ_STN,0))/24)&gt;=INDEX(TZ_DSTS,MATCH(P708,TZ_STN,0)),(AD708-INDEX(TZ_STD,MATCH(P708,TZ_STN,0))/24)&lt;INDEX(TZ_DSTE,MATCH(P708,TZ_STN,0))),INDEX(TZ_DST,MATCH(P708,TZ_STN,0)),INDEX(TZ_STD,MATCH(P708,TZ_STN,0))))/24,"")</f>
        <v/>
      </c>
      <c r="AH708" s="71">
        <f>IF(N708="N/A – rule","N/A – RULE",IF(TRIM(U708)="N/A",IF(AT708=0,"INVALID – N/A not permitted for this mandatory check",IF(AND(TRIM(AC708)&lt;&gt;"",TRIM(AE708)&lt;&gt;"",TRIM(T708)&lt;&gt;""),"N/A – JUSTIFIED","INVALID – N/A needs justification, PIC and verifier")),IF(OR(TRIM(U708)="Pass",TRIM(U708)="Pass after CA"),IF(NOT(ISNUMBER(AD708)),"INVALID – completion time missing",IF(TRIM(T708)="","INVALID – PIC missing",IF(TRIM(Z708)="","INVALID – evidence missing",IF(TRIM(AE708)="","INVALID – verifier missing",IF(AND(AQ708=1,TRIM(W708)=""),"INVALID – batch ID missing",IF(AND(AR708=1,OR(NOT(ISNUMBER(X708)),NOT(ISNUMBER(Y708)))),"INVALID – expected/actual qty missing",IF(IF(AND(TRIM(U708)="Pass",ISNUMBER(AF708)),IF(AF708&lt;&gt;0,"INVALID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recorded/closed","")&lt;&gt;"",IF(AND(TRIM(U708)="Pass",ISNUMBER(AF708)),IF(AF708&lt;&gt;0,"INVALID – qty variance: use Fail or Pass after CA",""),"")&amp;IF(AND(TRIM(U708)="Pass",AB708="Open"),"INVALID – corrective action still open: use Fail, then Pass after CA","")&amp;IF(AND(TRIM(U708)="Pass after CA",OR(TRIM(AA708)="",AB708&lt;&gt;"Closed")),"INVALID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window"),IF(AG708&gt;Flights!$AA$26,"INVALID – completed after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f>
        <v/>
      </c>
      <c r="AI708" s="67">
        <f>IF(OR(AH708="N/A – RULE",AH708="N/A – JUSTIFIED"),0,1)</f>
        <v/>
      </c>
      <c r="AJ708" s="67">
        <f>IF(LEFT(AH708,8)="COMPLETE",1,0)</f>
        <v/>
      </c>
      <c r="AK708" s="67">
        <f>IF(AND(AI708=1,AJ708=0,AsOfUTC&gt;Q708),1,0)</f>
        <v/>
      </c>
      <c r="AL708" s="67">
        <f>IF(AND(AI708=1,OR(TRIM(U708)="Fail",AB708="Open",AND(ISNUMBER(AF708),AF708&lt;&gt;0,TRIM(U708)&lt;&gt;"Pass after CA"))),1,0)</f>
        <v/>
      </c>
      <c r="AM708" s="67">
        <f>IF(LEFT(AH708,7)="INVALID",1,0)</f>
        <v/>
      </c>
      <c r="AN708" s="67">
        <f>IF(AND(N708="Clarification required",AI708=1,AJ708=0),1,0)</f>
        <v/>
      </c>
      <c r="AO708" s="67">
        <f>IF(AK708=1,SUM(AK$5:AK708),"")</f>
        <v/>
      </c>
      <c r="AP708" s="67">
        <f>IF(AL708=1,SUM(AL$5:AL708),"")</f>
        <v/>
      </c>
      <c r="AQ708" s="67" t="n">
        <v>0</v>
      </c>
      <c r="AR708" s="67" t="n">
        <v>0</v>
      </c>
      <c r="AS708" s="67" t="n">
        <v>1</v>
      </c>
      <c r="AT708" s="67" t="n">
        <v>0</v>
      </c>
    </row>
    <row r="709" ht="40" customHeight="1">
      <c r="A709" s="63" t="inlineStr">
        <is>
          <t>F22-T7-08</t>
        </is>
      </c>
      <c r="B709" s="63" t="inlineStr">
        <is>
          <t>F22</t>
        </is>
      </c>
      <c r="C709" s="63">
        <f>Flights!$F$26</f>
        <v/>
      </c>
      <c r="D709" s="64">
        <f>Flights!$D$26</f>
        <v/>
      </c>
      <c r="E709" s="63">
        <f>Flights!$G$26&amp;"-"&amp;Flights!$H$26</f>
        <v/>
      </c>
      <c r="F709" s="63">
        <f>Flights!$K$26</f>
        <v/>
      </c>
      <c r="G709" s="63" t="inlineStr">
        <is>
          <t>T-7D</t>
        </is>
      </c>
      <c r="H709" s="63" t="inlineStr">
        <is>
          <t>Preparation</t>
        </is>
      </c>
      <c r="I709" s="63" t="inlineStr">
        <is>
          <t>Documents</t>
        </is>
      </c>
      <c r="J709" s="63" t="inlineStr">
        <is>
          <t>Menu checklist received, revision recorded &amp; attached</t>
        </is>
      </c>
      <c r="K709" s="73" t="inlineStr">
        <is>
          <t>Documents sheet row complete</t>
        </is>
      </c>
      <c r="L709" s="73" t="inlineStr">
        <is>
          <t>User brief (T-7 days)</t>
        </is>
      </c>
      <c r="M709" s="73" t="inlineStr"/>
      <c r="N709" s="73" t="inlineStr">
        <is>
          <t>Required</t>
        </is>
      </c>
      <c r="O709" s="73" t="inlineStr"/>
      <c r="P709" s="63" t="inlineStr">
        <is>
          <t>KUL</t>
        </is>
      </c>
      <c r="Q709" s="65">
        <f>Flights!$AC$26</f>
        <v/>
      </c>
      <c r="R709" s="65">
        <f>Q709+(IF(AND(INDEX(TZ_DSTS,MATCH(P709,TZ_STN,0))&lt;&gt;"",Q709&gt;=INDEX(TZ_DSTS,MATCH(P709,TZ_STN,0)),Q709&lt;INDEX(TZ_DSTE,MATCH(P709,TZ_STN,0))),INDEX(TZ_DST,MATCH(P709,TZ_STN,0)),INDEX(TZ_STD,MATCH(P709,TZ_STN,0))))/24</f>
        <v/>
      </c>
      <c r="S709" s="65" t="inlineStr"/>
      <c r="T709" s="66" t="n"/>
      <c r="U709" s="66" t="n"/>
      <c r="V709" s="66" t="n"/>
      <c r="W709" s="67" t="n"/>
      <c r="X709" s="66" t="n"/>
      <c r="Y709" s="66" t="n"/>
      <c r="Z709" s="66" t="n"/>
      <c r="AA709" s="66" t="n"/>
      <c r="AB709" s="66" t="n"/>
      <c r="AC709" s="66" t="n"/>
      <c r="AD709" s="72" t="n"/>
      <c r="AE709" s="66" t="n"/>
      <c r="AF709" s="67">
        <f>IF(AND(ISNUMBER(X709),ISNUMBER(Y709)),Y709-X709,"")</f>
        <v/>
      </c>
      <c r="AG709" s="68">
        <f>IF(ISNUMBER(AD709),AD709-(IF(AND(INDEX(TZ_DSTS,MATCH(P709,TZ_STN,0))&lt;&gt;"",(AD709-INDEX(TZ_STD,MATCH(P709,TZ_STN,0))/24)&gt;=INDEX(TZ_DSTS,MATCH(P709,TZ_STN,0)),(AD709-INDEX(TZ_STD,MATCH(P709,TZ_STN,0))/24)&lt;INDEX(TZ_DSTE,MATCH(P709,TZ_STN,0))),INDEX(TZ_DST,MATCH(P709,TZ_STN,0)),INDEX(TZ_STD,MATCH(P709,TZ_STN,0))))/24,"")</f>
        <v/>
      </c>
      <c r="AH709" s="71">
        <f>IF(N709="N/A – rule","N/A – RULE",IF(TRIM(U709)="N/A",IF(AT709=0,"INVALID – N/A not permitted for this mandatory check",IF(AND(TRIM(AC709)&lt;&gt;"",TRIM(AE709)&lt;&gt;"",TRIM(T709)&lt;&gt;""),"N/A – JUSTIFIED","INVALID – N/A needs justification, PIC and verifier")),IF(OR(TRIM(U709)="Pass",TRIM(U709)="Pass after CA"),IF(NOT(ISNUMBER(AD709)),"INVALID – completion time missing",IF(TRIM(T709)="","INVALID – PIC missing",IF(TRIM(Z709)="","INVALID – evidence missing",IF(TRIM(AE709)="","INVALID – verifier missing",IF(AND(AQ709=1,TRIM(W709)=""),"INVALID – batch ID missing",IF(AND(AR709=1,OR(NOT(ISNUMBER(X709)),NOT(ISNUMBER(Y709)))),"INVALID – expected/actual qty missing",IF(IF(AND(TRIM(U709)="Pass",ISNUMBER(AF709)),IF(AF709&lt;&gt;0,"INVALID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recorded/closed","")&lt;&gt;"",IF(AND(TRIM(U709)="Pass",ISNUMBER(AF709)),IF(AF709&lt;&gt;0,"INVALID – qty variance: use Fail or Pass after CA",""),"")&amp;IF(AND(TRIM(U709)="Pass",AB709="Open"),"INVALID – corrective action still open: use Fail, then Pass after CA","")&amp;IF(AND(TRIM(U709)="Pass after CA",OR(TRIM(AA709)="",AB709&lt;&gt;"Closed")),"INVALID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window"),IF(AG709&gt;Flights!$AA$26,"INVALID – completed after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f>
        <v/>
      </c>
      <c r="AI709" s="67">
        <f>IF(OR(AH709="N/A – RULE",AH709="N/A – JUSTIFIED"),0,1)</f>
        <v/>
      </c>
      <c r="AJ709" s="67">
        <f>IF(LEFT(AH709,8)="COMPLETE",1,0)</f>
        <v/>
      </c>
      <c r="AK709" s="67">
        <f>IF(AND(AI709=1,AJ709=0,AsOfUTC&gt;Q709),1,0)</f>
        <v/>
      </c>
      <c r="AL709" s="67">
        <f>IF(AND(AI709=1,OR(TRIM(U709)="Fail",AB709="Open",AND(ISNUMBER(AF709),AF709&lt;&gt;0,TRIM(U709)&lt;&gt;"Pass after CA"))),1,0)</f>
        <v/>
      </c>
      <c r="AM709" s="67">
        <f>IF(LEFT(AH709,7)="INVALID",1,0)</f>
        <v/>
      </c>
      <c r="AN709" s="67">
        <f>IF(AND(N709="Clarification required",AI709=1,AJ709=0),1,0)</f>
        <v/>
      </c>
      <c r="AO709" s="67">
        <f>IF(AK709=1,SUM(AK$5:AK709),"")</f>
        <v/>
      </c>
      <c r="AP709" s="67">
        <f>IF(AL709=1,SUM(AL$5:AL709),"")</f>
        <v/>
      </c>
      <c r="AQ709" s="67" t="n">
        <v>0</v>
      </c>
      <c r="AR709" s="67" t="n">
        <v>0</v>
      </c>
      <c r="AS709" s="67" t="n">
        <v>2</v>
      </c>
      <c r="AT709" s="67" t="n">
        <v>0</v>
      </c>
    </row>
    <row r="710" ht="40" customHeight="1">
      <c r="A710" s="63" t="inlineStr">
        <is>
          <t>F22-T7-09</t>
        </is>
      </c>
      <c r="B710" s="63" t="inlineStr">
        <is>
          <t>F22</t>
        </is>
      </c>
      <c r="C710" s="63">
        <f>Flights!$F$26</f>
        <v/>
      </c>
      <c r="D710" s="64">
        <f>Flights!$D$26</f>
        <v/>
      </c>
      <c r="E710" s="63">
        <f>Flights!$G$26&amp;"-"&amp;Flights!$H$26</f>
        <v/>
      </c>
      <c r="F710" s="63">
        <f>Flights!$K$26</f>
        <v/>
      </c>
      <c r="G710" s="63" t="inlineStr">
        <is>
          <t>T-7D</t>
        </is>
      </c>
      <c r="H710" s="63" t="inlineStr">
        <is>
          <t>Preparation</t>
        </is>
      </c>
      <c r="I710" s="63" t="inlineStr">
        <is>
          <t>Uplift plan</t>
        </is>
      </c>
      <c r="J710" s="63" t="inlineStr">
        <is>
          <t>Uplift plan confirmed with caterer vs STD Uplift Information</t>
        </is>
      </c>
      <c r="K710" s="73" t="inlineStr">
        <is>
          <t>Service: 2.5 Meal (Meal); meal uplift stn KUL (ref lists KUL/LHR)</t>
        </is>
      </c>
      <c r="L710" s="73" t="inlineStr">
        <is>
          <t>STD UPLIFT INFORMATION.xlsx &gt; CATERING UPLIFT STN!C9:G9</t>
        </is>
      </c>
      <c r="M710" s="73" t="inlineStr"/>
      <c r="N710" s="73" t="inlineStr">
        <is>
          <t>Required</t>
        </is>
      </c>
      <c r="O710" s="73" t="inlineStr"/>
      <c r="P710" s="63" t="inlineStr">
        <is>
          <t>KUL</t>
        </is>
      </c>
      <c r="Q710" s="65">
        <f>Flights!$AC$26</f>
        <v/>
      </c>
      <c r="R710" s="65">
        <f>Q710+(IF(AND(INDEX(TZ_DSTS,MATCH(P710,TZ_STN,0))&lt;&gt;"",Q710&gt;=INDEX(TZ_DSTS,MATCH(P710,TZ_STN,0)),Q710&lt;INDEX(TZ_DSTE,MATCH(P710,TZ_STN,0))),INDEX(TZ_DST,MATCH(P710,TZ_STN,0)),INDEX(TZ_STD,MATCH(P710,TZ_STN,0))))/24</f>
        <v/>
      </c>
      <c r="S710" s="65" t="inlineStr"/>
      <c r="T710" s="66" t="n"/>
      <c r="U710" s="66" t="n"/>
      <c r="V710" s="66" t="n"/>
      <c r="W710" s="67" t="n"/>
      <c r="X710" s="66" t="n"/>
      <c r="Y710" s="66" t="n"/>
      <c r="Z710" s="66" t="n"/>
      <c r="AA710" s="66" t="n"/>
      <c r="AB710" s="66" t="n"/>
      <c r="AC710" s="66" t="n"/>
      <c r="AD710" s="72" t="n"/>
      <c r="AE710" s="66" t="n"/>
      <c r="AF710" s="67">
        <f>IF(AND(ISNUMBER(X710),ISNUMBER(Y710)),Y710-X710,"")</f>
        <v/>
      </c>
      <c r="AG710" s="68">
        <f>IF(ISNUMBER(AD710),AD710-(IF(AND(INDEX(TZ_DSTS,MATCH(P710,TZ_STN,0))&lt;&gt;"",(AD710-INDEX(TZ_STD,MATCH(P710,TZ_STN,0))/24)&gt;=INDEX(TZ_DSTS,MATCH(P710,TZ_STN,0)),(AD710-INDEX(TZ_STD,MATCH(P710,TZ_STN,0))/24)&lt;INDEX(TZ_DSTE,MATCH(P710,TZ_STN,0))),INDEX(TZ_DST,MATCH(P710,TZ_STN,0)),INDEX(TZ_STD,MATCH(P710,TZ_STN,0))))/24,"")</f>
        <v/>
      </c>
      <c r="AH710" s="71">
        <f>IF(N710="N/A – rule","N/A – RULE",IF(TRIM(U710)="N/A",IF(AT710=0,"INVALID – N/A not permitted for this mandatory check",IF(AND(TRIM(AC710)&lt;&gt;"",TRIM(AE710)&lt;&gt;"",TRIM(T710)&lt;&gt;""),"N/A – JUSTIFIED","INVALID – N/A needs justification, PIC and verifier")),IF(OR(TRIM(U710)="Pass",TRIM(U710)="Pass after CA"),IF(NOT(ISNUMBER(AD710)),"INVALID – completion time missing",IF(TRIM(T710)="","INVALID – PIC missing",IF(TRIM(Z710)="","INVALID – evidence missing",IF(TRIM(AE710)="","INVALID – verifier missing",IF(AND(AQ710=1,TRIM(W710)=""),"INVALID – batch ID missing",IF(AND(AR710=1,OR(NOT(ISNUMBER(X710)),NOT(ISNUMBER(Y710)))),"INVALID – expected/actual qty missing",IF(IF(AND(TRIM(U710)="Pass",ISNUMBER(AF710)),IF(AF710&lt;&gt;0,"INVALID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recorded/closed","")&lt;&gt;"",IF(AND(TRIM(U710)="Pass",ISNUMBER(AF710)),IF(AF710&lt;&gt;0,"INVALID – qty variance: use Fail or Pass after CA",""),"")&amp;IF(AND(TRIM(U710)="Pass",AB710="Open"),"INVALID – corrective action still open: use Fail, then Pass after CA","")&amp;IF(AND(TRIM(U710)="Pass after CA",OR(TRIM(AA710)="",AB710&lt;&gt;"Closed")),"INVALID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window"),IF(AG710&gt;Flights!$AA$26,"INVALID – completed after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f>
        <v/>
      </c>
      <c r="AI710" s="67">
        <f>IF(OR(AH710="N/A – RULE",AH710="N/A – JUSTIFIED"),0,1)</f>
        <v/>
      </c>
      <c r="AJ710" s="67">
        <f>IF(LEFT(AH710,8)="COMPLETE",1,0)</f>
        <v/>
      </c>
      <c r="AK710" s="67">
        <f>IF(AND(AI710=1,AJ710=0,AsOfUTC&gt;Q710),1,0)</f>
        <v/>
      </c>
      <c r="AL710" s="67">
        <f>IF(AND(AI710=1,OR(TRIM(U710)="Fail",AB710="Open",AND(ISNUMBER(AF710),AF710&lt;&gt;0,TRIM(U710)&lt;&gt;"Pass after CA"))),1,0)</f>
        <v/>
      </c>
      <c r="AM710" s="67">
        <f>IF(LEFT(AH710,7)="INVALID",1,0)</f>
        <v/>
      </c>
      <c r="AN710" s="67">
        <f>IF(AND(N710="Clarification required",AI710=1,AJ710=0),1,0)</f>
        <v/>
      </c>
      <c r="AO710" s="67">
        <f>IF(AK710=1,SUM(AK$5:AK710),"")</f>
        <v/>
      </c>
      <c r="AP710" s="67">
        <f>IF(AL710=1,SUM(AL$5:AL710),"")</f>
        <v/>
      </c>
      <c r="AQ710" s="67" t="n">
        <v>0</v>
      </c>
      <c r="AR710" s="67" t="n">
        <v>0</v>
      </c>
      <c r="AS710" s="67" t="n">
        <v>0</v>
      </c>
      <c r="AT710" s="67" t="n">
        <v>0</v>
      </c>
    </row>
    <row r="711" ht="40" customHeight="1">
      <c r="A711" s="63" t="inlineStr">
        <is>
          <t>F22-T24-01</t>
        </is>
      </c>
      <c r="B711" s="63" t="inlineStr">
        <is>
          <t>F22</t>
        </is>
      </c>
      <c r="C711" s="63">
        <f>Flights!$F$26</f>
        <v/>
      </c>
      <c r="D711" s="64">
        <f>Flights!$D$26</f>
        <v/>
      </c>
      <c r="E711" s="63">
        <f>Flights!$G$26&amp;"-"&amp;Flights!$H$26</f>
        <v/>
      </c>
      <c r="F711" s="63">
        <f>Flights!$K$26</f>
        <v/>
      </c>
      <c r="G711" s="63" t="inlineStr">
        <is>
          <t>T-24H</t>
        </is>
      </c>
      <c r="H711" s="63" t="inlineStr">
        <is>
          <t>Preparation</t>
        </is>
      </c>
      <c r="I711" s="63" t="inlineStr">
        <is>
          <t>Meal</t>
        </is>
      </c>
      <c r="J711" s="63" t="inlineStr">
        <is>
          <t>Sensory test repeated on ACTUAL production batch for this flight</t>
        </is>
      </c>
      <c r="K711" s="73" t="inlineStr">
        <is>
          <t>Batch ID, result, CA and acceptance mandatory</t>
        </is>
      </c>
      <c r="L711" s="73" t="inlineStr">
        <is>
          <t>User brief (T-24 hours)</t>
        </is>
      </c>
      <c r="M711" s="73" t="inlineStr"/>
      <c r="N711" s="73" t="inlineStr">
        <is>
          <t>Required</t>
        </is>
      </c>
      <c r="O711" s="73" t="inlineStr"/>
      <c r="P711" s="63" t="inlineStr">
        <is>
          <t>KUL</t>
        </is>
      </c>
      <c r="Q711" s="65">
        <f>Flights!$AD$26</f>
        <v/>
      </c>
      <c r="R711" s="65">
        <f>Q711+(IF(AND(INDEX(TZ_DSTS,MATCH(P711,TZ_STN,0))&lt;&gt;"",Q711&gt;=INDEX(TZ_DSTS,MATCH(P711,TZ_STN,0)),Q711&lt;INDEX(TZ_DSTE,MATCH(P711,TZ_STN,0))),INDEX(TZ_DST,MATCH(P711,TZ_STN,0)),INDEX(TZ_STD,MATCH(P711,TZ_STN,0))))/24</f>
        <v/>
      </c>
      <c r="S711" s="65">
        <f>Q711-T24EarlyH/24</f>
        <v/>
      </c>
      <c r="T711" s="66" t="n"/>
      <c r="U711" s="66" t="n"/>
      <c r="V711" s="66" t="n"/>
      <c r="W711" s="66" t="n"/>
      <c r="X711" s="66" t="n"/>
      <c r="Y711" s="66" t="n"/>
      <c r="Z711" s="66" t="n"/>
      <c r="AA711" s="66" t="n"/>
      <c r="AB711" s="66" t="n"/>
      <c r="AC711" s="66" t="n"/>
      <c r="AD711" s="72" t="n"/>
      <c r="AE711" s="66" t="n"/>
      <c r="AF711" s="67">
        <f>IF(AND(ISNUMBER(X711),ISNUMBER(Y711)),Y711-X711,"")</f>
        <v/>
      </c>
      <c r="AG711" s="68">
        <f>IF(ISNUMBER(AD711),AD711-(IF(AND(INDEX(TZ_DSTS,MATCH(P711,TZ_STN,0))&lt;&gt;"",(AD711-INDEX(TZ_STD,MATCH(P711,TZ_STN,0))/24)&gt;=INDEX(TZ_DSTS,MATCH(P711,TZ_STN,0)),(AD711-INDEX(TZ_STD,MATCH(P711,TZ_STN,0))/24)&lt;INDEX(TZ_DSTE,MATCH(P711,TZ_STN,0))),INDEX(TZ_DST,MATCH(P711,TZ_STN,0)),INDEX(TZ_STD,MATCH(P711,TZ_STN,0))))/24,"")</f>
        <v/>
      </c>
      <c r="AH711" s="71">
        <f>IF(N711="N/A – rule","N/A – RULE",IF(TRIM(U711)="N/A",IF(AT711=0,"INVALID – N/A not permitted for this mandatory check",IF(AND(TRIM(AC711)&lt;&gt;"",TRIM(AE711)&lt;&gt;"",TRIM(T711)&lt;&gt;""),"N/A – JUSTIFIED","INVALID – N/A needs justification, PIC and verifier")),IF(OR(TRIM(U711)="Pass",TRIM(U711)="Pass after CA"),IF(NOT(ISNUMBER(AD711)),"INVALID – completion time missing",IF(TRIM(T711)="","INVALID – PIC missing",IF(TRIM(Z711)="","INVALID – evidence missing",IF(TRIM(AE711)="","INVALID – verifier missing",IF(AND(AQ711=1,TRIM(W711)=""),"INVALID – batch ID missing",IF(AND(AR711=1,OR(NOT(ISNUMBER(X711)),NOT(ISNUMBER(Y711)))),"INVALID – expected/actual qty missing",IF(IF(AND(TRIM(U711)="Pass",ISNUMBER(AF711)),IF(AF711&lt;&gt;0,"INVALID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recorded/closed","")&lt;&gt;"",IF(AND(TRIM(U711)="Pass",ISNUMBER(AF711)),IF(AF711&lt;&gt;0,"INVALID – qty variance: use Fail or Pass after CA",""),"")&amp;IF(AND(TRIM(U711)="Pass",AB711="Open"),"INVALID – corrective action still open: use Fail, then Pass after CA","")&amp;IF(AND(TRIM(U711)="Pass after CA",OR(TRIM(AA711)="",AB711&lt;&gt;"Closed")),"INVALID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window"),IF(AG711&gt;Flights!$AA$26,"INVALID – completed after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f>
        <v/>
      </c>
      <c r="AI711" s="67">
        <f>IF(OR(AH711="N/A – RULE",AH711="N/A – JUSTIFIED"),0,1)</f>
        <v/>
      </c>
      <c r="AJ711" s="67">
        <f>IF(LEFT(AH711,8)="COMPLETE",1,0)</f>
        <v/>
      </c>
      <c r="AK711" s="67">
        <f>IF(AND(AI711=1,AJ711=0,AsOfUTC&gt;Q711),1,0)</f>
        <v/>
      </c>
      <c r="AL711" s="67">
        <f>IF(AND(AI711=1,OR(TRIM(U711)="Fail",AB711="Open",AND(ISNUMBER(AF711),AF711&lt;&gt;0,TRIM(U711)&lt;&gt;"Pass after CA"))),1,0)</f>
        <v/>
      </c>
      <c r="AM711" s="67">
        <f>IF(LEFT(AH711,7)="INVALID",1,0)</f>
        <v/>
      </c>
      <c r="AN711" s="67">
        <f>IF(AND(N711="Clarification required",AI711=1,AJ711=0),1,0)</f>
        <v/>
      </c>
      <c r="AO711" s="67">
        <f>IF(AK711=1,SUM(AK$5:AK711),"")</f>
        <v/>
      </c>
      <c r="AP711" s="67">
        <f>IF(AL711=1,SUM(AL$5:AL711),"")</f>
        <v/>
      </c>
      <c r="AQ711" s="67" t="n">
        <v>1</v>
      </c>
      <c r="AR711" s="67" t="n">
        <v>0</v>
      </c>
      <c r="AS711" s="67" t="n">
        <v>0</v>
      </c>
      <c r="AT711" s="67" t="n">
        <v>0</v>
      </c>
    </row>
    <row r="712" ht="40" customHeight="1">
      <c r="A712" s="63" t="inlineStr">
        <is>
          <t>F22-T12-01</t>
        </is>
      </c>
      <c r="B712" s="63" t="inlineStr">
        <is>
          <t>F22</t>
        </is>
      </c>
      <c r="C712" s="63">
        <f>Flights!$F$26</f>
        <v/>
      </c>
      <c r="D712" s="64">
        <f>Flights!$D$26</f>
        <v/>
      </c>
      <c r="E712" s="63">
        <f>Flights!$G$26&amp;"-"&amp;Flights!$H$26</f>
        <v/>
      </c>
      <c r="F712" s="63">
        <f>Flights!$K$26</f>
        <v/>
      </c>
      <c r="G712" s="63" t="inlineStr">
        <is>
          <t>T-12H PREP</t>
        </is>
      </c>
      <c r="H712" s="63" t="inlineStr">
        <is>
          <t>Preparation</t>
        </is>
      </c>
      <c r="I712" s="63" t="inlineStr">
        <is>
          <t>Meal</t>
        </is>
      </c>
      <c r="J712" s="63" t="inlineStr">
        <is>
          <t>Meal quality vs menu checklist</t>
        </is>
      </c>
      <c r="K712" s="73" t="inlineStr"/>
      <c r="L712" s="73" t="inlineStr">
        <is>
          <t>User brief (T-12 hours)</t>
        </is>
      </c>
      <c r="M712" s="73" t="inlineStr"/>
      <c r="N712" s="73" t="inlineStr">
        <is>
          <t>Required</t>
        </is>
      </c>
      <c r="O712" s="73" t="inlineStr">
        <is>
          <t>Preparation check at caterer - does NOT confirm loading.</t>
        </is>
      </c>
      <c r="P712" s="63" t="inlineStr">
        <is>
          <t>KUL</t>
        </is>
      </c>
      <c r="Q712" s="65">
        <f>Flights!$AE$26</f>
        <v/>
      </c>
      <c r="R712" s="65">
        <f>Q712+(IF(AND(INDEX(TZ_DSTS,MATCH(P712,TZ_STN,0))&lt;&gt;"",Q712&gt;=INDEX(TZ_DSTS,MATCH(P712,TZ_STN,0)),Q712&lt;INDEX(TZ_DSTE,MATCH(P712,TZ_STN,0))),INDEX(TZ_DST,MATCH(P712,TZ_STN,0)),INDEX(TZ_STD,MATCH(P712,TZ_STN,0))))/24</f>
        <v/>
      </c>
      <c r="S712" s="65">
        <f>Q712-T12EarlyH/24</f>
        <v/>
      </c>
      <c r="T712" s="66" t="n"/>
      <c r="U712" s="66" t="n"/>
      <c r="V712" s="66" t="n"/>
      <c r="W712" s="67" t="n"/>
      <c r="X712" s="66" t="n"/>
      <c r="Y712" s="66" t="n"/>
      <c r="Z712" s="66" t="n"/>
      <c r="AA712" s="66" t="n"/>
      <c r="AB712" s="66" t="n"/>
      <c r="AC712" s="66" t="n"/>
      <c r="AD712" s="72" t="n"/>
      <c r="AE712" s="66" t="n"/>
      <c r="AF712" s="67">
        <f>IF(AND(ISNUMBER(X712),ISNUMBER(Y712)),Y712-X712,"")</f>
        <v/>
      </c>
      <c r="AG712" s="68">
        <f>IF(ISNUMBER(AD712),AD712-(IF(AND(INDEX(TZ_DSTS,MATCH(P712,TZ_STN,0))&lt;&gt;"",(AD712-INDEX(TZ_STD,MATCH(P712,TZ_STN,0))/24)&gt;=INDEX(TZ_DSTS,MATCH(P712,TZ_STN,0)),(AD712-INDEX(TZ_STD,MATCH(P712,TZ_STN,0))/24)&lt;INDEX(TZ_DSTE,MATCH(P712,TZ_STN,0))),INDEX(TZ_DST,MATCH(P712,TZ_STN,0)),INDEX(TZ_STD,MATCH(P712,TZ_STN,0))))/24,"")</f>
        <v/>
      </c>
      <c r="AH712" s="71">
        <f>IF(N712="N/A – rule","N/A – RULE",IF(TRIM(U712)="N/A",IF(AT712=0,"INVALID – N/A not permitted for this mandatory check",IF(AND(TRIM(AC712)&lt;&gt;"",TRIM(AE712)&lt;&gt;"",TRIM(T712)&lt;&gt;""),"N/A – JUSTIFIED","INVALID – N/A needs justification, PIC and verifier")),IF(OR(TRIM(U712)="Pass",TRIM(U712)="Pass after CA"),IF(NOT(ISNUMBER(AD712)),"INVALID – completion time missing",IF(TRIM(T712)="","INVALID – PIC missing",IF(TRIM(Z712)="","INVALID – evidence missing",IF(TRIM(AE712)="","INVALID – verifier missing",IF(AND(AQ712=1,TRIM(W712)=""),"INVALID – batch ID missing",IF(AND(AR712=1,OR(NOT(ISNUMBER(X712)),NOT(ISNUMBER(Y712)))),"INVALID – expected/actual qty missing",IF(IF(AND(TRIM(U712)="Pass",ISNUMBER(AF712)),IF(AF712&lt;&gt;0,"INVALID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recorded/closed","")&lt;&gt;"",IF(AND(TRIM(U712)="Pass",ISNUMBER(AF712)),IF(AF712&lt;&gt;0,"INVALID – qty variance: use Fail or Pass after CA",""),"")&amp;IF(AND(TRIM(U712)="Pass",AB712="Open"),"INVALID – corrective action still open: use Fail, then Pass after CA","")&amp;IF(AND(TRIM(U712)="Pass after CA",OR(TRIM(AA712)="",AB712&lt;&gt;"Closed")),"INVALID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window"),IF(AG712&gt;Flights!$AA$26,"INVALID – completed after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f>
        <v/>
      </c>
      <c r="AI712" s="67">
        <f>IF(OR(AH712="N/A – RULE",AH712="N/A – JUSTIFIED"),0,1)</f>
        <v/>
      </c>
      <c r="AJ712" s="67">
        <f>IF(LEFT(AH712,8)="COMPLETE",1,0)</f>
        <v/>
      </c>
      <c r="AK712" s="67">
        <f>IF(AND(AI712=1,AJ712=0,AsOfUTC&gt;Q712),1,0)</f>
        <v/>
      </c>
      <c r="AL712" s="67">
        <f>IF(AND(AI712=1,OR(TRIM(U712)="Fail",AB712="Open",AND(ISNUMBER(AF712),AF712&lt;&gt;0,TRIM(U712)&lt;&gt;"Pass after CA"))),1,0)</f>
        <v/>
      </c>
      <c r="AM712" s="67">
        <f>IF(LEFT(AH712,7)="INVALID",1,0)</f>
        <v/>
      </c>
      <c r="AN712" s="67">
        <f>IF(AND(N712="Clarification required",AI712=1,AJ712=0),1,0)</f>
        <v/>
      </c>
      <c r="AO712" s="67">
        <f>IF(AK712=1,SUM(AK$5:AK712),"")</f>
        <v/>
      </c>
      <c r="AP712" s="67">
        <f>IF(AL712=1,SUM(AL$5:AL712),"")</f>
        <v/>
      </c>
      <c r="AQ712" s="67" t="n">
        <v>0</v>
      </c>
      <c r="AR712" s="67" t="n">
        <v>0</v>
      </c>
      <c r="AS712" s="67" t="n">
        <v>0</v>
      </c>
      <c r="AT712" s="67" t="n">
        <v>0</v>
      </c>
    </row>
    <row r="713" ht="40" customHeight="1">
      <c r="A713" s="63" t="inlineStr">
        <is>
          <t>F22-T12-02</t>
        </is>
      </c>
      <c r="B713" s="63" t="inlineStr">
        <is>
          <t>F22</t>
        </is>
      </c>
      <c r="C713" s="63">
        <f>Flights!$F$26</f>
        <v/>
      </c>
      <c r="D713" s="64">
        <f>Flights!$D$26</f>
        <v/>
      </c>
      <c r="E713" s="63">
        <f>Flights!$G$26&amp;"-"&amp;Flights!$H$26</f>
        <v/>
      </c>
      <c r="F713" s="63">
        <f>Flights!$K$26</f>
        <v/>
      </c>
      <c r="G713" s="63" t="inlineStr">
        <is>
          <t>T-12H PREP</t>
        </is>
      </c>
      <c r="H713" s="63" t="inlineStr">
        <is>
          <t>Preparation</t>
        </is>
      </c>
      <c r="I713" s="63" t="inlineStr">
        <is>
          <t>Meal</t>
        </is>
      </c>
      <c r="J713" s="63" t="inlineStr">
        <is>
          <t>Meal quantities vs menu checklist</t>
        </is>
      </c>
      <c r="K713" s="73" t="inlineStr">
        <is>
          <t>Enter expected &amp; actual</t>
        </is>
      </c>
      <c r="L713" s="73" t="inlineStr">
        <is>
          <t>User brief (T-12 hours)</t>
        </is>
      </c>
      <c r="M713" s="73" t="inlineStr"/>
      <c r="N713" s="73" t="inlineStr">
        <is>
          <t>Required</t>
        </is>
      </c>
      <c r="O713" s="73" t="inlineStr">
        <is>
          <t>Preparation check at caterer - does NOT confirm loading.</t>
        </is>
      </c>
      <c r="P713" s="63" t="inlineStr">
        <is>
          <t>KUL</t>
        </is>
      </c>
      <c r="Q713" s="65">
        <f>Flights!$AE$26</f>
        <v/>
      </c>
      <c r="R713" s="65">
        <f>Q713+(IF(AND(INDEX(TZ_DSTS,MATCH(P713,TZ_STN,0))&lt;&gt;"",Q713&gt;=INDEX(TZ_DSTS,MATCH(P713,TZ_STN,0)),Q713&lt;INDEX(TZ_DSTE,MATCH(P713,TZ_STN,0))),INDEX(TZ_DST,MATCH(P713,TZ_STN,0)),INDEX(TZ_STD,MATCH(P713,TZ_STN,0))))/24</f>
        <v/>
      </c>
      <c r="S713" s="65">
        <f>Q713-T12EarlyH/24</f>
        <v/>
      </c>
      <c r="T713" s="66" t="n"/>
      <c r="U713" s="66" t="n"/>
      <c r="V713" s="66" t="n"/>
      <c r="W713" s="67" t="n"/>
      <c r="X713" s="66" t="n"/>
      <c r="Y713" s="66" t="n"/>
      <c r="Z713" s="66" t="n"/>
      <c r="AA713" s="66" t="n"/>
      <c r="AB713" s="66" t="n"/>
      <c r="AC713" s="66" t="n"/>
      <c r="AD713" s="72" t="n"/>
      <c r="AE713" s="66" t="n"/>
      <c r="AF713" s="67">
        <f>IF(AND(ISNUMBER(X713),ISNUMBER(Y713)),Y713-X713,"")</f>
        <v/>
      </c>
      <c r="AG713" s="68">
        <f>IF(ISNUMBER(AD713),AD713-(IF(AND(INDEX(TZ_DSTS,MATCH(P713,TZ_STN,0))&lt;&gt;"",(AD713-INDEX(TZ_STD,MATCH(P713,TZ_STN,0))/24)&gt;=INDEX(TZ_DSTS,MATCH(P713,TZ_STN,0)),(AD713-INDEX(TZ_STD,MATCH(P713,TZ_STN,0))/24)&lt;INDEX(TZ_DSTE,MATCH(P713,TZ_STN,0))),INDEX(TZ_DST,MATCH(P713,TZ_STN,0)),INDEX(TZ_STD,MATCH(P713,TZ_STN,0))))/24,"")</f>
        <v/>
      </c>
      <c r="AH713" s="71">
        <f>IF(N713="N/A – rule","N/A – RULE",IF(TRIM(U713)="N/A",IF(AT713=0,"INVALID – N/A not permitted for this mandatory check",IF(AND(TRIM(AC713)&lt;&gt;"",TRIM(AE713)&lt;&gt;"",TRIM(T713)&lt;&gt;""),"N/A – JUSTIFIED","INVALID – N/A needs justification, PIC and verifier")),IF(OR(TRIM(U713)="Pass",TRIM(U713)="Pass after CA"),IF(NOT(ISNUMBER(AD713)),"INVALID – completion time missing",IF(TRIM(T713)="","INVALID – PIC missing",IF(TRIM(Z713)="","INVALID – evidence missing",IF(TRIM(AE713)="","INVALID – verifier missing",IF(AND(AQ713=1,TRIM(W713)=""),"INVALID – batch ID missing",IF(AND(AR713=1,OR(NOT(ISNUMBER(X713)),NOT(ISNUMBER(Y713)))),"INVALID – expected/actual qty missing",IF(IF(AND(TRIM(U713)="Pass",ISNUMBER(AF713)),IF(AF713&lt;&gt;0,"INVALID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recorded/closed","")&lt;&gt;"",IF(AND(TRIM(U713)="Pass",ISNUMBER(AF713)),IF(AF713&lt;&gt;0,"INVALID – qty variance: use Fail or Pass after CA",""),"")&amp;IF(AND(TRIM(U713)="Pass",AB713="Open"),"INVALID – corrective action still open: use Fail, then Pass after CA","")&amp;IF(AND(TRIM(U713)="Pass after CA",OR(TRIM(AA713)="",AB713&lt;&gt;"Closed")),"INVALID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window"),IF(AG713&gt;Flights!$AA$26,"INVALID – completed after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f>
        <v/>
      </c>
      <c r="AI713" s="67">
        <f>IF(OR(AH713="N/A – RULE",AH713="N/A – JUSTIFIED"),0,1)</f>
        <v/>
      </c>
      <c r="AJ713" s="67">
        <f>IF(LEFT(AH713,8)="COMPLETE",1,0)</f>
        <v/>
      </c>
      <c r="AK713" s="67">
        <f>IF(AND(AI713=1,AJ713=0,AsOfUTC&gt;Q713),1,0)</f>
        <v/>
      </c>
      <c r="AL713" s="67">
        <f>IF(AND(AI713=1,OR(TRIM(U713)="Fail",AB713="Open",AND(ISNUMBER(AF713),AF713&lt;&gt;0,TRIM(U713)&lt;&gt;"Pass after CA"))),1,0)</f>
        <v/>
      </c>
      <c r="AM713" s="67">
        <f>IF(LEFT(AH713,7)="INVALID",1,0)</f>
        <v/>
      </c>
      <c r="AN713" s="67">
        <f>IF(AND(N713="Clarification required",AI713=1,AJ713=0),1,0)</f>
        <v/>
      </c>
      <c r="AO713" s="67">
        <f>IF(AK713=1,SUM(AK$5:AK713),"")</f>
        <v/>
      </c>
      <c r="AP713" s="67">
        <f>IF(AL713=1,SUM(AL$5:AL713),"")</f>
        <v/>
      </c>
      <c r="AQ713" s="67" t="n">
        <v>0</v>
      </c>
      <c r="AR713" s="67" t="n">
        <v>1</v>
      </c>
      <c r="AS713" s="67" t="n">
        <v>0</v>
      </c>
      <c r="AT713" s="67" t="n">
        <v>0</v>
      </c>
    </row>
    <row r="714" ht="40" customHeight="1">
      <c r="A714" s="63" t="inlineStr">
        <is>
          <t>F22-T12-03</t>
        </is>
      </c>
      <c r="B714" s="63" t="inlineStr">
        <is>
          <t>F22</t>
        </is>
      </c>
      <c r="C714" s="63">
        <f>Flights!$F$26</f>
        <v/>
      </c>
      <c r="D714" s="64">
        <f>Flights!$D$26</f>
        <v/>
      </c>
      <c r="E714" s="63">
        <f>Flights!$G$26&amp;"-"&amp;Flights!$H$26</f>
        <v/>
      </c>
      <c r="F714" s="63">
        <f>Flights!$K$26</f>
        <v/>
      </c>
      <c r="G714" s="63" t="inlineStr">
        <is>
          <t>T-12H PREP</t>
        </is>
      </c>
      <c r="H714" s="63" t="inlineStr">
        <is>
          <t>Preparation</t>
        </is>
      </c>
      <c r="I714" s="63" t="inlineStr">
        <is>
          <t>Equipment</t>
        </is>
      </c>
      <c r="J714" s="63" t="inlineStr">
        <is>
          <t>Equipment cleanliness vs GLD</t>
        </is>
      </c>
      <c r="K714" s="73" t="inlineStr"/>
      <c r="L714" s="73" t="inlineStr">
        <is>
          <t>User brief (T-12 hours)</t>
        </is>
      </c>
      <c r="M714" s="73" t="inlineStr"/>
      <c r="N714" s="73" t="inlineStr">
        <is>
          <t>Required</t>
        </is>
      </c>
      <c r="O714" s="73" t="inlineStr">
        <is>
          <t>Preparation check at caterer - does NOT confirm loading.</t>
        </is>
      </c>
      <c r="P714" s="63" t="inlineStr">
        <is>
          <t>KUL</t>
        </is>
      </c>
      <c r="Q714" s="65">
        <f>Flights!$AE$26</f>
        <v/>
      </c>
      <c r="R714" s="65">
        <f>Q714+(IF(AND(INDEX(TZ_DSTS,MATCH(P714,TZ_STN,0))&lt;&gt;"",Q714&gt;=INDEX(TZ_DSTS,MATCH(P714,TZ_STN,0)),Q714&lt;INDEX(TZ_DSTE,MATCH(P714,TZ_STN,0))),INDEX(TZ_DST,MATCH(P714,TZ_STN,0)),INDEX(TZ_STD,MATCH(P714,TZ_STN,0))))/24</f>
        <v/>
      </c>
      <c r="S714" s="65">
        <f>Q714-T12EarlyH/24</f>
        <v/>
      </c>
      <c r="T714" s="66" t="n"/>
      <c r="U714" s="66" t="n"/>
      <c r="V714" s="66" t="n"/>
      <c r="W714" s="67" t="n"/>
      <c r="X714" s="66" t="n"/>
      <c r="Y714" s="66" t="n"/>
      <c r="Z714" s="66" t="n"/>
      <c r="AA714" s="66" t="n"/>
      <c r="AB714" s="66" t="n"/>
      <c r="AC714" s="66" t="n"/>
      <c r="AD714" s="72" t="n"/>
      <c r="AE714" s="66" t="n"/>
      <c r="AF714" s="67">
        <f>IF(AND(ISNUMBER(X714),ISNUMBER(Y714)),Y714-X714,"")</f>
        <v/>
      </c>
      <c r="AG714" s="68">
        <f>IF(ISNUMBER(AD714),AD714-(IF(AND(INDEX(TZ_DSTS,MATCH(P714,TZ_STN,0))&lt;&gt;"",(AD714-INDEX(TZ_STD,MATCH(P714,TZ_STN,0))/24)&gt;=INDEX(TZ_DSTS,MATCH(P714,TZ_STN,0)),(AD714-INDEX(TZ_STD,MATCH(P714,TZ_STN,0))/24)&lt;INDEX(TZ_DSTE,MATCH(P714,TZ_STN,0))),INDEX(TZ_DST,MATCH(P714,TZ_STN,0)),INDEX(TZ_STD,MATCH(P714,TZ_STN,0))))/24,"")</f>
        <v/>
      </c>
      <c r="AH714" s="71">
        <f>IF(N714="N/A – rule","N/A – RULE",IF(TRIM(U714)="N/A",IF(AT714=0,"INVALID – N/A not permitted for this mandatory check",IF(AND(TRIM(AC714)&lt;&gt;"",TRIM(AE714)&lt;&gt;"",TRIM(T714)&lt;&gt;""),"N/A – JUSTIFIED","INVALID – N/A needs justification, PIC and verifier")),IF(OR(TRIM(U714)="Pass",TRIM(U714)="Pass after CA"),IF(NOT(ISNUMBER(AD714)),"INVALID – completion time missing",IF(TRIM(T714)="","INVALID – PIC missing",IF(TRIM(Z714)="","INVALID – evidence missing",IF(TRIM(AE714)="","INVALID – verifier missing",IF(AND(AQ714=1,TRIM(W714)=""),"INVALID – batch ID missing",IF(AND(AR714=1,OR(NOT(ISNUMBER(X714)),NOT(ISNUMBER(Y714)))),"INVALID – expected/actual qty missing",IF(IF(AND(TRIM(U714)="Pass",ISNUMBER(AF714)),IF(AF714&lt;&gt;0,"INVALID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recorded/closed","")&lt;&gt;"",IF(AND(TRIM(U714)="Pass",ISNUMBER(AF714)),IF(AF714&lt;&gt;0,"INVALID – qty variance: use Fail or Pass after CA",""),"")&amp;IF(AND(TRIM(U714)="Pass",AB714="Open"),"INVALID – corrective action still open: use Fail, then Pass after CA","")&amp;IF(AND(TRIM(U714)="Pass after CA",OR(TRIM(AA714)="",AB714&lt;&gt;"Closed")),"INVALID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window"),IF(AG714&gt;Flights!$AA$26,"INVALID – completed after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f>
        <v/>
      </c>
      <c r="AI714" s="67">
        <f>IF(OR(AH714="N/A – RULE",AH714="N/A – JUSTIFIED"),0,1)</f>
        <v/>
      </c>
      <c r="AJ714" s="67">
        <f>IF(LEFT(AH714,8)="COMPLETE",1,0)</f>
        <v/>
      </c>
      <c r="AK714" s="67">
        <f>IF(AND(AI714=1,AJ714=0,AsOfUTC&gt;Q714),1,0)</f>
        <v/>
      </c>
      <c r="AL714" s="67">
        <f>IF(AND(AI714=1,OR(TRIM(U714)="Fail",AB714="Open",AND(ISNUMBER(AF714),AF714&lt;&gt;0,TRIM(U714)&lt;&gt;"Pass after CA"))),1,0)</f>
        <v/>
      </c>
      <c r="AM714" s="67">
        <f>IF(LEFT(AH714,7)="INVALID",1,0)</f>
        <v/>
      </c>
      <c r="AN714" s="67">
        <f>IF(AND(N714="Clarification required",AI714=1,AJ714=0),1,0)</f>
        <v/>
      </c>
      <c r="AO714" s="67">
        <f>IF(AK714=1,SUM(AK$5:AK714),"")</f>
        <v/>
      </c>
      <c r="AP714" s="67">
        <f>IF(AL714=1,SUM(AL$5:AL714),"")</f>
        <v/>
      </c>
      <c r="AQ714" s="67" t="n">
        <v>0</v>
      </c>
      <c r="AR714" s="67" t="n">
        <v>0</v>
      </c>
      <c r="AS714" s="67" t="n">
        <v>0</v>
      </c>
      <c r="AT714" s="67" t="n">
        <v>0</v>
      </c>
    </row>
    <row r="715" ht="40" customHeight="1">
      <c r="A715" s="63" t="inlineStr">
        <is>
          <t>F22-T12-04</t>
        </is>
      </c>
      <c r="B715" s="63" t="inlineStr">
        <is>
          <t>F22</t>
        </is>
      </c>
      <c r="C715" s="63">
        <f>Flights!$F$26</f>
        <v/>
      </c>
      <c r="D715" s="64">
        <f>Flights!$D$26</f>
        <v/>
      </c>
      <c r="E715" s="63">
        <f>Flights!$G$26&amp;"-"&amp;Flights!$H$26</f>
        <v/>
      </c>
      <c r="F715" s="63">
        <f>Flights!$K$26</f>
        <v/>
      </c>
      <c r="G715" s="63" t="inlineStr">
        <is>
          <t>T-12H PREP</t>
        </is>
      </c>
      <c r="H715" s="63" t="inlineStr">
        <is>
          <t>Preparation</t>
        </is>
      </c>
      <c r="I715" s="63" t="inlineStr">
        <is>
          <t>Equipment</t>
        </is>
      </c>
      <c r="J715" s="63" t="inlineStr">
        <is>
          <t>Equipment presentation vs GLD</t>
        </is>
      </c>
      <c r="K715" s="73" t="inlineStr"/>
      <c r="L715" s="73" t="inlineStr">
        <is>
          <t>User brief (T-12 hours)</t>
        </is>
      </c>
      <c r="M715" s="73" t="inlineStr"/>
      <c r="N715" s="73" t="inlineStr">
        <is>
          <t>Required</t>
        </is>
      </c>
      <c r="O715" s="73" t="inlineStr">
        <is>
          <t>Preparation check at caterer - does NOT confirm loading.</t>
        </is>
      </c>
      <c r="P715" s="63" t="inlineStr">
        <is>
          <t>KUL</t>
        </is>
      </c>
      <c r="Q715" s="65">
        <f>Flights!$AE$26</f>
        <v/>
      </c>
      <c r="R715" s="65">
        <f>Q715+(IF(AND(INDEX(TZ_DSTS,MATCH(P715,TZ_STN,0))&lt;&gt;"",Q715&gt;=INDEX(TZ_DSTS,MATCH(P715,TZ_STN,0)),Q715&lt;INDEX(TZ_DSTE,MATCH(P715,TZ_STN,0))),INDEX(TZ_DST,MATCH(P715,TZ_STN,0)),INDEX(TZ_STD,MATCH(P715,TZ_STN,0))))/24</f>
        <v/>
      </c>
      <c r="S715" s="65">
        <f>Q715-T12EarlyH/24</f>
        <v/>
      </c>
      <c r="T715" s="66" t="n"/>
      <c r="U715" s="66" t="n"/>
      <c r="V715" s="66" t="n"/>
      <c r="W715" s="67" t="n"/>
      <c r="X715" s="66" t="n"/>
      <c r="Y715" s="66" t="n"/>
      <c r="Z715" s="66" t="n"/>
      <c r="AA715" s="66" t="n"/>
      <c r="AB715" s="66" t="n"/>
      <c r="AC715" s="66" t="n"/>
      <c r="AD715" s="72" t="n"/>
      <c r="AE715" s="66" t="n"/>
      <c r="AF715" s="67">
        <f>IF(AND(ISNUMBER(X715),ISNUMBER(Y715)),Y715-X715,"")</f>
        <v/>
      </c>
      <c r="AG715" s="68">
        <f>IF(ISNUMBER(AD715),AD715-(IF(AND(INDEX(TZ_DSTS,MATCH(P715,TZ_STN,0))&lt;&gt;"",(AD715-INDEX(TZ_STD,MATCH(P715,TZ_STN,0))/24)&gt;=INDEX(TZ_DSTS,MATCH(P715,TZ_STN,0)),(AD715-INDEX(TZ_STD,MATCH(P715,TZ_STN,0))/24)&lt;INDEX(TZ_DSTE,MATCH(P715,TZ_STN,0))),INDEX(TZ_DST,MATCH(P715,TZ_STN,0)),INDEX(TZ_STD,MATCH(P715,TZ_STN,0))))/24,"")</f>
        <v/>
      </c>
      <c r="AH715" s="71">
        <f>IF(N715="N/A – rule","N/A – RULE",IF(TRIM(U715)="N/A",IF(AT715=0,"INVALID – N/A not permitted for this mandatory check",IF(AND(TRIM(AC715)&lt;&gt;"",TRIM(AE715)&lt;&gt;"",TRIM(T715)&lt;&gt;""),"N/A – JUSTIFIED","INVALID – N/A needs justification, PIC and verifier")),IF(OR(TRIM(U715)="Pass",TRIM(U715)="Pass after CA"),IF(NOT(ISNUMBER(AD715)),"INVALID – completion time missing",IF(TRIM(T715)="","INVALID – PIC missing",IF(TRIM(Z715)="","INVALID – evidence missing",IF(TRIM(AE715)="","INVALID – verifier missing",IF(AND(AQ715=1,TRIM(W715)=""),"INVALID – batch ID missing",IF(AND(AR715=1,OR(NOT(ISNUMBER(X715)),NOT(ISNUMBER(Y715)))),"INVALID – expected/actual qty missing",IF(IF(AND(TRIM(U715)="Pass",ISNUMBER(AF715)),IF(AF715&lt;&gt;0,"INVALID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recorded/closed","")&lt;&gt;"",IF(AND(TRIM(U715)="Pass",ISNUMBER(AF715)),IF(AF715&lt;&gt;0,"INVALID – qty variance: use Fail or Pass after CA",""),"")&amp;IF(AND(TRIM(U715)="Pass",AB715="Open"),"INVALID – corrective action still open: use Fail, then Pass after CA","")&amp;IF(AND(TRIM(U715)="Pass after CA",OR(TRIM(AA715)="",AB715&lt;&gt;"Closed")),"INVALID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window"),IF(AG715&gt;Flights!$AA$26,"INVALID – completed after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f>
        <v/>
      </c>
      <c r="AI715" s="67">
        <f>IF(OR(AH715="N/A – RULE",AH715="N/A – JUSTIFIED"),0,1)</f>
        <v/>
      </c>
      <c r="AJ715" s="67">
        <f>IF(LEFT(AH715,8)="COMPLETE",1,0)</f>
        <v/>
      </c>
      <c r="AK715" s="67">
        <f>IF(AND(AI715=1,AJ715=0,AsOfUTC&gt;Q715),1,0)</f>
        <v/>
      </c>
      <c r="AL715" s="67">
        <f>IF(AND(AI715=1,OR(TRIM(U715)="Fail",AB715="Open",AND(ISNUMBER(AF715),AF715&lt;&gt;0,TRIM(U715)&lt;&gt;"Pass after CA"))),1,0)</f>
        <v/>
      </c>
      <c r="AM715" s="67">
        <f>IF(LEFT(AH715,7)="INVALID",1,0)</f>
        <v/>
      </c>
      <c r="AN715" s="67">
        <f>IF(AND(N715="Clarification required",AI715=1,AJ715=0),1,0)</f>
        <v/>
      </c>
      <c r="AO715" s="67">
        <f>IF(AK715=1,SUM(AK$5:AK715),"")</f>
        <v/>
      </c>
      <c r="AP715" s="67">
        <f>IF(AL715=1,SUM(AL$5:AL715),"")</f>
        <v/>
      </c>
      <c r="AQ715" s="67" t="n">
        <v>0</v>
      </c>
      <c r="AR715" s="67" t="n">
        <v>0</v>
      </c>
      <c r="AS715" s="67" t="n">
        <v>0</v>
      </c>
      <c r="AT715" s="67" t="n">
        <v>0</v>
      </c>
    </row>
    <row r="716" ht="40" customHeight="1">
      <c r="A716" s="63" t="inlineStr">
        <is>
          <t>F22-T12-05</t>
        </is>
      </c>
      <c r="B716" s="63" t="inlineStr">
        <is>
          <t>F22</t>
        </is>
      </c>
      <c r="C716" s="63">
        <f>Flights!$F$26</f>
        <v/>
      </c>
      <c r="D716" s="64">
        <f>Flights!$D$26</f>
        <v/>
      </c>
      <c r="E716" s="63">
        <f>Flights!$G$26&amp;"-"&amp;Flights!$H$26</f>
        <v/>
      </c>
      <c r="F716" s="63">
        <f>Flights!$K$26</f>
        <v/>
      </c>
      <c r="G716" s="63" t="inlineStr">
        <is>
          <t>T-12H PREP</t>
        </is>
      </c>
      <c r="H716" s="63" t="inlineStr">
        <is>
          <t>Preparation</t>
        </is>
      </c>
      <c r="I716" s="63" t="inlineStr">
        <is>
          <t>Equipment</t>
        </is>
      </c>
      <c r="J716" s="63" t="inlineStr">
        <is>
          <t>Equipment serviceability vs GLD</t>
        </is>
      </c>
      <c r="K716" s="73" t="inlineStr"/>
      <c r="L716" s="73" t="inlineStr">
        <is>
          <t>User brief (T-12 hours)</t>
        </is>
      </c>
      <c r="M716" s="73" t="inlineStr"/>
      <c r="N716" s="73" t="inlineStr">
        <is>
          <t>Required</t>
        </is>
      </c>
      <c r="O716" s="73" t="inlineStr">
        <is>
          <t>Preparation check at caterer - does NOT confirm loading.</t>
        </is>
      </c>
      <c r="P716" s="63" t="inlineStr">
        <is>
          <t>KUL</t>
        </is>
      </c>
      <c r="Q716" s="65">
        <f>Flights!$AE$26</f>
        <v/>
      </c>
      <c r="R716" s="65">
        <f>Q716+(IF(AND(INDEX(TZ_DSTS,MATCH(P716,TZ_STN,0))&lt;&gt;"",Q716&gt;=INDEX(TZ_DSTS,MATCH(P716,TZ_STN,0)),Q716&lt;INDEX(TZ_DSTE,MATCH(P716,TZ_STN,0))),INDEX(TZ_DST,MATCH(P716,TZ_STN,0)),INDEX(TZ_STD,MATCH(P716,TZ_STN,0))))/24</f>
        <v/>
      </c>
      <c r="S716" s="65">
        <f>Q716-T12EarlyH/24</f>
        <v/>
      </c>
      <c r="T716" s="66" t="n"/>
      <c r="U716" s="66" t="n"/>
      <c r="V716" s="66" t="n"/>
      <c r="W716" s="67" t="n"/>
      <c r="X716" s="66" t="n"/>
      <c r="Y716" s="66" t="n"/>
      <c r="Z716" s="66" t="n"/>
      <c r="AA716" s="66" t="n"/>
      <c r="AB716" s="66" t="n"/>
      <c r="AC716" s="66" t="n"/>
      <c r="AD716" s="72" t="n"/>
      <c r="AE716" s="66" t="n"/>
      <c r="AF716" s="67">
        <f>IF(AND(ISNUMBER(X716),ISNUMBER(Y716)),Y716-X716,"")</f>
        <v/>
      </c>
      <c r="AG716" s="68">
        <f>IF(ISNUMBER(AD716),AD716-(IF(AND(INDEX(TZ_DSTS,MATCH(P716,TZ_STN,0))&lt;&gt;"",(AD716-INDEX(TZ_STD,MATCH(P716,TZ_STN,0))/24)&gt;=INDEX(TZ_DSTS,MATCH(P716,TZ_STN,0)),(AD716-INDEX(TZ_STD,MATCH(P716,TZ_STN,0))/24)&lt;INDEX(TZ_DSTE,MATCH(P716,TZ_STN,0))),INDEX(TZ_DST,MATCH(P716,TZ_STN,0)),INDEX(TZ_STD,MATCH(P716,TZ_STN,0))))/24,"")</f>
        <v/>
      </c>
      <c r="AH716" s="71">
        <f>IF(N716="N/A – rule","N/A – RULE",IF(TRIM(U716)="N/A",IF(AT716=0,"INVALID – N/A not permitted for this mandatory check",IF(AND(TRIM(AC716)&lt;&gt;"",TRIM(AE716)&lt;&gt;"",TRIM(T716)&lt;&gt;""),"N/A – JUSTIFIED","INVALID – N/A needs justification, PIC and verifier")),IF(OR(TRIM(U716)="Pass",TRIM(U716)="Pass after CA"),IF(NOT(ISNUMBER(AD716)),"INVALID – completion time missing",IF(TRIM(T716)="","INVALID – PIC missing",IF(TRIM(Z716)="","INVALID – evidence missing",IF(TRIM(AE716)="","INVALID – verifier missing",IF(AND(AQ716=1,TRIM(W716)=""),"INVALID – batch ID missing",IF(AND(AR716=1,OR(NOT(ISNUMBER(X716)),NOT(ISNUMBER(Y716)))),"INVALID – expected/actual qty missing",IF(IF(AND(TRIM(U716)="Pass",ISNUMBER(AF716)),IF(AF716&lt;&gt;0,"INVALID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recorded/closed","")&lt;&gt;"",IF(AND(TRIM(U716)="Pass",ISNUMBER(AF716)),IF(AF716&lt;&gt;0,"INVALID – qty variance: use Fail or Pass after CA",""),"")&amp;IF(AND(TRIM(U716)="Pass",AB716="Open"),"INVALID – corrective action still open: use Fail, then Pass after CA","")&amp;IF(AND(TRIM(U716)="Pass after CA",OR(TRIM(AA716)="",AB716&lt;&gt;"Closed")),"INVALID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window"),IF(AG716&gt;Flights!$AA$26,"INVALID – completed after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f>
        <v/>
      </c>
      <c r="AI716" s="67">
        <f>IF(OR(AH716="N/A – RULE",AH716="N/A – JUSTIFIED"),0,1)</f>
        <v/>
      </c>
      <c r="AJ716" s="67">
        <f>IF(LEFT(AH716,8)="COMPLETE",1,0)</f>
        <v/>
      </c>
      <c r="AK716" s="67">
        <f>IF(AND(AI716=1,AJ716=0,AsOfUTC&gt;Q716),1,0)</f>
        <v/>
      </c>
      <c r="AL716" s="67">
        <f>IF(AND(AI716=1,OR(TRIM(U716)="Fail",AB716="Open",AND(ISNUMBER(AF716),AF716&lt;&gt;0,TRIM(U716)&lt;&gt;"Pass after CA"))),1,0)</f>
        <v/>
      </c>
      <c r="AM716" s="67">
        <f>IF(LEFT(AH716,7)="INVALID",1,0)</f>
        <v/>
      </c>
      <c r="AN716" s="67">
        <f>IF(AND(N716="Clarification required",AI716=1,AJ716=0),1,0)</f>
        <v/>
      </c>
      <c r="AO716" s="67">
        <f>IF(AK716=1,SUM(AK$5:AK716),"")</f>
        <v/>
      </c>
      <c r="AP716" s="67">
        <f>IF(AL716=1,SUM(AL$5:AL716),"")</f>
        <v/>
      </c>
      <c r="AQ716" s="67" t="n">
        <v>0</v>
      </c>
      <c r="AR716" s="67" t="n">
        <v>0</v>
      </c>
      <c r="AS716" s="67" t="n">
        <v>0</v>
      </c>
      <c r="AT716" s="67" t="n">
        <v>0</v>
      </c>
    </row>
    <row r="717" ht="141.5" customHeight="1">
      <c r="A717" s="63" t="inlineStr">
        <is>
          <t>F22-T12-06</t>
        </is>
      </c>
      <c r="B717" s="63" t="inlineStr">
        <is>
          <t>F22</t>
        </is>
      </c>
      <c r="C717" s="63">
        <f>Flights!$F$26</f>
        <v/>
      </c>
      <c r="D717" s="64">
        <f>Flights!$D$26</f>
        <v/>
      </c>
      <c r="E717" s="63">
        <f>Flights!$G$26&amp;"-"&amp;Flights!$H$26</f>
        <v/>
      </c>
      <c r="F717" s="63">
        <f>Flights!$K$26</f>
        <v/>
      </c>
      <c r="G717" s="63" t="inlineStr">
        <is>
          <t>T-12H PREP</t>
        </is>
      </c>
      <c r="H717" s="63" t="inlineStr">
        <is>
          <t>Preparation</t>
        </is>
      </c>
      <c r="I717" s="63" t="inlineStr">
        <is>
          <t>Equipment</t>
        </is>
      </c>
      <c r="J717" s="63" t="inlineStr">
        <is>
          <t>Equipment quantities vs GLD</t>
        </is>
      </c>
      <c r="K717" s="73" t="inlineStr">
        <is>
          <t>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is>
      </c>
      <c r="L717" s="73" t="inlineStr">
        <is>
          <t>User brief (T-12 hours)</t>
        </is>
      </c>
      <c r="M717" s="73" t="inlineStr"/>
      <c r="N717" s="73" t="inlineStr">
        <is>
          <t>Required</t>
        </is>
      </c>
      <c r="O717" s="73" t="inlineStr">
        <is>
          <t>Preparation check at caterer - does NOT confirm loading.</t>
        </is>
      </c>
      <c r="P717" s="63" t="inlineStr">
        <is>
          <t>KUL</t>
        </is>
      </c>
      <c r="Q717" s="65">
        <f>Flights!$AE$26</f>
        <v/>
      </c>
      <c r="R717" s="65">
        <f>Q717+(IF(AND(INDEX(TZ_DSTS,MATCH(P717,TZ_STN,0))&lt;&gt;"",Q717&gt;=INDEX(TZ_DSTS,MATCH(P717,TZ_STN,0)),Q717&lt;INDEX(TZ_DSTE,MATCH(P717,TZ_STN,0))),INDEX(TZ_DST,MATCH(P717,TZ_STN,0)),INDEX(TZ_STD,MATCH(P717,TZ_STN,0))))/24</f>
        <v/>
      </c>
      <c r="S717" s="65">
        <f>Q717-T12EarlyH/24</f>
        <v/>
      </c>
      <c r="T717" s="66" t="n"/>
      <c r="U717" s="66" t="n"/>
      <c r="V717" s="66" t="n"/>
      <c r="W717" s="67" t="n"/>
      <c r="X717" s="66" t="n"/>
      <c r="Y717" s="66" t="n"/>
      <c r="Z717" s="66" t="n"/>
      <c r="AA717" s="66" t="n"/>
      <c r="AB717" s="66" t="n"/>
      <c r="AC717" s="66" t="n"/>
      <c r="AD717" s="72" t="n"/>
      <c r="AE717" s="66" t="n"/>
      <c r="AF717" s="67">
        <f>IF(AND(ISNUMBER(X717),ISNUMBER(Y717)),Y717-X717,"")</f>
        <v/>
      </c>
      <c r="AG717" s="68">
        <f>IF(ISNUMBER(AD717),AD717-(IF(AND(INDEX(TZ_DSTS,MATCH(P717,TZ_STN,0))&lt;&gt;"",(AD717-INDEX(TZ_STD,MATCH(P717,TZ_STN,0))/24)&gt;=INDEX(TZ_DSTS,MATCH(P717,TZ_STN,0)),(AD717-INDEX(TZ_STD,MATCH(P717,TZ_STN,0))/24)&lt;INDEX(TZ_DSTE,MATCH(P717,TZ_STN,0))),INDEX(TZ_DST,MATCH(P717,TZ_STN,0)),INDEX(TZ_STD,MATCH(P717,TZ_STN,0))))/24,"")</f>
        <v/>
      </c>
      <c r="AH717" s="71">
        <f>IF(N717="N/A – rule","N/A – RULE",IF(TRIM(U717)="N/A",IF(AT717=0,"INVALID – N/A not permitted for this mandatory check",IF(AND(TRIM(AC717)&lt;&gt;"",TRIM(AE717)&lt;&gt;"",TRIM(T717)&lt;&gt;""),"N/A – JUSTIFIED","INVALID – N/A needs justification, PIC and verifier")),IF(OR(TRIM(U717)="Pass",TRIM(U717)="Pass after CA"),IF(NOT(ISNUMBER(AD717)),"INVALID – completion time missing",IF(TRIM(T717)="","INVALID – PIC missing",IF(TRIM(Z717)="","INVALID – evidence missing",IF(TRIM(AE717)="","INVALID – verifier missing",IF(AND(AQ717=1,TRIM(W717)=""),"INVALID – batch ID missing",IF(AND(AR717=1,OR(NOT(ISNUMBER(X717)),NOT(ISNUMBER(Y717)))),"INVALID – expected/actual qty missing",IF(IF(AND(TRIM(U717)="Pass",ISNUMBER(AF717)),IF(AF717&lt;&gt;0,"INVALID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recorded/closed","")&lt;&gt;"",IF(AND(TRIM(U717)="Pass",ISNUMBER(AF717)),IF(AF717&lt;&gt;0,"INVALID – qty variance: use Fail or Pass after CA",""),"")&amp;IF(AND(TRIM(U717)="Pass",AB717="Open"),"INVALID – corrective action still open: use Fail, then Pass after CA","")&amp;IF(AND(TRIM(U717)="Pass after CA",OR(TRIM(AA717)="",AB717&lt;&gt;"Closed")),"INVALID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window"),IF(AG717&gt;Flights!$AA$26,"INVALID – completed after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f>
        <v/>
      </c>
      <c r="AI717" s="67">
        <f>IF(OR(AH717="N/A – RULE",AH717="N/A – JUSTIFIED"),0,1)</f>
        <v/>
      </c>
      <c r="AJ717" s="67">
        <f>IF(LEFT(AH717,8)="COMPLETE",1,0)</f>
        <v/>
      </c>
      <c r="AK717" s="67">
        <f>IF(AND(AI717=1,AJ717=0,AsOfUTC&gt;Q717),1,0)</f>
        <v/>
      </c>
      <c r="AL717" s="67">
        <f>IF(AND(AI717=1,OR(TRIM(U717)="Fail",AB717="Open",AND(ISNUMBER(AF717),AF717&lt;&gt;0,TRIM(U717)&lt;&gt;"Pass after CA"))),1,0)</f>
        <v/>
      </c>
      <c r="AM717" s="67">
        <f>IF(LEFT(AH717,7)="INVALID",1,0)</f>
        <v/>
      </c>
      <c r="AN717" s="67">
        <f>IF(AND(N717="Clarification required",AI717=1,AJ717=0),1,0)</f>
        <v/>
      </c>
      <c r="AO717" s="67">
        <f>IF(AK717=1,SUM(AK$5:AK717),"")</f>
        <v/>
      </c>
      <c r="AP717" s="67">
        <f>IF(AL717=1,SUM(AL$5:AL717),"")</f>
        <v/>
      </c>
      <c r="AQ717" s="67" t="n">
        <v>0</v>
      </c>
      <c r="AR717" s="67" t="n">
        <v>1</v>
      </c>
      <c r="AS717" s="67" t="n">
        <v>0</v>
      </c>
      <c r="AT717" s="67" t="n">
        <v>0</v>
      </c>
    </row>
    <row r="718" ht="40" customHeight="1">
      <c r="A718" s="63" t="inlineStr">
        <is>
          <t>F22-T12-07</t>
        </is>
      </c>
      <c r="B718" s="63" t="inlineStr">
        <is>
          <t>F22</t>
        </is>
      </c>
      <c r="C718" s="63">
        <f>Flights!$F$26</f>
        <v/>
      </c>
      <c r="D718" s="64">
        <f>Flights!$D$26</f>
        <v/>
      </c>
      <c r="E718" s="63">
        <f>Flights!$G$26&amp;"-"&amp;Flights!$H$26</f>
        <v/>
      </c>
      <c r="F718" s="63">
        <f>Flights!$K$26</f>
        <v/>
      </c>
      <c r="G718" s="63" t="inlineStr">
        <is>
          <t>T-12H PREP</t>
        </is>
      </c>
      <c r="H718" s="63" t="inlineStr">
        <is>
          <t>Preparation</t>
        </is>
      </c>
      <c r="I718" s="63" t="inlineStr">
        <is>
          <t>Equipment</t>
        </is>
      </c>
      <c r="J718" s="63" t="inlineStr">
        <is>
          <t>Loading positions planned vs GLD</t>
        </is>
      </c>
      <c r="K718" s="73" t="inlineStr"/>
      <c r="L718" s="73" t="inlineStr">
        <is>
          <t>User brief (T-12 hours)</t>
        </is>
      </c>
      <c r="M718" s="73" t="inlineStr"/>
      <c r="N718" s="73" t="inlineStr">
        <is>
          <t>Required</t>
        </is>
      </c>
      <c r="O718" s="73" t="inlineStr">
        <is>
          <t>Preparation check at caterer - does NOT confirm loading.</t>
        </is>
      </c>
      <c r="P718" s="63" t="inlineStr">
        <is>
          <t>KUL</t>
        </is>
      </c>
      <c r="Q718" s="65">
        <f>Flights!$AE$26</f>
        <v/>
      </c>
      <c r="R718" s="65">
        <f>Q718+(IF(AND(INDEX(TZ_DSTS,MATCH(P718,TZ_STN,0))&lt;&gt;"",Q718&gt;=INDEX(TZ_DSTS,MATCH(P718,TZ_STN,0)),Q718&lt;INDEX(TZ_DSTE,MATCH(P718,TZ_STN,0))),INDEX(TZ_DST,MATCH(P718,TZ_STN,0)),INDEX(TZ_STD,MATCH(P718,TZ_STN,0))))/24</f>
        <v/>
      </c>
      <c r="S718" s="65">
        <f>Q718-T12EarlyH/24</f>
        <v/>
      </c>
      <c r="T718" s="66" t="n"/>
      <c r="U718" s="66" t="n"/>
      <c r="V718" s="66" t="n"/>
      <c r="W718" s="67" t="n"/>
      <c r="X718" s="66" t="n"/>
      <c r="Y718" s="66" t="n"/>
      <c r="Z718" s="66" t="n"/>
      <c r="AA718" s="66" t="n"/>
      <c r="AB718" s="66" t="n"/>
      <c r="AC718" s="66" t="n"/>
      <c r="AD718" s="72" t="n"/>
      <c r="AE718" s="66" t="n"/>
      <c r="AF718" s="67">
        <f>IF(AND(ISNUMBER(X718),ISNUMBER(Y718)),Y718-X718,"")</f>
        <v/>
      </c>
      <c r="AG718" s="68">
        <f>IF(ISNUMBER(AD718),AD718-(IF(AND(INDEX(TZ_DSTS,MATCH(P718,TZ_STN,0))&lt;&gt;"",(AD718-INDEX(TZ_STD,MATCH(P718,TZ_STN,0))/24)&gt;=INDEX(TZ_DSTS,MATCH(P718,TZ_STN,0)),(AD718-INDEX(TZ_STD,MATCH(P718,TZ_STN,0))/24)&lt;INDEX(TZ_DSTE,MATCH(P718,TZ_STN,0))),INDEX(TZ_DST,MATCH(P718,TZ_STN,0)),INDEX(TZ_STD,MATCH(P718,TZ_STN,0))))/24,"")</f>
        <v/>
      </c>
      <c r="AH718" s="71">
        <f>IF(N718="N/A – rule","N/A – RULE",IF(TRIM(U718)="N/A",IF(AT718=0,"INVALID – N/A not permitted for this mandatory check",IF(AND(TRIM(AC718)&lt;&gt;"",TRIM(AE718)&lt;&gt;"",TRIM(T718)&lt;&gt;""),"N/A – JUSTIFIED","INVALID – N/A needs justification, PIC and verifier")),IF(OR(TRIM(U718)="Pass",TRIM(U718)="Pass after CA"),IF(NOT(ISNUMBER(AD718)),"INVALID – completion time missing",IF(TRIM(T718)="","INVALID – PIC missing",IF(TRIM(Z718)="","INVALID – evidence missing",IF(TRIM(AE718)="","INVALID – verifier missing",IF(AND(AQ718=1,TRIM(W718)=""),"INVALID – batch ID missing",IF(AND(AR718=1,OR(NOT(ISNUMBER(X718)),NOT(ISNUMBER(Y718)))),"INVALID – expected/actual qty missing",IF(IF(AND(TRIM(U718)="Pass",ISNUMBER(AF718)),IF(AF718&lt;&gt;0,"INVALID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recorded/closed","")&lt;&gt;"",IF(AND(TRIM(U718)="Pass",ISNUMBER(AF718)),IF(AF718&lt;&gt;0,"INVALID – qty variance: use Fail or Pass after CA",""),"")&amp;IF(AND(TRIM(U718)="Pass",AB718="Open"),"INVALID – corrective action still open: use Fail, then Pass after CA","")&amp;IF(AND(TRIM(U718)="Pass after CA",OR(TRIM(AA718)="",AB718&lt;&gt;"Closed")),"INVALID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window"),IF(AG718&gt;Flights!$AA$26,"INVALID – completed after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f>
        <v/>
      </c>
      <c r="AI718" s="67">
        <f>IF(OR(AH718="N/A – RULE",AH718="N/A – JUSTIFIED"),0,1)</f>
        <v/>
      </c>
      <c r="AJ718" s="67">
        <f>IF(LEFT(AH718,8)="COMPLETE",1,0)</f>
        <v/>
      </c>
      <c r="AK718" s="67">
        <f>IF(AND(AI718=1,AJ718=0,AsOfUTC&gt;Q718),1,0)</f>
        <v/>
      </c>
      <c r="AL718" s="67">
        <f>IF(AND(AI718=1,OR(TRIM(U718)="Fail",AB718="Open",AND(ISNUMBER(AF718),AF718&lt;&gt;0,TRIM(U718)&lt;&gt;"Pass after CA"))),1,0)</f>
        <v/>
      </c>
      <c r="AM718" s="67">
        <f>IF(LEFT(AH718,7)="INVALID",1,0)</f>
        <v/>
      </c>
      <c r="AN718" s="67">
        <f>IF(AND(N718="Clarification required",AI718=1,AJ718=0),1,0)</f>
        <v/>
      </c>
      <c r="AO718" s="67">
        <f>IF(AK718=1,SUM(AK$5:AK718),"")</f>
        <v/>
      </c>
      <c r="AP718" s="67">
        <f>IF(AL718=1,SUM(AL$5:AL718),"")</f>
        <v/>
      </c>
      <c r="AQ718" s="67" t="n">
        <v>0</v>
      </c>
      <c r="AR718" s="67" t="n">
        <v>0</v>
      </c>
      <c r="AS718" s="67" t="n">
        <v>0</v>
      </c>
      <c r="AT718" s="67" t="n">
        <v>0</v>
      </c>
    </row>
    <row r="719" ht="91.5" customHeight="1">
      <c r="A719" s="63" t="inlineStr">
        <is>
          <t>F22-T12-08</t>
        </is>
      </c>
      <c r="B719" s="63" t="inlineStr">
        <is>
          <t>F22</t>
        </is>
      </c>
      <c r="C719" s="63">
        <f>Flights!$F$26</f>
        <v/>
      </c>
      <c r="D719" s="64">
        <f>Flights!$D$26</f>
        <v/>
      </c>
      <c r="E719" s="63">
        <f>Flights!$G$26&amp;"-"&amp;Flights!$H$26</f>
        <v/>
      </c>
      <c r="F719" s="63">
        <f>Flights!$K$26</f>
        <v/>
      </c>
      <c r="G719" s="63" t="inlineStr">
        <is>
          <t>T-12H PREP</t>
        </is>
      </c>
      <c r="H719" s="63" t="inlineStr">
        <is>
          <t>Preparation</t>
        </is>
      </c>
      <c r="I719" s="63" t="inlineStr">
        <is>
          <t>Amenities</t>
        </is>
      </c>
      <c r="J719" s="63" t="inlineStr">
        <is>
          <t>Toiletry kits - prepared</t>
        </is>
      </c>
      <c r="K719" s="73" t="inlineStr">
        <is>
          <t>Available (ticked in reference)</t>
        </is>
      </c>
      <c r="L719" s="73" t="inlineStr">
        <is>
          <t>STD UPLIFT INFORMATION.xlsx &gt; AMENITIES!D12 / H12</t>
        </is>
      </c>
      <c r="M719" s="73" t="inlineStr">
        <is>
          <t>LHR or KUL - confirm</t>
        </is>
      </c>
      <c r="N719" s="73" t="inlineStr">
        <is>
          <t>Clarification required</t>
        </is>
      </c>
      <c r="O719" s="73" t="inlineStr">
        <is>
          <t>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is>
      </c>
      <c r="P719" s="63" t="inlineStr">
        <is>
          <t>KUL</t>
        </is>
      </c>
      <c r="Q719" s="65">
        <f>Flights!$AE$26</f>
        <v/>
      </c>
      <c r="R719" s="65">
        <f>Q719+(IF(AND(INDEX(TZ_DSTS,MATCH(P719,TZ_STN,0))&lt;&gt;"",Q719&gt;=INDEX(TZ_DSTS,MATCH(P719,TZ_STN,0)),Q719&lt;INDEX(TZ_DSTE,MATCH(P719,TZ_STN,0))),INDEX(TZ_DST,MATCH(P719,TZ_STN,0)),INDEX(TZ_STD,MATCH(P719,TZ_STN,0))))/24</f>
        <v/>
      </c>
      <c r="S719" s="65">
        <f>Q719-T12EarlyH/24</f>
        <v/>
      </c>
      <c r="T719" s="66" t="n"/>
      <c r="U719" s="66" t="n"/>
      <c r="V719" s="66" t="n"/>
      <c r="W719" s="67" t="n"/>
      <c r="X719" s="66" t="n"/>
      <c r="Y719" s="66" t="n"/>
      <c r="Z719" s="66" t="n"/>
      <c r="AA719" s="66" t="n"/>
      <c r="AB719" s="66" t="n"/>
      <c r="AC719" s="66" t="n"/>
      <c r="AD719" s="72" t="n"/>
      <c r="AE719" s="66" t="n"/>
      <c r="AF719" s="67">
        <f>IF(AND(ISNUMBER(X719),ISNUMBER(Y719)),Y719-X719,"")</f>
        <v/>
      </c>
      <c r="AG719" s="68">
        <f>IF(ISNUMBER(AD719),AD719-(IF(AND(INDEX(TZ_DSTS,MATCH(P719,TZ_STN,0))&lt;&gt;"",(AD719-INDEX(TZ_STD,MATCH(P719,TZ_STN,0))/24)&gt;=INDEX(TZ_DSTS,MATCH(P719,TZ_STN,0)),(AD719-INDEX(TZ_STD,MATCH(P719,TZ_STN,0))/24)&lt;INDEX(TZ_DSTE,MATCH(P719,TZ_STN,0))),INDEX(TZ_DST,MATCH(P719,TZ_STN,0)),INDEX(TZ_STD,MATCH(P719,TZ_STN,0))))/24,"")</f>
        <v/>
      </c>
      <c r="AH719" s="71">
        <f>IF(N719="N/A – rule","N/A – RULE",IF(TRIM(U719)="N/A",IF(AT719=0,"INVALID – N/A not permitted for this mandatory check",IF(AND(TRIM(AC719)&lt;&gt;"",TRIM(AE719)&lt;&gt;"",TRIM(T719)&lt;&gt;""),"N/A – JUSTIFIED","INVALID – N/A needs justification, PIC and verifier")),IF(OR(TRIM(U719)="Pass",TRIM(U719)="Pass after CA"),IF(NOT(ISNUMBER(AD719)),"INVALID – completion time missing",IF(TRIM(T719)="","INVALID – PIC missing",IF(TRIM(Z719)="","INVALID – evidence missing",IF(TRIM(AE719)="","INVALID – verifier missing",IF(AND(AQ719=1,TRIM(W719)=""),"INVALID – batch ID missing",IF(AND(AR719=1,OR(NOT(ISNUMBER(X719)),NOT(ISNUMBER(Y719)))),"INVALID – expected/actual qty missing",IF(IF(AND(TRIM(U719)="Pass",ISNUMBER(AF719)),IF(AF719&lt;&gt;0,"INVALID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recorded/closed","")&lt;&gt;"",IF(AND(TRIM(U719)="Pass",ISNUMBER(AF719)),IF(AF719&lt;&gt;0,"INVALID – qty variance: use Fail or Pass after CA",""),"")&amp;IF(AND(TRIM(U719)="Pass",AB719="Open"),"INVALID – corrective action still open: use Fail, then Pass after CA","")&amp;IF(AND(TRIM(U719)="Pass after CA",OR(TRIM(AA719)="",AB719&lt;&gt;"Closed")),"INVALID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window"),IF(AG719&gt;Flights!$AA$26,"INVALID – completed after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f>
        <v/>
      </c>
      <c r="AI719" s="67">
        <f>IF(OR(AH719="N/A – RULE",AH719="N/A – JUSTIFIED"),0,1)</f>
        <v/>
      </c>
      <c r="AJ719" s="67">
        <f>IF(LEFT(AH719,8)="COMPLETE",1,0)</f>
        <v/>
      </c>
      <c r="AK719" s="67">
        <f>IF(AND(AI719=1,AJ719=0,AsOfUTC&gt;Q719),1,0)</f>
        <v/>
      </c>
      <c r="AL719" s="67">
        <f>IF(AND(AI719=1,OR(TRIM(U719)="Fail",AB719="Open",AND(ISNUMBER(AF719),AF719&lt;&gt;0,TRIM(U719)&lt;&gt;"Pass after CA"))),1,0)</f>
        <v/>
      </c>
      <c r="AM719" s="67">
        <f>IF(LEFT(AH719,7)="INVALID",1,0)</f>
        <v/>
      </c>
      <c r="AN719" s="67">
        <f>IF(AND(N719="Clarification required",AI719=1,AJ719=0),1,0)</f>
        <v/>
      </c>
      <c r="AO719" s="67">
        <f>IF(AK719=1,SUM(AK$5:AK719),"")</f>
        <v/>
      </c>
      <c r="AP719" s="67">
        <f>IF(AL719=1,SUM(AL$5:AL719),"")</f>
        <v/>
      </c>
      <c r="AQ719" s="67" t="n">
        <v>0</v>
      </c>
      <c r="AR719" s="67" t="n">
        <v>0</v>
      </c>
      <c r="AS719" s="67" t="n">
        <v>0</v>
      </c>
      <c r="AT719" s="67" t="n">
        <v>1</v>
      </c>
    </row>
    <row r="720" ht="40" customHeight="1">
      <c r="A720" s="63" t="inlineStr">
        <is>
          <t>F22-T12-09</t>
        </is>
      </c>
      <c r="B720" s="63" t="inlineStr">
        <is>
          <t>F22</t>
        </is>
      </c>
      <c r="C720" s="63">
        <f>Flights!$F$26</f>
        <v/>
      </c>
      <c r="D720" s="64">
        <f>Flights!$D$26</f>
        <v/>
      </c>
      <c r="E720" s="63">
        <f>Flights!$G$26&amp;"-"&amp;Flights!$H$26</f>
        <v/>
      </c>
      <c r="F720" s="63">
        <f>Flights!$K$26</f>
        <v/>
      </c>
      <c r="G720" s="63" t="inlineStr">
        <is>
          <t>T-12H PREP</t>
        </is>
      </c>
      <c r="H720" s="63" t="inlineStr">
        <is>
          <t>Preparation</t>
        </is>
      </c>
      <c r="I720" s="63" t="inlineStr">
        <is>
          <t>Amenities</t>
        </is>
      </c>
      <c r="J720" s="63" t="inlineStr">
        <is>
          <t>Pajamas (BC) - prepared</t>
        </is>
      </c>
      <c r="K720" s="73" t="inlineStr">
        <is>
          <t>Available - BC red-eye only</t>
        </is>
      </c>
      <c r="L720" s="73" t="inlineStr">
        <is>
          <t>STD UPLIFT INFORMATION.xlsx &gt; AMENITIES!F13 / H13</t>
        </is>
      </c>
      <c r="M720" s="73" t="inlineStr">
        <is>
          <t>KUL</t>
        </is>
      </c>
      <c r="N720" s="73" t="inlineStr">
        <is>
          <t>Required</t>
        </is>
      </c>
      <c r="O720" s="73" t="inlineStr">
        <is>
          <t>Red-eye departure 2320 local.</t>
        </is>
      </c>
      <c r="P720" s="63" t="inlineStr">
        <is>
          <t>KUL</t>
        </is>
      </c>
      <c r="Q720" s="65">
        <f>Flights!$AE$26</f>
        <v/>
      </c>
      <c r="R720" s="65">
        <f>Q720+(IF(AND(INDEX(TZ_DSTS,MATCH(P720,TZ_STN,0))&lt;&gt;"",Q720&gt;=INDEX(TZ_DSTS,MATCH(P720,TZ_STN,0)),Q720&lt;INDEX(TZ_DSTE,MATCH(P720,TZ_STN,0))),INDEX(TZ_DST,MATCH(P720,TZ_STN,0)),INDEX(TZ_STD,MATCH(P720,TZ_STN,0))))/24</f>
        <v/>
      </c>
      <c r="S720" s="65">
        <f>Q720-T12EarlyH/24</f>
        <v/>
      </c>
      <c r="T720" s="66" t="n"/>
      <c r="U720" s="66" t="n"/>
      <c r="V720" s="66" t="n"/>
      <c r="W720" s="67" t="n"/>
      <c r="X720" s="66" t="n"/>
      <c r="Y720" s="66" t="n"/>
      <c r="Z720" s="66" t="n"/>
      <c r="AA720" s="66" t="n"/>
      <c r="AB720" s="66" t="n"/>
      <c r="AC720" s="66" t="n"/>
      <c r="AD720" s="72" t="n"/>
      <c r="AE720" s="66" t="n"/>
      <c r="AF720" s="67">
        <f>IF(AND(ISNUMBER(X720),ISNUMBER(Y720)),Y720-X720,"")</f>
        <v/>
      </c>
      <c r="AG720" s="68">
        <f>IF(ISNUMBER(AD720),AD720-(IF(AND(INDEX(TZ_DSTS,MATCH(P720,TZ_STN,0))&lt;&gt;"",(AD720-INDEX(TZ_STD,MATCH(P720,TZ_STN,0))/24)&gt;=INDEX(TZ_DSTS,MATCH(P720,TZ_STN,0)),(AD720-INDEX(TZ_STD,MATCH(P720,TZ_STN,0))/24)&lt;INDEX(TZ_DSTE,MATCH(P720,TZ_STN,0))),INDEX(TZ_DST,MATCH(P720,TZ_STN,0)),INDEX(TZ_STD,MATCH(P720,TZ_STN,0))))/24,"")</f>
        <v/>
      </c>
      <c r="AH720" s="71">
        <f>IF(N720="N/A – rule","N/A – RULE",IF(TRIM(U720)="N/A",IF(AT720=0,"INVALID – N/A not permitted for this mandatory check",IF(AND(TRIM(AC720)&lt;&gt;"",TRIM(AE720)&lt;&gt;"",TRIM(T720)&lt;&gt;""),"N/A – JUSTIFIED","INVALID – N/A needs justification, PIC and verifier")),IF(OR(TRIM(U720)="Pass",TRIM(U720)="Pass after CA"),IF(NOT(ISNUMBER(AD720)),"INVALID – completion time missing",IF(TRIM(T720)="","INVALID – PIC missing",IF(TRIM(Z720)="","INVALID – evidence missing",IF(TRIM(AE720)="","INVALID – verifier missing",IF(AND(AQ720=1,TRIM(W720)=""),"INVALID – batch ID missing",IF(AND(AR720=1,OR(NOT(ISNUMBER(X720)),NOT(ISNUMBER(Y720)))),"INVALID – expected/actual qty missing",IF(IF(AND(TRIM(U720)="Pass",ISNUMBER(AF720)),IF(AF720&lt;&gt;0,"INVALID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recorded/closed","")&lt;&gt;"",IF(AND(TRIM(U720)="Pass",ISNUMBER(AF720)),IF(AF720&lt;&gt;0,"INVALID – qty variance: use Fail or Pass after CA",""),"")&amp;IF(AND(TRIM(U720)="Pass",AB720="Open"),"INVALID – corrective action still open: use Fail, then Pass after CA","")&amp;IF(AND(TRIM(U720)="Pass after CA",OR(TRIM(AA720)="",AB720&lt;&gt;"Closed")),"INVALID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window"),IF(AG720&gt;Flights!$AA$26,"INVALID – completed after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f>
        <v/>
      </c>
      <c r="AI720" s="67">
        <f>IF(OR(AH720="N/A – RULE",AH720="N/A – JUSTIFIED"),0,1)</f>
        <v/>
      </c>
      <c r="AJ720" s="67">
        <f>IF(LEFT(AH720,8)="COMPLETE",1,0)</f>
        <v/>
      </c>
      <c r="AK720" s="67">
        <f>IF(AND(AI720=1,AJ720=0,AsOfUTC&gt;Q720),1,0)</f>
        <v/>
      </c>
      <c r="AL720" s="67">
        <f>IF(AND(AI720=1,OR(TRIM(U720)="Fail",AB720="Open",AND(ISNUMBER(AF720),AF720&lt;&gt;0,TRIM(U720)&lt;&gt;"Pass after CA"))),1,0)</f>
        <v/>
      </c>
      <c r="AM720" s="67">
        <f>IF(LEFT(AH720,7)="INVALID",1,0)</f>
        <v/>
      </c>
      <c r="AN720" s="67">
        <f>IF(AND(N720="Clarification required",AI720=1,AJ720=0),1,0)</f>
        <v/>
      </c>
      <c r="AO720" s="67">
        <f>IF(AK720=1,SUM(AK$5:AK720),"")</f>
        <v/>
      </c>
      <c r="AP720" s="67">
        <f>IF(AL720=1,SUM(AL$5:AL720),"")</f>
        <v/>
      </c>
      <c r="AQ720" s="67" t="n">
        <v>0</v>
      </c>
      <c r="AR720" s="67" t="n">
        <v>0</v>
      </c>
      <c r="AS720" s="67" t="n">
        <v>0</v>
      </c>
      <c r="AT720" s="67" t="n">
        <v>1</v>
      </c>
    </row>
    <row r="721" ht="40" customHeight="1">
      <c r="A721" s="63" t="inlineStr">
        <is>
          <t>F22-T12-10</t>
        </is>
      </c>
      <c r="B721" s="63" t="inlineStr">
        <is>
          <t>F22</t>
        </is>
      </c>
      <c r="C721" s="63">
        <f>Flights!$F$26</f>
        <v/>
      </c>
      <c r="D721" s="64">
        <f>Flights!$D$26</f>
        <v/>
      </c>
      <c r="E721" s="63">
        <f>Flights!$G$26&amp;"-"&amp;Flights!$H$26</f>
        <v/>
      </c>
      <c r="F721" s="63">
        <f>Flights!$K$26</f>
        <v/>
      </c>
      <c r="G721" s="63" t="inlineStr">
        <is>
          <t>T-12H PREP</t>
        </is>
      </c>
      <c r="H721" s="63" t="inlineStr">
        <is>
          <t>Preparation</t>
        </is>
      </c>
      <c r="I721" s="63" t="inlineStr">
        <is>
          <t>Amenities</t>
        </is>
      </c>
      <c r="J721" s="63" t="inlineStr">
        <is>
          <t>Slippers (BS/BC) - prepared</t>
        </is>
      </c>
      <c r="K721" s="73" t="inlineStr">
        <is>
          <t>Available (ticked in reference)</t>
        </is>
      </c>
      <c r="L721" s="73" t="inlineStr">
        <is>
          <t>STD UPLIFT INFORMATION.xlsx &gt; AMENITIES!G13 / H13</t>
        </is>
      </c>
      <c r="M721" s="73" t="inlineStr">
        <is>
          <t>KUL</t>
        </is>
      </c>
      <c r="N721" s="73" t="inlineStr">
        <is>
          <t>Required</t>
        </is>
      </c>
      <c r="O721" s="73" t="inlineStr"/>
      <c r="P721" s="63" t="inlineStr">
        <is>
          <t>KUL</t>
        </is>
      </c>
      <c r="Q721" s="65">
        <f>Flights!$AE$26</f>
        <v/>
      </c>
      <c r="R721" s="65">
        <f>Q721+(IF(AND(INDEX(TZ_DSTS,MATCH(P721,TZ_STN,0))&lt;&gt;"",Q721&gt;=INDEX(TZ_DSTS,MATCH(P721,TZ_STN,0)),Q721&lt;INDEX(TZ_DSTE,MATCH(P721,TZ_STN,0))),INDEX(TZ_DST,MATCH(P721,TZ_STN,0)),INDEX(TZ_STD,MATCH(P721,TZ_STN,0))))/24</f>
        <v/>
      </c>
      <c r="S721" s="65">
        <f>Q721-T12EarlyH/24</f>
        <v/>
      </c>
      <c r="T721" s="66" t="n"/>
      <c r="U721" s="66" t="n"/>
      <c r="V721" s="66" t="n"/>
      <c r="W721" s="67" t="n"/>
      <c r="X721" s="66" t="n"/>
      <c r="Y721" s="66" t="n"/>
      <c r="Z721" s="66" t="n"/>
      <c r="AA721" s="66" t="n"/>
      <c r="AB721" s="66" t="n"/>
      <c r="AC721" s="66" t="n"/>
      <c r="AD721" s="72" t="n"/>
      <c r="AE721" s="66" t="n"/>
      <c r="AF721" s="67">
        <f>IF(AND(ISNUMBER(X721),ISNUMBER(Y721)),Y721-X721,"")</f>
        <v/>
      </c>
      <c r="AG721" s="68">
        <f>IF(ISNUMBER(AD721),AD721-(IF(AND(INDEX(TZ_DSTS,MATCH(P721,TZ_STN,0))&lt;&gt;"",(AD721-INDEX(TZ_STD,MATCH(P721,TZ_STN,0))/24)&gt;=INDEX(TZ_DSTS,MATCH(P721,TZ_STN,0)),(AD721-INDEX(TZ_STD,MATCH(P721,TZ_STN,0))/24)&lt;INDEX(TZ_DSTE,MATCH(P721,TZ_STN,0))),INDEX(TZ_DST,MATCH(P721,TZ_STN,0)),INDEX(TZ_STD,MATCH(P721,TZ_STN,0))))/24,"")</f>
        <v/>
      </c>
      <c r="AH721" s="71">
        <f>IF(N721="N/A – rule","N/A – RULE",IF(TRIM(U721)="N/A",IF(AT721=0,"INVALID – N/A not permitted for this mandatory check",IF(AND(TRIM(AC721)&lt;&gt;"",TRIM(AE721)&lt;&gt;"",TRIM(T721)&lt;&gt;""),"N/A – JUSTIFIED","INVALID – N/A needs justification, PIC and verifier")),IF(OR(TRIM(U721)="Pass",TRIM(U721)="Pass after CA"),IF(NOT(ISNUMBER(AD721)),"INVALID – completion time missing",IF(TRIM(T721)="","INVALID – PIC missing",IF(TRIM(Z721)="","INVALID – evidence missing",IF(TRIM(AE721)="","INVALID – verifier missing",IF(AND(AQ721=1,TRIM(W721)=""),"INVALID – batch ID missing",IF(AND(AR721=1,OR(NOT(ISNUMBER(X721)),NOT(ISNUMBER(Y721)))),"INVALID – expected/actual qty missing",IF(IF(AND(TRIM(U721)="Pass",ISNUMBER(AF721)),IF(AF721&lt;&gt;0,"INVALID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recorded/closed","")&lt;&gt;"",IF(AND(TRIM(U721)="Pass",ISNUMBER(AF721)),IF(AF721&lt;&gt;0,"INVALID – qty variance: use Fail or Pass after CA",""),"")&amp;IF(AND(TRIM(U721)="Pass",AB721="Open"),"INVALID – corrective action still open: use Fail, then Pass after CA","")&amp;IF(AND(TRIM(U721)="Pass after CA",OR(TRIM(AA721)="",AB721&lt;&gt;"Closed")),"INVALID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window"),IF(AG721&gt;Flights!$AA$26,"INVALID – completed after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f>
        <v/>
      </c>
      <c r="AI721" s="67">
        <f>IF(OR(AH721="N/A – RULE",AH721="N/A – JUSTIFIED"),0,1)</f>
        <v/>
      </c>
      <c r="AJ721" s="67">
        <f>IF(LEFT(AH721,8)="COMPLETE",1,0)</f>
        <v/>
      </c>
      <c r="AK721" s="67">
        <f>IF(AND(AI721=1,AJ721=0,AsOfUTC&gt;Q721),1,0)</f>
        <v/>
      </c>
      <c r="AL721" s="67">
        <f>IF(AND(AI721=1,OR(TRIM(U721)="Fail",AB721="Open",AND(ISNUMBER(AF721),AF721&lt;&gt;0,TRIM(U721)&lt;&gt;"Pass after CA"))),1,0)</f>
        <v/>
      </c>
      <c r="AM721" s="67">
        <f>IF(LEFT(AH721,7)="INVALID",1,0)</f>
        <v/>
      </c>
      <c r="AN721" s="67">
        <f>IF(AND(N721="Clarification required",AI721=1,AJ721=0),1,0)</f>
        <v/>
      </c>
      <c r="AO721" s="67">
        <f>IF(AK721=1,SUM(AK$5:AK721),"")</f>
        <v/>
      </c>
      <c r="AP721" s="67">
        <f>IF(AL721=1,SUM(AL$5:AL721),"")</f>
        <v/>
      </c>
      <c r="AQ721" s="67" t="n">
        <v>0</v>
      </c>
      <c r="AR721" s="67" t="n">
        <v>0</v>
      </c>
      <c r="AS721" s="67" t="n">
        <v>0</v>
      </c>
      <c r="AT721" s="67" t="n">
        <v>1</v>
      </c>
    </row>
    <row r="722" ht="41.5" customHeight="1">
      <c r="A722" s="63" t="inlineStr">
        <is>
          <t>F22-T12-11</t>
        </is>
      </c>
      <c r="B722" s="63" t="inlineStr">
        <is>
          <t>F22</t>
        </is>
      </c>
      <c r="C722" s="63">
        <f>Flights!$F$26</f>
        <v/>
      </c>
      <c r="D722" s="64">
        <f>Flights!$D$26</f>
        <v/>
      </c>
      <c r="E722" s="63">
        <f>Flights!$G$26&amp;"-"&amp;Flights!$H$26</f>
        <v/>
      </c>
      <c r="F722" s="63">
        <f>Flights!$K$26</f>
        <v/>
      </c>
      <c r="G722" s="63" t="inlineStr">
        <is>
          <t>T-12H PREP</t>
        </is>
      </c>
      <c r="H722" s="63" t="inlineStr">
        <is>
          <t>Preparation</t>
        </is>
      </c>
      <c r="I722" s="63" t="inlineStr">
        <is>
          <t>F&amp;B Linen</t>
        </is>
      </c>
      <c r="J722" s="63" t="inlineStr">
        <is>
          <t>Towel - prepared</t>
        </is>
      </c>
      <c r="K722" s="73" t="inlineStr">
        <is>
          <t>Available (ticked in reference)</t>
        </is>
      </c>
      <c r="L722" s="73" t="inlineStr">
        <is>
          <t>STD UPLIFT INFORMATION.xlsx &gt; F&amp;B LINEN!D7</t>
        </is>
      </c>
      <c r="M722" s="73" t="inlineStr">
        <is>
          <t>Not stated in reference</t>
        </is>
      </c>
      <c r="N722" s="73" t="inlineStr">
        <is>
          <t>Required</t>
        </is>
      </c>
      <c r="O722" s="73" t="inlineStr">
        <is>
          <t>Reference gives no uplift stn for this item: preparation checked at the meal uplift stn (KUL) - confirm with caterer.</t>
        </is>
      </c>
      <c r="P722" s="63" t="inlineStr">
        <is>
          <t>KUL</t>
        </is>
      </c>
      <c r="Q722" s="65">
        <f>Flights!$AE$26</f>
        <v/>
      </c>
      <c r="R722" s="65">
        <f>Q722+(IF(AND(INDEX(TZ_DSTS,MATCH(P722,TZ_STN,0))&lt;&gt;"",Q722&gt;=INDEX(TZ_DSTS,MATCH(P722,TZ_STN,0)),Q722&lt;INDEX(TZ_DSTE,MATCH(P722,TZ_STN,0))),INDEX(TZ_DST,MATCH(P722,TZ_STN,0)),INDEX(TZ_STD,MATCH(P722,TZ_STN,0))))/24</f>
        <v/>
      </c>
      <c r="S722" s="65">
        <f>Q722-T12EarlyH/24</f>
        <v/>
      </c>
      <c r="T722" s="66" t="n"/>
      <c r="U722" s="66" t="n"/>
      <c r="V722" s="66" t="n"/>
      <c r="W722" s="67" t="n"/>
      <c r="X722" s="66" t="n"/>
      <c r="Y722" s="66" t="n"/>
      <c r="Z722" s="66" t="n"/>
      <c r="AA722" s="66" t="n"/>
      <c r="AB722" s="66" t="n"/>
      <c r="AC722" s="66" t="n"/>
      <c r="AD722" s="72" t="n"/>
      <c r="AE722" s="66" t="n"/>
      <c r="AF722" s="67">
        <f>IF(AND(ISNUMBER(X722),ISNUMBER(Y722)),Y722-X722,"")</f>
        <v/>
      </c>
      <c r="AG722" s="68">
        <f>IF(ISNUMBER(AD722),AD722-(IF(AND(INDEX(TZ_DSTS,MATCH(P722,TZ_STN,0))&lt;&gt;"",(AD722-INDEX(TZ_STD,MATCH(P722,TZ_STN,0))/24)&gt;=INDEX(TZ_DSTS,MATCH(P722,TZ_STN,0)),(AD722-INDEX(TZ_STD,MATCH(P722,TZ_STN,0))/24)&lt;INDEX(TZ_DSTE,MATCH(P722,TZ_STN,0))),INDEX(TZ_DST,MATCH(P722,TZ_STN,0)),INDEX(TZ_STD,MATCH(P722,TZ_STN,0))))/24,"")</f>
        <v/>
      </c>
      <c r="AH722" s="71">
        <f>IF(N722="N/A – rule","N/A – RULE",IF(TRIM(U722)="N/A",IF(AT722=0,"INVALID – N/A not permitted for this mandatory check",IF(AND(TRIM(AC722)&lt;&gt;"",TRIM(AE722)&lt;&gt;"",TRIM(T722)&lt;&gt;""),"N/A – JUSTIFIED","INVALID – N/A needs justification, PIC and verifier")),IF(OR(TRIM(U722)="Pass",TRIM(U722)="Pass after CA"),IF(NOT(ISNUMBER(AD722)),"INVALID – completion time missing",IF(TRIM(T722)="","INVALID – PIC missing",IF(TRIM(Z722)="","INVALID – evidence missing",IF(TRIM(AE722)="","INVALID – verifier missing",IF(AND(AQ722=1,TRIM(W722)=""),"INVALID – batch ID missing",IF(AND(AR722=1,OR(NOT(ISNUMBER(X722)),NOT(ISNUMBER(Y722)))),"INVALID – expected/actual qty missing",IF(IF(AND(TRIM(U722)="Pass",ISNUMBER(AF722)),IF(AF722&lt;&gt;0,"INVALID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recorded/closed","")&lt;&gt;"",IF(AND(TRIM(U722)="Pass",ISNUMBER(AF722)),IF(AF722&lt;&gt;0,"INVALID – qty variance: use Fail or Pass after CA",""),"")&amp;IF(AND(TRIM(U722)="Pass",AB722="Open"),"INVALID – corrective action still open: use Fail, then Pass after CA","")&amp;IF(AND(TRIM(U722)="Pass after CA",OR(TRIM(AA722)="",AB722&lt;&gt;"Closed")),"INVALID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window"),IF(AG722&gt;Flights!$AA$26,"INVALID – completed after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f>
        <v/>
      </c>
      <c r="AI722" s="67">
        <f>IF(OR(AH722="N/A – RULE",AH722="N/A – JUSTIFIED"),0,1)</f>
        <v/>
      </c>
      <c r="AJ722" s="67">
        <f>IF(LEFT(AH722,8)="COMPLETE",1,0)</f>
        <v/>
      </c>
      <c r="AK722" s="67">
        <f>IF(AND(AI722=1,AJ722=0,AsOfUTC&gt;Q722),1,0)</f>
        <v/>
      </c>
      <c r="AL722" s="67">
        <f>IF(AND(AI722=1,OR(TRIM(U722)="Fail",AB722="Open",AND(ISNUMBER(AF722),AF722&lt;&gt;0,TRIM(U722)&lt;&gt;"Pass after CA"))),1,0)</f>
        <v/>
      </c>
      <c r="AM722" s="67">
        <f>IF(LEFT(AH722,7)="INVALID",1,0)</f>
        <v/>
      </c>
      <c r="AN722" s="67">
        <f>IF(AND(N722="Clarification required",AI722=1,AJ722=0),1,0)</f>
        <v/>
      </c>
      <c r="AO722" s="67">
        <f>IF(AK722=1,SUM(AK$5:AK722),"")</f>
        <v/>
      </c>
      <c r="AP722" s="67">
        <f>IF(AL722=1,SUM(AL$5:AL722),"")</f>
        <v/>
      </c>
      <c r="AQ722" s="67" t="n">
        <v>0</v>
      </c>
      <c r="AR722" s="67" t="n">
        <v>0</v>
      </c>
      <c r="AS722" s="67" t="n">
        <v>0</v>
      </c>
      <c r="AT722" s="67" t="n">
        <v>1</v>
      </c>
    </row>
    <row r="723" ht="41.5" customHeight="1">
      <c r="A723" s="63" t="inlineStr">
        <is>
          <t>F22-T12-12</t>
        </is>
      </c>
      <c r="B723" s="63" t="inlineStr">
        <is>
          <t>F22</t>
        </is>
      </c>
      <c r="C723" s="63">
        <f>Flights!$F$26</f>
        <v/>
      </c>
      <c r="D723" s="64">
        <f>Flights!$D$26</f>
        <v/>
      </c>
      <c r="E723" s="63">
        <f>Flights!$G$26&amp;"-"&amp;Flights!$H$26</f>
        <v/>
      </c>
      <c r="F723" s="63">
        <f>Flights!$K$26</f>
        <v/>
      </c>
      <c r="G723" s="63" t="inlineStr">
        <is>
          <t>T-12H PREP</t>
        </is>
      </c>
      <c r="H723" s="63" t="inlineStr">
        <is>
          <t>Preparation</t>
        </is>
      </c>
      <c r="I723" s="63" t="inlineStr">
        <is>
          <t>F&amp;B Linen</t>
        </is>
      </c>
      <c r="J723" s="63" t="inlineStr">
        <is>
          <t>Tray cloth - prepared</t>
        </is>
      </c>
      <c r="K723" s="73" t="inlineStr">
        <is>
          <t>Available (ticked in reference)</t>
        </is>
      </c>
      <c r="L723" s="73" t="inlineStr">
        <is>
          <t>STD UPLIFT INFORMATION.xlsx &gt; F&amp;B LINEN!E7</t>
        </is>
      </c>
      <c r="M723" s="73" t="inlineStr">
        <is>
          <t>Not stated in reference</t>
        </is>
      </c>
      <c r="N723" s="73" t="inlineStr">
        <is>
          <t>Required</t>
        </is>
      </c>
      <c r="O723" s="73" t="inlineStr">
        <is>
          <t>Reference gives no uplift stn for this item: preparation checked at the meal uplift stn (KUL) - confirm with caterer.</t>
        </is>
      </c>
      <c r="P723" s="63" t="inlineStr">
        <is>
          <t>KUL</t>
        </is>
      </c>
      <c r="Q723" s="65">
        <f>Flights!$AE$26</f>
        <v/>
      </c>
      <c r="R723" s="65">
        <f>Q723+(IF(AND(INDEX(TZ_DSTS,MATCH(P723,TZ_STN,0))&lt;&gt;"",Q723&gt;=INDEX(TZ_DSTS,MATCH(P723,TZ_STN,0)),Q723&lt;INDEX(TZ_DSTE,MATCH(P723,TZ_STN,0))),INDEX(TZ_DST,MATCH(P723,TZ_STN,0)),INDEX(TZ_STD,MATCH(P723,TZ_STN,0))))/24</f>
        <v/>
      </c>
      <c r="S723" s="65">
        <f>Q723-T12EarlyH/24</f>
        <v/>
      </c>
      <c r="T723" s="66" t="n"/>
      <c r="U723" s="66" t="n"/>
      <c r="V723" s="66" t="n"/>
      <c r="W723" s="67" t="n"/>
      <c r="X723" s="66" t="n"/>
      <c r="Y723" s="66" t="n"/>
      <c r="Z723" s="66" t="n"/>
      <c r="AA723" s="66" t="n"/>
      <c r="AB723" s="66" t="n"/>
      <c r="AC723" s="66" t="n"/>
      <c r="AD723" s="72" t="n"/>
      <c r="AE723" s="66" t="n"/>
      <c r="AF723" s="67">
        <f>IF(AND(ISNUMBER(X723),ISNUMBER(Y723)),Y723-X723,"")</f>
        <v/>
      </c>
      <c r="AG723" s="68">
        <f>IF(ISNUMBER(AD723),AD723-(IF(AND(INDEX(TZ_DSTS,MATCH(P723,TZ_STN,0))&lt;&gt;"",(AD723-INDEX(TZ_STD,MATCH(P723,TZ_STN,0))/24)&gt;=INDEX(TZ_DSTS,MATCH(P723,TZ_STN,0)),(AD723-INDEX(TZ_STD,MATCH(P723,TZ_STN,0))/24)&lt;INDEX(TZ_DSTE,MATCH(P723,TZ_STN,0))),INDEX(TZ_DST,MATCH(P723,TZ_STN,0)),INDEX(TZ_STD,MATCH(P723,TZ_STN,0))))/24,"")</f>
        <v/>
      </c>
      <c r="AH723" s="71">
        <f>IF(N723="N/A – rule","N/A – RULE",IF(TRIM(U723)="N/A",IF(AT723=0,"INVALID – N/A not permitted for this mandatory check",IF(AND(TRIM(AC723)&lt;&gt;"",TRIM(AE723)&lt;&gt;"",TRIM(T723)&lt;&gt;""),"N/A – JUSTIFIED","INVALID – N/A needs justification, PIC and verifier")),IF(OR(TRIM(U723)="Pass",TRIM(U723)="Pass after CA"),IF(NOT(ISNUMBER(AD723)),"INVALID – completion time missing",IF(TRIM(T723)="","INVALID – PIC missing",IF(TRIM(Z723)="","INVALID – evidence missing",IF(TRIM(AE723)="","INVALID – verifier missing",IF(AND(AQ723=1,TRIM(W723)=""),"INVALID – batch ID missing",IF(AND(AR723=1,OR(NOT(ISNUMBER(X723)),NOT(ISNUMBER(Y723)))),"INVALID – expected/actual qty missing",IF(IF(AND(TRIM(U723)="Pass",ISNUMBER(AF723)),IF(AF723&lt;&gt;0,"INVALID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recorded/closed","")&lt;&gt;"",IF(AND(TRIM(U723)="Pass",ISNUMBER(AF723)),IF(AF723&lt;&gt;0,"INVALID – qty variance: use Fail or Pass after CA",""),"")&amp;IF(AND(TRIM(U723)="Pass",AB723="Open"),"INVALID – corrective action still open: use Fail, then Pass after CA","")&amp;IF(AND(TRIM(U723)="Pass after CA",OR(TRIM(AA723)="",AB723&lt;&gt;"Closed")),"INVALID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window"),IF(AG723&gt;Flights!$AA$26,"INVALID – completed after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f>
        <v/>
      </c>
      <c r="AI723" s="67">
        <f>IF(OR(AH723="N/A – RULE",AH723="N/A – JUSTIFIED"),0,1)</f>
        <v/>
      </c>
      <c r="AJ723" s="67">
        <f>IF(LEFT(AH723,8)="COMPLETE",1,0)</f>
        <v/>
      </c>
      <c r="AK723" s="67">
        <f>IF(AND(AI723=1,AJ723=0,AsOfUTC&gt;Q723),1,0)</f>
        <v/>
      </c>
      <c r="AL723" s="67">
        <f>IF(AND(AI723=1,OR(TRIM(U723)="Fail",AB723="Open",AND(ISNUMBER(AF723),AF723&lt;&gt;0,TRIM(U723)&lt;&gt;"Pass after CA"))),1,0)</f>
        <v/>
      </c>
      <c r="AM723" s="67">
        <f>IF(LEFT(AH723,7)="INVALID",1,0)</f>
        <v/>
      </c>
      <c r="AN723" s="67">
        <f>IF(AND(N723="Clarification required",AI723=1,AJ723=0),1,0)</f>
        <v/>
      </c>
      <c r="AO723" s="67">
        <f>IF(AK723=1,SUM(AK$5:AK723),"")</f>
        <v/>
      </c>
      <c r="AP723" s="67">
        <f>IF(AL723=1,SUM(AL$5:AL723),"")</f>
        <v/>
      </c>
      <c r="AQ723" s="67" t="n">
        <v>0</v>
      </c>
      <c r="AR723" s="67" t="n">
        <v>0</v>
      </c>
      <c r="AS723" s="67" t="n">
        <v>0</v>
      </c>
      <c r="AT723" s="67" t="n">
        <v>1</v>
      </c>
    </row>
    <row r="724" ht="41.5" customHeight="1">
      <c r="A724" s="63" t="inlineStr">
        <is>
          <t>F22-T12-13</t>
        </is>
      </c>
      <c r="B724" s="63" t="inlineStr">
        <is>
          <t>F22</t>
        </is>
      </c>
      <c r="C724" s="63">
        <f>Flights!$F$26</f>
        <v/>
      </c>
      <c r="D724" s="64">
        <f>Flights!$D$26</f>
        <v/>
      </c>
      <c r="E724" s="63">
        <f>Flights!$G$26&amp;"-"&amp;Flights!$H$26</f>
        <v/>
      </c>
      <c r="F724" s="63">
        <f>Flights!$K$26</f>
        <v/>
      </c>
      <c r="G724" s="63" t="inlineStr">
        <is>
          <t>T-12H PREP</t>
        </is>
      </c>
      <c r="H724" s="63" t="inlineStr">
        <is>
          <t>Preparation</t>
        </is>
      </c>
      <c r="I724" s="63" t="inlineStr">
        <is>
          <t>F&amp;B Linen</t>
        </is>
      </c>
      <c r="J724" s="63" t="inlineStr">
        <is>
          <t>Napkin - prepared</t>
        </is>
      </c>
      <c r="K724" s="73" t="inlineStr">
        <is>
          <t>Available (ticked in reference)</t>
        </is>
      </c>
      <c r="L724" s="73" t="inlineStr">
        <is>
          <t>STD UPLIFT INFORMATION.xlsx &gt; F&amp;B LINEN!F7</t>
        </is>
      </c>
      <c r="M724" s="73" t="inlineStr">
        <is>
          <t>Not stated in reference</t>
        </is>
      </c>
      <c r="N724" s="73" t="inlineStr">
        <is>
          <t>Required</t>
        </is>
      </c>
      <c r="O724" s="73" t="inlineStr">
        <is>
          <t>Reference gives no uplift stn for this item: preparation checked at the meal uplift stn (KUL) - confirm with caterer.</t>
        </is>
      </c>
      <c r="P724" s="63" t="inlineStr">
        <is>
          <t>KUL</t>
        </is>
      </c>
      <c r="Q724" s="65">
        <f>Flights!$AE$26</f>
        <v/>
      </c>
      <c r="R724" s="65">
        <f>Q724+(IF(AND(INDEX(TZ_DSTS,MATCH(P724,TZ_STN,0))&lt;&gt;"",Q724&gt;=INDEX(TZ_DSTS,MATCH(P724,TZ_STN,0)),Q724&lt;INDEX(TZ_DSTE,MATCH(P724,TZ_STN,0))),INDEX(TZ_DST,MATCH(P724,TZ_STN,0)),INDEX(TZ_STD,MATCH(P724,TZ_STN,0))))/24</f>
        <v/>
      </c>
      <c r="S724" s="65">
        <f>Q724-T12EarlyH/24</f>
        <v/>
      </c>
      <c r="T724" s="66" t="n"/>
      <c r="U724" s="66" t="n"/>
      <c r="V724" s="66" t="n"/>
      <c r="W724" s="67" t="n"/>
      <c r="X724" s="66" t="n"/>
      <c r="Y724" s="66" t="n"/>
      <c r="Z724" s="66" t="n"/>
      <c r="AA724" s="66" t="n"/>
      <c r="AB724" s="66" t="n"/>
      <c r="AC724" s="66" t="n"/>
      <c r="AD724" s="72" t="n"/>
      <c r="AE724" s="66" t="n"/>
      <c r="AF724" s="67">
        <f>IF(AND(ISNUMBER(X724),ISNUMBER(Y724)),Y724-X724,"")</f>
        <v/>
      </c>
      <c r="AG724" s="68">
        <f>IF(ISNUMBER(AD724),AD724-(IF(AND(INDEX(TZ_DSTS,MATCH(P724,TZ_STN,0))&lt;&gt;"",(AD724-INDEX(TZ_STD,MATCH(P724,TZ_STN,0))/24)&gt;=INDEX(TZ_DSTS,MATCH(P724,TZ_STN,0)),(AD724-INDEX(TZ_STD,MATCH(P724,TZ_STN,0))/24)&lt;INDEX(TZ_DSTE,MATCH(P724,TZ_STN,0))),INDEX(TZ_DST,MATCH(P724,TZ_STN,0)),INDEX(TZ_STD,MATCH(P724,TZ_STN,0))))/24,"")</f>
        <v/>
      </c>
      <c r="AH724" s="71">
        <f>IF(N724="N/A – rule","N/A – RULE",IF(TRIM(U724)="N/A",IF(AT724=0,"INVALID – N/A not permitted for this mandatory check",IF(AND(TRIM(AC724)&lt;&gt;"",TRIM(AE724)&lt;&gt;"",TRIM(T724)&lt;&gt;""),"N/A – JUSTIFIED","INVALID – N/A needs justification, PIC and verifier")),IF(OR(TRIM(U724)="Pass",TRIM(U724)="Pass after CA"),IF(NOT(ISNUMBER(AD724)),"INVALID – completion time missing",IF(TRIM(T724)="","INVALID – PIC missing",IF(TRIM(Z724)="","INVALID – evidence missing",IF(TRIM(AE724)="","INVALID – verifier missing",IF(AND(AQ724=1,TRIM(W724)=""),"INVALID – batch ID missing",IF(AND(AR724=1,OR(NOT(ISNUMBER(X724)),NOT(ISNUMBER(Y724)))),"INVALID – expected/actual qty missing",IF(IF(AND(TRIM(U724)="Pass",ISNUMBER(AF724)),IF(AF724&lt;&gt;0,"INVALID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recorded/closed","")&lt;&gt;"",IF(AND(TRIM(U724)="Pass",ISNUMBER(AF724)),IF(AF724&lt;&gt;0,"INVALID – qty variance: use Fail or Pass after CA",""),"")&amp;IF(AND(TRIM(U724)="Pass",AB724="Open"),"INVALID – corrective action still open: use Fail, then Pass after CA","")&amp;IF(AND(TRIM(U724)="Pass after CA",OR(TRIM(AA724)="",AB724&lt;&gt;"Closed")),"INVALID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window"),IF(AG724&gt;Flights!$AA$26,"INVALID – completed after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f>
        <v/>
      </c>
      <c r="AI724" s="67">
        <f>IF(OR(AH724="N/A – RULE",AH724="N/A – JUSTIFIED"),0,1)</f>
        <v/>
      </c>
      <c r="AJ724" s="67">
        <f>IF(LEFT(AH724,8)="COMPLETE",1,0)</f>
        <v/>
      </c>
      <c r="AK724" s="67">
        <f>IF(AND(AI724=1,AJ724=0,AsOfUTC&gt;Q724),1,0)</f>
        <v/>
      </c>
      <c r="AL724" s="67">
        <f>IF(AND(AI724=1,OR(TRIM(U724)="Fail",AB724="Open",AND(ISNUMBER(AF724),AF724&lt;&gt;0,TRIM(U724)&lt;&gt;"Pass after CA"))),1,0)</f>
        <v/>
      </c>
      <c r="AM724" s="67">
        <f>IF(LEFT(AH724,7)="INVALID",1,0)</f>
        <v/>
      </c>
      <c r="AN724" s="67">
        <f>IF(AND(N724="Clarification required",AI724=1,AJ724=0),1,0)</f>
        <v/>
      </c>
      <c r="AO724" s="67">
        <f>IF(AK724=1,SUM(AK$5:AK724),"")</f>
        <v/>
      </c>
      <c r="AP724" s="67">
        <f>IF(AL724=1,SUM(AL$5:AL724),"")</f>
        <v/>
      </c>
      <c r="AQ724" s="67" t="n">
        <v>0</v>
      </c>
      <c r="AR724" s="67" t="n">
        <v>0</v>
      </c>
      <c r="AS724" s="67" t="n">
        <v>0</v>
      </c>
      <c r="AT724" s="67" t="n">
        <v>1</v>
      </c>
    </row>
    <row r="725" ht="41.5" customHeight="1">
      <c r="A725" s="63" t="inlineStr">
        <is>
          <t>F22-T12-14</t>
        </is>
      </c>
      <c r="B725" s="63" t="inlineStr">
        <is>
          <t>F22</t>
        </is>
      </c>
      <c r="C725" s="63">
        <f>Flights!$F$26</f>
        <v/>
      </c>
      <c r="D725" s="64">
        <f>Flights!$D$26</f>
        <v/>
      </c>
      <c r="E725" s="63">
        <f>Flights!$G$26&amp;"-"&amp;Flights!$H$26</f>
        <v/>
      </c>
      <c r="F725" s="63">
        <f>Flights!$K$26</f>
        <v/>
      </c>
      <c r="G725" s="63" t="inlineStr">
        <is>
          <t>T-12H PREP</t>
        </is>
      </c>
      <c r="H725" s="63" t="inlineStr">
        <is>
          <t>Preparation</t>
        </is>
      </c>
      <c r="I725" s="63" t="inlineStr">
        <is>
          <t>F&amp;B Linen</t>
        </is>
      </c>
      <c r="J725" s="63" t="inlineStr">
        <is>
          <t>Table cloth - prepared</t>
        </is>
      </c>
      <c r="K725" s="73" t="inlineStr">
        <is>
          <t>Available (ticked in reference)</t>
        </is>
      </c>
      <c r="L725" s="73" t="inlineStr">
        <is>
          <t>STD UPLIFT INFORMATION.xlsx &gt; F&amp;B LINEN!G7</t>
        </is>
      </c>
      <c r="M725" s="73" t="inlineStr">
        <is>
          <t>Not stated in reference</t>
        </is>
      </c>
      <c r="N725" s="73" t="inlineStr">
        <is>
          <t>Required</t>
        </is>
      </c>
      <c r="O725" s="73" t="inlineStr">
        <is>
          <t>Reference gives no uplift stn for this item: preparation checked at the meal uplift stn (KUL) - confirm with caterer.</t>
        </is>
      </c>
      <c r="P725" s="63" t="inlineStr">
        <is>
          <t>KUL</t>
        </is>
      </c>
      <c r="Q725" s="65">
        <f>Flights!$AE$26</f>
        <v/>
      </c>
      <c r="R725" s="65">
        <f>Q725+(IF(AND(INDEX(TZ_DSTS,MATCH(P725,TZ_STN,0))&lt;&gt;"",Q725&gt;=INDEX(TZ_DSTS,MATCH(P725,TZ_STN,0)),Q725&lt;INDEX(TZ_DSTE,MATCH(P725,TZ_STN,0))),INDEX(TZ_DST,MATCH(P725,TZ_STN,0)),INDEX(TZ_STD,MATCH(P725,TZ_STN,0))))/24</f>
        <v/>
      </c>
      <c r="S725" s="65">
        <f>Q725-T12EarlyH/24</f>
        <v/>
      </c>
      <c r="T725" s="66" t="n"/>
      <c r="U725" s="66" t="n"/>
      <c r="V725" s="66" t="n"/>
      <c r="W725" s="67" t="n"/>
      <c r="X725" s="66" t="n"/>
      <c r="Y725" s="66" t="n"/>
      <c r="Z725" s="66" t="n"/>
      <c r="AA725" s="66" t="n"/>
      <c r="AB725" s="66" t="n"/>
      <c r="AC725" s="66" t="n"/>
      <c r="AD725" s="72" t="n"/>
      <c r="AE725" s="66" t="n"/>
      <c r="AF725" s="67">
        <f>IF(AND(ISNUMBER(X725),ISNUMBER(Y725)),Y725-X725,"")</f>
        <v/>
      </c>
      <c r="AG725" s="68">
        <f>IF(ISNUMBER(AD725),AD725-(IF(AND(INDEX(TZ_DSTS,MATCH(P725,TZ_STN,0))&lt;&gt;"",(AD725-INDEX(TZ_STD,MATCH(P725,TZ_STN,0))/24)&gt;=INDEX(TZ_DSTS,MATCH(P725,TZ_STN,0)),(AD725-INDEX(TZ_STD,MATCH(P725,TZ_STN,0))/24)&lt;INDEX(TZ_DSTE,MATCH(P725,TZ_STN,0))),INDEX(TZ_DST,MATCH(P725,TZ_STN,0)),INDEX(TZ_STD,MATCH(P725,TZ_STN,0))))/24,"")</f>
        <v/>
      </c>
      <c r="AH725" s="71">
        <f>IF(N725="N/A – rule","N/A – RULE",IF(TRIM(U725)="N/A",IF(AT725=0,"INVALID – N/A not permitted for this mandatory check",IF(AND(TRIM(AC725)&lt;&gt;"",TRIM(AE725)&lt;&gt;"",TRIM(T725)&lt;&gt;""),"N/A – JUSTIFIED","INVALID – N/A needs justification, PIC and verifier")),IF(OR(TRIM(U725)="Pass",TRIM(U725)="Pass after CA"),IF(NOT(ISNUMBER(AD725)),"INVALID – completion time missing",IF(TRIM(T725)="","INVALID – PIC missing",IF(TRIM(Z725)="","INVALID – evidence missing",IF(TRIM(AE725)="","INVALID – verifier missing",IF(AND(AQ725=1,TRIM(W725)=""),"INVALID – batch ID missing",IF(AND(AR725=1,OR(NOT(ISNUMBER(X725)),NOT(ISNUMBER(Y725)))),"INVALID – expected/actual qty missing",IF(IF(AND(TRIM(U725)="Pass",ISNUMBER(AF725)),IF(AF725&lt;&gt;0,"INVALID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recorded/closed","")&lt;&gt;"",IF(AND(TRIM(U725)="Pass",ISNUMBER(AF725)),IF(AF725&lt;&gt;0,"INVALID – qty variance: use Fail or Pass after CA",""),"")&amp;IF(AND(TRIM(U725)="Pass",AB725="Open"),"INVALID – corrective action still open: use Fail, then Pass after CA","")&amp;IF(AND(TRIM(U725)="Pass after CA",OR(TRIM(AA725)="",AB725&lt;&gt;"Closed")),"INVALID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window"),IF(AG725&gt;Flights!$AA$26,"INVALID – completed after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f>
        <v/>
      </c>
      <c r="AI725" s="67">
        <f>IF(OR(AH725="N/A – RULE",AH725="N/A – JUSTIFIED"),0,1)</f>
        <v/>
      </c>
      <c r="AJ725" s="67">
        <f>IF(LEFT(AH725,8)="COMPLETE",1,0)</f>
        <v/>
      </c>
      <c r="AK725" s="67">
        <f>IF(AND(AI725=1,AJ725=0,AsOfUTC&gt;Q725),1,0)</f>
        <v/>
      </c>
      <c r="AL725" s="67">
        <f>IF(AND(AI725=1,OR(TRIM(U725)="Fail",AB725="Open",AND(ISNUMBER(AF725),AF725&lt;&gt;0,TRIM(U725)&lt;&gt;"Pass after CA"))),1,0)</f>
        <v/>
      </c>
      <c r="AM725" s="67">
        <f>IF(LEFT(AH725,7)="INVALID",1,0)</f>
        <v/>
      </c>
      <c r="AN725" s="67">
        <f>IF(AND(N725="Clarification required",AI725=1,AJ725=0),1,0)</f>
        <v/>
      </c>
      <c r="AO725" s="67">
        <f>IF(AK725=1,SUM(AK$5:AK725),"")</f>
        <v/>
      </c>
      <c r="AP725" s="67">
        <f>IF(AL725=1,SUM(AL$5:AL725),"")</f>
        <v/>
      </c>
      <c r="AQ725" s="67" t="n">
        <v>0</v>
      </c>
      <c r="AR725" s="67" t="n">
        <v>0</v>
      </c>
      <c r="AS725" s="67" t="n">
        <v>0</v>
      </c>
      <c r="AT725" s="67" t="n">
        <v>1</v>
      </c>
    </row>
    <row r="726" ht="41.5" customHeight="1">
      <c r="A726" s="63" t="inlineStr">
        <is>
          <t>F22-T12-15</t>
        </is>
      </c>
      <c r="B726" s="63" t="inlineStr">
        <is>
          <t>F22</t>
        </is>
      </c>
      <c r="C726" s="63">
        <f>Flights!$F$26</f>
        <v/>
      </c>
      <c r="D726" s="64">
        <f>Flights!$D$26</f>
        <v/>
      </c>
      <c r="E726" s="63">
        <f>Flights!$G$26&amp;"-"&amp;Flights!$H$26</f>
        <v/>
      </c>
      <c r="F726" s="63">
        <f>Flights!$K$26</f>
        <v/>
      </c>
      <c r="G726" s="63" t="inlineStr">
        <is>
          <t>T-12H PREP</t>
        </is>
      </c>
      <c r="H726" s="63" t="inlineStr">
        <is>
          <t>Preparation</t>
        </is>
      </c>
      <c r="I726" s="63" t="inlineStr">
        <is>
          <t>F&amp;B Linen</t>
        </is>
      </c>
      <c r="J726" s="63" t="inlineStr">
        <is>
          <t>Bread linen (using table cloth) - prepared</t>
        </is>
      </c>
      <c r="K726" s="73" t="inlineStr">
        <is>
          <t>Available (ticked in reference)</t>
        </is>
      </c>
      <c r="L726" s="73" t="inlineStr">
        <is>
          <t>STD UPLIFT INFORMATION.xlsx &gt; F&amp;B LINEN!H7</t>
        </is>
      </c>
      <c r="M726" s="73" t="inlineStr">
        <is>
          <t>Not stated in reference</t>
        </is>
      </c>
      <c r="N726" s="73" t="inlineStr">
        <is>
          <t>Required</t>
        </is>
      </c>
      <c r="O726" s="73" t="inlineStr">
        <is>
          <t>Reference gives no uplift stn for this item: preparation checked at the meal uplift stn (KUL) - confirm with caterer.</t>
        </is>
      </c>
      <c r="P726" s="63" t="inlineStr">
        <is>
          <t>KUL</t>
        </is>
      </c>
      <c r="Q726" s="65">
        <f>Flights!$AE$26</f>
        <v/>
      </c>
      <c r="R726" s="65">
        <f>Q726+(IF(AND(INDEX(TZ_DSTS,MATCH(P726,TZ_STN,0))&lt;&gt;"",Q726&gt;=INDEX(TZ_DSTS,MATCH(P726,TZ_STN,0)),Q726&lt;INDEX(TZ_DSTE,MATCH(P726,TZ_STN,0))),INDEX(TZ_DST,MATCH(P726,TZ_STN,0)),INDEX(TZ_STD,MATCH(P726,TZ_STN,0))))/24</f>
        <v/>
      </c>
      <c r="S726" s="65">
        <f>Q726-T12EarlyH/24</f>
        <v/>
      </c>
      <c r="T726" s="66" t="n"/>
      <c r="U726" s="66" t="n"/>
      <c r="V726" s="66" t="n"/>
      <c r="W726" s="67" t="n"/>
      <c r="X726" s="66" t="n"/>
      <c r="Y726" s="66" t="n"/>
      <c r="Z726" s="66" t="n"/>
      <c r="AA726" s="66" t="n"/>
      <c r="AB726" s="66" t="n"/>
      <c r="AC726" s="66" t="n"/>
      <c r="AD726" s="72" t="n"/>
      <c r="AE726" s="66" t="n"/>
      <c r="AF726" s="67">
        <f>IF(AND(ISNUMBER(X726),ISNUMBER(Y726)),Y726-X726,"")</f>
        <v/>
      </c>
      <c r="AG726" s="68">
        <f>IF(ISNUMBER(AD726),AD726-(IF(AND(INDEX(TZ_DSTS,MATCH(P726,TZ_STN,0))&lt;&gt;"",(AD726-INDEX(TZ_STD,MATCH(P726,TZ_STN,0))/24)&gt;=INDEX(TZ_DSTS,MATCH(P726,TZ_STN,0)),(AD726-INDEX(TZ_STD,MATCH(P726,TZ_STN,0))/24)&lt;INDEX(TZ_DSTE,MATCH(P726,TZ_STN,0))),INDEX(TZ_DST,MATCH(P726,TZ_STN,0)),INDEX(TZ_STD,MATCH(P726,TZ_STN,0))))/24,"")</f>
        <v/>
      </c>
      <c r="AH726" s="71">
        <f>IF(N726="N/A – rule","N/A – RULE",IF(TRIM(U726)="N/A",IF(AT726=0,"INVALID – N/A not permitted for this mandatory check",IF(AND(TRIM(AC726)&lt;&gt;"",TRIM(AE726)&lt;&gt;"",TRIM(T726)&lt;&gt;""),"N/A – JUSTIFIED","INVALID – N/A needs justification, PIC and verifier")),IF(OR(TRIM(U726)="Pass",TRIM(U726)="Pass after CA"),IF(NOT(ISNUMBER(AD726)),"INVALID – completion time missing",IF(TRIM(T726)="","INVALID – PIC missing",IF(TRIM(Z726)="","INVALID – evidence missing",IF(TRIM(AE726)="","INVALID – verifier missing",IF(AND(AQ726=1,TRIM(W726)=""),"INVALID – batch ID missing",IF(AND(AR726=1,OR(NOT(ISNUMBER(X726)),NOT(ISNUMBER(Y726)))),"INVALID – expected/actual qty missing",IF(IF(AND(TRIM(U726)="Pass",ISNUMBER(AF726)),IF(AF726&lt;&gt;0,"INVALID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recorded/closed","")&lt;&gt;"",IF(AND(TRIM(U726)="Pass",ISNUMBER(AF726)),IF(AF726&lt;&gt;0,"INVALID – qty variance: use Fail or Pass after CA",""),"")&amp;IF(AND(TRIM(U726)="Pass",AB726="Open"),"INVALID – corrective action still open: use Fail, then Pass after CA","")&amp;IF(AND(TRIM(U726)="Pass after CA",OR(TRIM(AA726)="",AB726&lt;&gt;"Closed")),"INVALID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window"),IF(AG726&gt;Flights!$AA$26,"INVALID – completed after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f>
        <v/>
      </c>
      <c r="AI726" s="67">
        <f>IF(OR(AH726="N/A – RULE",AH726="N/A – JUSTIFIED"),0,1)</f>
        <v/>
      </c>
      <c r="AJ726" s="67">
        <f>IF(LEFT(AH726,8)="COMPLETE",1,0)</f>
        <v/>
      </c>
      <c r="AK726" s="67">
        <f>IF(AND(AI726=1,AJ726=0,AsOfUTC&gt;Q726),1,0)</f>
        <v/>
      </c>
      <c r="AL726" s="67">
        <f>IF(AND(AI726=1,OR(TRIM(U726)="Fail",AB726="Open",AND(ISNUMBER(AF726),AF726&lt;&gt;0,TRIM(U726)&lt;&gt;"Pass after CA"))),1,0)</f>
        <v/>
      </c>
      <c r="AM726" s="67">
        <f>IF(LEFT(AH726,7)="INVALID",1,0)</f>
        <v/>
      </c>
      <c r="AN726" s="67">
        <f>IF(AND(N726="Clarification required",AI726=1,AJ726=0),1,0)</f>
        <v/>
      </c>
      <c r="AO726" s="67">
        <f>IF(AK726=1,SUM(AK$5:AK726),"")</f>
        <v/>
      </c>
      <c r="AP726" s="67">
        <f>IF(AL726=1,SUM(AL$5:AL726),"")</f>
        <v/>
      </c>
      <c r="AQ726" s="67" t="n">
        <v>0</v>
      </c>
      <c r="AR726" s="67" t="n">
        <v>0</v>
      </c>
      <c r="AS726" s="67" t="n">
        <v>0</v>
      </c>
      <c r="AT726" s="67" t="n">
        <v>1</v>
      </c>
    </row>
    <row r="727" ht="54" customHeight="1">
      <c r="A727" s="63" t="inlineStr">
        <is>
          <t>F22-T12-16</t>
        </is>
      </c>
      <c r="B727" s="63" t="inlineStr">
        <is>
          <t>F22</t>
        </is>
      </c>
      <c r="C727" s="63">
        <f>Flights!$F$26</f>
        <v/>
      </c>
      <c r="D727" s="64">
        <f>Flights!$D$26</f>
        <v/>
      </c>
      <c r="E727" s="63">
        <f>Flights!$G$26&amp;"-"&amp;Flights!$H$26</f>
        <v/>
      </c>
      <c r="F727" s="63">
        <f>Flights!$K$26</f>
        <v/>
      </c>
      <c r="G727" s="63" t="inlineStr">
        <is>
          <t>T-12H PREP</t>
        </is>
      </c>
      <c r="H727" s="63" t="inlineStr">
        <is>
          <t>Preparation</t>
        </is>
      </c>
      <c r="I727" s="63" t="inlineStr">
        <is>
          <t>F&amp;B Linen</t>
        </is>
      </c>
      <c r="J727" s="63" t="inlineStr">
        <is>
          <t>Trolley cloth - prepared</t>
        </is>
      </c>
      <c r="K727" s="73" t="inlineStr">
        <is>
          <t>Wide body: Top/Middle &amp; Bottom</t>
        </is>
      </c>
      <c r="L727" s="73" t="inlineStr">
        <is>
          <t>STD UPLIFT INFORMATION.xlsx &gt; F&amp;B LINEN!I7</t>
        </is>
      </c>
      <c r="M727" s="73" t="inlineStr">
        <is>
          <t>Not stated in reference</t>
        </is>
      </c>
      <c r="N727" s="73" t="inlineStr">
        <is>
          <t>Required</t>
        </is>
      </c>
      <c r="O727" s="73" t="inlineStr">
        <is>
          <t>Per note F&amp;B LINEN!B79:C80. Reference gives no uplift stn for this item: preparation checked at the meal uplift stn (KUL) - confirm with caterer.</t>
        </is>
      </c>
      <c r="P727" s="63" t="inlineStr">
        <is>
          <t>KUL</t>
        </is>
      </c>
      <c r="Q727" s="65">
        <f>Flights!$AE$26</f>
        <v/>
      </c>
      <c r="R727" s="65">
        <f>Q727+(IF(AND(INDEX(TZ_DSTS,MATCH(P727,TZ_STN,0))&lt;&gt;"",Q727&gt;=INDEX(TZ_DSTS,MATCH(P727,TZ_STN,0)),Q727&lt;INDEX(TZ_DSTE,MATCH(P727,TZ_STN,0))),INDEX(TZ_DST,MATCH(P727,TZ_STN,0)),INDEX(TZ_STD,MATCH(P727,TZ_STN,0))))/24</f>
        <v/>
      </c>
      <c r="S727" s="65">
        <f>Q727-T12EarlyH/24</f>
        <v/>
      </c>
      <c r="T727" s="66" t="n"/>
      <c r="U727" s="66" t="n"/>
      <c r="V727" s="66" t="n"/>
      <c r="W727" s="67" t="n"/>
      <c r="X727" s="66" t="n"/>
      <c r="Y727" s="66" t="n"/>
      <c r="Z727" s="66" t="n"/>
      <c r="AA727" s="66" t="n"/>
      <c r="AB727" s="66" t="n"/>
      <c r="AC727" s="66" t="n"/>
      <c r="AD727" s="72" t="n"/>
      <c r="AE727" s="66" t="n"/>
      <c r="AF727" s="67">
        <f>IF(AND(ISNUMBER(X727),ISNUMBER(Y727)),Y727-X727,"")</f>
        <v/>
      </c>
      <c r="AG727" s="68">
        <f>IF(ISNUMBER(AD727),AD727-(IF(AND(INDEX(TZ_DSTS,MATCH(P727,TZ_STN,0))&lt;&gt;"",(AD727-INDEX(TZ_STD,MATCH(P727,TZ_STN,0))/24)&gt;=INDEX(TZ_DSTS,MATCH(P727,TZ_STN,0)),(AD727-INDEX(TZ_STD,MATCH(P727,TZ_STN,0))/24)&lt;INDEX(TZ_DSTE,MATCH(P727,TZ_STN,0))),INDEX(TZ_DST,MATCH(P727,TZ_STN,0)),INDEX(TZ_STD,MATCH(P727,TZ_STN,0))))/24,"")</f>
        <v/>
      </c>
      <c r="AH727" s="71">
        <f>IF(N727="N/A – rule","N/A – RULE",IF(TRIM(U727)="N/A",IF(AT727=0,"INVALID – N/A not permitted for this mandatory check",IF(AND(TRIM(AC727)&lt;&gt;"",TRIM(AE727)&lt;&gt;"",TRIM(T727)&lt;&gt;""),"N/A – JUSTIFIED","INVALID – N/A needs justification, PIC and verifier")),IF(OR(TRIM(U727)="Pass",TRIM(U727)="Pass after CA"),IF(NOT(ISNUMBER(AD727)),"INVALID – completion time missing",IF(TRIM(T727)="","INVALID – PIC missing",IF(TRIM(Z727)="","INVALID – evidence missing",IF(TRIM(AE727)="","INVALID – verifier missing",IF(AND(AQ727=1,TRIM(W727)=""),"INVALID – batch ID missing",IF(AND(AR727=1,OR(NOT(ISNUMBER(X727)),NOT(ISNUMBER(Y727)))),"INVALID – expected/actual qty missing",IF(IF(AND(TRIM(U727)="Pass",ISNUMBER(AF727)),IF(AF727&lt;&gt;0,"INVALID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recorded/closed","")&lt;&gt;"",IF(AND(TRIM(U727)="Pass",ISNUMBER(AF727)),IF(AF727&lt;&gt;0,"INVALID – qty variance: use Fail or Pass after CA",""),"")&amp;IF(AND(TRIM(U727)="Pass",AB727="Open"),"INVALID – corrective action still open: use Fail, then Pass after CA","")&amp;IF(AND(TRIM(U727)="Pass after CA",OR(TRIM(AA727)="",AB727&lt;&gt;"Closed")),"INVALID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window"),IF(AG727&gt;Flights!$AA$26,"INVALID – completed after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f>
        <v/>
      </c>
      <c r="AI727" s="67">
        <f>IF(OR(AH727="N/A – RULE",AH727="N/A – JUSTIFIED"),0,1)</f>
        <v/>
      </c>
      <c r="AJ727" s="67">
        <f>IF(LEFT(AH727,8)="COMPLETE",1,0)</f>
        <v/>
      </c>
      <c r="AK727" s="67">
        <f>IF(AND(AI727=1,AJ727=0,AsOfUTC&gt;Q727),1,0)</f>
        <v/>
      </c>
      <c r="AL727" s="67">
        <f>IF(AND(AI727=1,OR(TRIM(U727)="Fail",AB727="Open",AND(ISNUMBER(AF727),AF727&lt;&gt;0,TRIM(U727)&lt;&gt;"Pass after CA"))),1,0)</f>
        <v/>
      </c>
      <c r="AM727" s="67">
        <f>IF(LEFT(AH727,7)="INVALID",1,0)</f>
        <v/>
      </c>
      <c r="AN727" s="67">
        <f>IF(AND(N727="Clarification required",AI727=1,AJ727=0),1,0)</f>
        <v/>
      </c>
      <c r="AO727" s="67">
        <f>IF(AK727=1,SUM(AK$5:AK727),"")</f>
        <v/>
      </c>
      <c r="AP727" s="67">
        <f>IF(AL727=1,SUM(AL$5:AL727),"")</f>
        <v/>
      </c>
      <c r="AQ727" s="67" t="n">
        <v>0</v>
      </c>
      <c r="AR727" s="67" t="n">
        <v>0</v>
      </c>
      <c r="AS727" s="67" t="n">
        <v>0</v>
      </c>
      <c r="AT727" s="67" t="n">
        <v>1</v>
      </c>
    </row>
    <row r="728" ht="41.5" customHeight="1">
      <c r="A728" s="63" t="inlineStr">
        <is>
          <t>F22-T12-17</t>
        </is>
      </c>
      <c r="B728" s="63" t="inlineStr">
        <is>
          <t>F22</t>
        </is>
      </c>
      <c r="C728" s="63">
        <f>Flights!$F$26</f>
        <v/>
      </c>
      <c r="D728" s="64">
        <f>Flights!$D$26</f>
        <v/>
      </c>
      <c r="E728" s="63">
        <f>Flights!$G$26&amp;"-"&amp;Flights!$H$26</f>
        <v/>
      </c>
      <c r="F728" s="63">
        <f>Flights!$K$26</f>
        <v/>
      </c>
      <c r="G728" s="63" t="inlineStr">
        <is>
          <t>T-12H PREP</t>
        </is>
      </c>
      <c r="H728" s="63" t="inlineStr">
        <is>
          <t>Preparation</t>
        </is>
      </c>
      <c r="I728" s="63" t="inlineStr">
        <is>
          <t>F&amp;B Linen</t>
        </is>
      </c>
      <c r="J728" s="63" t="inlineStr">
        <is>
          <t>Linen bag - prepared</t>
        </is>
      </c>
      <c r="K728" s="73" t="inlineStr">
        <is>
          <t>Available (ticked in reference)</t>
        </is>
      </c>
      <c r="L728" s="73" t="inlineStr">
        <is>
          <t>STD UPLIFT INFORMATION.xlsx &gt; F&amp;B LINEN!J7</t>
        </is>
      </c>
      <c r="M728" s="73" t="inlineStr">
        <is>
          <t>Not stated in reference</t>
        </is>
      </c>
      <c r="N728" s="73" t="inlineStr">
        <is>
          <t>Required</t>
        </is>
      </c>
      <c r="O728" s="73" t="inlineStr">
        <is>
          <t>Reference gives no uplift stn for this item: preparation checked at the meal uplift stn (KUL) - confirm with caterer.</t>
        </is>
      </c>
      <c r="P728" s="63" t="inlineStr">
        <is>
          <t>KUL</t>
        </is>
      </c>
      <c r="Q728" s="65">
        <f>Flights!$AE$26</f>
        <v/>
      </c>
      <c r="R728" s="65">
        <f>Q728+(IF(AND(INDEX(TZ_DSTS,MATCH(P728,TZ_STN,0))&lt;&gt;"",Q728&gt;=INDEX(TZ_DSTS,MATCH(P728,TZ_STN,0)),Q728&lt;INDEX(TZ_DSTE,MATCH(P728,TZ_STN,0))),INDEX(TZ_DST,MATCH(P728,TZ_STN,0)),INDEX(TZ_STD,MATCH(P728,TZ_STN,0))))/24</f>
        <v/>
      </c>
      <c r="S728" s="65">
        <f>Q728-T12EarlyH/24</f>
        <v/>
      </c>
      <c r="T728" s="66" t="n"/>
      <c r="U728" s="66" t="n"/>
      <c r="V728" s="66" t="n"/>
      <c r="W728" s="67" t="n"/>
      <c r="X728" s="66" t="n"/>
      <c r="Y728" s="66" t="n"/>
      <c r="Z728" s="66" t="n"/>
      <c r="AA728" s="66" t="n"/>
      <c r="AB728" s="66" t="n"/>
      <c r="AC728" s="66" t="n"/>
      <c r="AD728" s="72" t="n"/>
      <c r="AE728" s="66" t="n"/>
      <c r="AF728" s="67">
        <f>IF(AND(ISNUMBER(X728),ISNUMBER(Y728)),Y728-X728,"")</f>
        <v/>
      </c>
      <c r="AG728" s="68">
        <f>IF(ISNUMBER(AD728),AD728-(IF(AND(INDEX(TZ_DSTS,MATCH(P728,TZ_STN,0))&lt;&gt;"",(AD728-INDEX(TZ_STD,MATCH(P728,TZ_STN,0))/24)&gt;=INDEX(TZ_DSTS,MATCH(P728,TZ_STN,0)),(AD728-INDEX(TZ_STD,MATCH(P728,TZ_STN,0))/24)&lt;INDEX(TZ_DSTE,MATCH(P728,TZ_STN,0))),INDEX(TZ_DST,MATCH(P728,TZ_STN,0)),INDEX(TZ_STD,MATCH(P728,TZ_STN,0))))/24,"")</f>
        <v/>
      </c>
      <c r="AH728" s="71">
        <f>IF(N728="N/A – rule","N/A – RULE",IF(TRIM(U728)="N/A",IF(AT728=0,"INVALID – N/A not permitted for this mandatory check",IF(AND(TRIM(AC728)&lt;&gt;"",TRIM(AE728)&lt;&gt;"",TRIM(T728)&lt;&gt;""),"N/A – JUSTIFIED","INVALID – N/A needs justification, PIC and verifier")),IF(OR(TRIM(U728)="Pass",TRIM(U728)="Pass after CA"),IF(NOT(ISNUMBER(AD728)),"INVALID – completion time missing",IF(TRIM(T728)="","INVALID – PIC missing",IF(TRIM(Z728)="","INVALID – evidence missing",IF(TRIM(AE728)="","INVALID – verifier missing",IF(AND(AQ728=1,TRIM(W728)=""),"INVALID – batch ID missing",IF(AND(AR728=1,OR(NOT(ISNUMBER(X728)),NOT(ISNUMBER(Y728)))),"INVALID – expected/actual qty missing",IF(IF(AND(TRIM(U728)="Pass",ISNUMBER(AF728)),IF(AF728&lt;&gt;0,"INVALID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recorded/closed","")&lt;&gt;"",IF(AND(TRIM(U728)="Pass",ISNUMBER(AF728)),IF(AF728&lt;&gt;0,"INVALID – qty variance: use Fail or Pass after CA",""),"")&amp;IF(AND(TRIM(U728)="Pass",AB728="Open"),"INVALID – corrective action still open: use Fail, then Pass after CA","")&amp;IF(AND(TRIM(U728)="Pass after CA",OR(TRIM(AA728)="",AB728&lt;&gt;"Closed")),"INVALID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window"),IF(AG728&gt;Flights!$AA$26,"INVALID – completed after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f>
        <v/>
      </c>
      <c r="AI728" s="67">
        <f>IF(OR(AH728="N/A – RULE",AH728="N/A – JUSTIFIED"),0,1)</f>
        <v/>
      </c>
      <c r="AJ728" s="67">
        <f>IF(LEFT(AH728,8)="COMPLETE",1,0)</f>
        <v/>
      </c>
      <c r="AK728" s="67">
        <f>IF(AND(AI728=1,AJ728=0,AsOfUTC&gt;Q728),1,0)</f>
        <v/>
      </c>
      <c r="AL728" s="67">
        <f>IF(AND(AI728=1,OR(TRIM(U728)="Fail",AB728="Open",AND(ISNUMBER(AF728),AF728&lt;&gt;0,TRIM(U728)&lt;&gt;"Pass after CA"))),1,0)</f>
        <v/>
      </c>
      <c r="AM728" s="67">
        <f>IF(LEFT(AH728,7)="INVALID",1,0)</f>
        <v/>
      </c>
      <c r="AN728" s="67">
        <f>IF(AND(N728="Clarification required",AI728=1,AJ728=0),1,0)</f>
        <v/>
      </c>
      <c r="AO728" s="67">
        <f>IF(AK728=1,SUM(AK$5:AK728),"")</f>
        <v/>
      </c>
      <c r="AP728" s="67">
        <f>IF(AL728=1,SUM(AL$5:AL728),"")</f>
        <v/>
      </c>
      <c r="AQ728" s="67" t="n">
        <v>0</v>
      </c>
      <c r="AR728" s="67" t="n">
        <v>0</v>
      </c>
      <c r="AS728" s="67" t="n">
        <v>0</v>
      </c>
      <c r="AT728" s="67" t="n">
        <v>1</v>
      </c>
    </row>
    <row r="729" ht="41.5" customHeight="1">
      <c r="A729" s="63" t="inlineStr">
        <is>
          <t>F22-T12-18</t>
        </is>
      </c>
      <c r="B729" s="63" t="inlineStr">
        <is>
          <t>F22</t>
        </is>
      </c>
      <c r="C729" s="63">
        <f>Flights!$F$26</f>
        <v/>
      </c>
      <c r="D729" s="64">
        <f>Flights!$D$26</f>
        <v/>
      </c>
      <c r="E729" s="63">
        <f>Flights!$G$26&amp;"-"&amp;Flights!$H$26</f>
        <v/>
      </c>
      <c r="F729" s="63">
        <f>Flights!$K$26</f>
        <v/>
      </c>
      <c r="G729" s="63" t="inlineStr">
        <is>
          <t>T-12H PREP</t>
        </is>
      </c>
      <c r="H729" s="63" t="inlineStr">
        <is>
          <t>Preparation</t>
        </is>
      </c>
      <c r="I729" s="63" t="inlineStr">
        <is>
          <t>Seat Linen</t>
        </is>
      </c>
      <c r="J729" s="63" t="inlineStr">
        <is>
          <t>Seat pillow (BS &amp; BC) - prepared</t>
        </is>
      </c>
      <c r="K729" s="73" t="inlineStr">
        <is>
          <t>Available 100% (ticked in reference)</t>
        </is>
      </c>
      <c r="L729" s="73" t="inlineStr">
        <is>
          <t>STD UPLIFT INFORMATION.xlsx &gt; SEAT LINEN!E7</t>
        </is>
      </c>
      <c r="M729" s="73" t="inlineStr">
        <is>
          <t>Not stated in reference</t>
        </is>
      </c>
      <c r="N729" s="73" t="inlineStr">
        <is>
          <t>Required</t>
        </is>
      </c>
      <c r="O729" s="73" t="inlineStr">
        <is>
          <t>Reference gives no uplift stn for this item: preparation checked at the meal uplift stn (KUL) - confirm with caterer.</t>
        </is>
      </c>
      <c r="P729" s="63" t="inlineStr">
        <is>
          <t>KUL</t>
        </is>
      </c>
      <c r="Q729" s="65">
        <f>Flights!$AE$26</f>
        <v/>
      </c>
      <c r="R729" s="65">
        <f>Q729+(IF(AND(INDEX(TZ_DSTS,MATCH(P729,TZ_STN,0))&lt;&gt;"",Q729&gt;=INDEX(TZ_DSTS,MATCH(P729,TZ_STN,0)),Q729&lt;INDEX(TZ_DSTE,MATCH(P729,TZ_STN,0))),INDEX(TZ_DST,MATCH(P729,TZ_STN,0)),INDEX(TZ_STD,MATCH(P729,TZ_STN,0))))/24</f>
        <v/>
      </c>
      <c r="S729" s="65">
        <f>Q729-T12EarlyH/24</f>
        <v/>
      </c>
      <c r="T729" s="66" t="n"/>
      <c r="U729" s="66" t="n"/>
      <c r="V729" s="66" t="n"/>
      <c r="W729" s="67" t="n"/>
      <c r="X729" s="66" t="n"/>
      <c r="Y729" s="66" t="n"/>
      <c r="Z729" s="66" t="n"/>
      <c r="AA729" s="66" t="n"/>
      <c r="AB729" s="66" t="n"/>
      <c r="AC729" s="66" t="n"/>
      <c r="AD729" s="72" t="n"/>
      <c r="AE729" s="66" t="n"/>
      <c r="AF729" s="67">
        <f>IF(AND(ISNUMBER(X729),ISNUMBER(Y729)),Y729-X729,"")</f>
        <v/>
      </c>
      <c r="AG729" s="68">
        <f>IF(ISNUMBER(AD729),AD729-(IF(AND(INDEX(TZ_DSTS,MATCH(P729,TZ_STN,0))&lt;&gt;"",(AD729-INDEX(TZ_STD,MATCH(P729,TZ_STN,0))/24)&gt;=INDEX(TZ_DSTS,MATCH(P729,TZ_STN,0)),(AD729-INDEX(TZ_STD,MATCH(P729,TZ_STN,0))/24)&lt;INDEX(TZ_DSTE,MATCH(P729,TZ_STN,0))),INDEX(TZ_DST,MATCH(P729,TZ_STN,0)),INDEX(TZ_STD,MATCH(P729,TZ_STN,0))))/24,"")</f>
        <v/>
      </c>
      <c r="AH729" s="71">
        <f>IF(N729="N/A – rule","N/A – RULE",IF(TRIM(U729)="N/A",IF(AT729=0,"INVALID – N/A not permitted for this mandatory check",IF(AND(TRIM(AC729)&lt;&gt;"",TRIM(AE729)&lt;&gt;"",TRIM(T729)&lt;&gt;""),"N/A – JUSTIFIED","INVALID – N/A needs justification, PIC and verifier")),IF(OR(TRIM(U729)="Pass",TRIM(U729)="Pass after CA"),IF(NOT(ISNUMBER(AD729)),"INVALID – completion time missing",IF(TRIM(T729)="","INVALID – PIC missing",IF(TRIM(Z729)="","INVALID – evidence missing",IF(TRIM(AE729)="","INVALID – verifier missing",IF(AND(AQ729=1,TRIM(W729)=""),"INVALID – batch ID missing",IF(AND(AR729=1,OR(NOT(ISNUMBER(X729)),NOT(ISNUMBER(Y729)))),"INVALID – expected/actual qty missing",IF(IF(AND(TRIM(U729)="Pass",ISNUMBER(AF729)),IF(AF729&lt;&gt;0,"INVALID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recorded/closed","")&lt;&gt;"",IF(AND(TRIM(U729)="Pass",ISNUMBER(AF729)),IF(AF729&lt;&gt;0,"INVALID – qty variance: use Fail or Pass after CA",""),"")&amp;IF(AND(TRIM(U729)="Pass",AB729="Open"),"INVALID – corrective action still open: use Fail, then Pass after CA","")&amp;IF(AND(TRIM(U729)="Pass after CA",OR(TRIM(AA729)="",AB729&lt;&gt;"Closed")),"INVALID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window"),IF(AG729&gt;Flights!$AA$26,"INVALID – completed after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f>
        <v/>
      </c>
      <c r="AI729" s="67">
        <f>IF(OR(AH729="N/A – RULE",AH729="N/A – JUSTIFIED"),0,1)</f>
        <v/>
      </c>
      <c r="AJ729" s="67">
        <f>IF(LEFT(AH729,8)="COMPLETE",1,0)</f>
        <v/>
      </c>
      <c r="AK729" s="67">
        <f>IF(AND(AI729=1,AJ729=0,AsOfUTC&gt;Q729),1,0)</f>
        <v/>
      </c>
      <c r="AL729" s="67">
        <f>IF(AND(AI729=1,OR(TRIM(U729)="Fail",AB729="Open",AND(ISNUMBER(AF729),AF729&lt;&gt;0,TRIM(U729)&lt;&gt;"Pass after CA"))),1,0)</f>
        <v/>
      </c>
      <c r="AM729" s="67">
        <f>IF(LEFT(AH729,7)="INVALID",1,0)</f>
        <v/>
      </c>
      <c r="AN729" s="67">
        <f>IF(AND(N729="Clarification required",AI729=1,AJ729=0),1,0)</f>
        <v/>
      </c>
      <c r="AO729" s="67">
        <f>IF(AK729=1,SUM(AK$5:AK729),"")</f>
        <v/>
      </c>
      <c r="AP729" s="67">
        <f>IF(AL729=1,SUM(AL$5:AL729),"")</f>
        <v/>
      </c>
      <c r="AQ729" s="67" t="n">
        <v>0</v>
      </c>
      <c r="AR729" s="67" t="n">
        <v>0</v>
      </c>
      <c r="AS729" s="67" t="n">
        <v>0</v>
      </c>
      <c r="AT729" s="67" t="n">
        <v>1</v>
      </c>
    </row>
    <row r="730" ht="41.5" customHeight="1">
      <c r="A730" s="63" t="inlineStr">
        <is>
          <t>F22-T12-19</t>
        </is>
      </c>
      <c r="B730" s="63" t="inlineStr">
        <is>
          <t>F22</t>
        </is>
      </c>
      <c r="C730" s="63">
        <f>Flights!$F$26</f>
        <v/>
      </c>
      <c r="D730" s="64">
        <f>Flights!$D$26</f>
        <v/>
      </c>
      <c r="E730" s="63">
        <f>Flights!$G$26&amp;"-"&amp;Flights!$H$26</f>
        <v/>
      </c>
      <c r="F730" s="63">
        <f>Flights!$K$26</f>
        <v/>
      </c>
      <c r="G730" s="63" t="inlineStr">
        <is>
          <t>T-12H PREP</t>
        </is>
      </c>
      <c r="H730" s="63" t="inlineStr">
        <is>
          <t>Preparation</t>
        </is>
      </c>
      <c r="I730" s="63" t="inlineStr">
        <is>
          <t>Seat Linen</t>
        </is>
      </c>
      <c r="J730" s="63" t="inlineStr">
        <is>
          <t>Duvet (BS &amp; BC) - prepared</t>
        </is>
      </c>
      <c r="K730" s="73" t="inlineStr">
        <is>
          <t>Available 100% (ticked in reference)</t>
        </is>
      </c>
      <c r="L730" s="73" t="inlineStr">
        <is>
          <t>STD UPLIFT INFORMATION.xlsx &gt; SEAT LINEN!F7</t>
        </is>
      </c>
      <c r="M730" s="73" t="inlineStr">
        <is>
          <t>Not stated in reference</t>
        </is>
      </c>
      <c r="N730" s="73" t="inlineStr">
        <is>
          <t>Required</t>
        </is>
      </c>
      <c r="O730" s="73" t="inlineStr">
        <is>
          <t>Reference gives no uplift stn for this item: preparation checked at the meal uplift stn (KUL) - confirm with caterer.</t>
        </is>
      </c>
      <c r="P730" s="63" t="inlineStr">
        <is>
          <t>KUL</t>
        </is>
      </c>
      <c r="Q730" s="65">
        <f>Flights!$AE$26</f>
        <v/>
      </c>
      <c r="R730" s="65">
        <f>Q730+(IF(AND(INDEX(TZ_DSTS,MATCH(P730,TZ_STN,0))&lt;&gt;"",Q730&gt;=INDEX(TZ_DSTS,MATCH(P730,TZ_STN,0)),Q730&lt;INDEX(TZ_DSTE,MATCH(P730,TZ_STN,0))),INDEX(TZ_DST,MATCH(P730,TZ_STN,0)),INDEX(TZ_STD,MATCH(P730,TZ_STN,0))))/24</f>
        <v/>
      </c>
      <c r="S730" s="65">
        <f>Q730-T12EarlyH/24</f>
        <v/>
      </c>
      <c r="T730" s="66" t="n"/>
      <c r="U730" s="66" t="n"/>
      <c r="V730" s="66" t="n"/>
      <c r="W730" s="67" t="n"/>
      <c r="X730" s="66" t="n"/>
      <c r="Y730" s="66" t="n"/>
      <c r="Z730" s="66" t="n"/>
      <c r="AA730" s="66" t="n"/>
      <c r="AB730" s="66" t="n"/>
      <c r="AC730" s="66" t="n"/>
      <c r="AD730" s="72" t="n"/>
      <c r="AE730" s="66" t="n"/>
      <c r="AF730" s="67">
        <f>IF(AND(ISNUMBER(X730),ISNUMBER(Y730)),Y730-X730,"")</f>
        <v/>
      </c>
      <c r="AG730" s="68">
        <f>IF(ISNUMBER(AD730),AD730-(IF(AND(INDEX(TZ_DSTS,MATCH(P730,TZ_STN,0))&lt;&gt;"",(AD730-INDEX(TZ_STD,MATCH(P730,TZ_STN,0))/24)&gt;=INDEX(TZ_DSTS,MATCH(P730,TZ_STN,0)),(AD730-INDEX(TZ_STD,MATCH(P730,TZ_STN,0))/24)&lt;INDEX(TZ_DSTE,MATCH(P730,TZ_STN,0))),INDEX(TZ_DST,MATCH(P730,TZ_STN,0)),INDEX(TZ_STD,MATCH(P730,TZ_STN,0))))/24,"")</f>
        <v/>
      </c>
      <c r="AH730" s="71">
        <f>IF(N730="N/A – rule","N/A – RULE",IF(TRIM(U730)="N/A",IF(AT730=0,"INVALID – N/A not permitted for this mandatory check",IF(AND(TRIM(AC730)&lt;&gt;"",TRIM(AE730)&lt;&gt;"",TRIM(T730)&lt;&gt;""),"N/A – JUSTIFIED","INVALID – N/A needs justification, PIC and verifier")),IF(OR(TRIM(U730)="Pass",TRIM(U730)="Pass after CA"),IF(NOT(ISNUMBER(AD730)),"INVALID – completion time missing",IF(TRIM(T730)="","INVALID – PIC missing",IF(TRIM(Z730)="","INVALID – evidence missing",IF(TRIM(AE730)="","INVALID – verifier missing",IF(AND(AQ730=1,TRIM(W730)=""),"INVALID – batch ID missing",IF(AND(AR730=1,OR(NOT(ISNUMBER(X730)),NOT(ISNUMBER(Y730)))),"INVALID – expected/actual qty missing",IF(IF(AND(TRIM(U730)="Pass",ISNUMBER(AF730)),IF(AF730&lt;&gt;0,"INVALID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recorded/closed","")&lt;&gt;"",IF(AND(TRIM(U730)="Pass",ISNUMBER(AF730)),IF(AF730&lt;&gt;0,"INVALID – qty variance: use Fail or Pass after CA",""),"")&amp;IF(AND(TRIM(U730)="Pass",AB730="Open"),"INVALID – corrective action still open: use Fail, then Pass after CA","")&amp;IF(AND(TRIM(U730)="Pass after CA",OR(TRIM(AA730)="",AB730&lt;&gt;"Closed")),"INVALID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window"),IF(AG730&gt;Flights!$AA$26,"INVALID – completed after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f>
        <v/>
      </c>
      <c r="AI730" s="67">
        <f>IF(OR(AH730="N/A – RULE",AH730="N/A – JUSTIFIED"),0,1)</f>
        <v/>
      </c>
      <c r="AJ730" s="67">
        <f>IF(LEFT(AH730,8)="COMPLETE",1,0)</f>
        <v/>
      </c>
      <c r="AK730" s="67">
        <f>IF(AND(AI730=1,AJ730=0,AsOfUTC&gt;Q730),1,0)</f>
        <v/>
      </c>
      <c r="AL730" s="67">
        <f>IF(AND(AI730=1,OR(TRIM(U730)="Fail",AB730="Open",AND(ISNUMBER(AF730),AF730&lt;&gt;0,TRIM(U730)&lt;&gt;"Pass after CA"))),1,0)</f>
        <v/>
      </c>
      <c r="AM730" s="67">
        <f>IF(LEFT(AH730,7)="INVALID",1,0)</f>
        <v/>
      </c>
      <c r="AN730" s="67">
        <f>IF(AND(N730="Clarification required",AI730=1,AJ730=0),1,0)</f>
        <v/>
      </c>
      <c r="AO730" s="67">
        <f>IF(AK730=1,SUM(AK$5:AK730),"")</f>
        <v/>
      </c>
      <c r="AP730" s="67">
        <f>IF(AL730=1,SUM(AL$5:AL730),"")</f>
        <v/>
      </c>
      <c r="AQ730" s="67" t="n">
        <v>0</v>
      </c>
      <c r="AR730" s="67" t="n">
        <v>0</v>
      </c>
      <c r="AS730" s="67" t="n">
        <v>0</v>
      </c>
      <c r="AT730" s="67" t="n">
        <v>1</v>
      </c>
    </row>
    <row r="731" ht="41.5" customHeight="1">
      <c r="A731" s="63" t="inlineStr">
        <is>
          <t>F22-T12-20</t>
        </is>
      </c>
      <c r="B731" s="63" t="inlineStr">
        <is>
          <t>F22</t>
        </is>
      </c>
      <c r="C731" s="63">
        <f>Flights!$F$26</f>
        <v/>
      </c>
      <c r="D731" s="64">
        <f>Flights!$D$26</f>
        <v/>
      </c>
      <c r="E731" s="63">
        <f>Flights!$G$26&amp;"-"&amp;Flights!$H$26</f>
        <v/>
      </c>
      <c r="F731" s="63">
        <f>Flights!$K$26</f>
        <v/>
      </c>
      <c r="G731" s="63" t="inlineStr">
        <is>
          <t>T-12H PREP</t>
        </is>
      </c>
      <c r="H731" s="63" t="inlineStr">
        <is>
          <t>Preparation</t>
        </is>
      </c>
      <c r="I731" s="63" t="inlineStr">
        <is>
          <t>Seat Linen</t>
        </is>
      </c>
      <c r="J731" s="63" t="inlineStr">
        <is>
          <t>Mattress (BS &amp; BC) - prepared</t>
        </is>
      </c>
      <c r="K731" s="73" t="inlineStr">
        <is>
          <t>Available 100% (ticked in reference)</t>
        </is>
      </c>
      <c r="L731" s="73" t="inlineStr">
        <is>
          <t>STD UPLIFT INFORMATION.xlsx &gt; SEAT LINEN!G7</t>
        </is>
      </c>
      <c r="M731" s="73" t="inlineStr">
        <is>
          <t>Not stated in reference</t>
        </is>
      </c>
      <c r="N731" s="73" t="inlineStr">
        <is>
          <t>Required</t>
        </is>
      </c>
      <c r="O731" s="73" t="inlineStr">
        <is>
          <t>Reference gives no uplift stn for this item: preparation checked at the meal uplift stn (KUL) - confirm with caterer.</t>
        </is>
      </c>
      <c r="P731" s="63" t="inlineStr">
        <is>
          <t>KUL</t>
        </is>
      </c>
      <c r="Q731" s="65">
        <f>Flights!$AE$26</f>
        <v/>
      </c>
      <c r="R731" s="65">
        <f>Q731+(IF(AND(INDEX(TZ_DSTS,MATCH(P731,TZ_STN,0))&lt;&gt;"",Q731&gt;=INDEX(TZ_DSTS,MATCH(P731,TZ_STN,0)),Q731&lt;INDEX(TZ_DSTE,MATCH(P731,TZ_STN,0))),INDEX(TZ_DST,MATCH(P731,TZ_STN,0)),INDEX(TZ_STD,MATCH(P731,TZ_STN,0))))/24</f>
        <v/>
      </c>
      <c r="S731" s="65">
        <f>Q731-T12EarlyH/24</f>
        <v/>
      </c>
      <c r="T731" s="66" t="n"/>
      <c r="U731" s="66" t="n"/>
      <c r="V731" s="66" t="n"/>
      <c r="W731" s="67" t="n"/>
      <c r="X731" s="66" t="n"/>
      <c r="Y731" s="66" t="n"/>
      <c r="Z731" s="66" t="n"/>
      <c r="AA731" s="66" t="n"/>
      <c r="AB731" s="66" t="n"/>
      <c r="AC731" s="66" t="n"/>
      <c r="AD731" s="72" t="n"/>
      <c r="AE731" s="66" t="n"/>
      <c r="AF731" s="67">
        <f>IF(AND(ISNUMBER(X731),ISNUMBER(Y731)),Y731-X731,"")</f>
        <v/>
      </c>
      <c r="AG731" s="68">
        <f>IF(ISNUMBER(AD731),AD731-(IF(AND(INDEX(TZ_DSTS,MATCH(P731,TZ_STN,0))&lt;&gt;"",(AD731-INDEX(TZ_STD,MATCH(P731,TZ_STN,0))/24)&gt;=INDEX(TZ_DSTS,MATCH(P731,TZ_STN,0)),(AD731-INDEX(TZ_STD,MATCH(P731,TZ_STN,0))/24)&lt;INDEX(TZ_DSTE,MATCH(P731,TZ_STN,0))),INDEX(TZ_DST,MATCH(P731,TZ_STN,0)),INDEX(TZ_STD,MATCH(P731,TZ_STN,0))))/24,"")</f>
        <v/>
      </c>
      <c r="AH731" s="71">
        <f>IF(N731="N/A – rule","N/A – RULE",IF(TRIM(U731)="N/A",IF(AT731=0,"INVALID – N/A not permitted for this mandatory check",IF(AND(TRIM(AC731)&lt;&gt;"",TRIM(AE731)&lt;&gt;"",TRIM(T731)&lt;&gt;""),"N/A – JUSTIFIED","INVALID – N/A needs justification, PIC and verifier")),IF(OR(TRIM(U731)="Pass",TRIM(U731)="Pass after CA"),IF(NOT(ISNUMBER(AD731)),"INVALID – completion time missing",IF(TRIM(T731)="","INVALID – PIC missing",IF(TRIM(Z731)="","INVALID – evidence missing",IF(TRIM(AE731)="","INVALID – verifier missing",IF(AND(AQ731=1,TRIM(W731)=""),"INVALID – batch ID missing",IF(AND(AR731=1,OR(NOT(ISNUMBER(X731)),NOT(ISNUMBER(Y731)))),"INVALID – expected/actual qty missing",IF(IF(AND(TRIM(U731)="Pass",ISNUMBER(AF731)),IF(AF731&lt;&gt;0,"INVALID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recorded/closed","")&lt;&gt;"",IF(AND(TRIM(U731)="Pass",ISNUMBER(AF731)),IF(AF731&lt;&gt;0,"INVALID – qty variance: use Fail or Pass after CA",""),"")&amp;IF(AND(TRIM(U731)="Pass",AB731="Open"),"INVALID – corrective action still open: use Fail, then Pass after CA","")&amp;IF(AND(TRIM(U731)="Pass after CA",OR(TRIM(AA731)="",AB731&lt;&gt;"Closed")),"INVALID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window"),IF(AG731&gt;Flights!$AA$26,"INVALID – completed after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f>
        <v/>
      </c>
      <c r="AI731" s="67">
        <f>IF(OR(AH731="N/A – RULE",AH731="N/A – JUSTIFIED"),0,1)</f>
        <v/>
      </c>
      <c r="AJ731" s="67">
        <f>IF(LEFT(AH731,8)="COMPLETE",1,0)</f>
        <v/>
      </c>
      <c r="AK731" s="67">
        <f>IF(AND(AI731=1,AJ731=0,AsOfUTC&gt;Q731),1,0)</f>
        <v/>
      </c>
      <c r="AL731" s="67">
        <f>IF(AND(AI731=1,OR(TRIM(U731)="Fail",AB731="Open",AND(ISNUMBER(AF731),AF731&lt;&gt;0,TRIM(U731)&lt;&gt;"Pass after CA"))),1,0)</f>
        <v/>
      </c>
      <c r="AM731" s="67">
        <f>IF(LEFT(AH731,7)="INVALID",1,0)</f>
        <v/>
      </c>
      <c r="AN731" s="67">
        <f>IF(AND(N731="Clarification required",AI731=1,AJ731=0),1,0)</f>
        <v/>
      </c>
      <c r="AO731" s="67">
        <f>IF(AK731=1,SUM(AK$5:AK731),"")</f>
        <v/>
      </c>
      <c r="AP731" s="67">
        <f>IF(AL731=1,SUM(AL$5:AL731),"")</f>
        <v/>
      </c>
      <c r="AQ731" s="67" t="n">
        <v>0</v>
      </c>
      <c r="AR731" s="67" t="n">
        <v>0</v>
      </c>
      <c r="AS731" s="67" t="n">
        <v>0</v>
      </c>
      <c r="AT731" s="67" t="n">
        <v>1</v>
      </c>
    </row>
    <row r="732" ht="40" customHeight="1">
      <c r="A732" s="63" t="inlineStr">
        <is>
          <t>F22-T12-21</t>
        </is>
      </c>
      <c r="B732" s="63" t="inlineStr">
        <is>
          <t>F22</t>
        </is>
      </c>
      <c r="C732" s="63">
        <f>Flights!$F$26</f>
        <v/>
      </c>
      <c r="D732" s="64">
        <f>Flights!$D$26</f>
        <v/>
      </c>
      <c r="E732" s="63">
        <f>Flights!$G$26&amp;"-"&amp;Flights!$H$26</f>
        <v/>
      </c>
      <c r="F732" s="63">
        <f>Flights!$K$26</f>
        <v/>
      </c>
      <c r="G732" s="63" t="inlineStr">
        <is>
          <t>T-12H PREP</t>
        </is>
      </c>
      <c r="H732" s="63" t="inlineStr">
        <is>
          <t>Preparation</t>
        </is>
      </c>
      <c r="I732" s="63" t="inlineStr">
        <is>
          <t>Signature Drinks</t>
        </is>
      </c>
      <c r="J732" s="63" t="inlineStr">
        <is>
          <t>Signature drink &amp; garnish (BC) - prepared</t>
        </is>
      </c>
      <c r="K732" s="73" t="inlineStr">
        <is>
          <t>Available (ticked in reference)</t>
        </is>
      </c>
      <c r="L732" s="73" t="inlineStr">
        <is>
          <t>STD UPLIFT INFORMATION.xlsx &gt; Signature Drinks!F6 / G6 / D79</t>
        </is>
      </c>
      <c r="M732" s="73" t="inlineStr">
        <is>
          <t>KUL</t>
        </is>
      </c>
      <c r="N732" s="73" t="inlineStr">
        <is>
          <t>Required</t>
        </is>
      </c>
      <c r="O732" s="73" t="inlineStr">
        <is>
          <t>Signature drinks &amp; garnish uplifted from KUL (note D79).</t>
        </is>
      </c>
      <c r="P732" s="63" t="inlineStr">
        <is>
          <t>KUL</t>
        </is>
      </c>
      <c r="Q732" s="65">
        <f>Flights!$AE$26</f>
        <v/>
      </c>
      <c r="R732" s="65">
        <f>Q732+(IF(AND(INDEX(TZ_DSTS,MATCH(P732,TZ_STN,0))&lt;&gt;"",Q732&gt;=INDEX(TZ_DSTS,MATCH(P732,TZ_STN,0)),Q732&lt;INDEX(TZ_DSTE,MATCH(P732,TZ_STN,0))),INDEX(TZ_DST,MATCH(P732,TZ_STN,0)),INDEX(TZ_STD,MATCH(P732,TZ_STN,0))))/24</f>
        <v/>
      </c>
      <c r="S732" s="65">
        <f>Q732-T12EarlyH/24</f>
        <v/>
      </c>
      <c r="T732" s="66" t="n"/>
      <c r="U732" s="66" t="n"/>
      <c r="V732" s="66" t="n"/>
      <c r="W732" s="67" t="n"/>
      <c r="X732" s="66" t="n"/>
      <c r="Y732" s="66" t="n"/>
      <c r="Z732" s="66" t="n"/>
      <c r="AA732" s="66" t="n"/>
      <c r="AB732" s="66" t="n"/>
      <c r="AC732" s="66" t="n"/>
      <c r="AD732" s="72" t="n"/>
      <c r="AE732" s="66" t="n"/>
      <c r="AF732" s="67">
        <f>IF(AND(ISNUMBER(X732),ISNUMBER(Y732)),Y732-X732,"")</f>
        <v/>
      </c>
      <c r="AG732" s="68">
        <f>IF(ISNUMBER(AD732),AD732-(IF(AND(INDEX(TZ_DSTS,MATCH(P732,TZ_STN,0))&lt;&gt;"",(AD732-INDEX(TZ_STD,MATCH(P732,TZ_STN,0))/24)&gt;=INDEX(TZ_DSTS,MATCH(P732,TZ_STN,0)),(AD732-INDEX(TZ_STD,MATCH(P732,TZ_STN,0))/24)&lt;INDEX(TZ_DSTE,MATCH(P732,TZ_STN,0))),INDEX(TZ_DST,MATCH(P732,TZ_STN,0)),INDEX(TZ_STD,MATCH(P732,TZ_STN,0))))/24,"")</f>
        <v/>
      </c>
      <c r="AH732" s="71">
        <f>IF(N732="N/A – rule","N/A – RULE",IF(TRIM(U732)="N/A",IF(AT732=0,"INVALID – N/A not permitted for this mandatory check",IF(AND(TRIM(AC732)&lt;&gt;"",TRIM(AE732)&lt;&gt;"",TRIM(T732)&lt;&gt;""),"N/A – JUSTIFIED","INVALID – N/A needs justification, PIC and verifier")),IF(OR(TRIM(U732)="Pass",TRIM(U732)="Pass after CA"),IF(NOT(ISNUMBER(AD732)),"INVALID – completion time missing",IF(TRIM(T732)="","INVALID – PIC missing",IF(TRIM(Z732)="","INVALID – evidence missing",IF(TRIM(AE732)="","INVALID – verifier missing",IF(AND(AQ732=1,TRIM(W732)=""),"INVALID – batch ID missing",IF(AND(AR732=1,OR(NOT(ISNUMBER(X732)),NOT(ISNUMBER(Y732)))),"INVALID – expected/actual qty missing",IF(IF(AND(TRIM(U732)="Pass",ISNUMBER(AF732)),IF(AF732&lt;&gt;0,"INVALID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recorded/closed","")&lt;&gt;"",IF(AND(TRIM(U732)="Pass",ISNUMBER(AF732)),IF(AF732&lt;&gt;0,"INVALID – qty variance: use Fail or Pass after CA",""),"")&amp;IF(AND(TRIM(U732)="Pass",AB732="Open"),"INVALID – corrective action still open: use Fail, then Pass after CA","")&amp;IF(AND(TRIM(U732)="Pass after CA",OR(TRIM(AA732)="",AB732&lt;&gt;"Closed")),"INVALID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window"),IF(AG732&gt;Flights!$AA$26,"INVALID – completed after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f>
        <v/>
      </c>
      <c r="AI732" s="67">
        <f>IF(OR(AH732="N/A – RULE",AH732="N/A – JUSTIFIED"),0,1)</f>
        <v/>
      </c>
      <c r="AJ732" s="67">
        <f>IF(LEFT(AH732,8)="COMPLETE",1,0)</f>
        <v/>
      </c>
      <c r="AK732" s="67">
        <f>IF(AND(AI732=1,AJ732=0,AsOfUTC&gt;Q732),1,0)</f>
        <v/>
      </c>
      <c r="AL732" s="67">
        <f>IF(AND(AI732=1,OR(TRIM(U732)="Fail",AB732="Open",AND(ISNUMBER(AF732),AF732&lt;&gt;0,TRIM(U732)&lt;&gt;"Pass after CA"))),1,0)</f>
        <v/>
      </c>
      <c r="AM732" s="67">
        <f>IF(LEFT(AH732,7)="INVALID",1,0)</f>
        <v/>
      </c>
      <c r="AN732" s="67">
        <f>IF(AND(N732="Clarification required",AI732=1,AJ732=0),1,0)</f>
        <v/>
      </c>
      <c r="AO732" s="67">
        <f>IF(AK732=1,SUM(AK$5:AK732),"")</f>
        <v/>
      </c>
      <c r="AP732" s="67">
        <f>IF(AL732=1,SUM(AL$5:AL732),"")</f>
        <v/>
      </c>
      <c r="AQ732" s="67" t="n">
        <v>0</v>
      </c>
      <c r="AR732" s="67" t="n">
        <v>0</v>
      </c>
      <c r="AS732" s="67" t="n">
        <v>0</v>
      </c>
      <c r="AT732" s="67" t="n">
        <v>1</v>
      </c>
    </row>
    <row r="733" ht="40" customHeight="1">
      <c r="A733" s="63" t="inlineStr">
        <is>
          <t>F22-UPL-01</t>
        </is>
      </c>
      <c r="B733" s="63" t="inlineStr">
        <is>
          <t>F22</t>
        </is>
      </c>
      <c r="C733" s="63">
        <f>Flights!$F$26</f>
        <v/>
      </c>
      <c r="D733" s="64">
        <f>Flights!$D$26</f>
        <v/>
      </c>
      <c r="E733" s="63">
        <f>Flights!$G$26&amp;"-"&amp;Flights!$H$26</f>
        <v/>
      </c>
      <c r="F733" s="63">
        <f>Flights!$K$26</f>
        <v/>
      </c>
      <c r="G733" s="63" t="inlineStr">
        <is>
          <t>UPLIFT</t>
        </is>
      </c>
      <c r="H733" s="63" t="inlineStr">
        <is>
          <t>Physical uplift</t>
        </is>
      </c>
      <c r="I733" s="63" t="inlineStr">
        <is>
          <t>Meal</t>
        </is>
      </c>
      <c r="J733" s="63" t="inlineStr">
        <is>
          <t>Meals physically uplifted on board - quantity vs menu checklist</t>
        </is>
      </c>
      <c r="K733" s="73" t="inlineStr">
        <is>
          <t>Enter expected &amp; actual</t>
        </is>
      </c>
      <c r="L733" s="73" t="inlineStr">
        <is>
          <t>User brief (T-12 hours - physical uplift)</t>
        </is>
      </c>
      <c r="M733" s="73" t="inlineStr"/>
      <c r="N733" s="73" t="inlineStr">
        <is>
          <t>Required</t>
        </is>
      </c>
      <c r="O733" s="73" t="inlineStr">
        <is>
          <t>Confirm on board before departure; completion time must fall inside the uplift window.</t>
        </is>
      </c>
      <c r="P733" s="63" t="inlineStr">
        <is>
          <t>KUL</t>
        </is>
      </c>
      <c r="Q733" s="65">
        <f>Flights!$AF$26</f>
        <v/>
      </c>
      <c r="R733" s="65">
        <f>Q733+(IF(AND(INDEX(TZ_DSTS,MATCH(P733,TZ_STN,0))&lt;&gt;"",Q733&gt;=INDEX(TZ_DSTS,MATCH(P733,TZ_STN,0)),Q733&lt;INDEX(TZ_DSTE,MATCH(P733,TZ_STN,0))),INDEX(TZ_DST,MATCH(P733,TZ_STN,0)),INDEX(TZ_STD,MATCH(P733,TZ_STN,0))))/24</f>
        <v/>
      </c>
      <c r="S733" s="65">
        <f>Q733-UpliftWindowH/24</f>
        <v/>
      </c>
      <c r="T733" s="66" t="n"/>
      <c r="U733" s="66" t="n"/>
      <c r="V733" s="66" t="n"/>
      <c r="W733" s="67" t="n"/>
      <c r="X733" s="66" t="n"/>
      <c r="Y733" s="66" t="n"/>
      <c r="Z733" s="66" t="n"/>
      <c r="AA733" s="66" t="n"/>
      <c r="AB733" s="66" t="n"/>
      <c r="AC733" s="66" t="n"/>
      <c r="AD733" s="72" t="n"/>
      <c r="AE733" s="66" t="n"/>
      <c r="AF733" s="67">
        <f>IF(AND(ISNUMBER(X733),ISNUMBER(Y733)),Y733-X733,"")</f>
        <v/>
      </c>
      <c r="AG733" s="68">
        <f>IF(ISNUMBER(AD733),AD733-(IF(AND(INDEX(TZ_DSTS,MATCH(P733,TZ_STN,0))&lt;&gt;"",(AD733-INDEX(TZ_STD,MATCH(P733,TZ_STN,0))/24)&gt;=INDEX(TZ_DSTS,MATCH(P733,TZ_STN,0)),(AD733-INDEX(TZ_STD,MATCH(P733,TZ_STN,0))/24)&lt;INDEX(TZ_DSTE,MATCH(P733,TZ_STN,0))),INDEX(TZ_DST,MATCH(P733,TZ_STN,0)),INDEX(TZ_STD,MATCH(P733,TZ_STN,0))))/24,"")</f>
        <v/>
      </c>
      <c r="AH733" s="71">
        <f>IF(N733="N/A – rule","N/A – RULE",IF(TRIM(U733)="N/A",IF(AT733=0,"INVALID – N/A not permitted for this mandatory check",IF(AND(TRIM(AC733)&lt;&gt;"",TRIM(AE733)&lt;&gt;"",TRIM(T733)&lt;&gt;""),"N/A – JUSTIFIED","INVALID – N/A needs justification, PIC and verifier")),IF(OR(TRIM(U733)="Pass",TRIM(U733)="Pass after CA"),IF(NOT(ISNUMBER(AD733)),"INVALID – completion time missing",IF(TRIM(T733)="","INVALID – PIC missing",IF(TRIM(Z733)="","INVALID – evidence missing",IF(TRIM(AE733)="","INVALID – verifier missing",IF(AND(AQ733=1,TRIM(W733)=""),"INVALID – batch ID missing",IF(AND(AR733=1,OR(NOT(ISNUMBER(X733)),NOT(ISNUMBER(Y733)))),"INVALID – expected/actual qty missing",IF(IF(AND(TRIM(U733)="Pass",ISNUMBER(AF733)),IF(AF733&lt;&gt;0,"INVALID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recorded/closed","")&lt;&gt;"",IF(AND(TRIM(U733)="Pass",ISNUMBER(AF733)),IF(AF733&lt;&gt;0,"INVALID – qty variance: use Fail or Pass after CA",""),"")&amp;IF(AND(TRIM(U733)="Pass",AB733="Open"),"INVALID – corrective action still open: use Fail, then Pass after CA","")&amp;IF(AND(TRIM(U733)="Pass after CA",OR(TRIM(AA733)="",AB733&lt;&gt;"Closed")),"INVALID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window"),IF(AG733&gt;Flights!$AA$26,"INVALID – completed after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f>
        <v/>
      </c>
      <c r="AI733" s="67">
        <f>IF(OR(AH733="N/A – RULE",AH733="N/A – JUSTIFIED"),0,1)</f>
        <v/>
      </c>
      <c r="AJ733" s="67">
        <f>IF(LEFT(AH733,8)="COMPLETE",1,0)</f>
        <v/>
      </c>
      <c r="AK733" s="67">
        <f>IF(AND(AI733=1,AJ733=0,AsOfUTC&gt;Q733),1,0)</f>
        <v/>
      </c>
      <c r="AL733" s="67">
        <f>IF(AND(AI733=1,OR(TRIM(U733)="Fail",AB733="Open",AND(ISNUMBER(AF733),AF733&lt;&gt;0,TRIM(U733)&lt;&gt;"Pass after CA"))),1,0)</f>
        <v/>
      </c>
      <c r="AM733" s="67">
        <f>IF(LEFT(AH733,7)="INVALID",1,0)</f>
        <v/>
      </c>
      <c r="AN733" s="67">
        <f>IF(AND(N733="Clarification required",AI733=1,AJ733=0),1,0)</f>
        <v/>
      </c>
      <c r="AO733" s="67">
        <f>IF(AK733=1,SUM(AK$5:AK733),"")</f>
        <v/>
      </c>
      <c r="AP733" s="67">
        <f>IF(AL733=1,SUM(AL$5:AL733),"")</f>
        <v/>
      </c>
      <c r="AQ733" s="67" t="n">
        <v>0</v>
      </c>
      <c r="AR733" s="67" t="n">
        <v>1</v>
      </c>
      <c r="AS733" s="67" t="n">
        <v>0</v>
      </c>
      <c r="AT733" s="67" t="n">
        <v>0</v>
      </c>
    </row>
    <row r="734" ht="40" customHeight="1">
      <c r="A734" s="63" t="inlineStr">
        <is>
          <t>F22-UPL-02</t>
        </is>
      </c>
      <c r="B734" s="63" t="inlineStr">
        <is>
          <t>F22</t>
        </is>
      </c>
      <c r="C734" s="63">
        <f>Flights!$F$26</f>
        <v/>
      </c>
      <c r="D734" s="64">
        <f>Flights!$D$26</f>
        <v/>
      </c>
      <c r="E734" s="63">
        <f>Flights!$G$26&amp;"-"&amp;Flights!$H$26</f>
        <v/>
      </c>
      <c r="F734" s="63">
        <f>Flights!$K$26</f>
        <v/>
      </c>
      <c r="G734" s="63" t="inlineStr">
        <is>
          <t>UPLIFT</t>
        </is>
      </c>
      <c r="H734" s="63" t="inlineStr">
        <is>
          <t>Physical uplift</t>
        </is>
      </c>
      <c r="I734" s="63" t="inlineStr">
        <is>
          <t>Equipment</t>
        </is>
      </c>
      <c r="J734" s="63" t="inlineStr">
        <is>
          <t>Equipment physically loaded at GLD positions - quantity &amp; positions</t>
        </is>
      </c>
      <c r="K734" s="73" t="inlineStr">
        <is>
          <t>Enter expected &amp; actual</t>
        </is>
      </c>
      <c r="L734" s="73" t="inlineStr">
        <is>
          <t>User brief (T-12 hours - physical uplift)</t>
        </is>
      </c>
      <c r="M734" s="73" t="inlineStr"/>
      <c r="N734" s="73" t="inlineStr">
        <is>
          <t>Required</t>
        </is>
      </c>
      <c r="O734" s="73" t="inlineStr">
        <is>
          <t>Confirm on board before departure; completion time must fall inside the uplift window.</t>
        </is>
      </c>
      <c r="P734" s="63" t="inlineStr">
        <is>
          <t>KUL</t>
        </is>
      </c>
      <c r="Q734" s="65">
        <f>Flights!$AF$26</f>
        <v/>
      </c>
      <c r="R734" s="65">
        <f>Q734+(IF(AND(INDEX(TZ_DSTS,MATCH(P734,TZ_STN,0))&lt;&gt;"",Q734&gt;=INDEX(TZ_DSTS,MATCH(P734,TZ_STN,0)),Q734&lt;INDEX(TZ_DSTE,MATCH(P734,TZ_STN,0))),INDEX(TZ_DST,MATCH(P734,TZ_STN,0)),INDEX(TZ_STD,MATCH(P734,TZ_STN,0))))/24</f>
        <v/>
      </c>
      <c r="S734" s="65">
        <f>Q734-UpliftWindowH/24</f>
        <v/>
      </c>
      <c r="T734" s="66" t="n"/>
      <c r="U734" s="66" t="n"/>
      <c r="V734" s="66" t="n"/>
      <c r="W734" s="67" t="n"/>
      <c r="X734" s="66" t="n"/>
      <c r="Y734" s="66" t="n"/>
      <c r="Z734" s="66" t="n"/>
      <c r="AA734" s="66" t="n"/>
      <c r="AB734" s="66" t="n"/>
      <c r="AC734" s="66" t="n"/>
      <c r="AD734" s="72" t="n"/>
      <c r="AE734" s="66" t="n"/>
      <c r="AF734" s="67">
        <f>IF(AND(ISNUMBER(X734),ISNUMBER(Y734)),Y734-X734,"")</f>
        <v/>
      </c>
      <c r="AG734" s="68">
        <f>IF(ISNUMBER(AD734),AD734-(IF(AND(INDEX(TZ_DSTS,MATCH(P734,TZ_STN,0))&lt;&gt;"",(AD734-INDEX(TZ_STD,MATCH(P734,TZ_STN,0))/24)&gt;=INDEX(TZ_DSTS,MATCH(P734,TZ_STN,0)),(AD734-INDEX(TZ_STD,MATCH(P734,TZ_STN,0))/24)&lt;INDEX(TZ_DSTE,MATCH(P734,TZ_STN,0))),INDEX(TZ_DST,MATCH(P734,TZ_STN,0)),INDEX(TZ_STD,MATCH(P734,TZ_STN,0))))/24,"")</f>
        <v/>
      </c>
      <c r="AH734" s="71">
        <f>IF(N734="N/A – rule","N/A – RULE",IF(TRIM(U734)="N/A",IF(AT734=0,"INVALID – N/A not permitted for this mandatory check",IF(AND(TRIM(AC734)&lt;&gt;"",TRIM(AE734)&lt;&gt;"",TRIM(T734)&lt;&gt;""),"N/A – JUSTIFIED","INVALID – N/A needs justification, PIC and verifier")),IF(OR(TRIM(U734)="Pass",TRIM(U734)="Pass after CA"),IF(NOT(ISNUMBER(AD734)),"INVALID – completion time missing",IF(TRIM(T734)="","INVALID – PIC missing",IF(TRIM(Z734)="","INVALID – evidence missing",IF(TRIM(AE734)="","INVALID – verifier missing",IF(AND(AQ734=1,TRIM(W734)=""),"INVALID – batch ID missing",IF(AND(AR734=1,OR(NOT(ISNUMBER(X734)),NOT(ISNUMBER(Y734)))),"INVALID – expected/actual qty missing",IF(IF(AND(TRIM(U734)="Pass",ISNUMBER(AF734)),IF(AF734&lt;&gt;0,"INVALID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recorded/closed","")&lt;&gt;"",IF(AND(TRIM(U734)="Pass",ISNUMBER(AF734)),IF(AF734&lt;&gt;0,"INVALID – qty variance: use Fail or Pass after CA",""),"")&amp;IF(AND(TRIM(U734)="Pass",AB734="Open"),"INVALID – corrective action still open: use Fail, then Pass after CA","")&amp;IF(AND(TRIM(U734)="Pass after CA",OR(TRIM(AA734)="",AB734&lt;&gt;"Closed")),"INVALID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window"),IF(AG734&gt;Flights!$AA$26,"INVALID – completed after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f>
        <v/>
      </c>
      <c r="AI734" s="67">
        <f>IF(OR(AH734="N/A – RULE",AH734="N/A – JUSTIFIED"),0,1)</f>
        <v/>
      </c>
      <c r="AJ734" s="67">
        <f>IF(LEFT(AH734,8)="COMPLETE",1,0)</f>
        <v/>
      </c>
      <c r="AK734" s="67">
        <f>IF(AND(AI734=1,AJ734=0,AsOfUTC&gt;Q734),1,0)</f>
        <v/>
      </c>
      <c r="AL734" s="67">
        <f>IF(AND(AI734=1,OR(TRIM(U734)="Fail",AB734="Open",AND(ISNUMBER(AF734),AF734&lt;&gt;0,TRIM(U734)&lt;&gt;"Pass after CA"))),1,0)</f>
        <v/>
      </c>
      <c r="AM734" s="67">
        <f>IF(LEFT(AH734,7)="INVALID",1,0)</f>
        <v/>
      </c>
      <c r="AN734" s="67">
        <f>IF(AND(N734="Clarification required",AI734=1,AJ734=0),1,0)</f>
        <v/>
      </c>
      <c r="AO734" s="67">
        <f>IF(AK734=1,SUM(AK$5:AK734),"")</f>
        <v/>
      </c>
      <c r="AP734" s="67">
        <f>IF(AL734=1,SUM(AL$5:AL734),"")</f>
        <v/>
      </c>
      <c r="AQ734" s="67" t="n">
        <v>0</v>
      </c>
      <c r="AR734" s="67" t="n">
        <v>1</v>
      </c>
      <c r="AS734" s="67" t="n">
        <v>0</v>
      </c>
      <c r="AT734" s="67" t="n">
        <v>0</v>
      </c>
    </row>
    <row r="735" ht="91.5" customHeight="1">
      <c r="A735" s="63" t="inlineStr">
        <is>
          <t>F22-UPL-03</t>
        </is>
      </c>
      <c r="B735" s="63" t="inlineStr">
        <is>
          <t>F22</t>
        </is>
      </c>
      <c r="C735" s="63">
        <f>Flights!$F$26</f>
        <v/>
      </c>
      <c r="D735" s="64">
        <f>Flights!$D$26</f>
        <v/>
      </c>
      <c r="E735" s="63">
        <f>Flights!$G$26&amp;"-"&amp;Flights!$H$26</f>
        <v/>
      </c>
      <c r="F735" s="63">
        <f>Flights!$K$26</f>
        <v/>
      </c>
      <c r="G735" s="63" t="inlineStr">
        <is>
          <t>UPLIFT</t>
        </is>
      </c>
      <c r="H735" s="63" t="inlineStr">
        <is>
          <t>Physical uplift</t>
        </is>
      </c>
      <c r="I735" s="63" t="inlineStr">
        <is>
          <t>Amenities</t>
        </is>
      </c>
      <c r="J735" s="63" t="inlineStr">
        <is>
          <t>Toiletry kits - on board</t>
        </is>
      </c>
      <c r="K735" s="73" t="inlineStr">
        <is>
          <t>Available (ticked in reference)</t>
        </is>
      </c>
      <c r="L735" s="73" t="inlineStr">
        <is>
          <t>STD UPLIFT INFORMATION.xlsx &gt; AMENITIES!D12 / H12</t>
        </is>
      </c>
      <c r="M735" s="73" t="inlineStr">
        <is>
          <t>LHR or KUL - confirm</t>
        </is>
      </c>
      <c r="N735" s="73" t="inlineStr">
        <is>
          <t>Clarification required</t>
        </is>
      </c>
      <c r="O735" s="73" t="inlineStr">
        <is>
          <t>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is>
      </c>
      <c r="P735" s="63" t="inlineStr">
        <is>
          <t>KUL</t>
        </is>
      </c>
      <c r="Q735" s="65">
        <f>Flights!$AF$26</f>
        <v/>
      </c>
      <c r="R735" s="65">
        <f>Q735+(IF(AND(INDEX(TZ_DSTS,MATCH(P735,TZ_STN,0))&lt;&gt;"",Q735&gt;=INDEX(TZ_DSTS,MATCH(P735,TZ_STN,0)),Q735&lt;INDEX(TZ_DSTE,MATCH(P735,TZ_STN,0))),INDEX(TZ_DST,MATCH(P735,TZ_STN,0)),INDEX(TZ_STD,MATCH(P735,TZ_STN,0))))/24</f>
        <v/>
      </c>
      <c r="S735" s="65">
        <f>Q735-UpliftWindowH/24</f>
        <v/>
      </c>
      <c r="T735" s="66" t="n"/>
      <c r="U735" s="66" t="n"/>
      <c r="V735" s="66" t="n"/>
      <c r="W735" s="67" t="n"/>
      <c r="X735" s="66" t="n"/>
      <c r="Y735" s="66" t="n"/>
      <c r="Z735" s="66" t="n"/>
      <c r="AA735" s="66" t="n"/>
      <c r="AB735" s="66" t="n"/>
      <c r="AC735" s="66" t="n"/>
      <c r="AD735" s="72" t="n"/>
      <c r="AE735" s="66" t="n"/>
      <c r="AF735" s="67">
        <f>IF(AND(ISNUMBER(X735),ISNUMBER(Y735)),Y735-X735,"")</f>
        <v/>
      </c>
      <c r="AG735" s="68">
        <f>IF(ISNUMBER(AD735),AD735-(IF(AND(INDEX(TZ_DSTS,MATCH(P735,TZ_STN,0))&lt;&gt;"",(AD735-INDEX(TZ_STD,MATCH(P735,TZ_STN,0))/24)&gt;=INDEX(TZ_DSTS,MATCH(P735,TZ_STN,0)),(AD735-INDEX(TZ_STD,MATCH(P735,TZ_STN,0))/24)&lt;INDEX(TZ_DSTE,MATCH(P735,TZ_STN,0))),INDEX(TZ_DST,MATCH(P735,TZ_STN,0)),INDEX(TZ_STD,MATCH(P735,TZ_STN,0))))/24,"")</f>
        <v/>
      </c>
      <c r="AH735" s="71">
        <f>IF(N735="N/A – rule","N/A – RULE",IF(TRIM(U735)="N/A",IF(AT735=0,"INVALID – N/A not permitted for this mandatory check",IF(AND(TRIM(AC735)&lt;&gt;"",TRIM(AE735)&lt;&gt;"",TRIM(T735)&lt;&gt;""),"N/A – JUSTIFIED","INVALID – N/A needs justification, PIC and verifier")),IF(OR(TRIM(U735)="Pass",TRIM(U735)="Pass after CA"),IF(NOT(ISNUMBER(AD735)),"INVALID – completion time missing",IF(TRIM(T735)="","INVALID – PIC missing",IF(TRIM(Z735)="","INVALID – evidence missing",IF(TRIM(AE735)="","INVALID – verifier missing",IF(AND(AQ735=1,TRIM(W735)=""),"INVALID – batch ID missing",IF(AND(AR735=1,OR(NOT(ISNUMBER(X735)),NOT(ISNUMBER(Y735)))),"INVALID – expected/actual qty missing",IF(IF(AND(TRIM(U735)="Pass",ISNUMBER(AF735)),IF(AF735&lt;&gt;0,"INVALID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recorded/closed","")&lt;&gt;"",IF(AND(TRIM(U735)="Pass",ISNUMBER(AF735)),IF(AF735&lt;&gt;0,"INVALID – qty variance: use Fail or Pass after CA",""),"")&amp;IF(AND(TRIM(U735)="Pass",AB735="Open"),"INVALID – corrective action still open: use Fail, then Pass after CA","")&amp;IF(AND(TRIM(U735)="Pass after CA",OR(TRIM(AA735)="",AB735&lt;&gt;"Closed")),"INVALID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window"),IF(AG735&gt;Flights!$AA$26,"INVALID – completed after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f>
        <v/>
      </c>
      <c r="AI735" s="67">
        <f>IF(OR(AH735="N/A – RULE",AH735="N/A – JUSTIFIED"),0,1)</f>
        <v/>
      </c>
      <c r="AJ735" s="67">
        <f>IF(LEFT(AH735,8)="COMPLETE",1,0)</f>
        <v/>
      </c>
      <c r="AK735" s="67">
        <f>IF(AND(AI735=1,AJ735=0,AsOfUTC&gt;Q735),1,0)</f>
        <v/>
      </c>
      <c r="AL735" s="67">
        <f>IF(AND(AI735=1,OR(TRIM(U735)="Fail",AB735="Open",AND(ISNUMBER(AF735),AF735&lt;&gt;0,TRIM(U735)&lt;&gt;"Pass after CA"))),1,0)</f>
        <v/>
      </c>
      <c r="AM735" s="67">
        <f>IF(LEFT(AH735,7)="INVALID",1,0)</f>
        <v/>
      </c>
      <c r="AN735" s="67">
        <f>IF(AND(N735="Clarification required",AI735=1,AJ735=0),1,0)</f>
        <v/>
      </c>
      <c r="AO735" s="67">
        <f>IF(AK735=1,SUM(AK$5:AK735),"")</f>
        <v/>
      </c>
      <c r="AP735" s="67">
        <f>IF(AL735=1,SUM(AL$5:AL735),"")</f>
        <v/>
      </c>
      <c r="AQ735" s="67" t="n">
        <v>0</v>
      </c>
      <c r="AR735" s="67" t="n">
        <v>0</v>
      </c>
      <c r="AS735" s="67" t="n">
        <v>0</v>
      </c>
      <c r="AT735" s="67" t="n">
        <v>1</v>
      </c>
    </row>
    <row r="736" ht="40" customHeight="1">
      <c r="A736" s="63" t="inlineStr">
        <is>
          <t>F22-UPL-04</t>
        </is>
      </c>
      <c r="B736" s="63" t="inlineStr">
        <is>
          <t>F22</t>
        </is>
      </c>
      <c r="C736" s="63">
        <f>Flights!$F$26</f>
        <v/>
      </c>
      <c r="D736" s="64">
        <f>Flights!$D$26</f>
        <v/>
      </c>
      <c r="E736" s="63">
        <f>Flights!$G$26&amp;"-"&amp;Flights!$H$26</f>
        <v/>
      </c>
      <c r="F736" s="63">
        <f>Flights!$K$26</f>
        <v/>
      </c>
      <c r="G736" s="63" t="inlineStr">
        <is>
          <t>UPLIFT</t>
        </is>
      </c>
      <c r="H736" s="63" t="inlineStr">
        <is>
          <t>Physical uplift</t>
        </is>
      </c>
      <c r="I736" s="63" t="inlineStr">
        <is>
          <t>Amenities</t>
        </is>
      </c>
      <c r="J736" s="63" t="inlineStr">
        <is>
          <t>Pajamas (BC) - on board</t>
        </is>
      </c>
      <c r="K736" s="73" t="inlineStr">
        <is>
          <t>Available - BC red-eye only</t>
        </is>
      </c>
      <c r="L736" s="73" t="inlineStr">
        <is>
          <t>STD UPLIFT INFORMATION.xlsx &gt; AMENITIES!F13 / H13</t>
        </is>
      </c>
      <c r="M736" s="73" t="inlineStr">
        <is>
          <t>KUL</t>
        </is>
      </c>
      <c r="N736" s="73" t="inlineStr">
        <is>
          <t>Required</t>
        </is>
      </c>
      <c r="O736" s="73" t="inlineStr">
        <is>
          <t>Red-eye departure 2320 local.</t>
        </is>
      </c>
      <c r="P736" s="63" t="inlineStr">
        <is>
          <t>KUL</t>
        </is>
      </c>
      <c r="Q736" s="65">
        <f>Flights!$AF$26</f>
        <v/>
      </c>
      <c r="R736" s="65">
        <f>Q736+(IF(AND(INDEX(TZ_DSTS,MATCH(P736,TZ_STN,0))&lt;&gt;"",Q736&gt;=INDEX(TZ_DSTS,MATCH(P736,TZ_STN,0)),Q736&lt;INDEX(TZ_DSTE,MATCH(P736,TZ_STN,0))),INDEX(TZ_DST,MATCH(P736,TZ_STN,0)),INDEX(TZ_STD,MATCH(P736,TZ_STN,0))))/24</f>
        <v/>
      </c>
      <c r="S736" s="65">
        <f>Q736-UpliftWindowH/24</f>
        <v/>
      </c>
      <c r="T736" s="66" t="n"/>
      <c r="U736" s="66" t="n"/>
      <c r="V736" s="66" t="n"/>
      <c r="W736" s="67" t="n"/>
      <c r="X736" s="66" t="n"/>
      <c r="Y736" s="66" t="n"/>
      <c r="Z736" s="66" t="n"/>
      <c r="AA736" s="66" t="n"/>
      <c r="AB736" s="66" t="n"/>
      <c r="AC736" s="66" t="n"/>
      <c r="AD736" s="72" t="n"/>
      <c r="AE736" s="66" t="n"/>
      <c r="AF736" s="67">
        <f>IF(AND(ISNUMBER(X736),ISNUMBER(Y736)),Y736-X736,"")</f>
        <v/>
      </c>
      <c r="AG736" s="68">
        <f>IF(ISNUMBER(AD736),AD736-(IF(AND(INDEX(TZ_DSTS,MATCH(P736,TZ_STN,0))&lt;&gt;"",(AD736-INDEX(TZ_STD,MATCH(P736,TZ_STN,0))/24)&gt;=INDEX(TZ_DSTS,MATCH(P736,TZ_STN,0)),(AD736-INDEX(TZ_STD,MATCH(P736,TZ_STN,0))/24)&lt;INDEX(TZ_DSTE,MATCH(P736,TZ_STN,0))),INDEX(TZ_DST,MATCH(P736,TZ_STN,0)),INDEX(TZ_STD,MATCH(P736,TZ_STN,0))))/24,"")</f>
        <v/>
      </c>
      <c r="AH736" s="71">
        <f>IF(N736="N/A – rule","N/A – RULE",IF(TRIM(U736)="N/A",IF(AT736=0,"INVALID – N/A not permitted for this mandatory check",IF(AND(TRIM(AC736)&lt;&gt;"",TRIM(AE736)&lt;&gt;"",TRIM(T736)&lt;&gt;""),"N/A – JUSTIFIED","INVALID – N/A needs justification, PIC and verifier")),IF(OR(TRIM(U736)="Pass",TRIM(U736)="Pass after CA"),IF(NOT(ISNUMBER(AD736)),"INVALID – completion time missing",IF(TRIM(T736)="","INVALID – PIC missing",IF(TRIM(Z736)="","INVALID – evidence missing",IF(TRIM(AE736)="","INVALID – verifier missing",IF(AND(AQ736=1,TRIM(W736)=""),"INVALID – batch ID missing",IF(AND(AR736=1,OR(NOT(ISNUMBER(X736)),NOT(ISNUMBER(Y736)))),"INVALID – expected/actual qty missing",IF(IF(AND(TRIM(U736)="Pass",ISNUMBER(AF736)),IF(AF736&lt;&gt;0,"INVALID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recorded/closed","")&lt;&gt;"",IF(AND(TRIM(U736)="Pass",ISNUMBER(AF736)),IF(AF736&lt;&gt;0,"INVALID – qty variance: use Fail or Pass after CA",""),"")&amp;IF(AND(TRIM(U736)="Pass",AB736="Open"),"INVALID – corrective action still open: use Fail, then Pass after CA","")&amp;IF(AND(TRIM(U736)="Pass after CA",OR(TRIM(AA736)="",AB736&lt;&gt;"Closed")),"INVALID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window"),IF(AG736&gt;Flights!$AA$26,"INVALID – completed after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f>
        <v/>
      </c>
      <c r="AI736" s="67">
        <f>IF(OR(AH736="N/A – RULE",AH736="N/A – JUSTIFIED"),0,1)</f>
        <v/>
      </c>
      <c r="AJ736" s="67">
        <f>IF(LEFT(AH736,8)="COMPLETE",1,0)</f>
        <v/>
      </c>
      <c r="AK736" s="67">
        <f>IF(AND(AI736=1,AJ736=0,AsOfUTC&gt;Q736),1,0)</f>
        <v/>
      </c>
      <c r="AL736" s="67">
        <f>IF(AND(AI736=1,OR(TRIM(U736)="Fail",AB736="Open",AND(ISNUMBER(AF736),AF736&lt;&gt;0,TRIM(U736)&lt;&gt;"Pass after CA"))),1,0)</f>
        <v/>
      </c>
      <c r="AM736" s="67">
        <f>IF(LEFT(AH736,7)="INVALID",1,0)</f>
        <v/>
      </c>
      <c r="AN736" s="67">
        <f>IF(AND(N736="Clarification required",AI736=1,AJ736=0),1,0)</f>
        <v/>
      </c>
      <c r="AO736" s="67">
        <f>IF(AK736=1,SUM(AK$5:AK736),"")</f>
        <v/>
      </c>
      <c r="AP736" s="67">
        <f>IF(AL736=1,SUM(AL$5:AL736),"")</f>
        <v/>
      </c>
      <c r="AQ736" s="67" t="n">
        <v>0</v>
      </c>
      <c r="AR736" s="67" t="n">
        <v>0</v>
      </c>
      <c r="AS736" s="67" t="n">
        <v>0</v>
      </c>
      <c r="AT736" s="67" t="n">
        <v>1</v>
      </c>
    </row>
    <row r="737" ht="40" customHeight="1">
      <c r="A737" s="63" t="inlineStr">
        <is>
          <t>F22-UPL-05</t>
        </is>
      </c>
      <c r="B737" s="63" t="inlineStr">
        <is>
          <t>F22</t>
        </is>
      </c>
      <c r="C737" s="63">
        <f>Flights!$F$26</f>
        <v/>
      </c>
      <c r="D737" s="64">
        <f>Flights!$D$26</f>
        <v/>
      </c>
      <c r="E737" s="63">
        <f>Flights!$G$26&amp;"-"&amp;Flights!$H$26</f>
        <v/>
      </c>
      <c r="F737" s="63">
        <f>Flights!$K$26</f>
        <v/>
      </c>
      <c r="G737" s="63" t="inlineStr">
        <is>
          <t>UPLIFT</t>
        </is>
      </c>
      <c r="H737" s="63" t="inlineStr">
        <is>
          <t>Physical uplift</t>
        </is>
      </c>
      <c r="I737" s="63" t="inlineStr">
        <is>
          <t>Amenities</t>
        </is>
      </c>
      <c r="J737" s="63" t="inlineStr">
        <is>
          <t>Slippers (BS/BC) - on board</t>
        </is>
      </c>
      <c r="K737" s="73" t="inlineStr">
        <is>
          <t>Available (ticked in reference)</t>
        </is>
      </c>
      <c r="L737" s="73" t="inlineStr">
        <is>
          <t>STD UPLIFT INFORMATION.xlsx &gt; AMENITIES!G13 / H13</t>
        </is>
      </c>
      <c r="M737" s="73" t="inlineStr">
        <is>
          <t>KUL</t>
        </is>
      </c>
      <c r="N737" s="73" t="inlineStr">
        <is>
          <t>Required</t>
        </is>
      </c>
      <c r="O737" s="73" t="inlineStr"/>
      <c r="P737" s="63" t="inlineStr">
        <is>
          <t>KUL</t>
        </is>
      </c>
      <c r="Q737" s="65">
        <f>Flights!$AF$26</f>
        <v/>
      </c>
      <c r="R737" s="65">
        <f>Q737+(IF(AND(INDEX(TZ_DSTS,MATCH(P737,TZ_STN,0))&lt;&gt;"",Q737&gt;=INDEX(TZ_DSTS,MATCH(P737,TZ_STN,0)),Q737&lt;INDEX(TZ_DSTE,MATCH(P737,TZ_STN,0))),INDEX(TZ_DST,MATCH(P737,TZ_STN,0)),INDEX(TZ_STD,MATCH(P737,TZ_STN,0))))/24</f>
        <v/>
      </c>
      <c r="S737" s="65">
        <f>Q737-UpliftWindowH/24</f>
        <v/>
      </c>
      <c r="T737" s="66" t="n"/>
      <c r="U737" s="66" t="n"/>
      <c r="V737" s="66" t="n"/>
      <c r="W737" s="67" t="n"/>
      <c r="X737" s="66" t="n"/>
      <c r="Y737" s="66" t="n"/>
      <c r="Z737" s="66" t="n"/>
      <c r="AA737" s="66" t="n"/>
      <c r="AB737" s="66" t="n"/>
      <c r="AC737" s="66" t="n"/>
      <c r="AD737" s="72" t="n"/>
      <c r="AE737" s="66" t="n"/>
      <c r="AF737" s="67">
        <f>IF(AND(ISNUMBER(X737),ISNUMBER(Y737)),Y737-X737,"")</f>
        <v/>
      </c>
      <c r="AG737" s="68">
        <f>IF(ISNUMBER(AD737),AD737-(IF(AND(INDEX(TZ_DSTS,MATCH(P737,TZ_STN,0))&lt;&gt;"",(AD737-INDEX(TZ_STD,MATCH(P737,TZ_STN,0))/24)&gt;=INDEX(TZ_DSTS,MATCH(P737,TZ_STN,0)),(AD737-INDEX(TZ_STD,MATCH(P737,TZ_STN,0))/24)&lt;INDEX(TZ_DSTE,MATCH(P737,TZ_STN,0))),INDEX(TZ_DST,MATCH(P737,TZ_STN,0)),INDEX(TZ_STD,MATCH(P737,TZ_STN,0))))/24,"")</f>
        <v/>
      </c>
      <c r="AH737" s="71">
        <f>IF(N737="N/A – rule","N/A – RULE",IF(TRIM(U737)="N/A",IF(AT737=0,"INVALID – N/A not permitted for this mandatory check",IF(AND(TRIM(AC737)&lt;&gt;"",TRIM(AE737)&lt;&gt;"",TRIM(T737)&lt;&gt;""),"N/A – JUSTIFIED","INVALID – N/A needs justification, PIC and verifier")),IF(OR(TRIM(U737)="Pass",TRIM(U737)="Pass after CA"),IF(NOT(ISNUMBER(AD737)),"INVALID – completion time missing",IF(TRIM(T737)="","INVALID – PIC missing",IF(TRIM(Z737)="","INVALID – evidence missing",IF(TRIM(AE737)="","INVALID – verifier missing",IF(AND(AQ737=1,TRIM(W737)=""),"INVALID – batch ID missing",IF(AND(AR737=1,OR(NOT(ISNUMBER(X737)),NOT(ISNUMBER(Y737)))),"INVALID – expected/actual qty missing",IF(IF(AND(TRIM(U737)="Pass",ISNUMBER(AF737)),IF(AF737&lt;&gt;0,"INVALID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recorded/closed","")&lt;&gt;"",IF(AND(TRIM(U737)="Pass",ISNUMBER(AF737)),IF(AF737&lt;&gt;0,"INVALID – qty variance: use Fail or Pass after CA",""),"")&amp;IF(AND(TRIM(U737)="Pass",AB737="Open"),"INVALID – corrective action still open: use Fail, then Pass after CA","")&amp;IF(AND(TRIM(U737)="Pass after CA",OR(TRIM(AA737)="",AB737&lt;&gt;"Closed")),"INVALID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window"),IF(AG737&gt;Flights!$AA$26,"INVALID – completed after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f>
        <v/>
      </c>
      <c r="AI737" s="67">
        <f>IF(OR(AH737="N/A – RULE",AH737="N/A – JUSTIFIED"),0,1)</f>
        <v/>
      </c>
      <c r="AJ737" s="67">
        <f>IF(LEFT(AH737,8)="COMPLETE",1,0)</f>
        <v/>
      </c>
      <c r="AK737" s="67">
        <f>IF(AND(AI737=1,AJ737=0,AsOfUTC&gt;Q737),1,0)</f>
        <v/>
      </c>
      <c r="AL737" s="67">
        <f>IF(AND(AI737=1,OR(TRIM(U737)="Fail",AB737="Open",AND(ISNUMBER(AF737),AF737&lt;&gt;0,TRIM(U737)&lt;&gt;"Pass after CA"))),1,0)</f>
        <v/>
      </c>
      <c r="AM737" s="67">
        <f>IF(LEFT(AH737,7)="INVALID",1,0)</f>
        <v/>
      </c>
      <c r="AN737" s="67">
        <f>IF(AND(N737="Clarification required",AI737=1,AJ737=0),1,0)</f>
        <v/>
      </c>
      <c r="AO737" s="67">
        <f>IF(AK737=1,SUM(AK$5:AK737),"")</f>
        <v/>
      </c>
      <c r="AP737" s="67">
        <f>IF(AL737=1,SUM(AL$5:AL737),"")</f>
        <v/>
      </c>
      <c r="AQ737" s="67" t="n">
        <v>0</v>
      </c>
      <c r="AR737" s="67" t="n">
        <v>0</v>
      </c>
      <c r="AS737" s="67" t="n">
        <v>0</v>
      </c>
      <c r="AT737" s="67" t="n">
        <v>1</v>
      </c>
    </row>
    <row r="738" ht="40" customHeight="1">
      <c r="A738" s="63" t="inlineStr">
        <is>
          <t>F22-UPL-06</t>
        </is>
      </c>
      <c r="B738" s="63" t="inlineStr">
        <is>
          <t>F22</t>
        </is>
      </c>
      <c r="C738" s="63">
        <f>Flights!$F$26</f>
        <v/>
      </c>
      <c r="D738" s="64">
        <f>Flights!$D$26</f>
        <v/>
      </c>
      <c r="E738" s="63">
        <f>Flights!$G$26&amp;"-"&amp;Flights!$H$26</f>
        <v/>
      </c>
      <c r="F738" s="63">
        <f>Flights!$K$26</f>
        <v/>
      </c>
      <c r="G738" s="63" t="inlineStr">
        <is>
          <t>UPLIFT</t>
        </is>
      </c>
      <c r="H738" s="63" t="inlineStr">
        <is>
          <t>Physical uplift</t>
        </is>
      </c>
      <c r="I738" s="63" t="inlineStr">
        <is>
          <t>F&amp;B Linen</t>
        </is>
      </c>
      <c r="J738" s="63" t="inlineStr">
        <is>
          <t>Towel - on board</t>
        </is>
      </c>
      <c r="K738" s="73" t="inlineStr">
        <is>
          <t>Available (ticked in reference)</t>
        </is>
      </c>
      <c r="L738" s="73" t="inlineStr">
        <is>
          <t>STD UPLIFT INFORMATION.xlsx &gt; F&amp;B LINEN!D7</t>
        </is>
      </c>
      <c r="M738" s="73" t="inlineStr">
        <is>
          <t>Not stated in reference</t>
        </is>
      </c>
      <c r="N738" s="73" t="inlineStr">
        <is>
          <t>Required</t>
        </is>
      </c>
      <c r="O738" s="73" t="inlineStr"/>
      <c r="P738" s="63" t="inlineStr">
        <is>
          <t>KUL</t>
        </is>
      </c>
      <c r="Q738" s="65">
        <f>Flights!$AF$26</f>
        <v/>
      </c>
      <c r="R738" s="65">
        <f>Q738+(IF(AND(INDEX(TZ_DSTS,MATCH(P738,TZ_STN,0))&lt;&gt;"",Q738&gt;=INDEX(TZ_DSTS,MATCH(P738,TZ_STN,0)),Q738&lt;INDEX(TZ_DSTE,MATCH(P738,TZ_STN,0))),INDEX(TZ_DST,MATCH(P738,TZ_STN,0)),INDEX(TZ_STD,MATCH(P738,TZ_STN,0))))/24</f>
        <v/>
      </c>
      <c r="S738" s="65">
        <f>Q738-UpliftWindowH/24</f>
        <v/>
      </c>
      <c r="T738" s="66" t="n"/>
      <c r="U738" s="66" t="n"/>
      <c r="V738" s="66" t="n"/>
      <c r="W738" s="67" t="n"/>
      <c r="X738" s="66" t="n"/>
      <c r="Y738" s="66" t="n"/>
      <c r="Z738" s="66" t="n"/>
      <c r="AA738" s="66" t="n"/>
      <c r="AB738" s="66" t="n"/>
      <c r="AC738" s="66" t="n"/>
      <c r="AD738" s="72" t="n"/>
      <c r="AE738" s="66" t="n"/>
      <c r="AF738" s="67">
        <f>IF(AND(ISNUMBER(X738),ISNUMBER(Y738)),Y738-X738,"")</f>
        <v/>
      </c>
      <c r="AG738" s="68">
        <f>IF(ISNUMBER(AD738),AD738-(IF(AND(INDEX(TZ_DSTS,MATCH(P738,TZ_STN,0))&lt;&gt;"",(AD738-INDEX(TZ_STD,MATCH(P738,TZ_STN,0))/24)&gt;=INDEX(TZ_DSTS,MATCH(P738,TZ_STN,0)),(AD738-INDEX(TZ_STD,MATCH(P738,TZ_STN,0))/24)&lt;INDEX(TZ_DSTE,MATCH(P738,TZ_STN,0))),INDEX(TZ_DST,MATCH(P738,TZ_STN,0)),INDEX(TZ_STD,MATCH(P738,TZ_STN,0))))/24,"")</f>
        <v/>
      </c>
      <c r="AH738" s="71">
        <f>IF(N738="N/A – rule","N/A – RULE",IF(TRIM(U738)="N/A",IF(AT738=0,"INVALID – N/A not permitted for this mandatory check",IF(AND(TRIM(AC738)&lt;&gt;"",TRIM(AE738)&lt;&gt;"",TRIM(T738)&lt;&gt;""),"N/A – JUSTIFIED","INVALID – N/A needs justification, PIC and verifier")),IF(OR(TRIM(U738)="Pass",TRIM(U738)="Pass after CA"),IF(NOT(ISNUMBER(AD738)),"INVALID – completion time missing",IF(TRIM(T738)="","INVALID – PIC missing",IF(TRIM(Z738)="","INVALID – evidence missing",IF(TRIM(AE738)="","INVALID – verifier missing",IF(AND(AQ738=1,TRIM(W738)=""),"INVALID – batch ID missing",IF(AND(AR738=1,OR(NOT(ISNUMBER(X738)),NOT(ISNUMBER(Y738)))),"INVALID – expected/actual qty missing",IF(IF(AND(TRIM(U738)="Pass",ISNUMBER(AF738)),IF(AF738&lt;&gt;0,"INVALID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recorded/closed","")&lt;&gt;"",IF(AND(TRIM(U738)="Pass",ISNUMBER(AF738)),IF(AF738&lt;&gt;0,"INVALID – qty variance: use Fail or Pass after CA",""),"")&amp;IF(AND(TRIM(U738)="Pass",AB738="Open"),"INVALID – corrective action still open: use Fail, then Pass after CA","")&amp;IF(AND(TRIM(U738)="Pass after CA",OR(TRIM(AA738)="",AB738&lt;&gt;"Closed")),"INVALID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window"),IF(AG738&gt;Flights!$AA$26,"INVALID – completed after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f>
        <v/>
      </c>
      <c r="AI738" s="67">
        <f>IF(OR(AH738="N/A – RULE",AH738="N/A – JUSTIFIED"),0,1)</f>
        <v/>
      </c>
      <c r="AJ738" s="67">
        <f>IF(LEFT(AH738,8)="COMPLETE",1,0)</f>
        <v/>
      </c>
      <c r="AK738" s="67">
        <f>IF(AND(AI738=1,AJ738=0,AsOfUTC&gt;Q738),1,0)</f>
        <v/>
      </c>
      <c r="AL738" s="67">
        <f>IF(AND(AI738=1,OR(TRIM(U738)="Fail",AB738="Open",AND(ISNUMBER(AF738),AF738&lt;&gt;0,TRIM(U738)&lt;&gt;"Pass after CA"))),1,0)</f>
        <v/>
      </c>
      <c r="AM738" s="67">
        <f>IF(LEFT(AH738,7)="INVALID",1,0)</f>
        <v/>
      </c>
      <c r="AN738" s="67">
        <f>IF(AND(N738="Clarification required",AI738=1,AJ738=0),1,0)</f>
        <v/>
      </c>
      <c r="AO738" s="67">
        <f>IF(AK738=1,SUM(AK$5:AK738),"")</f>
        <v/>
      </c>
      <c r="AP738" s="67">
        <f>IF(AL738=1,SUM(AL$5:AL738),"")</f>
        <v/>
      </c>
      <c r="AQ738" s="67" t="n">
        <v>0</v>
      </c>
      <c r="AR738" s="67" t="n">
        <v>0</v>
      </c>
      <c r="AS738" s="67" t="n">
        <v>0</v>
      </c>
      <c r="AT738" s="67" t="n">
        <v>1</v>
      </c>
    </row>
    <row r="739" ht="40" customHeight="1">
      <c r="A739" s="63" t="inlineStr">
        <is>
          <t>F22-UPL-07</t>
        </is>
      </c>
      <c r="B739" s="63" t="inlineStr">
        <is>
          <t>F22</t>
        </is>
      </c>
      <c r="C739" s="63">
        <f>Flights!$F$26</f>
        <v/>
      </c>
      <c r="D739" s="64">
        <f>Flights!$D$26</f>
        <v/>
      </c>
      <c r="E739" s="63">
        <f>Flights!$G$26&amp;"-"&amp;Flights!$H$26</f>
        <v/>
      </c>
      <c r="F739" s="63">
        <f>Flights!$K$26</f>
        <v/>
      </c>
      <c r="G739" s="63" t="inlineStr">
        <is>
          <t>UPLIFT</t>
        </is>
      </c>
      <c r="H739" s="63" t="inlineStr">
        <is>
          <t>Physical uplift</t>
        </is>
      </c>
      <c r="I739" s="63" t="inlineStr">
        <is>
          <t>F&amp;B Linen</t>
        </is>
      </c>
      <c r="J739" s="63" t="inlineStr">
        <is>
          <t>Tray cloth - on board</t>
        </is>
      </c>
      <c r="K739" s="73" t="inlineStr">
        <is>
          <t>Available (ticked in reference)</t>
        </is>
      </c>
      <c r="L739" s="73" t="inlineStr">
        <is>
          <t>STD UPLIFT INFORMATION.xlsx &gt; F&amp;B LINEN!E7</t>
        </is>
      </c>
      <c r="M739" s="73" t="inlineStr">
        <is>
          <t>Not stated in reference</t>
        </is>
      </c>
      <c r="N739" s="73" t="inlineStr">
        <is>
          <t>Required</t>
        </is>
      </c>
      <c r="O739" s="73" t="inlineStr"/>
      <c r="P739" s="63" t="inlineStr">
        <is>
          <t>KUL</t>
        </is>
      </c>
      <c r="Q739" s="65">
        <f>Flights!$AF$26</f>
        <v/>
      </c>
      <c r="R739" s="65">
        <f>Q739+(IF(AND(INDEX(TZ_DSTS,MATCH(P739,TZ_STN,0))&lt;&gt;"",Q739&gt;=INDEX(TZ_DSTS,MATCH(P739,TZ_STN,0)),Q739&lt;INDEX(TZ_DSTE,MATCH(P739,TZ_STN,0))),INDEX(TZ_DST,MATCH(P739,TZ_STN,0)),INDEX(TZ_STD,MATCH(P739,TZ_STN,0))))/24</f>
        <v/>
      </c>
      <c r="S739" s="65">
        <f>Q739-UpliftWindowH/24</f>
        <v/>
      </c>
      <c r="T739" s="66" t="n"/>
      <c r="U739" s="66" t="n"/>
      <c r="V739" s="66" t="n"/>
      <c r="W739" s="67" t="n"/>
      <c r="X739" s="66" t="n"/>
      <c r="Y739" s="66" t="n"/>
      <c r="Z739" s="66" t="n"/>
      <c r="AA739" s="66" t="n"/>
      <c r="AB739" s="66" t="n"/>
      <c r="AC739" s="66" t="n"/>
      <c r="AD739" s="72" t="n"/>
      <c r="AE739" s="66" t="n"/>
      <c r="AF739" s="67">
        <f>IF(AND(ISNUMBER(X739),ISNUMBER(Y739)),Y739-X739,"")</f>
        <v/>
      </c>
      <c r="AG739" s="68">
        <f>IF(ISNUMBER(AD739),AD739-(IF(AND(INDEX(TZ_DSTS,MATCH(P739,TZ_STN,0))&lt;&gt;"",(AD739-INDEX(TZ_STD,MATCH(P739,TZ_STN,0))/24)&gt;=INDEX(TZ_DSTS,MATCH(P739,TZ_STN,0)),(AD739-INDEX(TZ_STD,MATCH(P739,TZ_STN,0))/24)&lt;INDEX(TZ_DSTE,MATCH(P739,TZ_STN,0))),INDEX(TZ_DST,MATCH(P739,TZ_STN,0)),INDEX(TZ_STD,MATCH(P739,TZ_STN,0))))/24,"")</f>
        <v/>
      </c>
      <c r="AH739" s="71">
        <f>IF(N739="N/A – rule","N/A – RULE",IF(TRIM(U739)="N/A",IF(AT739=0,"INVALID – N/A not permitted for this mandatory check",IF(AND(TRIM(AC739)&lt;&gt;"",TRIM(AE739)&lt;&gt;"",TRIM(T739)&lt;&gt;""),"N/A – JUSTIFIED","INVALID – N/A needs justification, PIC and verifier")),IF(OR(TRIM(U739)="Pass",TRIM(U739)="Pass after CA"),IF(NOT(ISNUMBER(AD739)),"INVALID – completion time missing",IF(TRIM(T739)="","INVALID – PIC missing",IF(TRIM(Z739)="","INVALID – evidence missing",IF(TRIM(AE739)="","INVALID – verifier missing",IF(AND(AQ739=1,TRIM(W739)=""),"INVALID – batch ID missing",IF(AND(AR739=1,OR(NOT(ISNUMBER(X739)),NOT(ISNUMBER(Y739)))),"INVALID – expected/actual qty missing",IF(IF(AND(TRIM(U739)="Pass",ISNUMBER(AF739)),IF(AF739&lt;&gt;0,"INVALID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recorded/closed","")&lt;&gt;"",IF(AND(TRIM(U739)="Pass",ISNUMBER(AF739)),IF(AF739&lt;&gt;0,"INVALID – qty variance: use Fail or Pass after CA",""),"")&amp;IF(AND(TRIM(U739)="Pass",AB739="Open"),"INVALID – corrective action still open: use Fail, then Pass after CA","")&amp;IF(AND(TRIM(U739)="Pass after CA",OR(TRIM(AA739)="",AB739&lt;&gt;"Closed")),"INVALID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window"),IF(AG739&gt;Flights!$AA$26,"INVALID – completed after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f>
        <v/>
      </c>
      <c r="AI739" s="67">
        <f>IF(OR(AH739="N/A – RULE",AH739="N/A – JUSTIFIED"),0,1)</f>
        <v/>
      </c>
      <c r="AJ739" s="67">
        <f>IF(LEFT(AH739,8)="COMPLETE",1,0)</f>
        <v/>
      </c>
      <c r="AK739" s="67">
        <f>IF(AND(AI739=1,AJ739=0,AsOfUTC&gt;Q739),1,0)</f>
        <v/>
      </c>
      <c r="AL739" s="67">
        <f>IF(AND(AI739=1,OR(TRIM(U739)="Fail",AB739="Open",AND(ISNUMBER(AF739),AF739&lt;&gt;0,TRIM(U739)&lt;&gt;"Pass after CA"))),1,0)</f>
        <v/>
      </c>
      <c r="AM739" s="67">
        <f>IF(LEFT(AH739,7)="INVALID",1,0)</f>
        <v/>
      </c>
      <c r="AN739" s="67">
        <f>IF(AND(N739="Clarification required",AI739=1,AJ739=0),1,0)</f>
        <v/>
      </c>
      <c r="AO739" s="67">
        <f>IF(AK739=1,SUM(AK$5:AK739),"")</f>
        <v/>
      </c>
      <c r="AP739" s="67">
        <f>IF(AL739=1,SUM(AL$5:AL739),"")</f>
        <v/>
      </c>
      <c r="AQ739" s="67" t="n">
        <v>0</v>
      </c>
      <c r="AR739" s="67" t="n">
        <v>0</v>
      </c>
      <c r="AS739" s="67" t="n">
        <v>0</v>
      </c>
      <c r="AT739" s="67" t="n">
        <v>1</v>
      </c>
    </row>
    <row r="740" ht="40" customHeight="1">
      <c r="A740" s="63" t="inlineStr">
        <is>
          <t>F22-UPL-08</t>
        </is>
      </c>
      <c r="B740" s="63" t="inlineStr">
        <is>
          <t>F22</t>
        </is>
      </c>
      <c r="C740" s="63">
        <f>Flights!$F$26</f>
        <v/>
      </c>
      <c r="D740" s="64">
        <f>Flights!$D$26</f>
        <v/>
      </c>
      <c r="E740" s="63">
        <f>Flights!$G$26&amp;"-"&amp;Flights!$H$26</f>
        <v/>
      </c>
      <c r="F740" s="63">
        <f>Flights!$K$26</f>
        <v/>
      </c>
      <c r="G740" s="63" t="inlineStr">
        <is>
          <t>UPLIFT</t>
        </is>
      </c>
      <c r="H740" s="63" t="inlineStr">
        <is>
          <t>Physical uplift</t>
        </is>
      </c>
      <c r="I740" s="63" t="inlineStr">
        <is>
          <t>F&amp;B Linen</t>
        </is>
      </c>
      <c r="J740" s="63" t="inlineStr">
        <is>
          <t>Napkin - on board</t>
        </is>
      </c>
      <c r="K740" s="73" t="inlineStr">
        <is>
          <t>Available (ticked in reference)</t>
        </is>
      </c>
      <c r="L740" s="73" t="inlineStr">
        <is>
          <t>STD UPLIFT INFORMATION.xlsx &gt; F&amp;B LINEN!F7</t>
        </is>
      </c>
      <c r="M740" s="73" t="inlineStr">
        <is>
          <t>Not stated in reference</t>
        </is>
      </c>
      <c r="N740" s="73" t="inlineStr">
        <is>
          <t>Required</t>
        </is>
      </c>
      <c r="O740" s="73" t="inlineStr"/>
      <c r="P740" s="63" t="inlineStr">
        <is>
          <t>KUL</t>
        </is>
      </c>
      <c r="Q740" s="65">
        <f>Flights!$AF$26</f>
        <v/>
      </c>
      <c r="R740" s="65">
        <f>Q740+(IF(AND(INDEX(TZ_DSTS,MATCH(P740,TZ_STN,0))&lt;&gt;"",Q740&gt;=INDEX(TZ_DSTS,MATCH(P740,TZ_STN,0)),Q740&lt;INDEX(TZ_DSTE,MATCH(P740,TZ_STN,0))),INDEX(TZ_DST,MATCH(P740,TZ_STN,0)),INDEX(TZ_STD,MATCH(P740,TZ_STN,0))))/24</f>
        <v/>
      </c>
      <c r="S740" s="65">
        <f>Q740-UpliftWindowH/24</f>
        <v/>
      </c>
      <c r="T740" s="66" t="n"/>
      <c r="U740" s="66" t="n"/>
      <c r="V740" s="66" t="n"/>
      <c r="W740" s="67" t="n"/>
      <c r="X740" s="66" t="n"/>
      <c r="Y740" s="66" t="n"/>
      <c r="Z740" s="66" t="n"/>
      <c r="AA740" s="66" t="n"/>
      <c r="AB740" s="66" t="n"/>
      <c r="AC740" s="66" t="n"/>
      <c r="AD740" s="72" t="n"/>
      <c r="AE740" s="66" t="n"/>
      <c r="AF740" s="67">
        <f>IF(AND(ISNUMBER(X740),ISNUMBER(Y740)),Y740-X740,"")</f>
        <v/>
      </c>
      <c r="AG740" s="68">
        <f>IF(ISNUMBER(AD740),AD740-(IF(AND(INDEX(TZ_DSTS,MATCH(P740,TZ_STN,0))&lt;&gt;"",(AD740-INDEX(TZ_STD,MATCH(P740,TZ_STN,0))/24)&gt;=INDEX(TZ_DSTS,MATCH(P740,TZ_STN,0)),(AD740-INDEX(TZ_STD,MATCH(P740,TZ_STN,0))/24)&lt;INDEX(TZ_DSTE,MATCH(P740,TZ_STN,0))),INDEX(TZ_DST,MATCH(P740,TZ_STN,0)),INDEX(TZ_STD,MATCH(P740,TZ_STN,0))))/24,"")</f>
        <v/>
      </c>
      <c r="AH740" s="71">
        <f>IF(N740="N/A – rule","N/A – RULE",IF(TRIM(U740)="N/A",IF(AT740=0,"INVALID – N/A not permitted for this mandatory check",IF(AND(TRIM(AC740)&lt;&gt;"",TRIM(AE740)&lt;&gt;"",TRIM(T740)&lt;&gt;""),"N/A – JUSTIFIED","INVALID – N/A needs justification, PIC and verifier")),IF(OR(TRIM(U740)="Pass",TRIM(U740)="Pass after CA"),IF(NOT(ISNUMBER(AD740)),"INVALID – completion time missing",IF(TRIM(T740)="","INVALID – PIC missing",IF(TRIM(Z740)="","INVALID – evidence missing",IF(TRIM(AE740)="","INVALID – verifier missing",IF(AND(AQ740=1,TRIM(W740)=""),"INVALID – batch ID missing",IF(AND(AR740=1,OR(NOT(ISNUMBER(X740)),NOT(ISNUMBER(Y740)))),"INVALID – expected/actual qty missing",IF(IF(AND(TRIM(U740)="Pass",ISNUMBER(AF740)),IF(AF740&lt;&gt;0,"INVALID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recorded/closed","")&lt;&gt;"",IF(AND(TRIM(U740)="Pass",ISNUMBER(AF740)),IF(AF740&lt;&gt;0,"INVALID – qty variance: use Fail or Pass after CA",""),"")&amp;IF(AND(TRIM(U740)="Pass",AB740="Open"),"INVALID – corrective action still open: use Fail, then Pass after CA","")&amp;IF(AND(TRIM(U740)="Pass after CA",OR(TRIM(AA740)="",AB740&lt;&gt;"Closed")),"INVALID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window"),IF(AG740&gt;Flights!$AA$26,"INVALID – completed after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f>
        <v/>
      </c>
      <c r="AI740" s="67">
        <f>IF(OR(AH740="N/A – RULE",AH740="N/A – JUSTIFIED"),0,1)</f>
        <v/>
      </c>
      <c r="AJ740" s="67">
        <f>IF(LEFT(AH740,8)="COMPLETE",1,0)</f>
        <v/>
      </c>
      <c r="AK740" s="67">
        <f>IF(AND(AI740=1,AJ740=0,AsOfUTC&gt;Q740),1,0)</f>
        <v/>
      </c>
      <c r="AL740" s="67">
        <f>IF(AND(AI740=1,OR(TRIM(U740)="Fail",AB740="Open",AND(ISNUMBER(AF740),AF740&lt;&gt;0,TRIM(U740)&lt;&gt;"Pass after CA"))),1,0)</f>
        <v/>
      </c>
      <c r="AM740" s="67">
        <f>IF(LEFT(AH740,7)="INVALID",1,0)</f>
        <v/>
      </c>
      <c r="AN740" s="67">
        <f>IF(AND(N740="Clarification required",AI740=1,AJ740=0),1,0)</f>
        <v/>
      </c>
      <c r="AO740" s="67">
        <f>IF(AK740=1,SUM(AK$5:AK740),"")</f>
        <v/>
      </c>
      <c r="AP740" s="67">
        <f>IF(AL740=1,SUM(AL$5:AL740),"")</f>
        <v/>
      </c>
      <c r="AQ740" s="67" t="n">
        <v>0</v>
      </c>
      <c r="AR740" s="67" t="n">
        <v>0</v>
      </c>
      <c r="AS740" s="67" t="n">
        <v>0</v>
      </c>
      <c r="AT740" s="67" t="n">
        <v>1</v>
      </c>
    </row>
    <row r="741" ht="40" customHeight="1">
      <c r="A741" s="63" t="inlineStr">
        <is>
          <t>F22-UPL-09</t>
        </is>
      </c>
      <c r="B741" s="63" t="inlineStr">
        <is>
          <t>F22</t>
        </is>
      </c>
      <c r="C741" s="63">
        <f>Flights!$F$26</f>
        <v/>
      </c>
      <c r="D741" s="64">
        <f>Flights!$D$26</f>
        <v/>
      </c>
      <c r="E741" s="63">
        <f>Flights!$G$26&amp;"-"&amp;Flights!$H$26</f>
        <v/>
      </c>
      <c r="F741" s="63">
        <f>Flights!$K$26</f>
        <v/>
      </c>
      <c r="G741" s="63" t="inlineStr">
        <is>
          <t>UPLIFT</t>
        </is>
      </c>
      <c r="H741" s="63" t="inlineStr">
        <is>
          <t>Physical uplift</t>
        </is>
      </c>
      <c r="I741" s="63" t="inlineStr">
        <is>
          <t>F&amp;B Linen</t>
        </is>
      </c>
      <c r="J741" s="63" t="inlineStr">
        <is>
          <t>Table cloth - on board</t>
        </is>
      </c>
      <c r="K741" s="73" t="inlineStr">
        <is>
          <t>Available (ticked in reference)</t>
        </is>
      </c>
      <c r="L741" s="73" t="inlineStr">
        <is>
          <t>STD UPLIFT INFORMATION.xlsx &gt; F&amp;B LINEN!G7</t>
        </is>
      </c>
      <c r="M741" s="73" t="inlineStr">
        <is>
          <t>Not stated in reference</t>
        </is>
      </c>
      <c r="N741" s="73" t="inlineStr">
        <is>
          <t>Required</t>
        </is>
      </c>
      <c r="O741" s="73" t="inlineStr"/>
      <c r="P741" s="63" t="inlineStr">
        <is>
          <t>KUL</t>
        </is>
      </c>
      <c r="Q741" s="65">
        <f>Flights!$AF$26</f>
        <v/>
      </c>
      <c r="R741" s="65">
        <f>Q741+(IF(AND(INDEX(TZ_DSTS,MATCH(P741,TZ_STN,0))&lt;&gt;"",Q741&gt;=INDEX(TZ_DSTS,MATCH(P741,TZ_STN,0)),Q741&lt;INDEX(TZ_DSTE,MATCH(P741,TZ_STN,0))),INDEX(TZ_DST,MATCH(P741,TZ_STN,0)),INDEX(TZ_STD,MATCH(P741,TZ_STN,0))))/24</f>
        <v/>
      </c>
      <c r="S741" s="65">
        <f>Q741-UpliftWindowH/24</f>
        <v/>
      </c>
      <c r="T741" s="66" t="n"/>
      <c r="U741" s="66" t="n"/>
      <c r="V741" s="66" t="n"/>
      <c r="W741" s="67" t="n"/>
      <c r="X741" s="66" t="n"/>
      <c r="Y741" s="66" t="n"/>
      <c r="Z741" s="66" t="n"/>
      <c r="AA741" s="66" t="n"/>
      <c r="AB741" s="66" t="n"/>
      <c r="AC741" s="66" t="n"/>
      <c r="AD741" s="72" t="n"/>
      <c r="AE741" s="66" t="n"/>
      <c r="AF741" s="67">
        <f>IF(AND(ISNUMBER(X741),ISNUMBER(Y741)),Y741-X741,"")</f>
        <v/>
      </c>
      <c r="AG741" s="68">
        <f>IF(ISNUMBER(AD741),AD741-(IF(AND(INDEX(TZ_DSTS,MATCH(P741,TZ_STN,0))&lt;&gt;"",(AD741-INDEX(TZ_STD,MATCH(P741,TZ_STN,0))/24)&gt;=INDEX(TZ_DSTS,MATCH(P741,TZ_STN,0)),(AD741-INDEX(TZ_STD,MATCH(P741,TZ_STN,0))/24)&lt;INDEX(TZ_DSTE,MATCH(P741,TZ_STN,0))),INDEX(TZ_DST,MATCH(P741,TZ_STN,0)),INDEX(TZ_STD,MATCH(P741,TZ_STN,0))))/24,"")</f>
        <v/>
      </c>
      <c r="AH741" s="71">
        <f>IF(N741="N/A – rule","N/A – RULE",IF(TRIM(U741)="N/A",IF(AT741=0,"INVALID – N/A not permitted for this mandatory check",IF(AND(TRIM(AC741)&lt;&gt;"",TRIM(AE741)&lt;&gt;"",TRIM(T741)&lt;&gt;""),"N/A – JUSTIFIED","INVALID – N/A needs justification, PIC and verifier")),IF(OR(TRIM(U741)="Pass",TRIM(U741)="Pass after CA"),IF(NOT(ISNUMBER(AD741)),"INVALID – completion time missing",IF(TRIM(T741)="","INVALID – PIC missing",IF(TRIM(Z741)="","INVALID – evidence missing",IF(TRIM(AE741)="","INVALID – verifier missing",IF(AND(AQ741=1,TRIM(W741)=""),"INVALID – batch ID missing",IF(AND(AR741=1,OR(NOT(ISNUMBER(X741)),NOT(ISNUMBER(Y741)))),"INVALID – expected/actual qty missing",IF(IF(AND(TRIM(U741)="Pass",ISNUMBER(AF741)),IF(AF741&lt;&gt;0,"INVALID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recorded/closed","")&lt;&gt;"",IF(AND(TRIM(U741)="Pass",ISNUMBER(AF741)),IF(AF741&lt;&gt;0,"INVALID – qty variance: use Fail or Pass after CA",""),"")&amp;IF(AND(TRIM(U741)="Pass",AB741="Open"),"INVALID – corrective action still open: use Fail, then Pass after CA","")&amp;IF(AND(TRIM(U741)="Pass after CA",OR(TRIM(AA741)="",AB741&lt;&gt;"Closed")),"INVALID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window"),IF(AG741&gt;Flights!$AA$26,"INVALID – completed after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f>
        <v/>
      </c>
      <c r="AI741" s="67">
        <f>IF(OR(AH741="N/A – RULE",AH741="N/A – JUSTIFIED"),0,1)</f>
        <v/>
      </c>
      <c r="AJ741" s="67">
        <f>IF(LEFT(AH741,8)="COMPLETE",1,0)</f>
        <v/>
      </c>
      <c r="AK741" s="67">
        <f>IF(AND(AI741=1,AJ741=0,AsOfUTC&gt;Q741),1,0)</f>
        <v/>
      </c>
      <c r="AL741" s="67">
        <f>IF(AND(AI741=1,OR(TRIM(U741)="Fail",AB741="Open",AND(ISNUMBER(AF741),AF741&lt;&gt;0,TRIM(U741)&lt;&gt;"Pass after CA"))),1,0)</f>
        <v/>
      </c>
      <c r="AM741" s="67">
        <f>IF(LEFT(AH741,7)="INVALID",1,0)</f>
        <v/>
      </c>
      <c r="AN741" s="67">
        <f>IF(AND(N741="Clarification required",AI741=1,AJ741=0),1,0)</f>
        <v/>
      </c>
      <c r="AO741" s="67">
        <f>IF(AK741=1,SUM(AK$5:AK741),"")</f>
        <v/>
      </c>
      <c r="AP741" s="67">
        <f>IF(AL741=1,SUM(AL$5:AL741),"")</f>
        <v/>
      </c>
      <c r="AQ741" s="67" t="n">
        <v>0</v>
      </c>
      <c r="AR741" s="67" t="n">
        <v>0</v>
      </c>
      <c r="AS741" s="67" t="n">
        <v>0</v>
      </c>
      <c r="AT741" s="67" t="n">
        <v>1</v>
      </c>
    </row>
    <row r="742" ht="40" customHeight="1">
      <c r="A742" s="63" t="inlineStr">
        <is>
          <t>F22-UPL-10</t>
        </is>
      </c>
      <c r="B742" s="63" t="inlineStr">
        <is>
          <t>F22</t>
        </is>
      </c>
      <c r="C742" s="63">
        <f>Flights!$F$26</f>
        <v/>
      </c>
      <c r="D742" s="64">
        <f>Flights!$D$26</f>
        <v/>
      </c>
      <c r="E742" s="63">
        <f>Flights!$G$26&amp;"-"&amp;Flights!$H$26</f>
        <v/>
      </c>
      <c r="F742" s="63">
        <f>Flights!$K$26</f>
        <v/>
      </c>
      <c r="G742" s="63" t="inlineStr">
        <is>
          <t>UPLIFT</t>
        </is>
      </c>
      <c r="H742" s="63" t="inlineStr">
        <is>
          <t>Physical uplift</t>
        </is>
      </c>
      <c r="I742" s="63" t="inlineStr">
        <is>
          <t>F&amp;B Linen</t>
        </is>
      </c>
      <c r="J742" s="63" t="inlineStr">
        <is>
          <t>Bread linen (using table cloth) - on board</t>
        </is>
      </c>
      <c r="K742" s="73" t="inlineStr">
        <is>
          <t>Available (ticked in reference)</t>
        </is>
      </c>
      <c r="L742" s="73" t="inlineStr">
        <is>
          <t>STD UPLIFT INFORMATION.xlsx &gt; F&amp;B LINEN!H7</t>
        </is>
      </c>
      <c r="M742" s="73" t="inlineStr">
        <is>
          <t>Not stated in reference</t>
        </is>
      </c>
      <c r="N742" s="73" t="inlineStr">
        <is>
          <t>Required</t>
        </is>
      </c>
      <c r="O742" s="73" t="inlineStr"/>
      <c r="P742" s="63" t="inlineStr">
        <is>
          <t>KUL</t>
        </is>
      </c>
      <c r="Q742" s="65">
        <f>Flights!$AF$26</f>
        <v/>
      </c>
      <c r="R742" s="65">
        <f>Q742+(IF(AND(INDEX(TZ_DSTS,MATCH(P742,TZ_STN,0))&lt;&gt;"",Q742&gt;=INDEX(TZ_DSTS,MATCH(P742,TZ_STN,0)),Q742&lt;INDEX(TZ_DSTE,MATCH(P742,TZ_STN,0))),INDEX(TZ_DST,MATCH(P742,TZ_STN,0)),INDEX(TZ_STD,MATCH(P742,TZ_STN,0))))/24</f>
        <v/>
      </c>
      <c r="S742" s="65">
        <f>Q742-UpliftWindowH/24</f>
        <v/>
      </c>
      <c r="T742" s="66" t="n"/>
      <c r="U742" s="66" t="n"/>
      <c r="V742" s="66" t="n"/>
      <c r="W742" s="67" t="n"/>
      <c r="X742" s="66" t="n"/>
      <c r="Y742" s="66" t="n"/>
      <c r="Z742" s="66" t="n"/>
      <c r="AA742" s="66" t="n"/>
      <c r="AB742" s="66" t="n"/>
      <c r="AC742" s="66" t="n"/>
      <c r="AD742" s="72" t="n"/>
      <c r="AE742" s="66" t="n"/>
      <c r="AF742" s="67">
        <f>IF(AND(ISNUMBER(X742),ISNUMBER(Y742)),Y742-X742,"")</f>
        <v/>
      </c>
      <c r="AG742" s="68">
        <f>IF(ISNUMBER(AD742),AD742-(IF(AND(INDEX(TZ_DSTS,MATCH(P742,TZ_STN,0))&lt;&gt;"",(AD742-INDEX(TZ_STD,MATCH(P742,TZ_STN,0))/24)&gt;=INDEX(TZ_DSTS,MATCH(P742,TZ_STN,0)),(AD742-INDEX(TZ_STD,MATCH(P742,TZ_STN,0))/24)&lt;INDEX(TZ_DSTE,MATCH(P742,TZ_STN,0))),INDEX(TZ_DST,MATCH(P742,TZ_STN,0)),INDEX(TZ_STD,MATCH(P742,TZ_STN,0))))/24,"")</f>
        <v/>
      </c>
      <c r="AH742" s="71">
        <f>IF(N742="N/A – rule","N/A – RULE",IF(TRIM(U742)="N/A",IF(AT742=0,"INVALID – N/A not permitted for this mandatory check",IF(AND(TRIM(AC742)&lt;&gt;"",TRIM(AE742)&lt;&gt;"",TRIM(T742)&lt;&gt;""),"N/A – JUSTIFIED","INVALID – N/A needs justification, PIC and verifier")),IF(OR(TRIM(U742)="Pass",TRIM(U742)="Pass after CA"),IF(NOT(ISNUMBER(AD742)),"INVALID – completion time missing",IF(TRIM(T742)="","INVALID – PIC missing",IF(TRIM(Z742)="","INVALID – evidence missing",IF(TRIM(AE742)="","INVALID – verifier missing",IF(AND(AQ742=1,TRIM(W742)=""),"INVALID – batch ID missing",IF(AND(AR742=1,OR(NOT(ISNUMBER(X742)),NOT(ISNUMBER(Y742)))),"INVALID – expected/actual qty missing",IF(IF(AND(TRIM(U742)="Pass",ISNUMBER(AF742)),IF(AF742&lt;&gt;0,"INVALID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recorded/closed","")&lt;&gt;"",IF(AND(TRIM(U742)="Pass",ISNUMBER(AF742)),IF(AF742&lt;&gt;0,"INVALID – qty variance: use Fail or Pass after CA",""),"")&amp;IF(AND(TRIM(U742)="Pass",AB742="Open"),"INVALID – corrective action still open: use Fail, then Pass after CA","")&amp;IF(AND(TRIM(U742)="Pass after CA",OR(TRIM(AA742)="",AB742&lt;&gt;"Closed")),"INVALID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window"),IF(AG742&gt;Flights!$AA$26,"INVALID – completed after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f>
        <v/>
      </c>
      <c r="AI742" s="67">
        <f>IF(OR(AH742="N/A – RULE",AH742="N/A – JUSTIFIED"),0,1)</f>
        <v/>
      </c>
      <c r="AJ742" s="67">
        <f>IF(LEFT(AH742,8)="COMPLETE",1,0)</f>
        <v/>
      </c>
      <c r="AK742" s="67">
        <f>IF(AND(AI742=1,AJ742=0,AsOfUTC&gt;Q742),1,0)</f>
        <v/>
      </c>
      <c r="AL742" s="67">
        <f>IF(AND(AI742=1,OR(TRIM(U742)="Fail",AB742="Open",AND(ISNUMBER(AF742),AF742&lt;&gt;0,TRIM(U742)&lt;&gt;"Pass after CA"))),1,0)</f>
        <v/>
      </c>
      <c r="AM742" s="67">
        <f>IF(LEFT(AH742,7)="INVALID",1,0)</f>
        <v/>
      </c>
      <c r="AN742" s="67">
        <f>IF(AND(N742="Clarification required",AI742=1,AJ742=0),1,0)</f>
        <v/>
      </c>
      <c r="AO742" s="67">
        <f>IF(AK742=1,SUM(AK$5:AK742),"")</f>
        <v/>
      </c>
      <c r="AP742" s="67">
        <f>IF(AL742=1,SUM(AL$5:AL742),"")</f>
        <v/>
      </c>
      <c r="AQ742" s="67" t="n">
        <v>0</v>
      </c>
      <c r="AR742" s="67" t="n">
        <v>0</v>
      </c>
      <c r="AS742" s="67" t="n">
        <v>0</v>
      </c>
      <c r="AT742" s="67" t="n">
        <v>1</v>
      </c>
    </row>
    <row r="743" ht="40" customHeight="1">
      <c r="A743" s="63" t="inlineStr">
        <is>
          <t>F22-UPL-11</t>
        </is>
      </c>
      <c r="B743" s="63" t="inlineStr">
        <is>
          <t>F22</t>
        </is>
      </c>
      <c r="C743" s="63">
        <f>Flights!$F$26</f>
        <v/>
      </c>
      <c r="D743" s="64">
        <f>Flights!$D$26</f>
        <v/>
      </c>
      <c r="E743" s="63">
        <f>Flights!$G$26&amp;"-"&amp;Flights!$H$26</f>
        <v/>
      </c>
      <c r="F743" s="63">
        <f>Flights!$K$26</f>
        <v/>
      </c>
      <c r="G743" s="63" t="inlineStr">
        <is>
          <t>UPLIFT</t>
        </is>
      </c>
      <c r="H743" s="63" t="inlineStr">
        <is>
          <t>Physical uplift</t>
        </is>
      </c>
      <c r="I743" s="63" t="inlineStr">
        <is>
          <t>F&amp;B Linen</t>
        </is>
      </c>
      <c r="J743" s="63" t="inlineStr">
        <is>
          <t>Trolley cloth - on board</t>
        </is>
      </c>
      <c r="K743" s="73" t="inlineStr">
        <is>
          <t>Wide body: Top/Middle &amp; Bottom</t>
        </is>
      </c>
      <c r="L743" s="73" t="inlineStr">
        <is>
          <t>STD UPLIFT INFORMATION.xlsx &gt; F&amp;B LINEN!I7</t>
        </is>
      </c>
      <c r="M743" s="73" t="inlineStr">
        <is>
          <t>Not stated in reference</t>
        </is>
      </c>
      <c r="N743" s="73" t="inlineStr">
        <is>
          <t>Required</t>
        </is>
      </c>
      <c r="O743" s="73" t="inlineStr">
        <is>
          <t>Per note F&amp;B LINEN!B79:C80.</t>
        </is>
      </c>
      <c r="P743" s="63" t="inlineStr">
        <is>
          <t>KUL</t>
        </is>
      </c>
      <c r="Q743" s="65">
        <f>Flights!$AF$26</f>
        <v/>
      </c>
      <c r="R743" s="65">
        <f>Q743+(IF(AND(INDEX(TZ_DSTS,MATCH(P743,TZ_STN,0))&lt;&gt;"",Q743&gt;=INDEX(TZ_DSTS,MATCH(P743,TZ_STN,0)),Q743&lt;INDEX(TZ_DSTE,MATCH(P743,TZ_STN,0))),INDEX(TZ_DST,MATCH(P743,TZ_STN,0)),INDEX(TZ_STD,MATCH(P743,TZ_STN,0))))/24</f>
        <v/>
      </c>
      <c r="S743" s="65">
        <f>Q743-UpliftWindowH/24</f>
        <v/>
      </c>
      <c r="T743" s="66" t="n"/>
      <c r="U743" s="66" t="n"/>
      <c r="V743" s="66" t="n"/>
      <c r="W743" s="67" t="n"/>
      <c r="X743" s="66" t="n"/>
      <c r="Y743" s="66" t="n"/>
      <c r="Z743" s="66" t="n"/>
      <c r="AA743" s="66" t="n"/>
      <c r="AB743" s="66" t="n"/>
      <c r="AC743" s="66" t="n"/>
      <c r="AD743" s="72" t="n"/>
      <c r="AE743" s="66" t="n"/>
      <c r="AF743" s="67">
        <f>IF(AND(ISNUMBER(X743),ISNUMBER(Y743)),Y743-X743,"")</f>
        <v/>
      </c>
      <c r="AG743" s="68">
        <f>IF(ISNUMBER(AD743),AD743-(IF(AND(INDEX(TZ_DSTS,MATCH(P743,TZ_STN,0))&lt;&gt;"",(AD743-INDEX(TZ_STD,MATCH(P743,TZ_STN,0))/24)&gt;=INDEX(TZ_DSTS,MATCH(P743,TZ_STN,0)),(AD743-INDEX(TZ_STD,MATCH(P743,TZ_STN,0))/24)&lt;INDEX(TZ_DSTE,MATCH(P743,TZ_STN,0))),INDEX(TZ_DST,MATCH(P743,TZ_STN,0)),INDEX(TZ_STD,MATCH(P743,TZ_STN,0))))/24,"")</f>
        <v/>
      </c>
      <c r="AH743" s="71">
        <f>IF(N743="N/A – rule","N/A – RULE",IF(TRIM(U743)="N/A",IF(AT743=0,"INVALID – N/A not permitted for this mandatory check",IF(AND(TRIM(AC743)&lt;&gt;"",TRIM(AE743)&lt;&gt;"",TRIM(T743)&lt;&gt;""),"N/A – JUSTIFIED","INVALID – N/A needs justification, PIC and verifier")),IF(OR(TRIM(U743)="Pass",TRIM(U743)="Pass after CA"),IF(NOT(ISNUMBER(AD743)),"INVALID – completion time missing",IF(TRIM(T743)="","INVALID – PIC missing",IF(TRIM(Z743)="","INVALID – evidence missing",IF(TRIM(AE743)="","INVALID – verifier missing",IF(AND(AQ743=1,TRIM(W743)=""),"INVALID – batch ID missing",IF(AND(AR743=1,OR(NOT(ISNUMBER(X743)),NOT(ISNUMBER(Y743)))),"INVALID – expected/actual qty missing",IF(IF(AND(TRIM(U743)="Pass",ISNUMBER(AF743)),IF(AF743&lt;&gt;0,"INVALID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recorded/closed","")&lt;&gt;"",IF(AND(TRIM(U743)="Pass",ISNUMBER(AF743)),IF(AF743&lt;&gt;0,"INVALID – qty variance: use Fail or Pass after CA",""),"")&amp;IF(AND(TRIM(U743)="Pass",AB743="Open"),"INVALID – corrective action still open: use Fail, then Pass after CA","")&amp;IF(AND(TRIM(U743)="Pass after CA",OR(TRIM(AA743)="",AB743&lt;&gt;"Closed")),"INVALID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window"),IF(AG743&gt;Flights!$AA$26,"INVALID – completed after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f>
        <v/>
      </c>
      <c r="AI743" s="67">
        <f>IF(OR(AH743="N/A – RULE",AH743="N/A – JUSTIFIED"),0,1)</f>
        <v/>
      </c>
      <c r="AJ743" s="67">
        <f>IF(LEFT(AH743,8)="COMPLETE",1,0)</f>
        <v/>
      </c>
      <c r="AK743" s="67">
        <f>IF(AND(AI743=1,AJ743=0,AsOfUTC&gt;Q743),1,0)</f>
        <v/>
      </c>
      <c r="AL743" s="67">
        <f>IF(AND(AI743=1,OR(TRIM(U743)="Fail",AB743="Open",AND(ISNUMBER(AF743),AF743&lt;&gt;0,TRIM(U743)&lt;&gt;"Pass after CA"))),1,0)</f>
        <v/>
      </c>
      <c r="AM743" s="67">
        <f>IF(LEFT(AH743,7)="INVALID",1,0)</f>
        <v/>
      </c>
      <c r="AN743" s="67">
        <f>IF(AND(N743="Clarification required",AI743=1,AJ743=0),1,0)</f>
        <v/>
      </c>
      <c r="AO743" s="67">
        <f>IF(AK743=1,SUM(AK$5:AK743),"")</f>
        <v/>
      </c>
      <c r="AP743" s="67">
        <f>IF(AL743=1,SUM(AL$5:AL743),"")</f>
        <v/>
      </c>
      <c r="AQ743" s="67" t="n">
        <v>0</v>
      </c>
      <c r="AR743" s="67" t="n">
        <v>0</v>
      </c>
      <c r="AS743" s="67" t="n">
        <v>0</v>
      </c>
      <c r="AT743" s="67" t="n">
        <v>1</v>
      </c>
    </row>
    <row r="744" ht="40" customHeight="1">
      <c r="A744" s="63" t="inlineStr">
        <is>
          <t>F22-UPL-12</t>
        </is>
      </c>
      <c r="B744" s="63" t="inlineStr">
        <is>
          <t>F22</t>
        </is>
      </c>
      <c r="C744" s="63">
        <f>Flights!$F$26</f>
        <v/>
      </c>
      <c r="D744" s="64">
        <f>Flights!$D$26</f>
        <v/>
      </c>
      <c r="E744" s="63">
        <f>Flights!$G$26&amp;"-"&amp;Flights!$H$26</f>
        <v/>
      </c>
      <c r="F744" s="63">
        <f>Flights!$K$26</f>
        <v/>
      </c>
      <c r="G744" s="63" t="inlineStr">
        <is>
          <t>UPLIFT</t>
        </is>
      </c>
      <c r="H744" s="63" t="inlineStr">
        <is>
          <t>Physical uplift</t>
        </is>
      </c>
      <c r="I744" s="63" t="inlineStr">
        <is>
          <t>F&amp;B Linen</t>
        </is>
      </c>
      <c r="J744" s="63" t="inlineStr">
        <is>
          <t>Linen bag - on board</t>
        </is>
      </c>
      <c r="K744" s="73" t="inlineStr">
        <is>
          <t>Available (ticked in reference)</t>
        </is>
      </c>
      <c r="L744" s="73" t="inlineStr">
        <is>
          <t>STD UPLIFT INFORMATION.xlsx &gt; F&amp;B LINEN!J7</t>
        </is>
      </c>
      <c r="M744" s="73" t="inlineStr">
        <is>
          <t>Not stated in reference</t>
        </is>
      </c>
      <c r="N744" s="73" t="inlineStr">
        <is>
          <t>Required</t>
        </is>
      </c>
      <c r="O744" s="73" t="inlineStr"/>
      <c r="P744" s="63" t="inlineStr">
        <is>
          <t>KUL</t>
        </is>
      </c>
      <c r="Q744" s="65">
        <f>Flights!$AF$26</f>
        <v/>
      </c>
      <c r="R744" s="65">
        <f>Q744+(IF(AND(INDEX(TZ_DSTS,MATCH(P744,TZ_STN,0))&lt;&gt;"",Q744&gt;=INDEX(TZ_DSTS,MATCH(P744,TZ_STN,0)),Q744&lt;INDEX(TZ_DSTE,MATCH(P744,TZ_STN,0))),INDEX(TZ_DST,MATCH(P744,TZ_STN,0)),INDEX(TZ_STD,MATCH(P744,TZ_STN,0))))/24</f>
        <v/>
      </c>
      <c r="S744" s="65">
        <f>Q744-UpliftWindowH/24</f>
        <v/>
      </c>
      <c r="T744" s="66" t="n"/>
      <c r="U744" s="66" t="n"/>
      <c r="V744" s="66" t="n"/>
      <c r="W744" s="67" t="n"/>
      <c r="X744" s="66" t="n"/>
      <c r="Y744" s="66" t="n"/>
      <c r="Z744" s="66" t="n"/>
      <c r="AA744" s="66" t="n"/>
      <c r="AB744" s="66" t="n"/>
      <c r="AC744" s="66" t="n"/>
      <c r="AD744" s="72" t="n"/>
      <c r="AE744" s="66" t="n"/>
      <c r="AF744" s="67">
        <f>IF(AND(ISNUMBER(X744),ISNUMBER(Y744)),Y744-X744,"")</f>
        <v/>
      </c>
      <c r="AG744" s="68">
        <f>IF(ISNUMBER(AD744),AD744-(IF(AND(INDEX(TZ_DSTS,MATCH(P744,TZ_STN,0))&lt;&gt;"",(AD744-INDEX(TZ_STD,MATCH(P744,TZ_STN,0))/24)&gt;=INDEX(TZ_DSTS,MATCH(P744,TZ_STN,0)),(AD744-INDEX(TZ_STD,MATCH(P744,TZ_STN,0))/24)&lt;INDEX(TZ_DSTE,MATCH(P744,TZ_STN,0))),INDEX(TZ_DST,MATCH(P744,TZ_STN,0)),INDEX(TZ_STD,MATCH(P744,TZ_STN,0))))/24,"")</f>
        <v/>
      </c>
      <c r="AH744" s="71">
        <f>IF(N744="N/A – rule","N/A – RULE",IF(TRIM(U744)="N/A",IF(AT744=0,"INVALID – N/A not permitted for this mandatory check",IF(AND(TRIM(AC744)&lt;&gt;"",TRIM(AE744)&lt;&gt;"",TRIM(T744)&lt;&gt;""),"N/A – JUSTIFIED","INVALID – N/A needs justification, PIC and verifier")),IF(OR(TRIM(U744)="Pass",TRIM(U744)="Pass after CA"),IF(NOT(ISNUMBER(AD744)),"INVALID – completion time missing",IF(TRIM(T744)="","INVALID – PIC missing",IF(TRIM(Z744)="","INVALID – evidence missing",IF(TRIM(AE744)="","INVALID – verifier missing",IF(AND(AQ744=1,TRIM(W744)=""),"INVALID – batch ID missing",IF(AND(AR744=1,OR(NOT(ISNUMBER(X744)),NOT(ISNUMBER(Y744)))),"INVALID – expected/actual qty missing",IF(IF(AND(TRIM(U744)="Pass",ISNUMBER(AF744)),IF(AF744&lt;&gt;0,"INVALID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recorded/closed","")&lt;&gt;"",IF(AND(TRIM(U744)="Pass",ISNUMBER(AF744)),IF(AF744&lt;&gt;0,"INVALID – qty variance: use Fail or Pass after CA",""),"")&amp;IF(AND(TRIM(U744)="Pass",AB744="Open"),"INVALID – corrective action still open: use Fail, then Pass after CA","")&amp;IF(AND(TRIM(U744)="Pass after CA",OR(TRIM(AA744)="",AB744&lt;&gt;"Closed")),"INVALID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window"),IF(AG744&gt;Flights!$AA$26,"INVALID – completed after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f>
        <v/>
      </c>
      <c r="AI744" s="67">
        <f>IF(OR(AH744="N/A – RULE",AH744="N/A – JUSTIFIED"),0,1)</f>
        <v/>
      </c>
      <c r="AJ744" s="67">
        <f>IF(LEFT(AH744,8)="COMPLETE",1,0)</f>
        <v/>
      </c>
      <c r="AK744" s="67">
        <f>IF(AND(AI744=1,AJ744=0,AsOfUTC&gt;Q744),1,0)</f>
        <v/>
      </c>
      <c r="AL744" s="67">
        <f>IF(AND(AI744=1,OR(TRIM(U744)="Fail",AB744="Open",AND(ISNUMBER(AF744),AF744&lt;&gt;0,TRIM(U744)&lt;&gt;"Pass after CA"))),1,0)</f>
        <v/>
      </c>
      <c r="AM744" s="67">
        <f>IF(LEFT(AH744,7)="INVALID",1,0)</f>
        <v/>
      </c>
      <c r="AN744" s="67">
        <f>IF(AND(N744="Clarification required",AI744=1,AJ744=0),1,0)</f>
        <v/>
      </c>
      <c r="AO744" s="67">
        <f>IF(AK744=1,SUM(AK$5:AK744),"")</f>
        <v/>
      </c>
      <c r="AP744" s="67">
        <f>IF(AL744=1,SUM(AL$5:AL744),"")</f>
        <v/>
      </c>
      <c r="AQ744" s="67" t="n">
        <v>0</v>
      </c>
      <c r="AR744" s="67" t="n">
        <v>0</v>
      </c>
      <c r="AS744" s="67" t="n">
        <v>0</v>
      </c>
      <c r="AT744" s="67" t="n">
        <v>1</v>
      </c>
    </row>
    <row r="745" ht="40" customHeight="1">
      <c r="A745" s="63" t="inlineStr">
        <is>
          <t>F22-UPL-13</t>
        </is>
      </c>
      <c r="B745" s="63" t="inlineStr">
        <is>
          <t>F22</t>
        </is>
      </c>
      <c r="C745" s="63">
        <f>Flights!$F$26</f>
        <v/>
      </c>
      <c r="D745" s="64">
        <f>Flights!$D$26</f>
        <v/>
      </c>
      <c r="E745" s="63">
        <f>Flights!$G$26&amp;"-"&amp;Flights!$H$26</f>
        <v/>
      </c>
      <c r="F745" s="63">
        <f>Flights!$K$26</f>
        <v/>
      </c>
      <c r="G745" s="63" t="inlineStr">
        <is>
          <t>UPLIFT</t>
        </is>
      </c>
      <c r="H745" s="63" t="inlineStr">
        <is>
          <t>Physical uplift</t>
        </is>
      </c>
      <c r="I745" s="63" t="inlineStr">
        <is>
          <t>Seat Linen</t>
        </is>
      </c>
      <c r="J745" s="63" t="inlineStr">
        <is>
          <t>Seat pillow (BS &amp; BC) - on board</t>
        </is>
      </c>
      <c r="K745" s="73" t="inlineStr">
        <is>
          <t>Available 100% (ticked in reference)</t>
        </is>
      </c>
      <c r="L745" s="73" t="inlineStr">
        <is>
          <t>STD UPLIFT INFORMATION.xlsx &gt; SEAT LINEN!E7</t>
        </is>
      </c>
      <c r="M745" s="73" t="inlineStr">
        <is>
          <t>Not stated in reference</t>
        </is>
      </c>
      <c r="N745" s="73" t="inlineStr">
        <is>
          <t>Required</t>
        </is>
      </c>
      <c r="O745" s="73" t="inlineStr"/>
      <c r="P745" s="63" t="inlineStr">
        <is>
          <t>KUL</t>
        </is>
      </c>
      <c r="Q745" s="65">
        <f>Flights!$AF$26</f>
        <v/>
      </c>
      <c r="R745" s="65">
        <f>Q745+(IF(AND(INDEX(TZ_DSTS,MATCH(P745,TZ_STN,0))&lt;&gt;"",Q745&gt;=INDEX(TZ_DSTS,MATCH(P745,TZ_STN,0)),Q745&lt;INDEX(TZ_DSTE,MATCH(P745,TZ_STN,0))),INDEX(TZ_DST,MATCH(P745,TZ_STN,0)),INDEX(TZ_STD,MATCH(P745,TZ_STN,0))))/24</f>
        <v/>
      </c>
      <c r="S745" s="65">
        <f>Q745-UpliftWindowH/24</f>
        <v/>
      </c>
      <c r="T745" s="66" t="n"/>
      <c r="U745" s="66" t="n"/>
      <c r="V745" s="66" t="n"/>
      <c r="W745" s="67" t="n"/>
      <c r="X745" s="66" t="n"/>
      <c r="Y745" s="66" t="n"/>
      <c r="Z745" s="66" t="n"/>
      <c r="AA745" s="66" t="n"/>
      <c r="AB745" s="66" t="n"/>
      <c r="AC745" s="66" t="n"/>
      <c r="AD745" s="72" t="n"/>
      <c r="AE745" s="66" t="n"/>
      <c r="AF745" s="67">
        <f>IF(AND(ISNUMBER(X745),ISNUMBER(Y745)),Y745-X745,"")</f>
        <v/>
      </c>
      <c r="AG745" s="68">
        <f>IF(ISNUMBER(AD745),AD745-(IF(AND(INDEX(TZ_DSTS,MATCH(P745,TZ_STN,0))&lt;&gt;"",(AD745-INDEX(TZ_STD,MATCH(P745,TZ_STN,0))/24)&gt;=INDEX(TZ_DSTS,MATCH(P745,TZ_STN,0)),(AD745-INDEX(TZ_STD,MATCH(P745,TZ_STN,0))/24)&lt;INDEX(TZ_DSTE,MATCH(P745,TZ_STN,0))),INDEX(TZ_DST,MATCH(P745,TZ_STN,0)),INDEX(TZ_STD,MATCH(P745,TZ_STN,0))))/24,"")</f>
        <v/>
      </c>
      <c r="AH745" s="71">
        <f>IF(N745="N/A – rule","N/A – RULE",IF(TRIM(U745)="N/A",IF(AT745=0,"INVALID – N/A not permitted for this mandatory check",IF(AND(TRIM(AC745)&lt;&gt;"",TRIM(AE745)&lt;&gt;"",TRIM(T745)&lt;&gt;""),"N/A – JUSTIFIED","INVALID – N/A needs justification, PIC and verifier")),IF(OR(TRIM(U745)="Pass",TRIM(U745)="Pass after CA"),IF(NOT(ISNUMBER(AD745)),"INVALID – completion time missing",IF(TRIM(T745)="","INVALID – PIC missing",IF(TRIM(Z745)="","INVALID – evidence missing",IF(TRIM(AE745)="","INVALID – verifier missing",IF(AND(AQ745=1,TRIM(W745)=""),"INVALID – batch ID missing",IF(AND(AR745=1,OR(NOT(ISNUMBER(X745)),NOT(ISNUMBER(Y745)))),"INVALID – expected/actual qty missing",IF(IF(AND(TRIM(U745)="Pass",ISNUMBER(AF745)),IF(AF745&lt;&gt;0,"INVALID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recorded/closed","")&lt;&gt;"",IF(AND(TRIM(U745)="Pass",ISNUMBER(AF745)),IF(AF745&lt;&gt;0,"INVALID – qty variance: use Fail or Pass after CA",""),"")&amp;IF(AND(TRIM(U745)="Pass",AB745="Open"),"INVALID – corrective action still open: use Fail, then Pass after CA","")&amp;IF(AND(TRIM(U745)="Pass after CA",OR(TRIM(AA745)="",AB745&lt;&gt;"Closed")),"INVALID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window"),IF(AG745&gt;Flights!$AA$26,"INVALID – completed after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f>
        <v/>
      </c>
      <c r="AI745" s="67">
        <f>IF(OR(AH745="N/A – RULE",AH745="N/A – JUSTIFIED"),0,1)</f>
        <v/>
      </c>
      <c r="AJ745" s="67">
        <f>IF(LEFT(AH745,8)="COMPLETE",1,0)</f>
        <v/>
      </c>
      <c r="AK745" s="67">
        <f>IF(AND(AI745=1,AJ745=0,AsOfUTC&gt;Q745),1,0)</f>
        <v/>
      </c>
      <c r="AL745" s="67">
        <f>IF(AND(AI745=1,OR(TRIM(U745)="Fail",AB745="Open",AND(ISNUMBER(AF745),AF745&lt;&gt;0,TRIM(U745)&lt;&gt;"Pass after CA"))),1,0)</f>
        <v/>
      </c>
      <c r="AM745" s="67">
        <f>IF(LEFT(AH745,7)="INVALID",1,0)</f>
        <v/>
      </c>
      <c r="AN745" s="67">
        <f>IF(AND(N745="Clarification required",AI745=1,AJ745=0),1,0)</f>
        <v/>
      </c>
      <c r="AO745" s="67">
        <f>IF(AK745=1,SUM(AK$5:AK745),"")</f>
        <v/>
      </c>
      <c r="AP745" s="67">
        <f>IF(AL745=1,SUM(AL$5:AL745),"")</f>
        <v/>
      </c>
      <c r="AQ745" s="67" t="n">
        <v>0</v>
      </c>
      <c r="AR745" s="67" t="n">
        <v>0</v>
      </c>
      <c r="AS745" s="67" t="n">
        <v>0</v>
      </c>
      <c r="AT745" s="67" t="n">
        <v>1</v>
      </c>
    </row>
    <row r="746" ht="40" customHeight="1">
      <c r="A746" s="63" t="inlineStr">
        <is>
          <t>F22-UPL-14</t>
        </is>
      </c>
      <c r="B746" s="63" t="inlineStr">
        <is>
          <t>F22</t>
        </is>
      </c>
      <c r="C746" s="63">
        <f>Flights!$F$26</f>
        <v/>
      </c>
      <c r="D746" s="64">
        <f>Flights!$D$26</f>
        <v/>
      </c>
      <c r="E746" s="63">
        <f>Flights!$G$26&amp;"-"&amp;Flights!$H$26</f>
        <v/>
      </c>
      <c r="F746" s="63">
        <f>Flights!$K$26</f>
        <v/>
      </c>
      <c r="G746" s="63" t="inlineStr">
        <is>
          <t>UPLIFT</t>
        </is>
      </c>
      <c r="H746" s="63" t="inlineStr">
        <is>
          <t>Physical uplift</t>
        </is>
      </c>
      <c r="I746" s="63" t="inlineStr">
        <is>
          <t>Seat Linen</t>
        </is>
      </c>
      <c r="J746" s="63" t="inlineStr">
        <is>
          <t>Duvet (BS &amp; BC) - on board</t>
        </is>
      </c>
      <c r="K746" s="73" t="inlineStr">
        <is>
          <t>Available 100% (ticked in reference)</t>
        </is>
      </c>
      <c r="L746" s="73" t="inlineStr">
        <is>
          <t>STD UPLIFT INFORMATION.xlsx &gt; SEAT LINEN!F7</t>
        </is>
      </c>
      <c r="M746" s="73" t="inlineStr">
        <is>
          <t>Not stated in reference</t>
        </is>
      </c>
      <c r="N746" s="73" t="inlineStr">
        <is>
          <t>Required</t>
        </is>
      </c>
      <c r="O746" s="73" t="inlineStr"/>
      <c r="P746" s="63" t="inlineStr">
        <is>
          <t>KUL</t>
        </is>
      </c>
      <c r="Q746" s="65">
        <f>Flights!$AF$26</f>
        <v/>
      </c>
      <c r="R746" s="65">
        <f>Q746+(IF(AND(INDEX(TZ_DSTS,MATCH(P746,TZ_STN,0))&lt;&gt;"",Q746&gt;=INDEX(TZ_DSTS,MATCH(P746,TZ_STN,0)),Q746&lt;INDEX(TZ_DSTE,MATCH(P746,TZ_STN,0))),INDEX(TZ_DST,MATCH(P746,TZ_STN,0)),INDEX(TZ_STD,MATCH(P746,TZ_STN,0))))/24</f>
        <v/>
      </c>
      <c r="S746" s="65">
        <f>Q746-UpliftWindowH/24</f>
        <v/>
      </c>
      <c r="T746" s="66" t="n"/>
      <c r="U746" s="66" t="n"/>
      <c r="V746" s="66" t="n"/>
      <c r="W746" s="67" t="n"/>
      <c r="X746" s="66" t="n"/>
      <c r="Y746" s="66" t="n"/>
      <c r="Z746" s="66" t="n"/>
      <c r="AA746" s="66" t="n"/>
      <c r="AB746" s="66" t="n"/>
      <c r="AC746" s="66" t="n"/>
      <c r="AD746" s="72" t="n"/>
      <c r="AE746" s="66" t="n"/>
      <c r="AF746" s="67">
        <f>IF(AND(ISNUMBER(X746),ISNUMBER(Y746)),Y746-X746,"")</f>
        <v/>
      </c>
      <c r="AG746" s="68">
        <f>IF(ISNUMBER(AD746),AD746-(IF(AND(INDEX(TZ_DSTS,MATCH(P746,TZ_STN,0))&lt;&gt;"",(AD746-INDEX(TZ_STD,MATCH(P746,TZ_STN,0))/24)&gt;=INDEX(TZ_DSTS,MATCH(P746,TZ_STN,0)),(AD746-INDEX(TZ_STD,MATCH(P746,TZ_STN,0))/24)&lt;INDEX(TZ_DSTE,MATCH(P746,TZ_STN,0))),INDEX(TZ_DST,MATCH(P746,TZ_STN,0)),INDEX(TZ_STD,MATCH(P746,TZ_STN,0))))/24,"")</f>
        <v/>
      </c>
      <c r="AH746" s="71">
        <f>IF(N746="N/A – rule","N/A – RULE",IF(TRIM(U746)="N/A",IF(AT746=0,"INVALID – N/A not permitted for this mandatory check",IF(AND(TRIM(AC746)&lt;&gt;"",TRIM(AE746)&lt;&gt;"",TRIM(T746)&lt;&gt;""),"N/A – JUSTIFIED","INVALID – N/A needs justification, PIC and verifier")),IF(OR(TRIM(U746)="Pass",TRIM(U746)="Pass after CA"),IF(NOT(ISNUMBER(AD746)),"INVALID – completion time missing",IF(TRIM(T746)="","INVALID – PIC missing",IF(TRIM(Z746)="","INVALID – evidence missing",IF(TRIM(AE746)="","INVALID – verifier missing",IF(AND(AQ746=1,TRIM(W746)=""),"INVALID – batch ID missing",IF(AND(AR746=1,OR(NOT(ISNUMBER(X746)),NOT(ISNUMBER(Y746)))),"INVALID – expected/actual qty missing",IF(IF(AND(TRIM(U746)="Pass",ISNUMBER(AF746)),IF(AF746&lt;&gt;0,"INVALID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recorded/closed","")&lt;&gt;"",IF(AND(TRIM(U746)="Pass",ISNUMBER(AF746)),IF(AF746&lt;&gt;0,"INVALID – qty variance: use Fail or Pass after CA",""),"")&amp;IF(AND(TRIM(U746)="Pass",AB746="Open"),"INVALID – corrective action still open: use Fail, then Pass after CA","")&amp;IF(AND(TRIM(U746)="Pass after CA",OR(TRIM(AA746)="",AB746&lt;&gt;"Closed")),"INVALID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window"),IF(AG746&gt;Flights!$AA$26,"INVALID – completed after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f>
        <v/>
      </c>
      <c r="AI746" s="67">
        <f>IF(OR(AH746="N/A – RULE",AH746="N/A – JUSTIFIED"),0,1)</f>
        <v/>
      </c>
      <c r="AJ746" s="67">
        <f>IF(LEFT(AH746,8)="COMPLETE",1,0)</f>
        <v/>
      </c>
      <c r="AK746" s="67">
        <f>IF(AND(AI746=1,AJ746=0,AsOfUTC&gt;Q746),1,0)</f>
        <v/>
      </c>
      <c r="AL746" s="67">
        <f>IF(AND(AI746=1,OR(TRIM(U746)="Fail",AB746="Open",AND(ISNUMBER(AF746),AF746&lt;&gt;0,TRIM(U746)&lt;&gt;"Pass after CA"))),1,0)</f>
        <v/>
      </c>
      <c r="AM746" s="67">
        <f>IF(LEFT(AH746,7)="INVALID",1,0)</f>
        <v/>
      </c>
      <c r="AN746" s="67">
        <f>IF(AND(N746="Clarification required",AI746=1,AJ746=0),1,0)</f>
        <v/>
      </c>
      <c r="AO746" s="67">
        <f>IF(AK746=1,SUM(AK$5:AK746),"")</f>
        <v/>
      </c>
      <c r="AP746" s="67">
        <f>IF(AL746=1,SUM(AL$5:AL746),"")</f>
        <v/>
      </c>
      <c r="AQ746" s="67" t="n">
        <v>0</v>
      </c>
      <c r="AR746" s="67" t="n">
        <v>0</v>
      </c>
      <c r="AS746" s="67" t="n">
        <v>0</v>
      </c>
      <c r="AT746" s="67" t="n">
        <v>1</v>
      </c>
    </row>
    <row r="747" ht="40" customHeight="1">
      <c r="A747" s="63" t="inlineStr">
        <is>
          <t>F22-UPL-15</t>
        </is>
      </c>
      <c r="B747" s="63" t="inlineStr">
        <is>
          <t>F22</t>
        </is>
      </c>
      <c r="C747" s="63">
        <f>Flights!$F$26</f>
        <v/>
      </c>
      <c r="D747" s="64">
        <f>Flights!$D$26</f>
        <v/>
      </c>
      <c r="E747" s="63">
        <f>Flights!$G$26&amp;"-"&amp;Flights!$H$26</f>
        <v/>
      </c>
      <c r="F747" s="63">
        <f>Flights!$K$26</f>
        <v/>
      </c>
      <c r="G747" s="63" t="inlineStr">
        <is>
          <t>UPLIFT</t>
        </is>
      </c>
      <c r="H747" s="63" t="inlineStr">
        <is>
          <t>Physical uplift</t>
        </is>
      </c>
      <c r="I747" s="63" t="inlineStr">
        <is>
          <t>Seat Linen</t>
        </is>
      </c>
      <c r="J747" s="63" t="inlineStr">
        <is>
          <t>Mattress (BS &amp; BC) - on board</t>
        </is>
      </c>
      <c r="K747" s="73" t="inlineStr">
        <is>
          <t>Available 100% (ticked in reference)</t>
        </is>
      </c>
      <c r="L747" s="73" t="inlineStr">
        <is>
          <t>STD UPLIFT INFORMATION.xlsx &gt; SEAT LINEN!G7</t>
        </is>
      </c>
      <c r="M747" s="73" t="inlineStr">
        <is>
          <t>Not stated in reference</t>
        </is>
      </c>
      <c r="N747" s="73" t="inlineStr">
        <is>
          <t>Required</t>
        </is>
      </c>
      <c r="O747" s="73" t="inlineStr"/>
      <c r="P747" s="63" t="inlineStr">
        <is>
          <t>KUL</t>
        </is>
      </c>
      <c r="Q747" s="65">
        <f>Flights!$AF$26</f>
        <v/>
      </c>
      <c r="R747" s="65">
        <f>Q747+(IF(AND(INDEX(TZ_DSTS,MATCH(P747,TZ_STN,0))&lt;&gt;"",Q747&gt;=INDEX(TZ_DSTS,MATCH(P747,TZ_STN,0)),Q747&lt;INDEX(TZ_DSTE,MATCH(P747,TZ_STN,0))),INDEX(TZ_DST,MATCH(P747,TZ_STN,0)),INDEX(TZ_STD,MATCH(P747,TZ_STN,0))))/24</f>
        <v/>
      </c>
      <c r="S747" s="65">
        <f>Q747-UpliftWindowH/24</f>
        <v/>
      </c>
      <c r="T747" s="66" t="n"/>
      <c r="U747" s="66" t="n"/>
      <c r="V747" s="66" t="n"/>
      <c r="W747" s="67" t="n"/>
      <c r="X747" s="66" t="n"/>
      <c r="Y747" s="66" t="n"/>
      <c r="Z747" s="66" t="n"/>
      <c r="AA747" s="66" t="n"/>
      <c r="AB747" s="66" t="n"/>
      <c r="AC747" s="66" t="n"/>
      <c r="AD747" s="72" t="n"/>
      <c r="AE747" s="66" t="n"/>
      <c r="AF747" s="67">
        <f>IF(AND(ISNUMBER(X747),ISNUMBER(Y747)),Y747-X747,"")</f>
        <v/>
      </c>
      <c r="AG747" s="68">
        <f>IF(ISNUMBER(AD747),AD747-(IF(AND(INDEX(TZ_DSTS,MATCH(P747,TZ_STN,0))&lt;&gt;"",(AD747-INDEX(TZ_STD,MATCH(P747,TZ_STN,0))/24)&gt;=INDEX(TZ_DSTS,MATCH(P747,TZ_STN,0)),(AD747-INDEX(TZ_STD,MATCH(P747,TZ_STN,0))/24)&lt;INDEX(TZ_DSTE,MATCH(P747,TZ_STN,0))),INDEX(TZ_DST,MATCH(P747,TZ_STN,0)),INDEX(TZ_STD,MATCH(P747,TZ_STN,0))))/24,"")</f>
        <v/>
      </c>
      <c r="AH747" s="71">
        <f>IF(N747="N/A – rule","N/A – RULE",IF(TRIM(U747)="N/A",IF(AT747=0,"INVALID – N/A not permitted for this mandatory check",IF(AND(TRIM(AC747)&lt;&gt;"",TRIM(AE747)&lt;&gt;"",TRIM(T747)&lt;&gt;""),"N/A – JUSTIFIED","INVALID – N/A needs justification, PIC and verifier")),IF(OR(TRIM(U747)="Pass",TRIM(U747)="Pass after CA"),IF(NOT(ISNUMBER(AD747)),"INVALID – completion time missing",IF(TRIM(T747)="","INVALID – PIC missing",IF(TRIM(Z747)="","INVALID – evidence missing",IF(TRIM(AE747)="","INVALID – verifier missing",IF(AND(AQ747=1,TRIM(W747)=""),"INVALID – batch ID missing",IF(AND(AR747=1,OR(NOT(ISNUMBER(X747)),NOT(ISNUMBER(Y747)))),"INVALID – expected/actual qty missing",IF(IF(AND(TRIM(U747)="Pass",ISNUMBER(AF747)),IF(AF747&lt;&gt;0,"INVALID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recorded/closed","")&lt;&gt;"",IF(AND(TRIM(U747)="Pass",ISNUMBER(AF747)),IF(AF747&lt;&gt;0,"INVALID – qty variance: use Fail or Pass after CA",""),"")&amp;IF(AND(TRIM(U747)="Pass",AB747="Open"),"INVALID – corrective action still open: use Fail, then Pass after CA","")&amp;IF(AND(TRIM(U747)="Pass after CA",OR(TRIM(AA747)="",AB747&lt;&gt;"Closed")),"INVALID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window"),IF(AG747&gt;Flights!$AA$26,"INVALID – completed after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f>
        <v/>
      </c>
      <c r="AI747" s="67">
        <f>IF(OR(AH747="N/A – RULE",AH747="N/A – JUSTIFIED"),0,1)</f>
        <v/>
      </c>
      <c r="AJ747" s="67">
        <f>IF(LEFT(AH747,8)="COMPLETE",1,0)</f>
        <v/>
      </c>
      <c r="AK747" s="67">
        <f>IF(AND(AI747=1,AJ747=0,AsOfUTC&gt;Q747),1,0)</f>
        <v/>
      </c>
      <c r="AL747" s="67">
        <f>IF(AND(AI747=1,OR(TRIM(U747)="Fail",AB747="Open",AND(ISNUMBER(AF747),AF747&lt;&gt;0,TRIM(U747)&lt;&gt;"Pass after CA"))),1,0)</f>
        <v/>
      </c>
      <c r="AM747" s="67">
        <f>IF(LEFT(AH747,7)="INVALID",1,0)</f>
        <v/>
      </c>
      <c r="AN747" s="67">
        <f>IF(AND(N747="Clarification required",AI747=1,AJ747=0),1,0)</f>
        <v/>
      </c>
      <c r="AO747" s="67">
        <f>IF(AK747=1,SUM(AK$5:AK747),"")</f>
        <v/>
      </c>
      <c r="AP747" s="67">
        <f>IF(AL747=1,SUM(AL$5:AL747),"")</f>
        <v/>
      </c>
      <c r="AQ747" s="67" t="n">
        <v>0</v>
      </c>
      <c r="AR747" s="67" t="n">
        <v>0</v>
      </c>
      <c r="AS747" s="67" t="n">
        <v>0</v>
      </c>
      <c r="AT747" s="67" t="n">
        <v>1</v>
      </c>
    </row>
    <row r="748" ht="40" customHeight="1">
      <c r="A748" s="63" t="inlineStr">
        <is>
          <t>F22-UPL-16</t>
        </is>
      </c>
      <c r="B748" s="63" t="inlineStr">
        <is>
          <t>F22</t>
        </is>
      </c>
      <c r="C748" s="63">
        <f>Flights!$F$26</f>
        <v/>
      </c>
      <c r="D748" s="64">
        <f>Flights!$D$26</f>
        <v/>
      </c>
      <c r="E748" s="63">
        <f>Flights!$G$26&amp;"-"&amp;Flights!$H$26</f>
        <v/>
      </c>
      <c r="F748" s="63">
        <f>Flights!$K$26</f>
        <v/>
      </c>
      <c r="G748" s="63" t="inlineStr">
        <is>
          <t>UPLIFT</t>
        </is>
      </c>
      <c r="H748" s="63" t="inlineStr">
        <is>
          <t>Physical uplift</t>
        </is>
      </c>
      <c r="I748" s="63" t="inlineStr">
        <is>
          <t>Signature Drinks</t>
        </is>
      </c>
      <c r="J748" s="63" t="inlineStr">
        <is>
          <t>Signature drink &amp; garnish (BC) - on board</t>
        </is>
      </c>
      <c r="K748" s="73" t="inlineStr">
        <is>
          <t>Available (ticked in reference)</t>
        </is>
      </c>
      <c r="L748" s="73" t="inlineStr">
        <is>
          <t>STD UPLIFT INFORMATION.xlsx &gt; Signature Drinks!F6 / G6 / D79</t>
        </is>
      </c>
      <c r="M748" s="73" t="inlineStr">
        <is>
          <t>KUL</t>
        </is>
      </c>
      <c r="N748" s="73" t="inlineStr">
        <is>
          <t>Required</t>
        </is>
      </c>
      <c r="O748" s="73" t="inlineStr">
        <is>
          <t>Signature drinks &amp; garnish uplifted from KUL (note D79).</t>
        </is>
      </c>
      <c r="P748" s="63" t="inlineStr">
        <is>
          <t>KUL</t>
        </is>
      </c>
      <c r="Q748" s="65">
        <f>Flights!$AF$26</f>
        <v/>
      </c>
      <c r="R748" s="65">
        <f>Q748+(IF(AND(INDEX(TZ_DSTS,MATCH(P748,TZ_STN,0))&lt;&gt;"",Q748&gt;=INDEX(TZ_DSTS,MATCH(P748,TZ_STN,0)),Q748&lt;INDEX(TZ_DSTE,MATCH(P748,TZ_STN,0))),INDEX(TZ_DST,MATCH(P748,TZ_STN,0)),INDEX(TZ_STD,MATCH(P748,TZ_STN,0))))/24</f>
        <v/>
      </c>
      <c r="S748" s="65">
        <f>Q748-UpliftWindowH/24</f>
        <v/>
      </c>
      <c r="T748" s="66" t="n"/>
      <c r="U748" s="66" t="n"/>
      <c r="V748" s="66" t="n"/>
      <c r="W748" s="67" t="n"/>
      <c r="X748" s="66" t="n"/>
      <c r="Y748" s="66" t="n"/>
      <c r="Z748" s="66" t="n"/>
      <c r="AA748" s="66" t="n"/>
      <c r="AB748" s="66" t="n"/>
      <c r="AC748" s="66" t="n"/>
      <c r="AD748" s="72" t="n"/>
      <c r="AE748" s="66" t="n"/>
      <c r="AF748" s="67">
        <f>IF(AND(ISNUMBER(X748),ISNUMBER(Y748)),Y748-X748,"")</f>
        <v/>
      </c>
      <c r="AG748" s="68">
        <f>IF(ISNUMBER(AD748),AD748-(IF(AND(INDEX(TZ_DSTS,MATCH(P748,TZ_STN,0))&lt;&gt;"",(AD748-INDEX(TZ_STD,MATCH(P748,TZ_STN,0))/24)&gt;=INDEX(TZ_DSTS,MATCH(P748,TZ_STN,0)),(AD748-INDEX(TZ_STD,MATCH(P748,TZ_STN,0))/24)&lt;INDEX(TZ_DSTE,MATCH(P748,TZ_STN,0))),INDEX(TZ_DST,MATCH(P748,TZ_STN,0)),INDEX(TZ_STD,MATCH(P748,TZ_STN,0))))/24,"")</f>
        <v/>
      </c>
      <c r="AH748" s="71">
        <f>IF(N748="N/A – rule","N/A – RULE",IF(TRIM(U748)="N/A",IF(AT748=0,"INVALID – N/A not permitted for this mandatory check",IF(AND(TRIM(AC748)&lt;&gt;"",TRIM(AE748)&lt;&gt;"",TRIM(T748)&lt;&gt;""),"N/A – JUSTIFIED","INVALID – N/A needs justification, PIC and verifier")),IF(OR(TRIM(U748)="Pass",TRIM(U748)="Pass after CA"),IF(NOT(ISNUMBER(AD748)),"INVALID – completion time missing",IF(TRIM(T748)="","INVALID – PIC missing",IF(TRIM(Z748)="","INVALID – evidence missing",IF(TRIM(AE748)="","INVALID – verifier missing",IF(AND(AQ748=1,TRIM(W748)=""),"INVALID – batch ID missing",IF(AND(AR748=1,OR(NOT(ISNUMBER(X748)),NOT(ISNUMBER(Y748)))),"INVALID – expected/actual qty missing",IF(IF(AND(TRIM(U748)="Pass",ISNUMBER(AF748)),IF(AF748&lt;&gt;0,"INVALID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recorded/closed","")&lt;&gt;"",IF(AND(TRIM(U748)="Pass",ISNUMBER(AF748)),IF(AF748&lt;&gt;0,"INVALID – qty variance: use Fail or Pass after CA",""),"")&amp;IF(AND(TRIM(U748)="Pass",AB748="Open"),"INVALID – corrective action still open: use Fail, then Pass after CA","")&amp;IF(AND(TRIM(U748)="Pass after CA",OR(TRIM(AA748)="",AB748&lt;&gt;"Closed")),"INVALID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window"),IF(AG748&gt;Flights!$AA$26,"INVALID – completed after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f>
        <v/>
      </c>
      <c r="AI748" s="67">
        <f>IF(OR(AH748="N/A – RULE",AH748="N/A – JUSTIFIED"),0,1)</f>
        <v/>
      </c>
      <c r="AJ748" s="67">
        <f>IF(LEFT(AH748,8)="COMPLETE",1,0)</f>
        <v/>
      </c>
      <c r="AK748" s="67">
        <f>IF(AND(AI748=1,AJ748=0,AsOfUTC&gt;Q748),1,0)</f>
        <v/>
      </c>
      <c r="AL748" s="67">
        <f>IF(AND(AI748=1,OR(TRIM(U748)="Fail",AB748="Open",AND(ISNUMBER(AF748),AF748&lt;&gt;0,TRIM(U748)&lt;&gt;"Pass after CA"))),1,0)</f>
        <v/>
      </c>
      <c r="AM748" s="67">
        <f>IF(LEFT(AH748,7)="INVALID",1,0)</f>
        <v/>
      </c>
      <c r="AN748" s="67">
        <f>IF(AND(N748="Clarification required",AI748=1,AJ748=0),1,0)</f>
        <v/>
      </c>
      <c r="AO748" s="67">
        <f>IF(AK748=1,SUM(AK$5:AK748),"")</f>
        <v/>
      </c>
      <c r="AP748" s="67">
        <f>IF(AL748=1,SUM(AL$5:AL748),"")</f>
        <v/>
      </c>
      <c r="AQ748" s="67" t="n">
        <v>0</v>
      </c>
      <c r="AR748" s="67" t="n">
        <v>0</v>
      </c>
      <c r="AS748" s="67" t="n">
        <v>0</v>
      </c>
      <c r="AT748" s="67" t="n">
        <v>1</v>
      </c>
    </row>
  </sheetData>
  <autoFilter ref="A4:AS748"/>
  <conditionalFormatting sqref="AH5:AH748">
    <cfRule type="expression" priority="1" dxfId="9">
      <formula>LEFT(AH5,8)="COMPLETE"</formula>
    </cfRule>
    <cfRule type="expression" priority="2" dxfId="10">
      <formula>OR(LEFT(AH5,7)="INVALID",AH5="OVERDUE",LEFT(AH5,4)="FAIL")</formula>
    </cfRule>
    <cfRule type="expression" priority="3" dxfId="8">
      <formula>LEFT(AH5,4)="OPEN"</formula>
    </cfRule>
    <cfRule type="expression" priority="4" dxfId="11">
      <formula>LEFT(AH5,3)="N/A"</formula>
    </cfRule>
  </conditionalFormatting>
  <conditionalFormatting sqref="A5:S748">
    <cfRule type="expression" priority="5" dxfId="12">
      <formula>$AH5="N/A – RULE"</formula>
    </cfRule>
  </conditionalFormatting>
  <conditionalFormatting sqref="N5:N748">
    <cfRule type="cellIs" priority="6" operator="equal" dxfId="0">
      <formula>"Clarification required"</formula>
    </cfRule>
  </conditionalFormatting>
  <dataValidations count="4">
    <dataValidation sqref="U5:U748" showDropDown="0" showInputMessage="1" showErrorMessage="1" allowBlank="1" promptTitle="Status" prompt="Pass needs completion time, evidence and verifier. N/A needs justification and verifier." type="list">
      <formula1>=L_Status</formula1>
    </dataValidation>
    <dataValidation sqref="AB5:AB748" showDropDown="0" showInputMessage="0" showErrorMessage="0" allowBlank="1" type="list">
      <formula1>=L_CA</formula1>
    </dataValidation>
    <dataValidation sqref="AD5:AD748" showDropDown="0" showInputMessage="1" showErrorMessage="1" allowBlank="1" errorTitle="Date-time required" error="Enter a date-time between Jul and Dec 2026." promptTitle="Completion time" prompt="Local time at the check station (column P), e.g. 01/10/2026 14:30." type="decimal" operator="between">
      <formula1>46204</formula1>
      <formula2>46419</formula2>
    </dataValidation>
    <dataValidation sqref="X5:Y748" showDropDown="0" showInputMessage="0" showErrorMessage="1" allowBlank="1" error="Quantity must be a number &gt;= 0." type="decimal" operator="greaterThanOrEqual">
      <formula1>0</formula1>
    </dataValidation>
  </dataValidations>
  <pageMargins left="0.3" right="0.3" top="1" bottom="1" header="0.5" footer="0.5"/>
  <pageSetup orientation="landscape" paperSize="9" fitToHeight="0" fitToWidth="6"/>
  <headerFooter>
    <oddHeader/>
    <oddFooter>&amp;C&amp;8 &amp;A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Q26"/>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0" customWidth="1" min="3" max="3"/>
    <col width="9" customWidth="1" min="4" max="4"/>
    <col width="9" customWidth="1" min="5" max="5"/>
    <col width="16" customWidth="1" min="6" max="6"/>
    <col width="10" customWidth="1" min="7" max="7"/>
    <col width="11" customWidth="1" min="8" max="8"/>
    <col width="34" customWidth="1" min="9" max="9"/>
    <col width="14" customWidth="1" min="10" max="10"/>
    <col width="16" customWidth="1" min="11" max="11"/>
    <col width="10" customWidth="1" min="12" max="12"/>
    <col width="11" customWidth="1" min="13" max="13"/>
    <col width="34" customWidth="1" min="14" max="14"/>
    <col width="14" customWidth="1" min="15" max="15"/>
    <col width="10" customWidth="1" min="16" max="16"/>
    <col width="40" customWidth="1" min="17" max="17"/>
  </cols>
  <sheetData>
    <row r="1" ht="26" customHeight="1">
      <c r="A1" s="1" t="inlineStr">
        <is>
          <t>PIC reference documents – galley loading diagrams (GLD) &amp; menu checklists</t>
        </is>
      </c>
    </row>
    <row r="2" ht="36" customHeight="1">
      <c r="A2" s="75" t="inlineStr">
        <is>
          <t>No GLD or menu checklist was supplied with the brief: every row starts OUTSTANDING. Enter doc no, revision, revision date and attachment location/link (or embed on the flight's P-sheet) to clear it.</t>
        </is>
      </c>
    </row>
    <row r="4" ht="42" customHeight="1">
      <c r="A4" s="62" t="inlineStr">
        <is>
          <t>Flight ID</t>
        </is>
      </c>
      <c r="B4" s="62" t="inlineStr">
        <is>
          <t>Flight No</t>
        </is>
      </c>
      <c r="C4" s="62" t="inlineStr">
        <is>
          <t>Date</t>
        </is>
      </c>
      <c r="D4" s="62" t="inlineStr">
        <is>
          <t>Sector</t>
        </is>
      </c>
      <c r="E4" s="62" t="inlineStr">
        <is>
          <t>Fleet</t>
        </is>
      </c>
      <c r="F4" s="62" t="inlineStr">
        <is>
          <t>GLD doc no</t>
        </is>
      </c>
      <c r="G4" s="62" t="inlineStr">
        <is>
          <t>GLD revision</t>
        </is>
      </c>
      <c r="H4" s="62" t="inlineStr">
        <is>
          <t>GLD rev date</t>
        </is>
      </c>
      <c r="I4" s="62" t="inlineStr">
        <is>
          <t>GLD attachment (link / location)</t>
        </is>
      </c>
      <c r="J4" s="62" t="inlineStr">
        <is>
          <t>GLD status</t>
        </is>
      </c>
      <c r="K4" s="62" t="inlineStr">
        <is>
          <t>Menu checklist doc no</t>
        </is>
      </c>
      <c r="L4" s="62" t="inlineStr">
        <is>
          <t>Menu checklist revision</t>
        </is>
      </c>
      <c r="M4" s="62" t="inlineStr">
        <is>
          <t>Menu checklist rev date</t>
        </is>
      </c>
      <c r="N4" s="62" t="inlineStr">
        <is>
          <t>Menu checklist attachment (link / location)</t>
        </is>
      </c>
      <c r="O4" s="62" t="inlineStr">
        <is>
          <t>Menu checklist status</t>
        </is>
      </c>
      <c r="P4" s="62" t="inlineStr">
        <is>
          <t>Outstanding</t>
        </is>
      </c>
      <c r="Q4" s="62" t="inlineStr">
        <is>
          <t>Notes</t>
        </is>
      </c>
    </row>
    <row r="5" ht="30" customHeight="1">
      <c r="A5" s="76" t="inlineStr">
        <is>
          <t>F01</t>
        </is>
      </c>
      <c r="B5" s="63">
        <f>Flights!F5</f>
        <v/>
      </c>
      <c r="C5" s="77">
        <f>Flights!D5</f>
        <v/>
      </c>
      <c r="D5" s="76">
        <f>Flights!G5&amp;"-"&amp;Flights!H5</f>
        <v/>
      </c>
      <c r="E5" s="76">
        <f>Flights!L5</f>
        <v/>
      </c>
      <c r="F5" s="66" t="n"/>
      <c r="G5" s="66" t="n"/>
      <c r="H5" s="78" t="n"/>
      <c r="I5" s="66" t="n"/>
      <c r="J5" s="79">
        <f>IF(AND(TRIM(F5)&lt;&gt;"",TRIM(G5)&lt;&gt;"",ISNUMBER(H5),TRIM(I5)&lt;&gt;""),"ON FILE","OUTSTANDING")</f>
        <v/>
      </c>
      <c r="K5" s="66" t="n"/>
      <c r="L5" s="66" t="n"/>
      <c r="M5" s="78" t="n"/>
      <c r="N5" s="66" t="n"/>
      <c r="O5" s="79">
        <f>IF(AND(TRIM(K5)&lt;&gt;"",TRIM(L5)&lt;&gt;"",ISNUMBER(M5),TRIM(N5)&lt;&gt;""),"ON FILE","OUTSTANDING")</f>
        <v/>
      </c>
      <c r="P5" s="79">
        <f>(J5="OUTSTANDING")+(O5="OUTSTANDING")</f>
        <v/>
      </c>
      <c r="Q5" s="63" t="inlineStr">
        <is>
          <t>Not supplied with brief – obtain from caterer / MAGCS.</t>
        </is>
      </c>
    </row>
    <row r="6" ht="30" customHeight="1">
      <c r="A6" s="76" t="inlineStr">
        <is>
          <t>F02</t>
        </is>
      </c>
      <c r="B6" s="63">
        <f>Flights!F6</f>
        <v/>
      </c>
      <c r="C6" s="77">
        <f>Flights!D6</f>
        <v/>
      </c>
      <c r="D6" s="76">
        <f>Flights!G6&amp;"-"&amp;Flights!H6</f>
        <v/>
      </c>
      <c r="E6" s="76">
        <f>Flights!L6</f>
        <v/>
      </c>
      <c r="F6" s="66" t="n"/>
      <c r="G6" s="66" t="n"/>
      <c r="H6" s="78" t="n"/>
      <c r="I6" s="66" t="n"/>
      <c r="J6" s="79">
        <f>IF(AND(TRIM(F6)&lt;&gt;"",TRIM(G6)&lt;&gt;"",ISNUMBER(H6),TRIM(I6)&lt;&gt;""),"ON FILE","OUTSTANDING")</f>
        <v/>
      </c>
      <c r="K6" s="66" t="n"/>
      <c r="L6" s="66" t="n"/>
      <c r="M6" s="78" t="n"/>
      <c r="N6" s="66" t="n"/>
      <c r="O6" s="79">
        <f>IF(AND(TRIM(K6)&lt;&gt;"",TRIM(L6)&lt;&gt;"",ISNUMBER(M6),TRIM(N6)&lt;&gt;""),"ON FILE","OUTSTANDING")</f>
        <v/>
      </c>
      <c r="P6" s="79">
        <f>(J6="OUTSTANDING")+(O6="OUTSTANDING")</f>
        <v/>
      </c>
      <c r="Q6" s="63" t="inlineStr">
        <is>
          <t>Not supplied with brief – obtain from caterer / MAGCS.</t>
        </is>
      </c>
    </row>
    <row r="7" ht="30" customHeight="1">
      <c r="A7" s="76" t="inlineStr">
        <is>
          <t>F03</t>
        </is>
      </c>
      <c r="B7" s="63">
        <f>Flights!F7</f>
        <v/>
      </c>
      <c r="C7" s="77">
        <f>Flights!D7</f>
        <v/>
      </c>
      <c r="D7" s="76">
        <f>Flights!G7&amp;"-"&amp;Flights!H7</f>
        <v/>
      </c>
      <c r="E7" s="76">
        <f>Flights!L7</f>
        <v/>
      </c>
      <c r="F7" s="66" t="n"/>
      <c r="G7" s="66" t="n"/>
      <c r="H7" s="78" t="n"/>
      <c r="I7" s="66" t="n"/>
      <c r="J7" s="79">
        <f>IF(AND(TRIM(F7)&lt;&gt;"",TRIM(G7)&lt;&gt;"",ISNUMBER(H7),TRIM(I7)&lt;&gt;""),"ON FILE","OUTSTANDING")</f>
        <v/>
      </c>
      <c r="K7" s="66" t="n"/>
      <c r="L7" s="66" t="n"/>
      <c r="M7" s="78" t="n"/>
      <c r="N7" s="66" t="n"/>
      <c r="O7" s="79">
        <f>IF(AND(TRIM(K7)&lt;&gt;"",TRIM(L7)&lt;&gt;"",ISNUMBER(M7),TRIM(N7)&lt;&gt;""),"ON FILE","OUTSTANDING")</f>
        <v/>
      </c>
      <c r="P7" s="79">
        <f>(J7="OUTSTANDING")+(O7="OUTSTANDING")</f>
        <v/>
      </c>
      <c r="Q7" s="63" t="inlineStr">
        <is>
          <t>Not supplied with brief – obtain from caterer / MAGCS.</t>
        </is>
      </c>
    </row>
    <row r="8" ht="30" customHeight="1">
      <c r="A8" s="76" t="inlineStr">
        <is>
          <t>F04</t>
        </is>
      </c>
      <c r="B8" s="63">
        <f>Flights!F8</f>
        <v/>
      </c>
      <c r="C8" s="77">
        <f>Flights!D8</f>
        <v/>
      </c>
      <c r="D8" s="76">
        <f>Flights!G8&amp;"-"&amp;Flights!H8</f>
        <v/>
      </c>
      <c r="E8" s="76">
        <f>Flights!L8</f>
        <v/>
      </c>
      <c r="F8" s="66" t="n"/>
      <c r="G8" s="66" t="n"/>
      <c r="H8" s="78" t="n"/>
      <c r="I8" s="66" t="n"/>
      <c r="J8" s="79">
        <f>IF(AND(TRIM(F8)&lt;&gt;"",TRIM(G8)&lt;&gt;"",ISNUMBER(H8),TRIM(I8)&lt;&gt;""),"ON FILE","OUTSTANDING")</f>
        <v/>
      </c>
      <c r="K8" s="66" t="n"/>
      <c r="L8" s="66" t="n"/>
      <c r="M8" s="78" t="n"/>
      <c r="N8" s="66" t="n"/>
      <c r="O8" s="79">
        <f>IF(AND(TRIM(K8)&lt;&gt;"",TRIM(L8)&lt;&gt;"",ISNUMBER(M8),TRIM(N8)&lt;&gt;""),"ON FILE","OUTSTANDING")</f>
        <v/>
      </c>
      <c r="P8" s="79">
        <f>(J8="OUTSTANDING")+(O8="OUTSTANDING")</f>
        <v/>
      </c>
      <c r="Q8" s="63" t="inlineStr">
        <is>
          <t>Not supplied with brief – obtain from caterer / MAGCS.</t>
        </is>
      </c>
    </row>
    <row r="9" ht="30" customHeight="1">
      <c r="A9" s="76" t="inlineStr">
        <is>
          <t>F05</t>
        </is>
      </c>
      <c r="B9" s="63">
        <f>Flights!F9</f>
        <v/>
      </c>
      <c r="C9" s="77">
        <f>Flights!D9</f>
        <v/>
      </c>
      <c r="D9" s="76">
        <f>Flights!G9&amp;"-"&amp;Flights!H9</f>
        <v/>
      </c>
      <c r="E9" s="76">
        <f>Flights!L9</f>
        <v/>
      </c>
      <c r="F9" s="66" t="n"/>
      <c r="G9" s="66" t="n"/>
      <c r="H9" s="78" t="n"/>
      <c r="I9" s="66" t="n"/>
      <c r="J9" s="79">
        <f>IF(AND(TRIM(F9)&lt;&gt;"",TRIM(G9)&lt;&gt;"",ISNUMBER(H9),TRIM(I9)&lt;&gt;""),"ON FILE","OUTSTANDING")</f>
        <v/>
      </c>
      <c r="K9" s="66" t="n"/>
      <c r="L9" s="66" t="n"/>
      <c r="M9" s="78" t="n"/>
      <c r="N9" s="66" t="n"/>
      <c r="O9" s="79">
        <f>IF(AND(TRIM(K9)&lt;&gt;"",TRIM(L9)&lt;&gt;"",ISNUMBER(M9),TRIM(N9)&lt;&gt;""),"ON FILE","OUTSTANDING")</f>
        <v/>
      </c>
      <c r="P9" s="79">
        <f>(J9="OUTSTANDING")+(O9="OUTSTANDING")</f>
        <v/>
      </c>
      <c r="Q9" s="63" t="inlineStr">
        <is>
          <t>Not supplied with brief – obtain from caterer / MAGCS.</t>
        </is>
      </c>
    </row>
    <row r="10" ht="30" customHeight="1">
      <c r="A10" s="76" t="inlineStr">
        <is>
          <t>F06</t>
        </is>
      </c>
      <c r="B10" s="63">
        <f>Flights!F10</f>
        <v/>
      </c>
      <c r="C10" s="77">
        <f>Flights!D10</f>
        <v/>
      </c>
      <c r="D10" s="76">
        <f>Flights!G10&amp;"-"&amp;Flights!H10</f>
        <v/>
      </c>
      <c r="E10" s="76">
        <f>Flights!L10</f>
        <v/>
      </c>
      <c r="F10" s="66" t="n"/>
      <c r="G10" s="66" t="n"/>
      <c r="H10" s="78" t="n"/>
      <c r="I10" s="66" t="n"/>
      <c r="J10" s="79">
        <f>IF(AND(TRIM(F10)&lt;&gt;"",TRIM(G10)&lt;&gt;"",ISNUMBER(H10),TRIM(I10)&lt;&gt;""),"ON FILE","OUTSTANDING")</f>
        <v/>
      </c>
      <c r="K10" s="66" t="n"/>
      <c r="L10" s="66" t="n"/>
      <c r="M10" s="78" t="n"/>
      <c r="N10" s="66" t="n"/>
      <c r="O10" s="79">
        <f>IF(AND(TRIM(K10)&lt;&gt;"",TRIM(L10)&lt;&gt;"",ISNUMBER(M10),TRIM(N10)&lt;&gt;""),"ON FILE","OUTSTANDING")</f>
        <v/>
      </c>
      <c r="P10" s="79">
        <f>(J10="OUTSTANDING")+(O10="OUTSTANDING")</f>
        <v/>
      </c>
      <c r="Q10" s="63" t="inlineStr">
        <is>
          <t>Not supplied with brief – obtain from caterer / MAGCS.</t>
        </is>
      </c>
    </row>
    <row r="11" ht="30" customHeight="1">
      <c r="A11" s="76" t="inlineStr">
        <is>
          <t>F07</t>
        </is>
      </c>
      <c r="B11" s="63">
        <f>Flights!F11</f>
        <v/>
      </c>
      <c r="C11" s="77">
        <f>Flights!D11</f>
        <v/>
      </c>
      <c r="D11" s="76">
        <f>Flights!G11&amp;"-"&amp;Flights!H11</f>
        <v/>
      </c>
      <c r="E11" s="76">
        <f>Flights!L11</f>
        <v/>
      </c>
      <c r="F11" s="66" t="n"/>
      <c r="G11" s="66" t="n"/>
      <c r="H11" s="78" t="n"/>
      <c r="I11" s="66" t="n"/>
      <c r="J11" s="79">
        <f>IF(AND(TRIM(F11)&lt;&gt;"",TRIM(G11)&lt;&gt;"",ISNUMBER(H11),TRIM(I11)&lt;&gt;""),"ON FILE","OUTSTANDING")</f>
        <v/>
      </c>
      <c r="K11" s="66" t="n"/>
      <c r="L11" s="66" t="n"/>
      <c r="M11" s="78" t="n"/>
      <c r="N11" s="66" t="n"/>
      <c r="O11" s="79">
        <f>IF(AND(TRIM(K11)&lt;&gt;"",TRIM(L11)&lt;&gt;"",ISNUMBER(M11),TRIM(N11)&lt;&gt;""),"ON FILE","OUTSTANDING")</f>
        <v/>
      </c>
      <c r="P11" s="79">
        <f>(J11="OUTSTANDING")+(O11="OUTSTANDING")</f>
        <v/>
      </c>
      <c r="Q11" s="63" t="inlineStr">
        <is>
          <t>Not supplied with brief – obtain from caterer / MAGCS.</t>
        </is>
      </c>
    </row>
    <row r="12" ht="30" customHeight="1">
      <c r="A12" s="76" t="inlineStr">
        <is>
          <t>F08</t>
        </is>
      </c>
      <c r="B12" s="63">
        <f>Flights!F12</f>
        <v/>
      </c>
      <c r="C12" s="77">
        <f>Flights!D12</f>
        <v/>
      </c>
      <c r="D12" s="76">
        <f>Flights!G12&amp;"-"&amp;Flights!H12</f>
        <v/>
      </c>
      <c r="E12" s="76">
        <f>Flights!L12</f>
        <v/>
      </c>
      <c r="F12" s="66" t="n"/>
      <c r="G12" s="66" t="n"/>
      <c r="H12" s="78" t="n"/>
      <c r="I12" s="66" t="n"/>
      <c r="J12" s="79">
        <f>IF(AND(TRIM(F12)&lt;&gt;"",TRIM(G12)&lt;&gt;"",ISNUMBER(H12),TRIM(I12)&lt;&gt;""),"ON FILE","OUTSTANDING")</f>
        <v/>
      </c>
      <c r="K12" s="66" t="n"/>
      <c r="L12" s="66" t="n"/>
      <c r="M12" s="78" t="n"/>
      <c r="N12" s="66" t="n"/>
      <c r="O12" s="79">
        <f>IF(AND(TRIM(K12)&lt;&gt;"",TRIM(L12)&lt;&gt;"",ISNUMBER(M12),TRIM(N12)&lt;&gt;""),"ON FILE","OUTSTANDING")</f>
        <v/>
      </c>
      <c r="P12" s="79">
        <f>(J12="OUTSTANDING")+(O12="OUTSTANDING")</f>
        <v/>
      </c>
      <c r="Q12" s="63" t="inlineStr">
        <is>
          <t>Not supplied with brief – obtain from caterer / MAGCS.</t>
        </is>
      </c>
    </row>
    <row r="13" ht="30" customHeight="1">
      <c r="A13" s="76" t="inlineStr">
        <is>
          <t>F09</t>
        </is>
      </c>
      <c r="B13" s="63">
        <f>Flights!F13</f>
        <v/>
      </c>
      <c r="C13" s="77">
        <f>Flights!D13</f>
        <v/>
      </c>
      <c r="D13" s="76">
        <f>Flights!G13&amp;"-"&amp;Flights!H13</f>
        <v/>
      </c>
      <c r="E13" s="76">
        <f>Flights!L13</f>
        <v/>
      </c>
      <c r="F13" s="66" t="n"/>
      <c r="G13" s="66" t="n"/>
      <c r="H13" s="78" t="n"/>
      <c r="I13" s="66" t="n"/>
      <c r="J13" s="79">
        <f>IF(AND(TRIM(F13)&lt;&gt;"",TRIM(G13)&lt;&gt;"",ISNUMBER(H13),TRIM(I13)&lt;&gt;""),"ON FILE","OUTSTANDING")</f>
        <v/>
      </c>
      <c r="K13" s="66" t="n"/>
      <c r="L13" s="66" t="n"/>
      <c r="M13" s="78" t="n"/>
      <c r="N13" s="66" t="n"/>
      <c r="O13" s="79">
        <f>IF(AND(TRIM(K13)&lt;&gt;"",TRIM(L13)&lt;&gt;"",ISNUMBER(M13),TRIM(N13)&lt;&gt;""),"ON FILE","OUTSTANDING")</f>
        <v/>
      </c>
      <c r="P13" s="79">
        <f>(J13="OUTSTANDING")+(O13="OUTSTANDING")</f>
        <v/>
      </c>
      <c r="Q13" s="63" t="inlineStr">
        <is>
          <t>Not supplied with brief – obtain from caterer / MAGCS.</t>
        </is>
      </c>
    </row>
    <row r="14" ht="30" customHeight="1">
      <c r="A14" s="76" t="inlineStr">
        <is>
          <t>F10</t>
        </is>
      </c>
      <c r="B14" s="63">
        <f>Flights!F14</f>
        <v/>
      </c>
      <c r="C14" s="77">
        <f>Flights!D14</f>
        <v/>
      </c>
      <c r="D14" s="76">
        <f>Flights!G14&amp;"-"&amp;Flights!H14</f>
        <v/>
      </c>
      <c r="E14" s="76">
        <f>Flights!L14</f>
        <v/>
      </c>
      <c r="F14" s="66" t="n"/>
      <c r="G14" s="66" t="n"/>
      <c r="H14" s="78" t="n"/>
      <c r="I14" s="66" t="n"/>
      <c r="J14" s="79">
        <f>IF(AND(TRIM(F14)&lt;&gt;"",TRIM(G14)&lt;&gt;"",ISNUMBER(H14),TRIM(I14)&lt;&gt;""),"ON FILE","OUTSTANDING")</f>
        <v/>
      </c>
      <c r="K14" s="66" t="n"/>
      <c r="L14" s="66" t="n"/>
      <c r="M14" s="78" t="n"/>
      <c r="N14" s="66" t="n"/>
      <c r="O14" s="79">
        <f>IF(AND(TRIM(K14)&lt;&gt;"",TRIM(L14)&lt;&gt;"",ISNUMBER(M14),TRIM(N14)&lt;&gt;""),"ON FILE","OUTSTANDING")</f>
        <v/>
      </c>
      <c r="P14" s="79">
        <f>(J14="OUTSTANDING")+(O14="OUTSTANDING")</f>
        <v/>
      </c>
      <c r="Q14" s="63" t="inlineStr">
        <is>
          <t>Not supplied with brief – obtain from caterer / MAGCS.</t>
        </is>
      </c>
    </row>
    <row r="15" ht="30" customHeight="1">
      <c r="A15" s="76" t="inlineStr">
        <is>
          <t>F11</t>
        </is>
      </c>
      <c r="B15" s="63">
        <f>Flights!F15</f>
        <v/>
      </c>
      <c r="C15" s="77">
        <f>Flights!D15</f>
        <v/>
      </c>
      <c r="D15" s="76">
        <f>Flights!G15&amp;"-"&amp;Flights!H15</f>
        <v/>
      </c>
      <c r="E15" s="76">
        <f>Flights!L15</f>
        <v/>
      </c>
      <c r="F15" s="66" t="n"/>
      <c r="G15" s="66" t="n"/>
      <c r="H15" s="78" t="n"/>
      <c r="I15" s="66" t="n"/>
      <c r="J15" s="79">
        <f>IF(AND(TRIM(F15)&lt;&gt;"",TRIM(G15)&lt;&gt;"",ISNUMBER(H15),TRIM(I15)&lt;&gt;""),"ON FILE","OUTSTANDING")</f>
        <v/>
      </c>
      <c r="K15" s="66" t="n"/>
      <c r="L15" s="66" t="n"/>
      <c r="M15" s="78" t="n"/>
      <c r="N15" s="66" t="n"/>
      <c r="O15" s="79">
        <f>IF(AND(TRIM(K15)&lt;&gt;"",TRIM(L15)&lt;&gt;"",ISNUMBER(M15),TRIM(N15)&lt;&gt;""),"ON FILE","OUTSTANDING")</f>
        <v/>
      </c>
      <c r="P15" s="79">
        <f>(J15="OUTSTANDING")+(O15="OUTSTANDING")</f>
        <v/>
      </c>
      <c r="Q15" s="63" t="inlineStr">
        <is>
          <t>Not supplied with brief – obtain from caterer / MAGCS. Return catering loaded at KUL: GLD must show return-leg stowage.</t>
        </is>
      </c>
    </row>
    <row r="16" ht="30" customHeight="1">
      <c r="A16" s="76" t="inlineStr">
        <is>
          <t>F12</t>
        </is>
      </c>
      <c r="B16" s="63">
        <f>Flights!F16</f>
        <v/>
      </c>
      <c r="C16" s="77">
        <f>Flights!D16</f>
        <v/>
      </c>
      <c r="D16" s="76">
        <f>Flights!G16&amp;"-"&amp;Flights!H16</f>
        <v/>
      </c>
      <c r="E16" s="76">
        <f>Flights!L16</f>
        <v/>
      </c>
      <c r="F16" s="66" t="n"/>
      <c r="G16" s="66" t="n"/>
      <c r="H16" s="78" t="n"/>
      <c r="I16" s="66" t="n"/>
      <c r="J16" s="79">
        <f>IF(AND(TRIM(F16)&lt;&gt;"",TRIM(G16)&lt;&gt;"",ISNUMBER(H16),TRIM(I16)&lt;&gt;""),"ON FILE","OUTSTANDING")</f>
        <v/>
      </c>
      <c r="K16" s="66" t="n"/>
      <c r="L16" s="66" t="n"/>
      <c r="M16" s="78" t="n"/>
      <c r="N16" s="66" t="n"/>
      <c r="O16" s="79">
        <f>IF(AND(TRIM(K16)&lt;&gt;"",TRIM(L16)&lt;&gt;"",ISNUMBER(M16),TRIM(N16)&lt;&gt;""),"ON FILE","OUTSTANDING")</f>
        <v/>
      </c>
      <c r="P16" s="79">
        <f>(J16="OUTSTANDING")+(O16="OUTSTANDING")</f>
        <v/>
      </c>
      <c r="Q16" s="63" t="inlineStr">
        <is>
          <t>Not supplied with brief – obtain from caterer / MAGCS.</t>
        </is>
      </c>
    </row>
    <row r="17" ht="30" customHeight="1">
      <c r="A17" s="76" t="inlineStr">
        <is>
          <t>F13</t>
        </is>
      </c>
      <c r="B17" s="63">
        <f>Flights!F17</f>
        <v/>
      </c>
      <c r="C17" s="77">
        <f>Flights!D17</f>
        <v/>
      </c>
      <c r="D17" s="76">
        <f>Flights!G17&amp;"-"&amp;Flights!H17</f>
        <v/>
      </c>
      <c r="E17" s="76">
        <f>Flights!L17</f>
        <v/>
      </c>
      <c r="F17" s="66" t="n"/>
      <c r="G17" s="66" t="n"/>
      <c r="H17" s="78" t="n"/>
      <c r="I17" s="66" t="n"/>
      <c r="J17" s="79">
        <f>IF(AND(TRIM(F17)&lt;&gt;"",TRIM(G17)&lt;&gt;"",ISNUMBER(H17),TRIM(I17)&lt;&gt;""),"ON FILE","OUTSTANDING")</f>
        <v/>
      </c>
      <c r="K17" s="66" t="n"/>
      <c r="L17" s="66" t="n"/>
      <c r="M17" s="78" t="n"/>
      <c r="N17" s="66" t="n"/>
      <c r="O17" s="79">
        <f>IF(AND(TRIM(K17)&lt;&gt;"",TRIM(L17)&lt;&gt;"",ISNUMBER(M17),TRIM(N17)&lt;&gt;""),"ON FILE","OUTSTANDING")</f>
        <v/>
      </c>
      <c r="P17" s="79">
        <f>(J17="OUTSTANDING")+(O17="OUTSTANDING")</f>
        <v/>
      </c>
      <c r="Q17" s="63" t="inlineStr">
        <is>
          <t>Not supplied with brief – obtain from caterer / MAGCS.</t>
        </is>
      </c>
    </row>
    <row r="18" ht="30" customHeight="1">
      <c r="A18" s="76" t="inlineStr">
        <is>
          <t>F14</t>
        </is>
      </c>
      <c r="B18" s="63">
        <f>Flights!F18</f>
        <v/>
      </c>
      <c r="C18" s="77">
        <f>Flights!D18</f>
        <v/>
      </c>
      <c r="D18" s="76">
        <f>Flights!G18&amp;"-"&amp;Flights!H18</f>
        <v/>
      </c>
      <c r="E18" s="76">
        <f>Flights!L18</f>
        <v/>
      </c>
      <c r="F18" s="66" t="n"/>
      <c r="G18" s="66" t="n"/>
      <c r="H18" s="78" t="n"/>
      <c r="I18" s="66" t="n"/>
      <c r="J18" s="79">
        <f>IF(AND(TRIM(F18)&lt;&gt;"",TRIM(G18)&lt;&gt;"",ISNUMBER(H18),TRIM(I18)&lt;&gt;""),"ON FILE","OUTSTANDING")</f>
        <v/>
      </c>
      <c r="K18" s="66" t="n"/>
      <c r="L18" s="66" t="n"/>
      <c r="M18" s="78" t="n"/>
      <c r="N18" s="66" t="n"/>
      <c r="O18" s="79">
        <f>IF(AND(TRIM(K18)&lt;&gt;"",TRIM(L18)&lt;&gt;"",ISNUMBER(M18),TRIM(N18)&lt;&gt;""),"ON FILE","OUTSTANDING")</f>
        <v/>
      </c>
      <c r="P18" s="79">
        <f>(J18="OUTSTANDING")+(O18="OUTSTANDING")</f>
        <v/>
      </c>
      <c r="Q18" s="63" t="inlineStr">
        <is>
          <t>Not supplied with brief – obtain from caterer / MAGCS.</t>
        </is>
      </c>
    </row>
    <row r="19" ht="30" customHeight="1">
      <c r="A19" s="76" t="inlineStr">
        <is>
          <t>F15</t>
        </is>
      </c>
      <c r="B19" s="63">
        <f>Flights!F19</f>
        <v/>
      </c>
      <c r="C19" s="77">
        <f>Flights!D19</f>
        <v/>
      </c>
      <c r="D19" s="76">
        <f>Flights!G19&amp;"-"&amp;Flights!H19</f>
        <v/>
      </c>
      <c r="E19" s="76">
        <f>Flights!L19</f>
        <v/>
      </c>
      <c r="F19" s="66" t="n"/>
      <c r="G19" s="66" t="n"/>
      <c r="H19" s="78" t="n"/>
      <c r="I19" s="66" t="n"/>
      <c r="J19" s="79">
        <f>IF(AND(TRIM(F19)&lt;&gt;"",TRIM(G19)&lt;&gt;"",ISNUMBER(H19),TRIM(I19)&lt;&gt;""),"ON FILE","OUTSTANDING")</f>
        <v/>
      </c>
      <c r="K19" s="66" t="n"/>
      <c r="L19" s="66" t="n"/>
      <c r="M19" s="78" t="n"/>
      <c r="N19" s="66" t="n"/>
      <c r="O19" s="79">
        <f>IF(AND(TRIM(K19)&lt;&gt;"",TRIM(L19)&lt;&gt;"",ISNUMBER(M19),TRIM(N19)&lt;&gt;""),"ON FILE","OUTSTANDING")</f>
        <v/>
      </c>
      <c r="P19" s="79">
        <f>(J19="OUTSTANDING")+(O19="OUTSTANDING")</f>
        <v/>
      </c>
      <c r="Q19" s="63" t="inlineStr">
        <is>
          <t>Not supplied with brief – obtain from caterer / MAGCS.</t>
        </is>
      </c>
    </row>
    <row r="20" ht="30" customHeight="1">
      <c r="A20" s="76" t="inlineStr">
        <is>
          <t>F16</t>
        </is>
      </c>
      <c r="B20" s="63">
        <f>Flights!F20</f>
        <v/>
      </c>
      <c r="C20" s="77">
        <f>Flights!D20</f>
        <v/>
      </c>
      <c r="D20" s="76">
        <f>Flights!G20&amp;"-"&amp;Flights!H20</f>
        <v/>
      </c>
      <c r="E20" s="76">
        <f>Flights!L20</f>
        <v/>
      </c>
      <c r="F20" s="66" t="n"/>
      <c r="G20" s="66" t="n"/>
      <c r="H20" s="78" t="n"/>
      <c r="I20" s="66" t="n"/>
      <c r="J20" s="79">
        <f>IF(AND(TRIM(F20)&lt;&gt;"",TRIM(G20)&lt;&gt;"",ISNUMBER(H20),TRIM(I20)&lt;&gt;""),"ON FILE","OUTSTANDING")</f>
        <v/>
      </c>
      <c r="K20" s="66" t="n"/>
      <c r="L20" s="66" t="n"/>
      <c r="M20" s="78" t="n"/>
      <c r="N20" s="66" t="n"/>
      <c r="O20" s="79">
        <f>IF(AND(TRIM(K20)&lt;&gt;"",TRIM(L20)&lt;&gt;"",ISNUMBER(M20),TRIM(N20)&lt;&gt;""),"ON FILE","OUTSTANDING")</f>
        <v/>
      </c>
      <c r="P20" s="79">
        <f>(J20="OUTSTANDING")+(O20="OUTSTANDING")</f>
        <v/>
      </c>
      <c r="Q20" s="63" t="inlineStr">
        <is>
          <t>Not supplied with brief – obtain from caterer / MAGCS.</t>
        </is>
      </c>
    </row>
    <row r="21" ht="30" customHeight="1">
      <c r="A21" s="76" t="inlineStr">
        <is>
          <t>F17</t>
        </is>
      </c>
      <c r="B21" s="63">
        <f>Flights!F21</f>
        <v/>
      </c>
      <c r="C21" s="77">
        <f>Flights!D21</f>
        <v/>
      </c>
      <c r="D21" s="76">
        <f>Flights!G21&amp;"-"&amp;Flights!H21</f>
        <v/>
      </c>
      <c r="E21" s="76">
        <f>Flights!L21</f>
        <v/>
      </c>
      <c r="F21" s="66" t="n"/>
      <c r="G21" s="66" t="n"/>
      <c r="H21" s="78" t="n"/>
      <c r="I21" s="66" t="n"/>
      <c r="J21" s="79">
        <f>IF(AND(TRIM(F21)&lt;&gt;"",TRIM(G21)&lt;&gt;"",ISNUMBER(H21),TRIM(I21)&lt;&gt;""),"ON FILE","OUTSTANDING")</f>
        <v/>
      </c>
      <c r="K21" s="66" t="n"/>
      <c r="L21" s="66" t="n"/>
      <c r="M21" s="78" t="n"/>
      <c r="N21" s="66" t="n"/>
      <c r="O21" s="79">
        <f>IF(AND(TRIM(K21)&lt;&gt;"",TRIM(L21)&lt;&gt;"",ISNUMBER(M21),TRIM(N21)&lt;&gt;""),"ON FILE","OUTSTANDING")</f>
        <v/>
      </c>
      <c r="P21" s="79">
        <f>(J21="OUTSTANDING")+(O21="OUTSTANDING")</f>
        <v/>
      </c>
      <c r="Q21" s="63" t="inlineStr">
        <is>
          <t>Not supplied with brief – obtain from caterer / MAGCS.</t>
        </is>
      </c>
    </row>
    <row r="22" ht="30" customHeight="1">
      <c r="A22" s="76" t="inlineStr">
        <is>
          <t>F18</t>
        </is>
      </c>
      <c r="B22" s="63">
        <f>Flights!F22</f>
        <v/>
      </c>
      <c r="C22" s="77">
        <f>Flights!D22</f>
        <v/>
      </c>
      <c r="D22" s="76">
        <f>Flights!G22&amp;"-"&amp;Flights!H22</f>
        <v/>
      </c>
      <c r="E22" s="76">
        <f>Flights!L22</f>
        <v/>
      </c>
      <c r="F22" s="66" t="n"/>
      <c r="G22" s="66" t="n"/>
      <c r="H22" s="78" t="n"/>
      <c r="I22" s="66" t="n"/>
      <c r="J22" s="79">
        <f>IF(AND(TRIM(F22)&lt;&gt;"",TRIM(G22)&lt;&gt;"",ISNUMBER(H22),TRIM(I22)&lt;&gt;""),"ON FILE","OUTSTANDING")</f>
        <v/>
      </c>
      <c r="K22" s="66" t="n"/>
      <c r="L22" s="66" t="n"/>
      <c r="M22" s="78" t="n"/>
      <c r="N22" s="66" t="n"/>
      <c r="O22" s="79">
        <f>IF(AND(TRIM(K22)&lt;&gt;"",TRIM(L22)&lt;&gt;"",ISNUMBER(M22),TRIM(N22)&lt;&gt;""),"ON FILE","OUTSTANDING")</f>
        <v/>
      </c>
      <c r="P22" s="79">
        <f>(J22="OUTSTANDING")+(O22="OUTSTANDING")</f>
        <v/>
      </c>
      <c r="Q22" s="63" t="inlineStr">
        <is>
          <t>Not supplied with brief – obtain from caterer / MAGCS.</t>
        </is>
      </c>
    </row>
    <row r="23" ht="30" customHeight="1">
      <c r="A23" s="76" t="inlineStr">
        <is>
          <t>F19</t>
        </is>
      </c>
      <c r="B23" s="63">
        <f>Flights!F23</f>
        <v/>
      </c>
      <c r="C23" s="77">
        <f>Flights!D23</f>
        <v/>
      </c>
      <c r="D23" s="76">
        <f>Flights!G23&amp;"-"&amp;Flights!H23</f>
        <v/>
      </c>
      <c r="E23" s="76">
        <f>Flights!L23</f>
        <v/>
      </c>
      <c r="F23" s="66" t="n"/>
      <c r="G23" s="66" t="n"/>
      <c r="H23" s="78" t="n"/>
      <c r="I23" s="66" t="n"/>
      <c r="J23" s="79">
        <f>IF(AND(TRIM(F23)&lt;&gt;"",TRIM(G23)&lt;&gt;"",ISNUMBER(H23),TRIM(I23)&lt;&gt;""),"ON FILE","OUTSTANDING")</f>
        <v/>
      </c>
      <c r="K23" s="66" t="n"/>
      <c r="L23" s="66" t="n"/>
      <c r="M23" s="78" t="n"/>
      <c r="N23" s="66" t="n"/>
      <c r="O23" s="79">
        <f>IF(AND(TRIM(K23)&lt;&gt;"",TRIM(L23)&lt;&gt;"",ISNUMBER(M23),TRIM(N23)&lt;&gt;""),"ON FILE","OUTSTANDING")</f>
        <v/>
      </c>
      <c r="P23" s="79">
        <f>(J23="OUTSTANDING")+(O23="OUTSTANDING")</f>
        <v/>
      </c>
      <c r="Q23" s="63" t="inlineStr">
        <is>
          <t>Not supplied with brief – obtain from caterer / MAGCS.</t>
        </is>
      </c>
    </row>
    <row r="24" ht="30" customHeight="1">
      <c r="A24" s="76" t="inlineStr">
        <is>
          <t>F20</t>
        </is>
      </c>
      <c r="B24" s="63">
        <f>Flights!F24</f>
        <v/>
      </c>
      <c r="C24" s="77">
        <f>Flights!D24</f>
        <v/>
      </c>
      <c r="D24" s="76">
        <f>Flights!G24&amp;"-"&amp;Flights!H24</f>
        <v/>
      </c>
      <c r="E24" s="76">
        <f>Flights!L24</f>
        <v/>
      </c>
      <c r="F24" s="66" t="n"/>
      <c r="G24" s="66" t="n"/>
      <c r="H24" s="78" t="n"/>
      <c r="I24" s="66" t="n"/>
      <c r="J24" s="79">
        <f>IF(AND(TRIM(F24)&lt;&gt;"",TRIM(G24)&lt;&gt;"",ISNUMBER(H24),TRIM(I24)&lt;&gt;""),"ON FILE","OUTSTANDING")</f>
        <v/>
      </c>
      <c r="K24" s="66" t="n"/>
      <c r="L24" s="66" t="n"/>
      <c r="M24" s="78" t="n"/>
      <c r="N24" s="66" t="n"/>
      <c r="O24" s="79">
        <f>IF(AND(TRIM(K24)&lt;&gt;"",TRIM(L24)&lt;&gt;"",ISNUMBER(M24),TRIM(N24)&lt;&gt;""),"ON FILE","OUTSTANDING")</f>
        <v/>
      </c>
      <c r="P24" s="79">
        <f>(J24="OUTSTANDING")+(O24="OUTSTANDING")</f>
        <v/>
      </c>
      <c r="Q24" s="63" t="inlineStr">
        <is>
          <t>Not supplied with brief – obtain from caterer / MAGCS.</t>
        </is>
      </c>
    </row>
    <row r="25" ht="30" customHeight="1">
      <c r="A25" s="76" t="inlineStr">
        <is>
          <t>F21</t>
        </is>
      </c>
      <c r="B25" s="63">
        <f>Flights!F25</f>
        <v/>
      </c>
      <c r="C25" s="77">
        <f>Flights!D25</f>
        <v/>
      </c>
      <c r="D25" s="76">
        <f>Flights!G25&amp;"-"&amp;Flights!H25</f>
        <v/>
      </c>
      <c r="E25" s="76">
        <f>Flights!L25</f>
        <v/>
      </c>
      <c r="F25" s="66" t="n"/>
      <c r="G25" s="66" t="n"/>
      <c r="H25" s="78" t="n"/>
      <c r="I25" s="66" t="n"/>
      <c r="J25" s="79">
        <f>IF(AND(TRIM(F25)&lt;&gt;"",TRIM(G25)&lt;&gt;"",ISNUMBER(H25),TRIM(I25)&lt;&gt;""),"ON FILE","OUTSTANDING")</f>
        <v/>
      </c>
      <c r="K25" s="66" t="n"/>
      <c r="L25" s="66" t="n"/>
      <c r="M25" s="78" t="n"/>
      <c r="N25" s="66" t="n"/>
      <c r="O25" s="79">
        <f>IF(AND(TRIM(K25)&lt;&gt;"",TRIM(L25)&lt;&gt;"",ISNUMBER(M25),TRIM(N25)&lt;&gt;""),"ON FILE","OUTSTANDING")</f>
        <v/>
      </c>
      <c r="P25" s="79">
        <f>(J25="OUTSTANDING")+(O25="OUTSTANDING")</f>
        <v/>
      </c>
      <c r="Q25" s="63" t="inlineStr">
        <is>
          <t>Not supplied with brief – obtain from caterer / MAGCS. Return catering loaded at KUL: GLD must show return-leg stowage.</t>
        </is>
      </c>
    </row>
    <row r="26" ht="30" customHeight="1">
      <c r="A26" s="76" t="inlineStr">
        <is>
          <t>F22</t>
        </is>
      </c>
      <c r="B26" s="63">
        <f>Flights!F26</f>
        <v/>
      </c>
      <c r="C26" s="77">
        <f>Flights!D26</f>
        <v/>
      </c>
      <c r="D26" s="76">
        <f>Flights!G26&amp;"-"&amp;Flights!H26</f>
        <v/>
      </c>
      <c r="E26" s="76">
        <f>Flights!L26</f>
        <v/>
      </c>
      <c r="F26" s="66" t="n"/>
      <c r="G26" s="66" t="n"/>
      <c r="H26" s="78" t="n"/>
      <c r="I26" s="66" t="n"/>
      <c r="J26" s="79">
        <f>IF(AND(TRIM(F26)&lt;&gt;"",TRIM(G26)&lt;&gt;"",ISNUMBER(H26),TRIM(I26)&lt;&gt;""),"ON FILE","OUTSTANDING")</f>
        <v/>
      </c>
      <c r="K26" s="66" t="n"/>
      <c r="L26" s="66" t="n"/>
      <c r="M26" s="78" t="n"/>
      <c r="N26" s="66" t="n"/>
      <c r="O26" s="79">
        <f>IF(AND(TRIM(K26)&lt;&gt;"",TRIM(L26)&lt;&gt;"",ISNUMBER(M26),TRIM(N26)&lt;&gt;""),"ON FILE","OUTSTANDING")</f>
        <v/>
      </c>
      <c r="P26" s="79">
        <f>(J26="OUTSTANDING")+(O26="OUTSTANDING")</f>
        <v/>
      </c>
      <c r="Q26" s="63" t="inlineStr">
        <is>
          <t>Not supplied with brief – obtain from caterer / MAGCS.</t>
        </is>
      </c>
    </row>
  </sheetData>
  <mergeCells count="2">
    <mergeCell ref="A2:H2"/>
    <mergeCell ref="A1:H1"/>
  </mergeCells>
  <conditionalFormatting sqref="J5:J26">
    <cfRule type="cellIs" priority="1" operator="equal" dxfId="7">
      <formula>"OUTSTANDING"</formula>
    </cfRule>
    <cfRule type="cellIs" priority="2" operator="equal" dxfId="6">
      <formula>"ON FILE"</formula>
    </cfRule>
  </conditionalFormatting>
  <conditionalFormatting sqref="O5:O26">
    <cfRule type="cellIs" priority="3" operator="equal" dxfId="7">
      <formula>"OUTSTANDING"</formula>
    </cfRule>
    <cfRule type="cellIs" priority="4" operator="equal" dxfId="6">
      <formula>"ON FILE"</formula>
    </cfRule>
  </conditionalFormatting>
  <dataValidations count="1">
    <dataValidation sqref="H5:H26 M5:M26" showDropDown="0" showInputMessage="0" showErrorMessage="1" allowBlank="1" error="Enter the revision date (2025–2026)." type="date" operator="between">
      <formula1>45658</formula1>
      <formula2>46387</formula2>
    </dataValidation>
  </dataValidations>
  <pageMargins left="0.3" right="0.3" top="1" bottom="1" header="0.5" footer="0.5"/>
  <pageSetup orientation="landscape" paperSize="9" fitToHeight="0" fitToWidth="3"/>
  <headerFooter>
    <oddHeader/>
    <oddFooter>&amp;C&amp;8 &amp;A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44"/>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9" customWidth="1" min="3" max="3"/>
    <col width="11" customWidth="1" min="4" max="4"/>
    <col width="32" customWidth="1" min="5" max="5"/>
    <col width="14" customWidth="1" min="6" max="6"/>
    <col width="12" customWidth="1" min="7" max="7"/>
    <col width="16" customWidth="1" min="8" max="8"/>
    <col width="20" customWidth="1" min="9" max="9"/>
  </cols>
  <sheetData>
    <row r="1" ht="26" customHeight="1">
      <c r="A1" s="1" t="inlineStr">
        <is>
          <t>ISOP revision register</t>
        </is>
      </c>
    </row>
    <row r="2" ht="26" customHeight="1">
      <c r="A2" s="75" t="inlineStr">
        <is>
          <t>Record every applicable In-flight Service Operating Procedure revision communicated to caterers. The T-7D ISOP checks on each flight should quote the revision numbers listed here.</t>
        </is>
      </c>
    </row>
    <row r="4" ht="32" customHeight="1">
      <c r="A4" s="62" t="inlineStr">
        <is>
          <t>#</t>
        </is>
      </c>
      <c r="B4" s="62" t="inlineStr">
        <is>
          <t>ISOP doc / section</t>
        </is>
      </c>
      <c r="C4" s="62" t="inlineStr">
        <is>
          <t>Revision</t>
        </is>
      </c>
      <c r="D4" s="62" t="inlineStr">
        <is>
          <t>Effective date</t>
        </is>
      </c>
      <c r="E4" s="62" t="inlineStr">
        <is>
          <t>Title / change summary</t>
        </is>
      </c>
      <c r="F4" s="62" t="inlineStr">
        <is>
          <t>Applies to stations</t>
        </is>
      </c>
      <c r="G4" s="62" t="inlineStr">
        <is>
          <t>Communicated on</t>
        </is>
      </c>
      <c r="H4" s="62" t="inlineStr">
        <is>
          <t>Communicated by</t>
        </is>
      </c>
      <c r="I4" s="62" t="inlineStr">
        <is>
          <t>Caterer acknowledgement ref</t>
        </is>
      </c>
    </row>
    <row r="5" ht="24" customHeight="1">
      <c r="A5" s="63" t="n">
        <v>1</v>
      </c>
      <c r="B5" s="66" t="n"/>
      <c r="C5" s="66" t="n"/>
      <c r="D5" s="78" t="n"/>
      <c r="E5" s="66" t="n"/>
      <c r="F5" s="66" t="n"/>
      <c r="G5" s="78" t="n"/>
      <c r="H5" s="66" t="n"/>
      <c r="I5" s="66" t="n"/>
    </row>
    <row r="6" ht="24" customHeight="1">
      <c r="A6" s="63" t="n">
        <v>2</v>
      </c>
      <c r="B6" s="66" t="n"/>
      <c r="C6" s="66" t="n"/>
      <c r="D6" s="78" t="n"/>
      <c r="E6" s="66" t="n"/>
      <c r="F6" s="66" t="n"/>
      <c r="G6" s="78" t="n"/>
      <c r="H6" s="66" t="n"/>
      <c r="I6" s="66" t="n"/>
    </row>
    <row r="7" ht="24" customHeight="1">
      <c r="A7" s="63" t="n">
        <v>3</v>
      </c>
      <c r="B7" s="66" t="n"/>
      <c r="C7" s="66" t="n"/>
      <c r="D7" s="78" t="n"/>
      <c r="E7" s="66" t="n"/>
      <c r="F7" s="66" t="n"/>
      <c r="G7" s="78" t="n"/>
      <c r="H7" s="66" t="n"/>
      <c r="I7" s="66" t="n"/>
    </row>
    <row r="8" ht="24" customHeight="1">
      <c r="A8" s="63" t="n">
        <v>4</v>
      </c>
      <c r="B8" s="66" t="n"/>
      <c r="C8" s="66" t="n"/>
      <c r="D8" s="78" t="n"/>
      <c r="E8" s="66" t="n"/>
      <c r="F8" s="66" t="n"/>
      <c r="G8" s="78" t="n"/>
      <c r="H8" s="66" t="n"/>
      <c r="I8" s="66" t="n"/>
    </row>
    <row r="9" ht="24" customHeight="1">
      <c r="A9" s="63" t="n">
        <v>5</v>
      </c>
      <c r="B9" s="66" t="n"/>
      <c r="C9" s="66" t="n"/>
      <c r="D9" s="78" t="n"/>
      <c r="E9" s="66" t="n"/>
      <c r="F9" s="66" t="n"/>
      <c r="G9" s="78" t="n"/>
      <c r="H9" s="66" t="n"/>
      <c r="I9" s="66" t="n"/>
    </row>
    <row r="10" ht="24" customHeight="1">
      <c r="A10" s="63" t="n">
        <v>6</v>
      </c>
      <c r="B10" s="66" t="n"/>
      <c r="C10" s="66" t="n"/>
      <c r="D10" s="78" t="n"/>
      <c r="E10" s="66" t="n"/>
      <c r="F10" s="66" t="n"/>
      <c r="G10" s="78" t="n"/>
      <c r="H10" s="66" t="n"/>
      <c r="I10" s="66" t="n"/>
    </row>
    <row r="11" ht="24" customHeight="1">
      <c r="A11" s="63" t="n">
        <v>7</v>
      </c>
      <c r="B11" s="66" t="n"/>
      <c r="C11" s="66" t="n"/>
      <c r="D11" s="78" t="n"/>
      <c r="E11" s="66" t="n"/>
      <c r="F11" s="66" t="n"/>
      <c r="G11" s="78" t="n"/>
      <c r="H11" s="66" t="n"/>
      <c r="I11" s="66" t="n"/>
    </row>
    <row r="12" ht="24" customHeight="1">
      <c r="A12" s="63" t="n">
        <v>8</v>
      </c>
      <c r="B12" s="66" t="n"/>
      <c r="C12" s="66" t="n"/>
      <c r="D12" s="78" t="n"/>
      <c r="E12" s="66" t="n"/>
      <c r="F12" s="66" t="n"/>
      <c r="G12" s="78" t="n"/>
      <c r="H12" s="66" t="n"/>
      <c r="I12" s="66" t="n"/>
    </row>
    <row r="13" ht="24" customHeight="1">
      <c r="A13" s="63" t="n">
        <v>9</v>
      </c>
      <c r="B13" s="66" t="n"/>
      <c r="C13" s="66" t="n"/>
      <c r="D13" s="78" t="n"/>
      <c r="E13" s="66" t="n"/>
      <c r="F13" s="66" t="n"/>
      <c r="G13" s="78" t="n"/>
      <c r="H13" s="66" t="n"/>
      <c r="I13" s="66" t="n"/>
    </row>
    <row r="14" ht="24" customHeight="1">
      <c r="A14" s="63" t="n">
        <v>10</v>
      </c>
      <c r="B14" s="66" t="n"/>
      <c r="C14" s="66" t="n"/>
      <c r="D14" s="78" t="n"/>
      <c r="E14" s="66" t="n"/>
      <c r="F14" s="66" t="n"/>
      <c r="G14" s="78" t="n"/>
      <c r="H14" s="66" t="n"/>
      <c r="I14" s="66" t="n"/>
    </row>
    <row r="15" ht="24" customHeight="1">
      <c r="A15" s="63" t="n">
        <v>11</v>
      </c>
      <c r="B15" s="66" t="n"/>
      <c r="C15" s="66" t="n"/>
      <c r="D15" s="78" t="n"/>
      <c r="E15" s="66" t="n"/>
      <c r="F15" s="66" t="n"/>
      <c r="G15" s="78" t="n"/>
      <c r="H15" s="66" t="n"/>
      <c r="I15" s="66" t="n"/>
    </row>
    <row r="16" ht="24" customHeight="1">
      <c r="A16" s="63" t="n">
        <v>12</v>
      </c>
      <c r="B16" s="66" t="n"/>
      <c r="C16" s="66" t="n"/>
      <c r="D16" s="78" t="n"/>
      <c r="E16" s="66" t="n"/>
      <c r="F16" s="66" t="n"/>
      <c r="G16" s="78" t="n"/>
      <c r="H16" s="66" t="n"/>
      <c r="I16" s="66" t="n"/>
    </row>
    <row r="17" ht="24" customHeight="1">
      <c r="A17" s="63" t="n">
        <v>13</v>
      </c>
      <c r="B17" s="66" t="n"/>
      <c r="C17" s="66" t="n"/>
      <c r="D17" s="78" t="n"/>
      <c r="E17" s="66" t="n"/>
      <c r="F17" s="66" t="n"/>
      <c r="G17" s="78" t="n"/>
      <c r="H17" s="66" t="n"/>
      <c r="I17" s="66" t="n"/>
    </row>
    <row r="18" ht="24" customHeight="1">
      <c r="A18" s="63" t="n">
        <v>14</v>
      </c>
      <c r="B18" s="66" t="n"/>
      <c r="C18" s="66" t="n"/>
      <c r="D18" s="78" t="n"/>
      <c r="E18" s="66" t="n"/>
      <c r="F18" s="66" t="n"/>
      <c r="G18" s="78" t="n"/>
      <c r="H18" s="66" t="n"/>
      <c r="I18" s="66" t="n"/>
    </row>
    <row r="19" ht="24" customHeight="1">
      <c r="A19" s="63" t="n">
        <v>15</v>
      </c>
      <c r="B19" s="66" t="n"/>
      <c r="C19" s="66" t="n"/>
      <c r="D19" s="78" t="n"/>
      <c r="E19" s="66" t="n"/>
      <c r="F19" s="66" t="n"/>
      <c r="G19" s="78" t="n"/>
      <c r="H19" s="66" t="n"/>
      <c r="I19" s="66" t="n"/>
    </row>
    <row r="20" ht="24" customHeight="1">
      <c r="A20" s="63" t="n">
        <v>16</v>
      </c>
      <c r="B20" s="66" t="n"/>
      <c r="C20" s="66" t="n"/>
      <c r="D20" s="78" t="n"/>
      <c r="E20" s="66" t="n"/>
      <c r="F20" s="66" t="n"/>
      <c r="G20" s="78" t="n"/>
      <c r="H20" s="66" t="n"/>
      <c r="I20" s="66" t="n"/>
    </row>
    <row r="21" ht="24" customHeight="1">
      <c r="A21" s="63" t="n">
        <v>17</v>
      </c>
      <c r="B21" s="66" t="n"/>
      <c r="C21" s="66" t="n"/>
      <c r="D21" s="78" t="n"/>
      <c r="E21" s="66" t="n"/>
      <c r="F21" s="66" t="n"/>
      <c r="G21" s="78" t="n"/>
      <c r="H21" s="66" t="n"/>
      <c r="I21" s="66" t="n"/>
    </row>
    <row r="22" ht="24" customHeight="1">
      <c r="A22" s="63" t="n">
        <v>18</v>
      </c>
      <c r="B22" s="66" t="n"/>
      <c r="C22" s="66" t="n"/>
      <c r="D22" s="78" t="n"/>
      <c r="E22" s="66" t="n"/>
      <c r="F22" s="66" t="n"/>
      <c r="G22" s="78" t="n"/>
      <c r="H22" s="66" t="n"/>
      <c r="I22" s="66" t="n"/>
    </row>
    <row r="23" ht="24" customHeight="1">
      <c r="A23" s="63" t="n">
        <v>19</v>
      </c>
      <c r="B23" s="66" t="n"/>
      <c r="C23" s="66" t="n"/>
      <c r="D23" s="78" t="n"/>
      <c r="E23" s="66" t="n"/>
      <c r="F23" s="66" t="n"/>
      <c r="G23" s="78" t="n"/>
      <c r="H23" s="66" t="n"/>
      <c r="I23" s="66" t="n"/>
    </row>
    <row r="24" ht="24" customHeight="1">
      <c r="A24" s="63" t="n">
        <v>20</v>
      </c>
      <c r="B24" s="66" t="n"/>
      <c r="C24" s="66" t="n"/>
      <c r="D24" s="78" t="n"/>
      <c r="E24" s="66" t="n"/>
      <c r="F24" s="66" t="n"/>
      <c r="G24" s="78" t="n"/>
      <c r="H24" s="66" t="n"/>
      <c r="I24" s="66" t="n"/>
    </row>
    <row r="25" ht="24" customHeight="1">
      <c r="A25" s="63" t="n">
        <v>21</v>
      </c>
      <c r="B25" s="66" t="n"/>
      <c r="C25" s="66" t="n"/>
      <c r="D25" s="78" t="n"/>
      <c r="E25" s="66" t="n"/>
      <c r="F25" s="66" t="n"/>
      <c r="G25" s="78" t="n"/>
      <c r="H25" s="66" t="n"/>
      <c r="I25" s="66" t="n"/>
    </row>
    <row r="26" ht="24" customHeight="1">
      <c r="A26" s="63" t="n">
        <v>22</v>
      </c>
      <c r="B26" s="66" t="n"/>
      <c r="C26" s="66" t="n"/>
      <c r="D26" s="78" t="n"/>
      <c r="E26" s="66" t="n"/>
      <c r="F26" s="66" t="n"/>
      <c r="G26" s="78" t="n"/>
      <c r="H26" s="66" t="n"/>
      <c r="I26" s="66" t="n"/>
    </row>
    <row r="27" ht="24" customHeight="1">
      <c r="A27" s="63" t="n">
        <v>23</v>
      </c>
      <c r="B27" s="66" t="n"/>
      <c r="C27" s="66" t="n"/>
      <c r="D27" s="78" t="n"/>
      <c r="E27" s="66" t="n"/>
      <c r="F27" s="66" t="n"/>
      <c r="G27" s="78" t="n"/>
      <c r="H27" s="66" t="n"/>
      <c r="I27" s="66" t="n"/>
    </row>
    <row r="28" ht="24" customHeight="1">
      <c r="A28" s="63" t="n">
        <v>24</v>
      </c>
      <c r="B28" s="66" t="n"/>
      <c r="C28" s="66" t="n"/>
      <c r="D28" s="78" t="n"/>
      <c r="E28" s="66" t="n"/>
      <c r="F28" s="66" t="n"/>
      <c r="G28" s="78" t="n"/>
      <c r="H28" s="66" t="n"/>
      <c r="I28" s="66" t="n"/>
    </row>
    <row r="29" ht="24" customHeight="1">
      <c r="A29" s="63" t="n">
        <v>25</v>
      </c>
      <c r="B29" s="66" t="n"/>
      <c r="C29" s="66" t="n"/>
      <c r="D29" s="78" t="n"/>
      <c r="E29" s="66" t="n"/>
      <c r="F29" s="66" t="n"/>
      <c r="G29" s="78" t="n"/>
      <c r="H29" s="66" t="n"/>
      <c r="I29" s="66" t="n"/>
    </row>
    <row r="30" ht="24" customHeight="1">
      <c r="A30" s="63" t="n">
        <v>26</v>
      </c>
      <c r="B30" s="66" t="n"/>
      <c r="C30" s="66" t="n"/>
      <c r="D30" s="78" t="n"/>
      <c r="E30" s="66" t="n"/>
      <c r="F30" s="66" t="n"/>
      <c r="G30" s="78" t="n"/>
      <c r="H30" s="66" t="n"/>
      <c r="I30" s="66" t="n"/>
    </row>
    <row r="31" ht="24" customHeight="1">
      <c r="A31" s="63" t="n">
        <v>27</v>
      </c>
      <c r="B31" s="66" t="n"/>
      <c r="C31" s="66" t="n"/>
      <c r="D31" s="78" t="n"/>
      <c r="E31" s="66" t="n"/>
      <c r="F31" s="66" t="n"/>
      <c r="G31" s="78" t="n"/>
      <c r="H31" s="66" t="n"/>
      <c r="I31" s="66" t="n"/>
    </row>
    <row r="32" ht="24" customHeight="1">
      <c r="A32" s="63" t="n">
        <v>28</v>
      </c>
      <c r="B32" s="66" t="n"/>
      <c r="C32" s="66" t="n"/>
      <c r="D32" s="78" t="n"/>
      <c r="E32" s="66" t="n"/>
      <c r="F32" s="66" t="n"/>
      <c r="G32" s="78" t="n"/>
      <c r="H32" s="66" t="n"/>
      <c r="I32" s="66" t="n"/>
    </row>
    <row r="33" ht="24" customHeight="1">
      <c r="A33" s="63" t="n">
        <v>29</v>
      </c>
      <c r="B33" s="66" t="n"/>
      <c r="C33" s="66" t="n"/>
      <c r="D33" s="78" t="n"/>
      <c r="E33" s="66" t="n"/>
      <c r="F33" s="66" t="n"/>
      <c r="G33" s="78" t="n"/>
      <c r="H33" s="66" t="n"/>
      <c r="I33" s="66" t="n"/>
    </row>
    <row r="34" ht="24" customHeight="1">
      <c r="A34" s="63" t="n">
        <v>30</v>
      </c>
      <c r="B34" s="66" t="n"/>
      <c r="C34" s="66" t="n"/>
      <c r="D34" s="78" t="n"/>
      <c r="E34" s="66" t="n"/>
      <c r="F34" s="66" t="n"/>
      <c r="G34" s="78" t="n"/>
      <c r="H34" s="66" t="n"/>
      <c r="I34" s="66" t="n"/>
    </row>
    <row r="35" ht="24" customHeight="1">
      <c r="A35" s="63" t="n">
        <v>31</v>
      </c>
      <c r="B35" s="66" t="n"/>
      <c r="C35" s="66" t="n"/>
      <c r="D35" s="78" t="n"/>
      <c r="E35" s="66" t="n"/>
      <c r="F35" s="66" t="n"/>
      <c r="G35" s="78" t="n"/>
      <c r="H35" s="66" t="n"/>
      <c r="I35" s="66" t="n"/>
    </row>
    <row r="36" ht="24" customHeight="1">
      <c r="A36" s="63" t="n">
        <v>32</v>
      </c>
      <c r="B36" s="66" t="n"/>
      <c r="C36" s="66" t="n"/>
      <c r="D36" s="78" t="n"/>
      <c r="E36" s="66" t="n"/>
      <c r="F36" s="66" t="n"/>
      <c r="G36" s="78" t="n"/>
      <c r="H36" s="66" t="n"/>
      <c r="I36" s="66" t="n"/>
    </row>
    <row r="37" ht="24" customHeight="1">
      <c r="A37" s="63" t="n">
        <v>33</v>
      </c>
      <c r="B37" s="66" t="n"/>
      <c r="C37" s="66" t="n"/>
      <c r="D37" s="78" t="n"/>
      <c r="E37" s="66" t="n"/>
      <c r="F37" s="66" t="n"/>
      <c r="G37" s="78" t="n"/>
      <c r="H37" s="66" t="n"/>
      <c r="I37" s="66" t="n"/>
    </row>
    <row r="38" ht="24" customHeight="1">
      <c r="A38" s="63" t="n">
        <v>34</v>
      </c>
      <c r="B38" s="66" t="n"/>
      <c r="C38" s="66" t="n"/>
      <c r="D38" s="78" t="n"/>
      <c r="E38" s="66" t="n"/>
      <c r="F38" s="66" t="n"/>
      <c r="G38" s="78" t="n"/>
      <c r="H38" s="66" t="n"/>
      <c r="I38" s="66" t="n"/>
    </row>
    <row r="39" ht="24" customHeight="1">
      <c r="A39" s="63" t="n">
        <v>35</v>
      </c>
      <c r="B39" s="66" t="n"/>
      <c r="C39" s="66" t="n"/>
      <c r="D39" s="78" t="n"/>
      <c r="E39" s="66" t="n"/>
      <c r="F39" s="66" t="n"/>
      <c r="G39" s="78" t="n"/>
      <c r="H39" s="66" t="n"/>
      <c r="I39" s="66" t="n"/>
    </row>
    <row r="40" ht="24" customHeight="1">
      <c r="A40" s="63" t="n">
        <v>36</v>
      </c>
      <c r="B40" s="66" t="n"/>
      <c r="C40" s="66" t="n"/>
      <c r="D40" s="78" t="n"/>
      <c r="E40" s="66" t="n"/>
      <c r="F40" s="66" t="n"/>
      <c r="G40" s="78" t="n"/>
      <c r="H40" s="66" t="n"/>
      <c r="I40" s="66" t="n"/>
    </row>
    <row r="41" ht="24" customHeight="1">
      <c r="A41" s="63" t="n">
        <v>37</v>
      </c>
      <c r="B41" s="66" t="n"/>
      <c r="C41" s="66" t="n"/>
      <c r="D41" s="78" t="n"/>
      <c r="E41" s="66" t="n"/>
      <c r="F41" s="66" t="n"/>
      <c r="G41" s="78" t="n"/>
      <c r="H41" s="66" t="n"/>
      <c r="I41" s="66" t="n"/>
    </row>
    <row r="42" ht="24" customHeight="1">
      <c r="A42" s="63" t="n">
        <v>38</v>
      </c>
      <c r="B42" s="66" t="n"/>
      <c r="C42" s="66" t="n"/>
      <c r="D42" s="78" t="n"/>
      <c r="E42" s="66" t="n"/>
      <c r="F42" s="66" t="n"/>
      <c r="G42" s="78" t="n"/>
      <c r="H42" s="66" t="n"/>
      <c r="I42" s="66" t="n"/>
    </row>
    <row r="43" ht="24" customHeight="1">
      <c r="A43" s="63" t="n">
        <v>39</v>
      </c>
      <c r="B43" s="66" t="n"/>
      <c r="C43" s="66" t="n"/>
      <c r="D43" s="78" t="n"/>
      <c r="E43" s="66" t="n"/>
      <c r="F43" s="66" t="n"/>
      <c r="G43" s="78" t="n"/>
      <c r="H43" s="66" t="n"/>
      <c r="I43" s="66" t="n"/>
    </row>
    <row r="44" ht="24" customHeight="1">
      <c r="A44" s="63" t="n">
        <v>40</v>
      </c>
      <c r="B44" s="66" t="n"/>
      <c r="C44" s="66" t="n"/>
      <c r="D44" s="78" t="n"/>
      <c r="E44" s="66" t="n"/>
      <c r="F44" s="66" t="n"/>
      <c r="G44" s="78" t="n"/>
      <c r="H44" s="66" t="n"/>
      <c r="I44" s="66" t="n"/>
    </row>
  </sheetData>
  <mergeCells count="1">
    <mergeCell ref="A2:I2"/>
  </mergeCells>
  <pageMargins left="0.3" right="0.3" top="1" bottom="1" header="0.5" footer="0.5"/>
  <pageSetup orientation="landscape" paperSize="9" fitToHeight="0" fitToWidth="1"/>
  <headerFooter>
    <oddHeader/>
    <oddFooter>&amp;C&amp;8 &amp;A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N231"/>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0" customWidth="1" min="3" max="3"/>
    <col width="9" customWidth="1" min="4" max="4"/>
    <col width="6" customWidth="1" min="5" max="5"/>
    <col width="9" customWidth="1" min="6" max="6"/>
    <col width="14" customWidth="1" min="7" max="7"/>
    <col width="30" customWidth="1" min="8" max="8"/>
    <col width="30" customWidth="1" min="9" max="9"/>
    <col width="12" customWidth="1" min="10" max="10"/>
    <col width="14" customWidth="1" min="11" max="11"/>
    <col width="14" customWidth="1" min="12" max="12"/>
    <col width="50" customWidth="1" min="13" max="13"/>
    <col width="38" customWidth="1" min="14" max="14"/>
  </cols>
  <sheetData>
    <row r="1" ht="26" customHeight="1">
      <c r="A1" s="1" t="inlineStr">
        <is>
          <t>Uplift requirements by flight – derived from STD UPLIFT INFORMATION.xlsx</t>
        </is>
      </c>
    </row>
    <row r="2">
      <c r="A2" s="2" t="inlineStr">
        <is>
          <t>Applied by sector, aircraft, assessed cabin class and uplift station. 'Not stated in reference' = the reference gives no uplift station for that item. Clarification rows block READY until resolved (Pass or justified N/A).</t>
        </is>
      </c>
    </row>
    <row r="4" ht="42" customHeight="1">
      <c r="A4" s="62" t="inlineStr">
        <is>
          <t>Flight ID</t>
        </is>
      </c>
      <c r="B4" s="62" t="inlineStr">
        <is>
          <t>Flight No</t>
        </is>
      </c>
      <c r="C4" s="62" t="inlineStr">
        <is>
          <t>Date</t>
        </is>
      </c>
      <c r="D4" s="62" t="inlineStr">
        <is>
          <t>Sector</t>
        </is>
      </c>
      <c r="E4" s="62" t="inlineStr">
        <is>
          <t>Class</t>
        </is>
      </c>
      <c r="F4" s="62" t="inlineStr">
        <is>
          <t>Fleet</t>
        </is>
      </c>
      <c r="G4" s="62" t="inlineStr">
        <is>
          <t>Category</t>
        </is>
      </c>
      <c r="H4" s="62" t="inlineStr">
        <is>
          <t>Item</t>
        </is>
      </c>
      <c r="I4" s="62" t="inlineStr">
        <is>
          <t>Expected</t>
        </is>
      </c>
      <c r="J4" s="62" t="inlineStr">
        <is>
          <t>Qty</t>
        </is>
      </c>
      <c r="K4" s="62" t="inlineStr">
        <is>
          <t>Uplift stn</t>
        </is>
      </c>
      <c r="L4" s="62" t="inlineStr">
        <is>
          <t>Applicability</t>
        </is>
      </c>
      <c r="M4" s="62" t="inlineStr">
        <is>
          <t>Note / open question</t>
        </is>
      </c>
      <c r="N4" s="62" t="inlineStr">
        <is>
          <t>Source cell</t>
        </is>
      </c>
    </row>
    <row r="5" ht="40.5" customHeight="1">
      <c r="A5" s="63" t="inlineStr">
        <is>
          <t>F01</t>
        </is>
      </c>
      <c r="B5" s="63" t="inlineStr">
        <is>
          <t>MH0001</t>
        </is>
      </c>
      <c r="C5" s="64" t="n">
        <v>46303</v>
      </c>
      <c r="D5" s="63" t="inlineStr">
        <is>
          <t>LHR-KUL</t>
        </is>
      </c>
      <c r="E5" s="63" t="inlineStr">
        <is>
          <t>EY</t>
        </is>
      </c>
      <c r="F5" s="63" t="inlineStr">
        <is>
          <t>A350</t>
        </is>
      </c>
      <c r="G5" s="63" t="inlineStr">
        <is>
          <t>Amenities</t>
        </is>
      </c>
      <c r="H5" s="63" t="inlineStr">
        <is>
          <t>Toiletry kits</t>
        </is>
      </c>
      <c r="I5" s="63" t="inlineStr">
        <is>
          <t>Available for sector (ticked in reference)</t>
        </is>
      </c>
      <c r="J5" s="63" t="inlineStr"/>
      <c r="K5" s="63" t="inlineStr">
        <is>
          <t>LHR</t>
        </is>
      </c>
      <c r="L5" s="80" t="inlineStr">
        <is>
          <t>Clarification required</t>
        </is>
      </c>
      <c r="M5" s="63" t="inlineStr">
        <is>
          <t>Reference does not state the cabin class for toiletry kits. Confirm whether EY receives them; if not, mark N/A with the confirmation as justification.</t>
        </is>
      </c>
      <c r="N5" s="63" t="inlineStr">
        <is>
          <t>STD UPLIFT INFORMATION.xlsx &gt; AMENITIES!D12 / H12</t>
        </is>
      </c>
    </row>
    <row r="6" ht="28" customHeight="1">
      <c r="A6" s="63" t="inlineStr">
        <is>
          <t>F01</t>
        </is>
      </c>
      <c r="B6" s="63" t="inlineStr">
        <is>
          <t>MH0001</t>
        </is>
      </c>
      <c r="C6" s="64" t="n">
        <v>46303</v>
      </c>
      <c r="D6" s="63" t="inlineStr">
        <is>
          <t>LHR-KUL</t>
        </is>
      </c>
      <c r="E6" s="63" t="inlineStr">
        <is>
          <t>EY</t>
        </is>
      </c>
      <c r="F6" s="63" t="inlineStr">
        <is>
          <t>A350</t>
        </is>
      </c>
      <c r="G6" s="63" t="inlineStr">
        <is>
          <t>Seat Linen</t>
        </is>
      </c>
      <c r="H6" s="63" t="inlineStr">
        <is>
          <t>Seat pillow (EY)</t>
        </is>
      </c>
      <c r="I6" s="63" t="inlineStr">
        <is>
          <t>Available 100% (ticked in reference)</t>
        </is>
      </c>
      <c r="J6" s="63" t="inlineStr"/>
      <c r="K6" s="63" t="inlineStr">
        <is>
          <t>Not stated in reference</t>
        </is>
      </c>
      <c r="L6" s="63" t="inlineStr">
        <is>
          <t>Required</t>
        </is>
      </c>
      <c r="M6" s="63" t="inlineStr"/>
      <c r="N6" s="63" t="inlineStr">
        <is>
          <t>STD UPLIFT INFORMATION.xlsx &gt; SEAT LINEN!I7</t>
        </is>
      </c>
    </row>
    <row r="7" ht="53" customHeight="1">
      <c r="A7" s="63" t="inlineStr">
        <is>
          <t>F01</t>
        </is>
      </c>
      <c r="B7" s="63" t="inlineStr">
        <is>
          <t>MH0001</t>
        </is>
      </c>
      <c r="C7" s="64" t="n">
        <v>46303</v>
      </c>
      <c r="D7" s="63" t="inlineStr">
        <is>
          <t>LHR-KUL</t>
        </is>
      </c>
      <c r="E7" s="63" t="inlineStr">
        <is>
          <t>EY</t>
        </is>
      </c>
      <c r="F7" s="63" t="inlineStr">
        <is>
          <t>A350</t>
        </is>
      </c>
      <c r="G7" s="63" t="inlineStr">
        <is>
          <t>Seat Linen</t>
        </is>
      </c>
      <c r="H7" s="63" t="inlineStr">
        <is>
          <t>Blanket (EY)</t>
        </is>
      </c>
      <c r="I7" s="63" t="inlineStr">
        <is>
          <t>Available 100% (ticked in reference)</t>
        </is>
      </c>
      <c r="J7" s="63" t="inlineStr">
        <is>
          <t>280 (A350 9M-MAH) / 260 (A359) - per tail</t>
        </is>
      </c>
      <c r="K7" s="63" t="inlineStr">
        <is>
          <t>Not stated in reference</t>
        </is>
      </c>
      <c r="L7" s="63" t="inlineStr">
        <is>
          <t>Required</t>
        </is>
      </c>
      <c r="M7" s="63" t="inlineStr">
        <is>
          <t>EY blanket: flight above 3 hours excl. Regional (SEAT LINEN!B74:C74); block 13.25 h. Qty per tail: A350 280 pcs (SEAT LINEN!B76:C76), A359 260 pcs (SEAT LINEN!B77:C77).</t>
        </is>
      </c>
      <c r="N7" s="63" t="inlineStr">
        <is>
          <t>STD UPLIFT INFORMATION.xlsx &gt; SEAT LINEN!J7</t>
        </is>
      </c>
    </row>
    <row r="8" ht="28" customHeight="1">
      <c r="A8" s="63" t="inlineStr">
        <is>
          <t>F02</t>
        </is>
      </c>
      <c r="B8" s="63" t="inlineStr">
        <is>
          <t>MH0727</t>
        </is>
      </c>
      <c r="C8" s="64" t="n">
        <v>46304</v>
      </c>
      <c r="D8" s="63" t="inlineStr">
        <is>
          <t>KUL-CGK</t>
        </is>
      </c>
      <c r="E8" s="63" t="inlineStr">
        <is>
          <t>BC</t>
        </is>
      </c>
      <c r="F8" s="63" t="inlineStr">
        <is>
          <t>B738MAX</t>
        </is>
      </c>
      <c r="G8" s="63" t="inlineStr">
        <is>
          <t>Amenities</t>
        </is>
      </c>
      <c r="H8" s="63" t="inlineStr">
        <is>
          <t>Disposable slippers in DAM cart (BC, on request)</t>
        </is>
      </c>
      <c r="I8" s="63" t="inlineStr">
        <is>
          <t>Available in DAM cart on request basis</t>
        </is>
      </c>
      <c r="J8" s="63" t="inlineStr"/>
      <c r="K8" s="63" t="inlineStr">
        <is>
          <t>Not stated in reference</t>
        </is>
      </c>
      <c r="L8" s="63" t="inlineStr">
        <is>
          <t>Required</t>
        </is>
      </c>
      <c r="M8" s="63" t="inlineStr">
        <is>
          <t>Sector has no BC slippers; note C83: disposable slipper available in DAM cart (on request basis).</t>
        </is>
      </c>
      <c r="N8" s="63" t="inlineStr">
        <is>
          <t>STD UPLIFT INFORMATION.xlsx &gt; AMENITIES!G52 / C83</t>
        </is>
      </c>
    </row>
    <row r="9" ht="28" customHeight="1">
      <c r="A9" s="63" t="inlineStr">
        <is>
          <t>F02</t>
        </is>
      </c>
      <c r="B9" s="63" t="inlineStr">
        <is>
          <t>MH0727</t>
        </is>
      </c>
      <c r="C9" s="64" t="n">
        <v>46304</v>
      </c>
      <c r="D9" s="63" t="inlineStr">
        <is>
          <t>KUL-CGK</t>
        </is>
      </c>
      <c r="E9" s="63" t="inlineStr">
        <is>
          <t>BC</t>
        </is>
      </c>
      <c r="F9" s="63" t="inlineStr">
        <is>
          <t>B738MAX</t>
        </is>
      </c>
      <c r="G9" s="63" t="inlineStr">
        <is>
          <t>F&amp;B Linen</t>
        </is>
      </c>
      <c r="H9" s="63" t="inlineStr">
        <is>
          <t>Towel</t>
        </is>
      </c>
      <c r="I9" s="63" t="inlineStr">
        <is>
          <t>Available (ticked in reference)</t>
        </is>
      </c>
      <c r="J9" s="63" t="inlineStr"/>
      <c r="K9" s="63" t="inlineStr">
        <is>
          <t>Not stated in reference</t>
        </is>
      </c>
      <c r="L9" s="63" t="inlineStr">
        <is>
          <t>Required</t>
        </is>
      </c>
      <c r="M9" s="63" t="inlineStr"/>
      <c r="N9" s="63" t="inlineStr">
        <is>
          <t>STD UPLIFT INFORMATION.xlsx &gt; F&amp;B LINEN!D44</t>
        </is>
      </c>
    </row>
    <row r="10" ht="28" customHeight="1">
      <c r="A10" s="63" t="inlineStr">
        <is>
          <t>F02</t>
        </is>
      </c>
      <c r="B10" s="63" t="inlineStr">
        <is>
          <t>MH0727</t>
        </is>
      </c>
      <c r="C10" s="64" t="n">
        <v>46304</v>
      </c>
      <c r="D10" s="63" t="inlineStr">
        <is>
          <t>KUL-CGK</t>
        </is>
      </c>
      <c r="E10" s="63" t="inlineStr">
        <is>
          <t>BC</t>
        </is>
      </c>
      <c r="F10" s="63" t="inlineStr">
        <is>
          <t>B738MAX</t>
        </is>
      </c>
      <c r="G10" s="63" t="inlineStr">
        <is>
          <t>F&amp;B Linen</t>
        </is>
      </c>
      <c r="H10" s="63" t="inlineStr">
        <is>
          <t>Tray cloth</t>
        </is>
      </c>
      <c r="I10" s="63" t="inlineStr">
        <is>
          <t>Available (ticked in reference)</t>
        </is>
      </c>
      <c r="J10" s="63" t="inlineStr"/>
      <c r="K10" s="63" t="inlineStr">
        <is>
          <t>Not stated in reference</t>
        </is>
      </c>
      <c r="L10" s="63" t="inlineStr">
        <is>
          <t>Required</t>
        </is>
      </c>
      <c r="M10" s="63" t="inlineStr"/>
      <c r="N10" s="63" t="inlineStr">
        <is>
          <t>STD UPLIFT INFORMATION.xlsx &gt; F&amp;B LINEN!E44</t>
        </is>
      </c>
    </row>
    <row r="11" ht="28" customHeight="1">
      <c r="A11" s="63" t="inlineStr">
        <is>
          <t>F02</t>
        </is>
      </c>
      <c r="B11" s="63" t="inlineStr">
        <is>
          <t>MH0727</t>
        </is>
      </c>
      <c r="C11" s="64" t="n">
        <v>46304</v>
      </c>
      <c r="D11" s="63" t="inlineStr">
        <is>
          <t>KUL-CGK</t>
        </is>
      </c>
      <c r="E11" s="63" t="inlineStr">
        <is>
          <t>BC</t>
        </is>
      </c>
      <c r="F11" s="63" t="inlineStr">
        <is>
          <t>B738MAX</t>
        </is>
      </c>
      <c r="G11" s="63" t="inlineStr">
        <is>
          <t>F&amp;B Linen</t>
        </is>
      </c>
      <c r="H11" s="63" t="inlineStr">
        <is>
          <t>Napkin</t>
        </is>
      </c>
      <c r="I11" s="63" t="inlineStr">
        <is>
          <t>Available (ticked in reference)</t>
        </is>
      </c>
      <c r="J11" s="63" t="inlineStr"/>
      <c r="K11" s="63" t="inlineStr">
        <is>
          <t>Not stated in reference</t>
        </is>
      </c>
      <c r="L11" s="63" t="inlineStr">
        <is>
          <t>Required</t>
        </is>
      </c>
      <c r="M11" s="63" t="inlineStr"/>
      <c r="N11" s="63" t="inlineStr">
        <is>
          <t>STD UPLIFT INFORMATION.xlsx &gt; F&amp;B LINEN!F44</t>
        </is>
      </c>
    </row>
    <row r="12" ht="65.5" customHeight="1">
      <c r="A12" s="63" t="inlineStr">
        <is>
          <t>F02</t>
        </is>
      </c>
      <c r="B12" s="63" t="inlineStr">
        <is>
          <t>MH0727</t>
        </is>
      </c>
      <c r="C12" s="64" t="n">
        <v>46304</v>
      </c>
      <c r="D12" s="63" t="inlineStr">
        <is>
          <t>KUL-CGK</t>
        </is>
      </c>
      <c r="E12" s="63" t="inlineStr">
        <is>
          <t>BC</t>
        </is>
      </c>
      <c r="F12" s="63" t="inlineStr">
        <is>
          <t>B738MAX</t>
        </is>
      </c>
      <c r="G12" s="63" t="inlineStr">
        <is>
          <t>F&amp;B Linen</t>
        </is>
      </c>
      <c r="H12" s="63" t="inlineStr">
        <is>
          <t>Table cloth</t>
        </is>
      </c>
      <c r="I12" s="63" t="inlineStr">
        <is>
          <t>Available (ticked in reference)</t>
        </is>
      </c>
      <c r="J12" s="63" t="inlineStr"/>
      <c r="K12" s="63" t="inlineStr">
        <is>
          <t>Not stated in reference</t>
        </is>
      </c>
      <c r="L12" s="80" t="inlineStr">
        <is>
          <t>Clarification required</t>
        </is>
      </c>
      <c r="M12" s="63" t="inlineStr">
        <is>
          <t>Reference contradicts itself: matrix shows _/ for this sector but note F&amp;B LINEN!B78:C78 says table cloth is 'Not Applicable for Domestic/Asean &amp; Regional' (ASEAN). Confirm before loading; if not carried, mark N/A with the confirmation as justification.</t>
        </is>
      </c>
      <c r="N12" s="63" t="inlineStr">
        <is>
          <t>STD UPLIFT INFORMATION.xlsx &gt; F&amp;B LINEN!G44</t>
        </is>
      </c>
    </row>
    <row r="13" ht="65.5" customHeight="1">
      <c r="A13" s="63" t="inlineStr">
        <is>
          <t>F02</t>
        </is>
      </c>
      <c r="B13" s="63" t="inlineStr">
        <is>
          <t>MH0727</t>
        </is>
      </c>
      <c r="C13" s="64" t="n">
        <v>46304</v>
      </c>
      <c r="D13" s="63" t="inlineStr">
        <is>
          <t>KUL-CGK</t>
        </is>
      </c>
      <c r="E13" s="63" t="inlineStr">
        <is>
          <t>BC</t>
        </is>
      </c>
      <c r="F13" s="63" t="inlineStr">
        <is>
          <t>B738MAX</t>
        </is>
      </c>
      <c r="G13" s="63" t="inlineStr">
        <is>
          <t>F&amp;B Linen</t>
        </is>
      </c>
      <c r="H13" s="63" t="inlineStr">
        <is>
          <t>Bread linen (using table cloth)</t>
        </is>
      </c>
      <c r="I13" s="63" t="inlineStr">
        <is>
          <t>Available (ticked in reference)</t>
        </is>
      </c>
      <c r="J13" s="63" t="inlineStr"/>
      <c r="K13" s="63" t="inlineStr">
        <is>
          <t>Not stated in reference</t>
        </is>
      </c>
      <c r="L13" s="80" t="inlineStr">
        <is>
          <t>Clarification required</t>
        </is>
      </c>
      <c r="M13" s="63" t="inlineStr">
        <is>
          <t>Reference contradicts itself: matrix shows _/ for this sector but note F&amp;B LINEN!B78:C78 says table cloth is 'Not Applicable for Domestic/Asean &amp; Regional' (ASEAN). Confirm before loading; if not carried, mark N/A with the confirmation as justification.</t>
        </is>
      </c>
      <c r="N13" s="63" t="inlineStr">
        <is>
          <t>STD UPLIFT INFORMATION.xlsx &gt; F&amp;B LINEN!H44</t>
        </is>
      </c>
    </row>
    <row r="14" ht="28" customHeight="1">
      <c r="A14" s="63" t="inlineStr">
        <is>
          <t>F02</t>
        </is>
      </c>
      <c r="B14" s="63" t="inlineStr">
        <is>
          <t>MH0727</t>
        </is>
      </c>
      <c r="C14" s="64" t="n">
        <v>46304</v>
      </c>
      <c r="D14" s="63" t="inlineStr">
        <is>
          <t>KUL-CGK</t>
        </is>
      </c>
      <c r="E14" s="63" t="inlineStr">
        <is>
          <t>BC</t>
        </is>
      </c>
      <c r="F14" s="63" t="inlineStr">
        <is>
          <t>B738MAX</t>
        </is>
      </c>
      <c r="G14" s="63" t="inlineStr">
        <is>
          <t>F&amp;B Linen</t>
        </is>
      </c>
      <c r="H14" s="63" t="inlineStr">
        <is>
          <t>Trolley cloth</t>
        </is>
      </c>
      <c r="I14" s="63" t="inlineStr">
        <is>
          <t>Narrow body: Top only</t>
        </is>
      </c>
      <c r="J14" s="63" t="inlineStr"/>
      <c r="K14" s="63" t="inlineStr">
        <is>
          <t>Not stated in reference</t>
        </is>
      </c>
      <c r="L14" s="63" t="inlineStr">
        <is>
          <t>Required</t>
        </is>
      </c>
      <c r="M14" s="63" t="inlineStr">
        <is>
          <t>Per note F&amp;B LINEN!B79:C80.</t>
        </is>
      </c>
      <c r="N14" s="63" t="inlineStr">
        <is>
          <t>STD UPLIFT INFORMATION.xlsx &gt; F&amp;B LINEN!I44</t>
        </is>
      </c>
    </row>
    <row r="15" ht="28" customHeight="1">
      <c r="A15" s="63" t="inlineStr">
        <is>
          <t>F02</t>
        </is>
      </c>
      <c r="B15" s="63" t="inlineStr">
        <is>
          <t>MH0727</t>
        </is>
      </c>
      <c r="C15" s="64" t="n">
        <v>46304</v>
      </c>
      <c r="D15" s="63" t="inlineStr">
        <is>
          <t>KUL-CGK</t>
        </is>
      </c>
      <c r="E15" s="63" t="inlineStr">
        <is>
          <t>BC</t>
        </is>
      </c>
      <c r="F15" s="63" t="inlineStr">
        <is>
          <t>B738MAX</t>
        </is>
      </c>
      <c r="G15" s="63" t="inlineStr">
        <is>
          <t>F&amp;B Linen</t>
        </is>
      </c>
      <c r="H15" s="63" t="inlineStr">
        <is>
          <t>Linen bag</t>
        </is>
      </c>
      <c r="I15" s="63" t="inlineStr">
        <is>
          <t>Available (ticked in reference)</t>
        </is>
      </c>
      <c r="J15" s="63" t="inlineStr"/>
      <c r="K15" s="63" t="inlineStr">
        <is>
          <t>Not stated in reference</t>
        </is>
      </c>
      <c r="L15" s="63" t="inlineStr">
        <is>
          <t>Required</t>
        </is>
      </c>
      <c r="M15" s="63" t="inlineStr"/>
      <c r="N15" s="63" t="inlineStr">
        <is>
          <t>STD UPLIFT INFORMATION.xlsx &gt; F&amp;B LINEN!J44</t>
        </is>
      </c>
    </row>
    <row r="16" ht="28" customHeight="1">
      <c r="A16" s="63" t="inlineStr">
        <is>
          <t>F02</t>
        </is>
      </c>
      <c r="B16" s="63" t="inlineStr">
        <is>
          <t>MH0727</t>
        </is>
      </c>
      <c r="C16" s="64" t="n">
        <v>46304</v>
      </c>
      <c r="D16" s="63" t="inlineStr">
        <is>
          <t>KUL-CGK</t>
        </is>
      </c>
      <c r="E16" s="63" t="inlineStr">
        <is>
          <t>BC</t>
        </is>
      </c>
      <c r="F16" s="63" t="inlineStr">
        <is>
          <t>B738MAX</t>
        </is>
      </c>
      <c r="G16" s="63" t="inlineStr">
        <is>
          <t>Seat Linen</t>
        </is>
      </c>
      <c r="H16" s="63" t="inlineStr">
        <is>
          <t>Seat pillow (BS &amp; BC)</t>
        </is>
      </c>
      <c r="I16" s="63" t="inlineStr">
        <is>
          <t>Available 100% (ticked in reference)</t>
        </is>
      </c>
      <c r="J16" s="63" t="inlineStr"/>
      <c r="K16" s="63" t="inlineStr">
        <is>
          <t>Not stated in reference</t>
        </is>
      </c>
      <c r="L16" s="63" t="inlineStr">
        <is>
          <t>Required</t>
        </is>
      </c>
      <c r="M16" s="63" t="inlineStr"/>
      <c r="N16" s="63" t="inlineStr">
        <is>
          <t>STD UPLIFT INFORMATION.xlsx &gt; SEAT LINEN!E42</t>
        </is>
      </c>
    </row>
    <row r="17" ht="28" customHeight="1">
      <c r="A17" s="63" t="inlineStr">
        <is>
          <t>F02</t>
        </is>
      </c>
      <c r="B17" s="63" t="inlineStr">
        <is>
          <t>MH0727</t>
        </is>
      </c>
      <c r="C17" s="64" t="n">
        <v>46304</v>
      </c>
      <c r="D17" s="63" t="inlineStr">
        <is>
          <t>KUL-CGK</t>
        </is>
      </c>
      <c r="E17" s="63" t="inlineStr">
        <is>
          <t>BC</t>
        </is>
      </c>
      <c r="F17" s="63" t="inlineStr">
        <is>
          <t>B738MAX</t>
        </is>
      </c>
      <c r="G17" s="63" t="inlineStr">
        <is>
          <t>Seat Linen</t>
        </is>
      </c>
      <c r="H17" s="63" t="inlineStr">
        <is>
          <t>Blanket (BS &amp; BC)</t>
        </is>
      </c>
      <c r="I17" s="63" t="inlineStr">
        <is>
          <t>Available 100% (ticked in reference)</t>
        </is>
      </c>
      <c r="J17" s="63" t="inlineStr"/>
      <c r="K17" s="63" t="inlineStr">
        <is>
          <t>Not stated in reference</t>
        </is>
      </c>
      <c r="L17" s="63" t="inlineStr">
        <is>
          <t>Required</t>
        </is>
      </c>
      <c r="M17" s="63" t="inlineStr"/>
      <c r="N17" s="63" t="inlineStr">
        <is>
          <t>STD UPLIFT INFORMATION.xlsx &gt; SEAT LINEN!H42</t>
        </is>
      </c>
    </row>
    <row r="18" ht="28" customHeight="1">
      <c r="A18" s="63" t="inlineStr">
        <is>
          <t>F03</t>
        </is>
      </c>
      <c r="B18" s="63" t="inlineStr">
        <is>
          <t>MH0720</t>
        </is>
      </c>
      <c r="C18" s="64" t="n">
        <v>46305</v>
      </c>
      <c r="D18" s="63" t="inlineStr">
        <is>
          <t>CGK-KUL</t>
        </is>
      </c>
      <c r="E18" s="63" t="inlineStr">
        <is>
          <t>EY</t>
        </is>
      </c>
      <c r="F18" s="63" t="inlineStr">
        <is>
          <t>A333</t>
        </is>
      </c>
      <c r="G18" s="63" t="inlineStr">
        <is>
          <t>Seat Linen</t>
        </is>
      </c>
      <c r="H18" s="63" t="inlineStr">
        <is>
          <t>Seat pillow (EY)</t>
        </is>
      </c>
      <c r="I18" s="63" t="inlineStr">
        <is>
          <t>Available 100% (ticked in reference)</t>
        </is>
      </c>
      <c r="J18" s="63" t="inlineStr"/>
      <c r="K18" s="63" t="inlineStr">
        <is>
          <t>Not stated in reference</t>
        </is>
      </c>
      <c r="L18" s="63" t="inlineStr">
        <is>
          <t>Required</t>
        </is>
      </c>
      <c r="M18" s="63" t="inlineStr"/>
      <c r="N18" s="63" t="inlineStr">
        <is>
          <t>STD UPLIFT INFORMATION.xlsx &gt; SEAT LINEN!I42</t>
        </is>
      </c>
    </row>
    <row r="19" ht="28" customHeight="1">
      <c r="A19" s="63" t="inlineStr">
        <is>
          <t>F04</t>
        </is>
      </c>
      <c r="B19" s="63" t="inlineStr">
        <is>
          <t>MH0088</t>
        </is>
      </c>
      <c r="C19" s="64" t="n">
        <v>46305</v>
      </c>
      <c r="D19" s="63" t="inlineStr">
        <is>
          <t>KUL-NRT</t>
        </is>
      </c>
      <c r="E19" s="63" t="inlineStr">
        <is>
          <t>BC</t>
        </is>
      </c>
      <c r="F19" s="63" t="inlineStr">
        <is>
          <t>A350</t>
        </is>
      </c>
      <c r="G19" s="63" t="inlineStr">
        <is>
          <t>Amenities</t>
        </is>
      </c>
      <c r="H19" s="63" t="inlineStr">
        <is>
          <t>Toiletry kits</t>
        </is>
      </c>
      <c r="I19" s="63" t="inlineStr">
        <is>
          <t>Available (ticked in reference)</t>
        </is>
      </c>
      <c r="J19" s="63" t="inlineStr"/>
      <c r="K19" s="63" t="inlineStr">
        <is>
          <t>KUL</t>
        </is>
      </c>
      <c r="L19" s="63" t="inlineStr">
        <is>
          <t>Required</t>
        </is>
      </c>
      <c r="M19" s="63" t="inlineStr"/>
      <c r="N19" s="63" t="inlineStr">
        <is>
          <t>STD UPLIFT INFORMATION.xlsx &gt; AMENITIES!D23 / H23</t>
        </is>
      </c>
    </row>
    <row r="20" ht="28" customHeight="1">
      <c r="A20" s="63" t="inlineStr">
        <is>
          <t>F04</t>
        </is>
      </c>
      <c r="B20" s="63" t="inlineStr">
        <is>
          <t>MH0088</t>
        </is>
      </c>
      <c r="C20" s="64" t="n">
        <v>46305</v>
      </c>
      <c r="D20" s="63" t="inlineStr">
        <is>
          <t>KUL-NRT</t>
        </is>
      </c>
      <c r="E20" s="63" t="inlineStr">
        <is>
          <t>BC</t>
        </is>
      </c>
      <c r="F20" s="63" t="inlineStr">
        <is>
          <t>A350</t>
        </is>
      </c>
      <c r="G20" s="63" t="inlineStr">
        <is>
          <t>Amenities</t>
        </is>
      </c>
      <c r="H20" s="63" t="inlineStr">
        <is>
          <t>Slippers (BS/BC)</t>
        </is>
      </c>
      <c r="I20" s="63" t="inlineStr">
        <is>
          <t>Available (ticked in reference)</t>
        </is>
      </c>
      <c r="J20" s="63" t="inlineStr"/>
      <c r="K20" s="63" t="inlineStr">
        <is>
          <t>KUL</t>
        </is>
      </c>
      <c r="L20" s="63" t="inlineStr">
        <is>
          <t>Required</t>
        </is>
      </c>
      <c r="M20" s="63" t="inlineStr"/>
      <c r="N20" s="63" t="inlineStr">
        <is>
          <t>STD UPLIFT INFORMATION.xlsx &gt; AMENITIES!G23 / H23</t>
        </is>
      </c>
    </row>
    <row r="21" ht="28" customHeight="1">
      <c r="A21" s="63" t="inlineStr">
        <is>
          <t>F04</t>
        </is>
      </c>
      <c r="B21" s="63" t="inlineStr">
        <is>
          <t>MH0088</t>
        </is>
      </c>
      <c r="C21" s="64" t="n">
        <v>46305</v>
      </c>
      <c r="D21" s="63" t="inlineStr">
        <is>
          <t>KUL-NRT</t>
        </is>
      </c>
      <c r="E21" s="63" t="inlineStr">
        <is>
          <t>BC</t>
        </is>
      </c>
      <c r="F21" s="63" t="inlineStr">
        <is>
          <t>A350</t>
        </is>
      </c>
      <c r="G21" s="63" t="inlineStr">
        <is>
          <t>F&amp;B Linen</t>
        </is>
      </c>
      <c r="H21" s="63" t="inlineStr">
        <is>
          <t>Towel</t>
        </is>
      </c>
      <c r="I21" s="63" t="inlineStr">
        <is>
          <t>Available (ticked in reference)</t>
        </is>
      </c>
      <c r="J21" s="63" t="inlineStr"/>
      <c r="K21" s="63" t="inlineStr">
        <is>
          <t>Not stated in reference</t>
        </is>
      </c>
      <c r="L21" s="63" t="inlineStr">
        <is>
          <t>Required</t>
        </is>
      </c>
      <c r="M21" s="63" t="inlineStr"/>
      <c r="N21" s="63" t="inlineStr">
        <is>
          <t>STD UPLIFT INFORMATION.xlsx &gt; F&amp;B LINEN!D14</t>
        </is>
      </c>
    </row>
    <row r="22" ht="28" customHeight="1">
      <c r="A22" s="63" t="inlineStr">
        <is>
          <t>F04</t>
        </is>
      </c>
      <c r="B22" s="63" t="inlineStr">
        <is>
          <t>MH0088</t>
        </is>
      </c>
      <c r="C22" s="64" t="n">
        <v>46305</v>
      </c>
      <c r="D22" s="63" t="inlineStr">
        <is>
          <t>KUL-NRT</t>
        </is>
      </c>
      <c r="E22" s="63" t="inlineStr">
        <is>
          <t>BC</t>
        </is>
      </c>
      <c r="F22" s="63" t="inlineStr">
        <is>
          <t>A350</t>
        </is>
      </c>
      <c r="G22" s="63" t="inlineStr">
        <is>
          <t>F&amp;B Linen</t>
        </is>
      </c>
      <c r="H22" s="63" t="inlineStr">
        <is>
          <t>Tray cloth</t>
        </is>
      </c>
      <c r="I22" s="63" t="inlineStr">
        <is>
          <t>Available (ticked in reference)</t>
        </is>
      </c>
      <c r="J22" s="63" t="inlineStr"/>
      <c r="K22" s="63" t="inlineStr">
        <is>
          <t>Not stated in reference</t>
        </is>
      </c>
      <c r="L22" s="63" t="inlineStr">
        <is>
          <t>Required</t>
        </is>
      </c>
      <c r="M22" s="63" t="inlineStr"/>
      <c r="N22" s="63" t="inlineStr">
        <is>
          <t>STD UPLIFT INFORMATION.xlsx &gt; F&amp;B LINEN!E14</t>
        </is>
      </c>
    </row>
    <row r="23" ht="28" customHeight="1">
      <c r="A23" s="63" t="inlineStr">
        <is>
          <t>F04</t>
        </is>
      </c>
      <c r="B23" s="63" t="inlineStr">
        <is>
          <t>MH0088</t>
        </is>
      </c>
      <c r="C23" s="64" t="n">
        <v>46305</v>
      </c>
      <c r="D23" s="63" t="inlineStr">
        <is>
          <t>KUL-NRT</t>
        </is>
      </c>
      <c r="E23" s="63" t="inlineStr">
        <is>
          <t>BC</t>
        </is>
      </c>
      <c r="F23" s="63" t="inlineStr">
        <is>
          <t>A350</t>
        </is>
      </c>
      <c r="G23" s="63" t="inlineStr">
        <is>
          <t>F&amp;B Linen</t>
        </is>
      </c>
      <c r="H23" s="63" t="inlineStr">
        <is>
          <t>Napkin</t>
        </is>
      </c>
      <c r="I23" s="63" t="inlineStr">
        <is>
          <t>Available (ticked in reference)</t>
        </is>
      </c>
      <c r="J23" s="63" t="inlineStr"/>
      <c r="K23" s="63" t="inlineStr">
        <is>
          <t>Not stated in reference</t>
        </is>
      </c>
      <c r="L23" s="63" t="inlineStr">
        <is>
          <t>Required</t>
        </is>
      </c>
      <c r="M23" s="63" t="inlineStr"/>
      <c r="N23" s="63" t="inlineStr">
        <is>
          <t>STD UPLIFT INFORMATION.xlsx &gt; F&amp;B LINEN!F14</t>
        </is>
      </c>
    </row>
    <row r="24" ht="28" customHeight="1">
      <c r="A24" s="63" t="inlineStr">
        <is>
          <t>F04</t>
        </is>
      </c>
      <c r="B24" s="63" t="inlineStr">
        <is>
          <t>MH0088</t>
        </is>
      </c>
      <c r="C24" s="64" t="n">
        <v>46305</v>
      </c>
      <c r="D24" s="63" t="inlineStr">
        <is>
          <t>KUL-NRT</t>
        </is>
      </c>
      <c r="E24" s="63" t="inlineStr">
        <is>
          <t>BC</t>
        </is>
      </c>
      <c r="F24" s="63" t="inlineStr">
        <is>
          <t>A350</t>
        </is>
      </c>
      <c r="G24" s="63" t="inlineStr">
        <is>
          <t>F&amp;B Linen</t>
        </is>
      </c>
      <c r="H24" s="63" t="inlineStr">
        <is>
          <t>Table cloth</t>
        </is>
      </c>
      <c r="I24" s="63" t="inlineStr">
        <is>
          <t>Available (ticked in reference)</t>
        </is>
      </c>
      <c r="J24" s="63" t="inlineStr"/>
      <c r="K24" s="63" t="inlineStr">
        <is>
          <t>Not stated in reference</t>
        </is>
      </c>
      <c r="L24" s="63" t="inlineStr">
        <is>
          <t>Required</t>
        </is>
      </c>
      <c r="M24" s="63" t="inlineStr"/>
      <c r="N24" s="63" t="inlineStr">
        <is>
          <t>STD UPLIFT INFORMATION.xlsx &gt; F&amp;B LINEN!G14</t>
        </is>
      </c>
    </row>
    <row r="25" ht="28" customHeight="1">
      <c r="A25" s="63" t="inlineStr">
        <is>
          <t>F04</t>
        </is>
      </c>
      <c r="B25" s="63" t="inlineStr">
        <is>
          <t>MH0088</t>
        </is>
      </c>
      <c r="C25" s="64" t="n">
        <v>46305</v>
      </c>
      <c r="D25" s="63" t="inlineStr">
        <is>
          <t>KUL-NRT</t>
        </is>
      </c>
      <c r="E25" s="63" t="inlineStr">
        <is>
          <t>BC</t>
        </is>
      </c>
      <c r="F25" s="63" t="inlineStr">
        <is>
          <t>A350</t>
        </is>
      </c>
      <c r="G25" s="63" t="inlineStr">
        <is>
          <t>F&amp;B Linen</t>
        </is>
      </c>
      <c r="H25" s="63" t="inlineStr">
        <is>
          <t>Bread linen (using table cloth)</t>
        </is>
      </c>
      <c r="I25" s="63" t="inlineStr">
        <is>
          <t>Available (ticked in reference)</t>
        </is>
      </c>
      <c r="J25" s="63" t="inlineStr"/>
      <c r="K25" s="63" t="inlineStr">
        <is>
          <t>Not stated in reference</t>
        </is>
      </c>
      <c r="L25" s="63" t="inlineStr">
        <is>
          <t>Required</t>
        </is>
      </c>
      <c r="M25" s="63" t="inlineStr"/>
      <c r="N25" s="63" t="inlineStr">
        <is>
          <t>STD UPLIFT INFORMATION.xlsx &gt; F&amp;B LINEN!H14</t>
        </is>
      </c>
    </row>
    <row r="26" ht="28" customHeight="1">
      <c r="A26" s="63" t="inlineStr">
        <is>
          <t>F04</t>
        </is>
      </c>
      <c r="B26" s="63" t="inlineStr">
        <is>
          <t>MH0088</t>
        </is>
      </c>
      <c r="C26" s="64" t="n">
        <v>46305</v>
      </c>
      <c r="D26" s="63" t="inlineStr">
        <is>
          <t>KUL-NRT</t>
        </is>
      </c>
      <c r="E26" s="63" t="inlineStr">
        <is>
          <t>BC</t>
        </is>
      </c>
      <c r="F26" s="63" t="inlineStr">
        <is>
          <t>A350</t>
        </is>
      </c>
      <c r="G26" s="63" t="inlineStr">
        <is>
          <t>F&amp;B Linen</t>
        </is>
      </c>
      <c r="H26" s="63" t="inlineStr">
        <is>
          <t>Trolley cloth</t>
        </is>
      </c>
      <c r="I26" s="63" t="inlineStr">
        <is>
          <t>Wide body: Top/Middle &amp; Bottom</t>
        </is>
      </c>
      <c r="J26" s="63" t="inlineStr"/>
      <c r="K26" s="63" t="inlineStr">
        <is>
          <t>Not stated in reference</t>
        </is>
      </c>
      <c r="L26" s="63" t="inlineStr">
        <is>
          <t>Required</t>
        </is>
      </c>
      <c r="M26" s="63" t="inlineStr">
        <is>
          <t>Per note F&amp;B LINEN!B79:C80.</t>
        </is>
      </c>
      <c r="N26" s="63" t="inlineStr">
        <is>
          <t>STD UPLIFT INFORMATION.xlsx &gt; F&amp;B LINEN!I14</t>
        </is>
      </c>
    </row>
    <row r="27" ht="28" customHeight="1">
      <c r="A27" s="63" t="inlineStr">
        <is>
          <t>F04</t>
        </is>
      </c>
      <c r="B27" s="63" t="inlineStr">
        <is>
          <t>MH0088</t>
        </is>
      </c>
      <c r="C27" s="64" t="n">
        <v>46305</v>
      </c>
      <c r="D27" s="63" t="inlineStr">
        <is>
          <t>KUL-NRT</t>
        </is>
      </c>
      <c r="E27" s="63" t="inlineStr">
        <is>
          <t>BC</t>
        </is>
      </c>
      <c r="F27" s="63" t="inlineStr">
        <is>
          <t>A350</t>
        </is>
      </c>
      <c r="G27" s="63" t="inlineStr">
        <is>
          <t>F&amp;B Linen</t>
        </is>
      </c>
      <c r="H27" s="63" t="inlineStr">
        <is>
          <t>Linen bag</t>
        </is>
      </c>
      <c r="I27" s="63" t="inlineStr">
        <is>
          <t>Available (ticked in reference)</t>
        </is>
      </c>
      <c r="J27" s="63" t="inlineStr"/>
      <c r="K27" s="63" t="inlineStr">
        <is>
          <t>Not stated in reference</t>
        </is>
      </c>
      <c r="L27" s="63" t="inlineStr">
        <is>
          <t>Required</t>
        </is>
      </c>
      <c r="M27" s="63" t="inlineStr"/>
      <c r="N27" s="63" t="inlineStr">
        <is>
          <t>STD UPLIFT INFORMATION.xlsx &gt; F&amp;B LINEN!J14</t>
        </is>
      </c>
    </row>
    <row r="28" ht="28" customHeight="1">
      <c r="A28" s="63" t="inlineStr">
        <is>
          <t>F04</t>
        </is>
      </c>
      <c r="B28" s="63" t="inlineStr">
        <is>
          <t>MH0088</t>
        </is>
      </c>
      <c r="C28" s="64" t="n">
        <v>46305</v>
      </c>
      <c r="D28" s="63" t="inlineStr">
        <is>
          <t>KUL-NRT</t>
        </is>
      </c>
      <c r="E28" s="63" t="inlineStr">
        <is>
          <t>BC</t>
        </is>
      </c>
      <c r="F28" s="63" t="inlineStr">
        <is>
          <t>A350</t>
        </is>
      </c>
      <c r="G28" s="63" t="inlineStr">
        <is>
          <t>Seat Linen</t>
        </is>
      </c>
      <c r="H28" s="63" t="inlineStr">
        <is>
          <t>Seat pillow (BS &amp; BC)</t>
        </is>
      </c>
      <c r="I28" s="63" t="inlineStr">
        <is>
          <t>Available 100% (ticked in reference)</t>
        </is>
      </c>
      <c r="J28" s="63" t="inlineStr"/>
      <c r="K28" s="63" t="inlineStr">
        <is>
          <t>Not stated in reference</t>
        </is>
      </c>
      <c r="L28" s="63" t="inlineStr">
        <is>
          <t>Required</t>
        </is>
      </c>
      <c r="M28" s="63" t="inlineStr"/>
      <c r="N28" s="63" t="inlineStr">
        <is>
          <t>STD UPLIFT INFORMATION.xlsx &gt; SEAT LINEN!E14</t>
        </is>
      </c>
    </row>
    <row r="29" ht="28" customHeight="1">
      <c r="A29" s="63" t="inlineStr">
        <is>
          <t>F04</t>
        </is>
      </c>
      <c r="B29" s="63" t="inlineStr">
        <is>
          <t>MH0088</t>
        </is>
      </c>
      <c r="C29" s="64" t="n">
        <v>46305</v>
      </c>
      <c r="D29" s="63" t="inlineStr">
        <is>
          <t>KUL-NRT</t>
        </is>
      </c>
      <c r="E29" s="63" t="inlineStr">
        <is>
          <t>BC</t>
        </is>
      </c>
      <c r="F29" s="63" t="inlineStr">
        <is>
          <t>A350</t>
        </is>
      </c>
      <c r="G29" s="63" t="inlineStr">
        <is>
          <t>Seat Linen</t>
        </is>
      </c>
      <c r="H29" s="63" t="inlineStr">
        <is>
          <t>Duvet (BS &amp; BC)</t>
        </is>
      </c>
      <c r="I29" s="63" t="inlineStr">
        <is>
          <t>Available 100% (ticked in reference)</t>
        </is>
      </c>
      <c r="J29" s="63" t="inlineStr"/>
      <c r="K29" s="63" t="inlineStr">
        <is>
          <t>Not stated in reference</t>
        </is>
      </c>
      <c r="L29" s="63" t="inlineStr">
        <is>
          <t>Required</t>
        </is>
      </c>
      <c r="M29" s="63" t="inlineStr"/>
      <c r="N29" s="63" t="inlineStr">
        <is>
          <t>STD UPLIFT INFORMATION.xlsx &gt; SEAT LINEN!F14</t>
        </is>
      </c>
    </row>
    <row r="30" ht="28" customHeight="1">
      <c r="A30" s="63" t="inlineStr">
        <is>
          <t>F04</t>
        </is>
      </c>
      <c r="B30" s="63" t="inlineStr">
        <is>
          <t>MH0088</t>
        </is>
      </c>
      <c r="C30" s="64" t="n">
        <v>46305</v>
      </c>
      <c r="D30" s="63" t="inlineStr">
        <is>
          <t>KUL-NRT</t>
        </is>
      </c>
      <c r="E30" s="63" t="inlineStr">
        <is>
          <t>BC</t>
        </is>
      </c>
      <c r="F30" s="63" t="inlineStr">
        <is>
          <t>A350</t>
        </is>
      </c>
      <c r="G30" s="63" t="inlineStr">
        <is>
          <t>Seat Linen</t>
        </is>
      </c>
      <c r="H30" s="63" t="inlineStr">
        <is>
          <t>Mattress (BS &amp; BC)</t>
        </is>
      </c>
      <c r="I30" s="63" t="inlineStr">
        <is>
          <t>Available 100% (ticked in reference)</t>
        </is>
      </c>
      <c r="J30" s="63" t="inlineStr"/>
      <c r="K30" s="63" t="inlineStr">
        <is>
          <t>Not stated in reference</t>
        </is>
      </c>
      <c r="L30" s="63" t="inlineStr">
        <is>
          <t>Required</t>
        </is>
      </c>
      <c r="M30" s="63" t="inlineStr"/>
      <c r="N30" s="63" t="inlineStr">
        <is>
          <t>STD UPLIFT INFORMATION.xlsx &gt; SEAT LINEN!G14</t>
        </is>
      </c>
    </row>
    <row r="31" ht="28" customHeight="1">
      <c r="A31" s="63" t="inlineStr">
        <is>
          <t>F04</t>
        </is>
      </c>
      <c r="B31" s="63" t="inlineStr">
        <is>
          <t>MH0088</t>
        </is>
      </c>
      <c r="C31" s="64" t="n">
        <v>46305</v>
      </c>
      <c r="D31" s="63" t="inlineStr">
        <is>
          <t>KUL-NRT</t>
        </is>
      </c>
      <c r="E31" s="63" t="inlineStr">
        <is>
          <t>BC</t>
        </is>
      </c>
      <c r="F31" s="63" t="inlineStr">
        <is>
          <t>A350</t>
        </is>
      </c>
      <c r="G31" s="63" t="inlineStr">
        <is>
          <t>Signature Drinks</t>
        </is>
      </c>
      <c r="H31" s="63" t="inlineStr">
        <is>
          <t>Signature drink &amp; garnish (BC)</t>
        </is>
      </c>
      <c r="I31" s="63" t="inlineStr">
        <is>
          <t>Available (ticked in reference)</t>
        </is>
      </c>
      <c r="J31" s="63" t="inlineStr"/>
      <c r="K31" s="63" t="inlineStr">
        <is>
          <t>KUL</t>
        </is>
      </c>
      <c r="L31" s="63" t="inlineStr">
        <is>
          <t>Required</t>
        </is>
      </c>
      <c r="M31" s="63" t="inlineStr">
        <is>
          <t>Signature drinks &amp; garnish uplifted from KUL (note D79).</t>
        </is>
      </c>
      <c r="N31" s="63" t="inlineStr">
        <is>
          <t>STD UPLIFT INFORMATION.xlsx &gt; Signature Drinks!F14 / G14 / D79</t>
        </is>
      </c>
    </row>
    <row r="32" ht="40.5" customHeight="1">
      <c r="A32" s="63" t="inlineStr">
        <is>
          <t>F04</t>
        </is>
      </c>
      <c r="B32" s="63" t="inlineStr">
        <is>
          <t>MH0088</t>
        </is>
      </c>
      <c r="C32" s="64" t="n">
        <v>46305</v>
      </c>
      <c r="D32" s="63" t="inlineStr">
        <is>
          <t>KUL-NRT</t>
        </is>
      </c>
      <c r="E32" s="63" t="inlineStr">
        <is>
          <t>BC</t>
        </is>
      </c>
      <c r="F32" s="63" t="inlineStr">
        <is>
          <t>A350</t>
        </is>
      </c>
      <c r="G32" s="63" t="inlineStr">
        <is>
          <t>Sales Cart</t>
        </is>
      </c>
      <c r="H32" s="63" t="inlineStr">
        <is>
          <t>Sales cart (caterer PASB)</t>
        </is>
      </c>
      <c r="I32" s="63" t="inlineStr">
        <is>
          <t>A359: 5R41A &amp; 5R42A (not applicable for LHR) (full cart); 9M-MAH: G4F13A (half cart) - per tail</t>
        </is>
      </c>
      <c r="J32" s="63" t="inlineStr"/>
      <c r="K32" s="63" t="inlineStr">
        <is>
          <t>Not stated in reference</t>
        </is>
      </c>
      <c r="L32" s="63" t="inlineStr">
        <is>
          <t>Required</t>
        </is>
      </c>
      <c r="M32" s="63" t="inlineStr">
        <is>
          <t>Block 7.17 h &gt;= 4 h. Location depends on tail.</t>
        </is>
      </c>
      <c r="N32" s="63" t="inlineStr">
        <is>
          <t>STD UPLIFT INFORMATION.xlsx &gt; SALES CART!K7:K14 / L9 / C9 / O8:R12</t>
        </is>
      </c>
    </row>
    <row r="33" ht="40.5" customHeight="1">
      <c r="A33" s="63" t="inlineStr">
        <is>
          <t>F05</t>
        </is>
      </c>
      <c r="B33" s="63" t="inlineStr">
        <is>
          <t>MH0089</t>
        </is>
      </c>
      <c r="C33" s="64" t="n">
        <v>46310</v>
      </c>
      <c r="D33" s="63" t="inlineStr">
        <is>
          <t>NRT-KUL</t>
        </is>
      </c>
      <c r="E33" s="63" t="inlineStr">
        <is>
          <t>EY</t>
        </is>
      </c>
      <c r="F33" s="63" t="inlineStr">
        <is>
          <t>A350</t>
        </is>
      </c>
      <c r="G33" s="63" t="inlineStr">
        <is>
          <t>Amenities</t>
        </is>
      </c>
      <c r="H33" s="63" t="inlineStr">
        <is>
          <t>Toiletry kits</t>
        </is>
      </c>
      <c r="I33" s="63" t="inlineStr">
        <is>
          <t>Available for sector (ticked in reference)</t>
        </is>
      </c>
      <c r="J33" s="63" t="inlineStr"/>
      <c r="K33" s="63" t="inlineStr">
        <is>
          <t>KUL</t>
        </is>
      </c>
      <c r="L33" s="80" t="inlineStr">
        <is>
          <t>Clarification required</t>
        </is>
      </c>
      <c r="M33" s="63" t="inlineStr">
        <is>
          <t>Reference does not state the cabin class for toiletry kits. Confirm whether EY receives them; if not, mark N/A with the confirmation as justification.</t>
        </is>
      </c>
      <c r="N33" s="63" t="inlineStr">
        <is>
          <t>STD UPLIFT INFORMATION.xlsx &gt; AMENITIES!D23 / H23</t>
        </is>
      </c>
    </row>
    <row r="34" ht="28" customHeight="1">
      <c r="A34" s="63" t="inlineStr">
        <is>
          <t>F05</t>
        </is>
      </c>
      <c r="B34" s="63" t="inlineStr">
        <is>
          <t>MH0089</t>
        </is>
      </c>
      <c r="C34" s="64" t="n">
        <v>46310</v>
      </c>
      <c r="D34" s="63" t="inlineStr">
        <is>
          <t>NRT-KUL</t>
        </is>
      </c>
      <c r="E34" s="63" t="inlineStr">
        <is>
          <t>EY</t>
        </is>
      </c>
      <c r="F34" s="63" t="inlineStr">
        <is>
          <t>A350</t>
        </is>
      </c>
      <c r="G34" s="63" t="inlineStr">
        <is>
          <t>Seat Linen</t>
        </is>
      </c>
      <c r="H34" s="63" t="inlineStr">
        <is>
          <t>Seat pillow (EY)</t>
        </is>
      </c>
      <c r="I34" s="63" t="inlineStr">
        <is>
          <t>Available 100% (ticked in reference)</t>
        </is>
      </c>
      <c r="J34" s="63" t="inlineStr"/>
      <c r="K34" s="63" t="inlineStr">
        <is>
          <t>Not stated in reference</t>
        </is>
      </c>
      <c r="L34" s="63" t="inlineStr">
        <is>
          <t>Required</t>
        </is>
      </c>
      <c r="M34" s="63" t="inlineStr"/>
      <c r="N34" s="63" t="inlineStr">
        <is>
          <t>STD UPLIFT INFORMATION.xlsx &gt; SEAT LINEN!I14</t>
        </is>
      </c>
    </row>
    <row r="35" ht="53" customHeight="1">
      <c r="A35" s="63" t="inlineStr">
        <is>
          <t>F05</t>
        </is>
      </c>
      <c r="B35" s="63" t="inlineStr">
        <is>
          <t>MH0089</t>
        </is>
      </c>
      <c r="C35" s="64" t="n">
        <v>46310</v>
      </c>
      <c r="D35" s="63" t="inlineStr">
        <is>
          <t>NRT-KUL</t>
        </is>
      </c>
      <c r="E35" s="63" t="inlineStr">
        <is>
          <t>EY</t>
        </is>
      </c>
      <c r="F35" s="63" t="inlineStr">
        <is>
          <t>A350</t>
        </is>
      </c>
      <c r="G35" s="63" t="inlineStr">
        <is>
          <t>Seat Linen</t>
        </is>
      </c>
      <c r="H35" s="63" t="inlineStr">
        <is>
          <t>Blanket (EY)</t>
        </is>
      </c>
      <c r="I35" s="63" t="inlineStr">
        <is>
          <t>Available 100% (ticked in reference)</t>
        </is>
      </c>
      <c r="J35" s="63" t="inlineStr">
        <is>
          <t>280 (A350 9M-MAH) / 260 (A359) - per tail</t>
        </is>
      </c>
      <c r="K35" s="63" t="inlineStr">
        <is>
          <t>Not stated in reference</t>
        </is>
      </c>
      <c r="L35" s="63" t="inlineStr">
        <is>
          <t>Required</t>
        </is>
      </c>
      <c r="M35" s="63" t="inlineStr">
        <is>
          <t>EY blanket: flight above 3 hours excl. Regional (SEAT LINEN!B74:C74); block 7.67 h. Qty per tail: A350 280 pcs (SEAT LINEN!B76:C76), A359 260 pcs (SEAT LINEN!B77:C77).</t>
        </is>
      </c>
      <c r="N35" s="63" t="inlineStr">
        <is>
          <t>STD UPLIFT INFORMATION.xlsx &gt; SEAT LINEN!J14</t>
        </is>
      </c>
    </row>
    <row r="36" ht="53" customHeight="1">
      <c r="A36" s="63" t="inlineStr">
        <is>
          <t>F05</t>
        </is>
      </c>
      <c r="B36" s="63" t="inlineStr">
        <is>
          <t>MH0089</t>
        </is>
      </c>
      <c r="C36" s="64" t="n">
        <v>46310</v>
      </c>
      <c r="D36" s="63" t="inlineStr">
        <is>
          <t>NRT-KUL</t>
        </is>
      </c>
      <c r="E36" s="63" t="inlineStr">
        <is>
          <t>EY</t>
        </is>
      </c>
      <c r="F36" s="63" t="inlineStr">
        <is>
          <t>A350</t>
        </is>
      </c>
      <c r="G36" s="63" t="inlineStr">
        <is>
          <t>Sales Cart</t>
        </is>
      </c>
      <c r="H36" s="63" t="inlineStr">
        <is>
          <t>Sales cart (caterer PASB)</t>
        </is>
      </c>
      <c r="I36" s="63" t="inlineStr">
        <is>
          <t>A359: 5R41A &amp; 5R42A (not applicable for LHR) (full cart); 9M-MAH: G4F13A (half cart) - per tail</t>
        </is>
      </c>
      <c r="J36" s="63" t="inlineStr"/>
      <c r="K36" s="63" t="inlineStr">
        <is>
          <t>Not stated in reference</t>
        </is>
      </c>
      <c r="L36" s="80" t="inlineStr">
        <is>
          <t>Clarification required</t>
        </is>
      </c>
      <c r="M36" s="63" t="inlineStr">
        <is>
          <t>Block 7.67 h &gt;= 4 h. Location depends on tail. Reference names caterer PASB (KUL) for the KUL/NRT/KUL sector but no uplift station: confirm whether the NRT-KUL sales cart is loaded at KUL (round trip) or at NRT.</t>
        </is>
      </c>
      <c r="N36" s="63" t="inlineStr">
        <is>
          <t>STD UPLIFT INFORMATION.xlsx &gt; SALES CART!K7:K14 / L9 / C9 / O8:R12</t>
        </is>
      </c>
    </row>
    <row r="37" ht="78" customHeight="1">
      <c r="A37" s="63" t="inlineStr">
        <is>
          <t>F06</t>
        </is>
      </c>
      <c r="B37" s="63" t="inlineStr">
        <is>
          <t>MH0002</t>
        </is>
      </c>
      <c r="C37" s="64" t="n">
        <v>46310</v>
      </c>
      <c r="D37" s="63" t="inlineStr">
        <is>
          <t>KUL-LHR</t>
        </is>
      </c>
      <c r="E37" s="63" t="inlineStr">
        <is>
          <t>BC</t>
        </is>
      </c>
      <c r="F37" s="63" t="inlineStr">
        <is>
          <t>A350</t>
        </is>
      </c>
      <c r="G37" s="63" t="inlineStr">
        <is>
          <t>Amenities</t>
        </is>
      </c>
      <c r="H37" s="63" t="inlineStr">
        <is>
          <t>Toiletry kits</t>
        </is>
      </c>
      <c r="I37" s="63" t="inlineStr">
        <is>
          <t>Available (ticked in reference)</t>
        </is>
      </c>
      <c r="J37" s="63" t="inlineStr"/>
      <c r="K37" s="63" t="inlineStr">
        <is>
          <t>LHR or KUL - confirm</t>
        </is>
      </c>
      <c r="L37" s="80" t="inlineStr">
        <is>
          <t>Clarification required</t>
        </is>
      </c>
      <c r="M37" s="63" t="inlineStr">
        <is>
          <t>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is>
      </c>
      <c r="N37" s="63" t="inlineStr">
        <is>
          <t>STD UPLIFT INFORMATION.xlsx &gt; AMENITIES!D12 / H12</t>
        </is>
      </c>
    </row>
    <row r="38" ht="28" customHeight="1">
      <c r="A38" s="63" t="inlineStr">
        <is>
          <t>F06</t>
        </is>
      </c>
      <c r="B38" s="63" t="inlineStr">
        <is>
          <t>MH0002</t>
        </is>
      </c>
      <c r="C38" s="64" t="n">
        <v>46310</v>
      </c>
      <c r="D38" s="63" t="inlineStr">
        <is>
          <t>KUL-LHR</t>
        </is>
      </c>
      <c r="E38" s="63" t="inlineStr">
        <is>
          <t>BC</t>
        </is>
      </c>
      <c r="F38" s="63" t="inlineStr">
        <is>
          <t>A350</t>
        </is>
      </c>
      <c r="G38" s="63" t="inlineStr">
        <is>
          <t>Amenities</t>
        </is>
      </c>
      <c r="H38" s="63" t="inlineStr">
        <is>
          <t>Pajamas (BC)</t>
        </is>
      </c>
      <c r="I38" s="63" t="inlineStr">
        <is>
          <t>Available - BC red-eye only</t>
        </is>
      </c>
      <c r="J38" s="63" t="inlineStr"/>
      <c r="K38" s="63" t="inlineStr">
        <is>
          <t>KUL</t>
        </is>
      </c>
      <c r="L38" s="63" t="inlineStr">
        <is>
          <t>Required</t>
        </is>
      </c>
      <c r="M38" s="63" t="inlineStr">
        <is>
          <t>Red-eye departure 2320 local.</t>
        </is>
      </c>
      <c r="N38" s="63" t="inlineStr">
        <is>
          <t>STD UPLIFT INFORMATION.xlsx &gt; AMENITIES!F13 / H13</t>
        </is>
      </c>
    </row>
    <row r="39" ht="28" customHeight="1">
      <c r="A39" s="63" t="inlineStr">
        <is>
          <t>F06</t>
        </is>
      </c>
      <c r="B39" s="63" t="inlineStr">
        <is>
          <t>MH0002</t>
        </is>
      </c>
      <c r="C39" s="64" t="n">
        <v>46310</v>
      </c>
      <c r="D39" s="63" t="inlineStr">
        <is>
          <t>KUL-LHR</t>
        </is>
      </c>
      <c r="E39" s="63" t="inlineStr">
        <is>
          <t>BC</t>
        </is>
      </c>
      <c r="F39" s="63" t="inlineStr">
        <is>
          <t>A350</t>
        </is>
      </c>
      <c r="G39" s="63" t="inlineStr">
        <is>
          <t>Amenities</t>
        </is>
      </c>
      <c r="H39" s="63" t="inlineStr">
        <is>
          <t>Slippers (BS/BC)</t>
        </is>
      </c>
      <c r="I39" s="63" t="inlineStr">
        <is>
          <t>Available (ticked in reference)</t>
        </is>
      </c>
      <c r="J39" s="63" t="inlineStr"/>
      <c r="K39" s="63" t="inlineStr">
        <is>
          <t>KUL</t>
        </is>
      </c>
      <c r="L39" s="63" t="inlineStr">
        <is>
          <t>Required</t>
        </is>
      </c>
      <c r="M39" s="63" t="inlineStr"/>
      <c r="N39" s="63" t="inlineStr">
        <is>
          <t>STD UPLIFT INFORMATION.xlsx &gt; AMENITIES!G13 / H13</t>
        </is>
      </c>
    </row>
    <row r="40" ht="28" customHeight="1">
      <c r="A40" s="63" t="inlineStr">
        <is>
          <t>F06</t>
        </is>
      </c>
      <c r="B40" s="63" t="inlineStr">
        <is>
          <t>MH0002</t>
        </is>
      </c>
      <c r="C40" s="64" t="n">
        <v>46310</v>
      </c>
      <c r="D40" s="63" t="inlineStr">
        <is>
          <t>KUL-LHR</t>
        </is>
      </c>
      <c r="E40" s="63" t="inlineStr">
        <is>
          <t>BC</t>
        </is>
      </c>
      <c r="F40" s="63" t="inlineStr">
        <is>
          <t>A350</t>
        </is>
      </c>
      <c r="G40" s="63" t="inlineStr">
        <is>
          <t>F&amp;B Linen</t>
        </is>
      </c>
      <c r="H40" s="63" t="inlineStr">
        <is>
          <t>Towel</t>
        </is>
      </c>
      <c r="I40" s="63" t="inlineStr">
        <is>
          <t>Available (ticked in reference)</t>
        </is>
      </c>
      <c r="J40" s="63" t="inlineStr"/>
      <c r="K40" s="63" t="inlineStr">
        <is>
          <t>Not stated in reference</t>
        </is>
      </c>
      <c r="L40" s="63" t="inlineStr">
        <is>
          <t>Required</t>
        </is>
      </c>
      <c r="M40" s="63" t="inlineStr"/>
      <c r="N40" s="63" t="inlineStr">
        <is>
          <t>STD UPLIFT INFORMATION.xlsx &gt; F&amp;B LINEN!D7</t>
        </is>
      </c>
    </row>
    <row r="41" ht="28" customHeight="1">
      <c r="A41" s="63" t="inlineStr">
        <is>
          <t>F06</t>
        </is>
      </c>
      <c r="B41" s="63" t="inlineStr">
        <is>
          <t>MH0002</t>
        </is>
      </c>
      <c r="C41" s="64" t="n">
        <v>46310</v>
      </c>
      <c r="D41" s="63" t="inlineStr">
        <is>
          <t>KUL-LHR</t>
        </is>
      </c>
      <c r="E41" s="63" t="inlineStr">
        <is>
          <t>BC</t>
        </is>
      </c>
      <c r="F41" s="63" t="inlineStr">
        <is>
          <t>A350</t>
        </is>
      </c>
      <c r="G41" s="63" t="inlineStr">
        <is>
          <t>F&amp;B Linen</t>
        </is>
      </c>
      <c r="H41" s="63" t="inlineStr">
        <is>
          <t>Tray cloth</t>
        </is>
      </c>
      <c r="I41" s="63" t="inlineStr">
        <is>
          <t>Available (ticked in reference)</t>
        </is>
      </c>
      <c r="J41" s="63" t="inlineStr"/>
      <c r="K41" s="63" t="inlineStr">
        <is>
          <t>Not stated in reference</t>
        </is>
      </c>
      <c r="L41" s="63" t="inlineStr">
        <is>
          <t>Required</t>
        </is>
      </c>
      <c r="M41" s="63" t="inlineStr"/>
      <c r="N41" s="63" t="inlineStr">
        <is>
          <t>STD UPLIFT INFORMATION.xlsx &gt; F&amp;B LINEN!E7</t>
        </is>
      </c>
    </row>
    <row r="42" ht="28" customHeight="1">
      <c r="A42" s="63" t="inlineStr">
        <is>
          <t>F06</t>
        </is>
      </c>
      <c r="B42" s="63" t="inlineStr">
        <is>
          <t>MH0002</t>
        </is>
      </c>
      <c r="C42" s="64" t="n">
        <v>46310</v>
      </c>
      <c r="D42" s="63" t="inlineStr">
        <is>
          <t>KUL-LHR</t>
        </is>
      </c>
      <c r="E42" s="63" t="inlineStr">
        <is>
          <t>BC</t>
        </is>
      </c>
      <c r="F42" s="63" t="inlineStr">
        <is>
          <t>A350</t>
        </is>
      </c>
      <c r="G42" s="63" t="inlineStr">
        <is>
          <t>F&amp;B Linen</t>
        </is>
      </c>
      <c r="H42" s="63" t="inlineStr">
        <is>
          <t>Napkin</t>
        </is>
      </c>
      <c r="I42" s="63" t="inlineStr">
        <is>
          <t>Available (ticked in reference)</t>
        </is>
      </c>
      <c r="J42" s="63" t="inlineStr"/>
      <c r="K42" s="63" t="inlineStr">
        <is>
          <t>Not stated in reference</t>
        </is>
      </c>
      <c r="L42" s="63" t="inlineStr">
        <is>
          <t>Required</t>
        </is>
      </c>
      <c r="M42" s="63" t="inlineStr"/>
      <c r="N42" s="63" t="inlineStr">
        <is>
          <t>STD UPLIFT INFORMATION.xlsx &gt; F&amp;B LINEN!F7</t>
        </is>
      </c>
    </row>
    <row r="43" ht="28" customHeight="1">
      <c r="A43" s="63" t="inlineStr">
        <is>
          <t>F06</t>
        </is>
      </c>
      <c r="B43" s="63" t="inlineStr">
        <is>
          <t>MH0002</t>
        </is>
      </c>
      <c r="C43" s="64" t="n">
        <v>46310</v>
      </c>
      <c r="D43" s="63" t="inlineStr">
        <is>
          <t>KUL-LHR</t>
        </is>
      </c>
      <c r="E43" s="63" t="inlineStr">
        <is>
          <t>BC</t>
        </is>
      </c>
      <c r="F43" s="63" t="inlineStr">
        <is>
          <t>A350</t>
        </is>
      </c>
      <c r="G43" s="63" t="inlineStr">
        <is>
          <t>F&amp;B Linen</t>
        </is>
      </c>
      <c r="H43" s="63" t="inlineStr">
        <is>
          <t>Table cloth</t>
        </is>
      </c>
      <c r="I43" s="63" t="inlineStr">
        <is>
          <t>Available (ticked in reference)</t>
        </is>
      </c>
      <c r="J43" s="63" t="inlineStr"/>
      <c r="K43" s="63" t="inlineStr">
        <is>
          <t>Not stated in reference</t>
        </is>
      </c>
      <c r="L43" s="63" t="inlineStr">
        <is>
          <t>Required</t>
        </is>
      </c>
      <c r="M43" s="63" t="inlineStr"/>
      <c r="N43" s="63" t="inlineStr">
        <is>
          <t>STD UPLIFT INFORMATION.xlsx &gt; F&amp;B LINEN!G7</t>
        </is>
      </c>
    </row>
    <row r="44" ht="28" customHeight="1">
      <c r="A44" s="63" t="inlineStr">
        <is>
          <t>F06</t>
        </is>
      </c>
      <c r="B44" s="63" t="inlineStr">
        <is>
          <t>MH0002</t>
        </is>
      </c>
      <c r="C44" s="64" t="n">
        <v>46310</v>
      </c>
      <c r="D44" s="63" t="inlineStr">
        <is>
          <t>KUL-LHR</t>
        </is>
      </c>
      <c r="E44" s="63" t="inlineStr">
        <is>
          <t>BC</t>
        </is>
      </c>
      <c r="F44" s="63" t="inlineStr">
        <is>
          <t>A350</t>
        </is>
      </c>
      <c r="G44" s="63" t="inlineStr">
        <is>
          <t>F&amp;B Linen</t>
        </is>
      </c>
      <c r="H44" s="63" t="inlineStr">
        <is>
          <t>Bread linen (using table cloth)</t>
        </is>
      </c>
      <c r="I44" s="63" t="inlineStr">
        <is>
          <t>Available (ticked in reference)</t>
        </is>
      </c>
      <c r="J44" s="63" t="inlineStr"/>
      <c r="K44" s="63" t="inlineStr">
        <is>
          <t>Not stated in reference</t>
        </is>
      </c>
      <c r="L44" s="63" t="inlineStr">
        <is>
          <t>Required</t>
        </is>
      </c>
      <c r="M44" s="63" t="inlineStr"/>
      <c r="N44" s="63" t="inlineStr">
        <is>
          <t>STD UPLIFT INFORMATION.xlsx &gt; F&amp;B LINEN!H7</t>
        </is>
      </c>
    </row>
    <row r="45" ht="28" customHeight="1">
      <c r="A45" s="63" t="inlineStr">
        <is>
          <t>F06</t>
        </is>
      </c>
      <c r="B45" s="63" t="inlineStr">
        <is>
          <t>MH0002</t>
        </is>
      </c>
      <c r="C45" s="64" t="n">
        <v>46310</v>
      </c>
      <c r="D45" s="63" t="inlineStr">
        <is>
          <t>KUL-LHR</t>
        </is>
      </c>
      <c r="E45" s="63" t="inlineStr">
        <is>
          <t>BC</t>
        </is>
      </c>
      <c r="F45" s="63" t="inlineStr">
        <is>
          <t>A350</t>
        </is>
      </c>
      <c r="G45" s="63" t="inlineStr">
        <is>
          <t>F&amp;B Linen</t>
        </is>
      </c>
      <c r="H45" s="63" t="inlineStr">
        <is>
          <t>Trolley cloth</t>
        </is>
      </c>
      <c r="I45" s="63" t="inlineStr">
        <is>
          <t>Wide body: Top/Middle &amp; Bottom</t>
        </is>
      </c>
      <c r="J45" s="63" t="inlineStr"/>
      <c r="K45" s="63" t="inlineStr">
        <is>
          <t>Not stated in reference</t>
        </is>
      </c>
      <c r="L45" s="63" t="inlineStr">
        <is>
          <t>Required</t>
        </is>
      </c>
      <c r="M45" s="63" t="inlineStr">
        <is>
          <t>Per note F&amp;B LINEN!B79:C80.</t>
        </is>
      </c>
      <c r="N45" s="63" t="inlineStr">
        <is>
          <t>STD UPLIFT INFORMATION.xlsx &gt; F&amp;B LINEN!I7</t>
        </is>
      </c>
    </row>
    <row r="46" ht="28" customHeight="1">
      <c r="A46" s="63" t="inlineStr">
        <is>
          <t>F06</t>
        </is>
      </c>
      <c r="B46" s="63" t="inlineStr">
        <is>
          <t>MH0002</t>
        </is>
      </c>
      <c r="C46" s="64" t="n">
        <v>46310</v>
      </c>
      <c r="D46" s="63" t="inlineStr">
        <is>
          <t>KUL-LHR</t>
        </is>
      </c>
      <c r="E46" s="63" t="inlineStr">
        <is>
          <t>BC</t>
        </is>
      </c>
      <c r="F46" s="63" t="inlineStr">
        <is>
          <t>A350</t>
        </is>
      </c>
      <c r="G46" s="63" t="inlineStr">
        <is>
          <t>F&amp;B Linen</t>
        </is>
      </c>
      <c r="H46" s="63" t="inlineStr">
        <is>
          <t>Linen bag</t>
        </is>
      </c>
      <c r="I46" s="63" t="inlineStr">
        <is>
          <t>Available (ticked in reference)</t>
        </is>
      </c>
      <c r="J46" s="63" t="inlineStr"/>
      <c r="K46" s="63" t="inlineStr">
        <is>
          <t>Not stated in reference</t>
        </is>
      </c>
      <c r="L46" s="63" t="inlineStr">
        <is>
          <t>Required</t>
        </is>
      </c>
      <c r="M46" s="63" t="inlineStr"/>
      <c r="N46" s="63" t="inlineStr">
        <is>
          <t>STD UPLIFT INFORMATION.xlsx &gt; F&amp;B LINEN!J7</t>
        </is>
      </c>
    </row>
    <row r="47" ht="28" customHeight="1">
      <c r="A47" s="63" t="inlineStr">
        <is>
          <t>F06</t>
        </is>
      </c>
      <c r="B47" s="63" t="inlineStr">
        <is>
          <t>MH0002</t>
        </is>
      </c>
      <c r="C47" s="64" t="n">
        <v>46310</v>
      </c>
      <c r="D47" s="63" t="inlineStr">
        <is>
          <t>KUL-LHR</t>
        </is>
      </c>
      <c r="E47" s="63" t="inlineStr">
        <is>
          <t>BC</t>
        </is>
      </c>
      <c r="F47" s="63" t="inlineStr">
        <is>
          <t>A350</t>
        </is>
      </c>
      <c r="G47" s="63" t="inlineStr">
        <is>
          <t>Seat Linen</t>
        </is>
      </c>
      <c r="H47" s="63" t="inlineStr">
        <is>
          <t>Seat pillow (BS &amp; BC)</t>
        </is>
      </c>
      <c r="I47" s="63" t="inlineStr">
        <is>
          <t>Available 100% (ticked in reference)</t>
        </is>
      </c>
      <c r="J47" s="63" t="inlineStr"/>
      <c r="K47" s="63" t="inlineStr">
        <is>
          <t>Not stated in reference</t>
        </is>
      </c>
      <c r="L47" s="63" t="inlineStr">
        <is>
          <t>Required</t>
        </is>
      </c>
      <c r="M47" s="63" t="inlineStr"/>
      <c r="N47" s="63" t="inlineStr">
        <is>
          <t>STD UPLIFT INFORMATION.xlsx &gt; SEAT LINEN!E7</t>
        </is>
      </c>
    </row>
    <row r="48" ht="28" customHeight="1">
      <c r="A48" s="63" t="inlineStr">
        <is>
          <t>F06</t>
        </is>
      </c>
      <c r="B48" s="63" t="inlineStr">
        <is>
          <t>MH0002</t>
        </is>
      </c>
      <c r="C48" s="64" t="n">
        <v>46310</v>
      </c>
      <c r="D48" s="63" t="inlineStr">
        <is>
          <t>KUL-LHR</t>
        </is>
      </c>
      <c r="E48" s="63" t="inlineStr">
        <is>
          <t>BC</t>
        </is>
      </c>
      <c r="F48" s="63" t="inlineStr">
        <is>
          <t>A350</t>
        </is>
      </c>
      <c r="G48" s="63" t="inlineStr">
        <is>
          <t>Seat Linen</t>
        </is>
      </c>
      <c r="H48" s="63" t="inlineStr">
        <is>
          <t>Duvet (BS &amp; BC)</t>
        </is>
      </c>
      <c r="I48" s="63" t="inlineStr">
        <is>
          <t>Available 100% (ticked in reference)</t>
        </is>
      </c>
      <c r="J48" s="63" t="inlineStr"/>
      <c r="K48" s="63" t="inlineStr">
        <is>
          <t>Not stated in reference</t>
        </is>
      </c>
      <c r="L48" s="63" t="inlineStr">
        <is>
          <t>Required</t>
        </is>
      </c>
      <c r="M48" s="63" t="inlineStr"/>
      <c r="N48" s="63" t="inlineStr">
        <is>
          <t>STD UPLIFT INFORMATION.xlsx &gt; SEAT LINEN!F7</t>
        </is>
      </c>
    </row>
    <row r="49" ht="28" customHeight="1">
      <c r="A49" s="63" t="inlineStr">
        <is>
          <t>F06</t>
        </is>
      </c>
      <c r="B49" s="63" t="inlineStr">
        <is>
          <t>MH0002</t>
        </is>
      </c>
      <c r="C49" s="64" t="n">
        <v>46310</v>
      </c>
      <c r="D49" s="63" t="inlineStr">
        <is>
          <t>KUL-LHR</t>
        </is>
      </c>
      <c r="E49" s="63" t="inlineStr">
        <is>
          <t>BC</t>
        </is>
      </c>
      <c r="F49" s="63" t="inlineStr">
        <is>
          <t>A350</t>
        </is>
      </c>
      <c r="G49" s="63" t="inlineStr">
        <is>
          <t>Seat Linen</t>
        </is>
      </c>
      <c r="H49" s="63" t="inlineStr">
        <is>
          <t>Mattress (BS &amp; BC)</t>
        </is>
      </c>
      <c r="I49" s="63" t="inlineStr">
        <is>
          <t>Available 100% (ticked in reference)</t>
        </is>
      </c>
      <c r="J49" s="63" t="inlineStr"/>
      <c r="K49" s="63" t="inlineStr">
        <is>
          <t>Not stated in reference</t>
        </is>
      </c>
      <c r="L49" s="63" t="inlineStr">
        <is>
          <t>Required</t>
        </is>
      </c>
      <c r="M49" s="63" t="inlineStr"/>
      <c r="N49" s="63" t="inlineStr">
        <is>
          <t>STD UPLIFT INFORMATION.xlsx &gt; SEAT LINEN!G7</t>
        </is>
      </c>
    </row>
    <row r="50" ht="28" customHeight="1">
      <c r="A50" s="63" t="inlineStr">
        <is>
          <t>F06</t>
        </is>
      </c>
      <c r="B50" s="63" t="inlineStr">
        <is>
          <t>MH0002</t>
        </is>
      </c>
      <c r="C50" s="64" t="n">
        <v>46310</v>
      </c>
      <c r="D50" s="63" t="inlineStr">
        <is>
          <t>KUL-LHR</t>
        </is>
      </c>
      <c r="E50" s="63" t="inlineStr">
        <is>
          <t>BC</t>
        </is>
      </c>
      <c r="F50" s="63" t="inlineStr">
        <is>
          <t>A350</t>
        </is>
      </c>
      <c r="G50" s="63" t="inlineStr">
        <is>
          <t>Signature Drinks</t>
        </is>
      </c>
      <c r="H50" s="63" t="inlineStr">
        <is>
          <t>Signature drink &amp; garnish (BC)</t>
        </is>
      </c>
      <c r="I50" s="63" t="inlineStr">
        <is>
          <t>Available (ticked in reference)</t>
        </is>
      </c>
      <c r="J50" s="63" t="inlineStr"/>
      <c r="K50" s="63" t="inlineStr">
        <is>
          <t>KUL</t>
        </is>
      </c>
      <c r="L50" s="63" t="inlineStr">
        <is>
          <t>Required</t>
        </is>
      </c>
      <c r="M50" s="63" t="inlineStr">
        <is>
          <t>Signature drinks &amp; garnish uplifted from KUL (note D79).</t>
        </is>
      </c>
      <c r="N50" s="63" t="inlineStr">
        <is>
          <t>STD UPLIFT INFORMATION.xlsx &gt; Signature Drinks!F6 / G6 / D79</t>
        </is>
      </c>
    </row>
    <row r="51" ht="28" customHeight="1">
      <c r="A51" s="63" t="inlineStr">
        <is>
          <t>F07</t>
        </is>
      </c>
      <c r="B51" s="63" t="inlineStr">
        <is>
          <t>MH0003</t>
        </is>
      </c>
      <c r="C51" s="64" t="n">
        <v>46304</v>
      </c>
      <c r="D51" s="63" t="inlineStr">
        <is>
          <t>LHR-KUL</t>
        </is>
      </c>
      <c r="E51" s="63" t="inlineStr">
        <is>
          <t>BC</t>
        </is>
      </c>
      <c r="F51" s="63" t="inlineStr">
        <is>
          <t>A350</t>
        </is>
      </c>
      <c r="G51" s="63" t="inlineStr">
        <is>
          <t>Amenities</t>
        </is>
      </c>
      <c r="H51" s="63" t="inlineStr">
        <is>
          <t>Toiletry kits</t>
        </is>
      </c>
      <c r="I51" s="63" t="inlineStr">
        <is>
          <t>Available (ticked in reference)</t>
        </is>
      </c>
      <c r="J51" s="63" t="inlineStr"/>
      <c r="K51" s="63" t="inlineStr">
        <is>
          <t>LHR</t>
        </is>
      </c>
      <c r="L51" s="63" t="inlineStr">
        <is>
          <t>Required</t>
        </is>
      </c>
      <c r="M51" s="63" t="inlineStr"/>
      <c r="N51" s="63" t="inlineStr">
        <is>
          <t>STD UPLIFT INFORMATION.xlsx &gt; AMENITIES!D12 / H12</t>
        </is>
      </c>
    </row>
    <row r="52" ht="40.5" customHeight="1">
      <c r="A52" s="63" t="inlineStr">
        <is>
          <t>F07</t>
        </is>
      </c>
      <c r="B52" s="63" t="inlineStr">
        <is>
          <t>MH0003</t>
        </is>
      </c>
      <c r="C52" s="64" t="n">
        <v>46304</v>
      </c>
      <c r="D52" s="63" t="inlineStr">
        <is>
          <t>LHR-KUL</t>
        </is>
      </c>
      <c r="E52" s="63" t="inlineStr">
        <is>
          <t>BC</t>
        </is>
      </c>
      <c r="F52" s="63" t="inlineStr">
        <is>
          <t>A350</t>
        </is>
      </c>
      <c r="G52" s="63" t="inlineStr">
        <is>
          <t>Amenities</t>
        </is>
      </c>
      <c r="H52" s="63" t="inlineStr">
        <is>
          <t>Pajamas (BC)</t>
        </is>
      </c>
      <c r="I52" s="63" t="inlineStr">
        <is>
          <t>Available - BC red-eye only</t>
        </is>
      </c>
      <c r="J52" s="63" t="inlineStr"/>
      <c r="K52" s="63" t="inlineStr">
        <is>
          <t>KUL</t>
        </is>
      </c>
      <c r="L52" s="80" t="inlineStr">
        <is>
          <t>Clarification required</t>
        </is>
      </c>
      <c r="M52" s="63" t="inlineStr">
        <is>
          <t>Reference limits BC pajamas to red-eye flights; STD 1100 local arriving 0645+1 - confirm whether this leg counts as red-eye.</t>
        </is>
      </c>
      <c r="N52" s="63" t="inlineStr">
        <is>
          <t>STD UPLIFT INFORMATION.xlsx &gt; AMENITIES!F13 / H13</t>
        </is>
      </c>
    </row>
    <row r="53" ht="28" customHeight="1">
      <c r="A53" s="63" t="inlineStr">
        <is>
          <t>F07</t>
        </is>
      </c>
      <c r="B53" s="63" t="inlineStr">
        <is>
          <t>MH0003</t>
        </is>
      </c>
      <c r="C53" s="64" t="n">
        <v>46304</v>
      </c>
      <c r="D53" s="63" t="inlineStr">
        <is>
          <t>LHR-KUL</t>
        </is>
      </c>
      <c r="E53" s="63" t="inlineStr">
        <is>
          <t>BC</t>
        </is>
      </c>
      <c r="F53" s="63" t="inlineStr">
        <is>
          <t>A350</t>
        </is>
      </c>
      <c r="G53" s="63" t="inlineStr">
        <is>
          <t>Amenities</t>
        </is>
      </c>
      <c r="H53" s="63" t="inlineStr">
        <is>
          <t>Slippers (BS/BC)</t>
        </is>
      </c>
      <c r="I53" s="63" t="inlineStr">
        <is>
          <t>Available (ticked in reference)</t>
        </is>
      </c>
      <c r="J53" s="63" t="inlineStr"/>
      <c r="K53" s="63" t="inlineStr">
        <is>
          <t>KUL</t>
        </is>
      </c>
      <c r="L53" s="63" t="inlineStr">
        <is>
          <t>Required</t>
        </is>
      </c>
      <c r="M53" s="63" t="inlineStr"/>
      <c r="N53" s="63" t="inlineStr">
        <is>
          <t>STD UPLIFT INFORMATION.xlsx &gt; AMENITIES!G13 / H13</t>
        </is>
      </c>
    </row>
    <row r="54" ht="28" customHeight="1">
      <c r="A54" s="63" t="inlineStr">
        <is>
          <t>F07</t>
        </is>
      </c>
      <c r="B54" s="63" t="inlineStr">
        <is>
          <t>MH0003</t>
        </is>
      </c>
      <c r="C54" s="64" t="n">
        <v>46304</v>
      </c>
      <c r="D54" s="63" t="inlineStr">
        <is>
          <t>LHR-KUL</t>
        </is>
      </c>
      <c r="E54" s="63" t="inlineStr">
        <is>
          <t>BC</t>
        </is>
      </c>
      <c r="F54" s="63" t="inlineStr">
        <is>
          <t>A350</t>
        </is>
      </c>
      <c r="G54" s="63" t="inlineStr">
        <is>
          <t>F&amp;B Linen</t>
        </is>
      </c>
      <c r="H54" s="63" t="inlineStr">
        <is>
          <t>Towel</t>
        </is>
      </c>
      <c r="I54" s="63" t="inlineStr">
        <is>
          <t>Available (ticked in reference)</t>
        </is>
      </c>
      <c r="J54" s="63" t="inlineStr"/>
      <c r="K54" s="63" t="inlineStr">
        <is>
          <t>Not stated in reference</t>
        </is>
      </c>
      <c r="L54" s="63" t="inlineStr">
        <is>
          <t>Required</t>
        </is>
      </c>
      <c r="M54" s="63" t="inlineStr"/>
      <c r="N54" s="63" t="inlineStr">
        <is>
          <t>STD UPLIFT INFORMATION.xlsx &gt; F&amp;B LINEN!D7</t>
        </is>
      </c>
    </row>
    <row r="55" ht="28" customHeight="1">
      <c r="A55" s="63" t="inlineStr">
        <is>
          <t>F07</t>
        </is>
      </c>
      <c r="B55" s="63" t="inlineStr">
        <is>
          <t>MH0003</t>
        </is>
      </c>
      <c r="C55" s="64" t="n">
        <v>46304</v>
      </c>
      <c r="D55" s="63" t="inlineStr">
        <is>
          <t>LHR-KUL</t>
        </is>
      </c>
      <c r="E55" s="63" t="inlineStr">
        <is>
          <t>BC</t>
        </is>
      </c>
      <c r="F55" s="63" t="inlineStr">
        <is>
          <t>A350</t>
        </is>
      </c>
      <c r="G55" s="63" t="inlineStr">
        <is>
          <t>F&amp;B Linen</t>
        </is>
      </c>
      <c r="H55" s="63" t="inlineStr">
        <is>
          <t>Tray cloth</t>
        </is>
      </c>
      <c r="I55" s="63" t="inlineStr">
        <is>
          <t>Available (ticked in reference)</t>
        </is>
      </c>
      <c r="J55" s="63" t="inlineStr"/>
      <c r="K55" s="63" t="inlineStr">
        <is>
          <t>Not stated in reference</t>
        </is>
      </c>
      <c r="L55" s="63" t="inlineStr">
        <is>
          <t>Required</t>
        </is>
      </c>
      <c r="M55" s="63" t="inlineStr"/>
      <c r="N55" s="63" t="inlineStr">
        <is>
          <t>STD UPLIFT INFORMATION.xlsx &gt; F&amp;B LINEN!E7</t>
        </is>
      </c>
    </row>
    <row r="56" ht="28" customHeight="1">
      <c r="A56" s="63" t="inlineStr">
        <is>
          <t>F07</t>
        </is>
      </c>
      <c r="B56" s="63" t="inlineStr">
        <is>
          <t>MH0003</t>
        </is>
      </c>
      <c r="C56" s="64" t="n">
        <v>46304</v>
      </c>
      <c r="D56" s="63" t="inlineStr">
        <is>
          <t>LHR-KUL</t>
        </is>
      </c>
      <c r="E56" s="63" t="inlineStr">
        <is>
          <t>BC</t>
        </is>
      </c>
      <c r="F56" s="63" t="inlineStr">
        <is>
          <t>A350</t>
        </is>
      </c>
      <c r="G56" s="63" t="inlineStr">
        <is>
          <t>F&amp;B Linen</t>
        </is>
      </c>
      <c r="H56" s="63" t="inlineStr">
        <is>
          <t>Napkin</t>
        </is>
      </c>
      <c r="I56" s="63" t="inlineStr">
        <is>
          <t>Available (ticked in reference)</t>
        </is>
      </c>
      <c r="J56" s="63" t="inlineStr"/>
      <c r="K56" s="63" t="inlineStr">
        <is>
          <t>Not stated in reference</t>
        </is>
      </c>
      <c r="L56" s="63" t="inlineStr">
        <is>
          <t>Required</t>
        </is>
      </c>
      <c r="M56" s="63" t="inlineStr"/>
      <c r="N56" s="63" t="inlineStr">
        <is>
          <t>STD UPLIFT INFORMATION.xlsx &gt; F&amp;B LINEN!F7</t>
        </is>
      </c>
    </row>
    <row r="57" ht="28" customHeight="1">
      <c r="A57" s="63" t="inlineStr">
        <is>
          <t>F07</t>
        </is>
      </c>
      <c r="B57" s="63" t="inlineStr">
        <is>
          <t>MH0003</t>
        </is>
      </c>
      <c r="C57" s="64" t="n">
        <v>46304</v>
      </c>
      <c r="D57" s="63" t="inlineStr">
        <is>
          <t>LHR-KUL</t>
        </is>
      </c>
      <c r="E57" s="63" t="inlineStr">
        <is>
          <t>BC</t>
        </is>
      </c>
      <c r="F57" s="63" t="inlineStr">
        <is>
          <t>A350</t>
        </is>
      </c>
      <c r="G57" s="63" t="inlineStr">
        <is>
          <t>F&amp;B Linen</t>
        </is>
      </c>
      <c r="H57" s="63" t="inlineStr">
        <is>
          <t>Table cloth</t>
        </is>
      </c>
      <c r="I57" s="63" t="inlineStr">
        <is>
          <t>Available (ticked in reference)</t>
        </is>
      </c>
      <c r="J57" s="63" t="inlineStr"/>
      <c r="K57" s="63" t="inlineStr">
        <is>
          <t>Not stated in reference</t>
        </is>
      </c>
      <c r="L57" s="63" t="inlineStr">
        <is>
          <t>Required</t>
        </is>
      </c>
      <c r="M57" s="63" t="inlineStr"/>
      <c r="N57" s="63" t="inlineStr">
        <is>
          <t>STD UPLIFT INFORMATION.xlsx &gt; F&amp;B LINEN!G7</t>
        </is>
      </c>
    </row>
    <row r="58" ht="28" customHeight="1">
      <c r="A58" s="63" t="inlineStr">
        <is>
          <t>F07</t>
        </is>
      </c>
      <c r="B58" s="63" t="inlineStr">
        <is>
          <t>MH0003</t>
        </is>
      </c>
      <c r="C58" s="64" t="n">
        <v>46304</v>
      </c>
      <c r="D58" s="63" t="inlineStr">
        <is>
          <t>LHR-KUL</t>
        </is>
      </c>
      <c r="E58" s="63" t="inlineStr">
        <is>
          <t>BC</t>
        </is>
      </c>
      <c r="F58" s="63" t="inlineStr">
        <is>
          <t>A350</t>
        </is>
      </c>
      <c r="G58" s="63" t="inlineStr">
        <is>
          <t>F&amp;B Linen</t>
        </is>
      </c>
      <c r="H58" s="63" t="inlineStr">
        <is>
          <t>Bread linen (using table cloth)</t>
        </is>
      </c>
      <c r="I58" s="63" t="inlineStr">
        <is>
          <t>Available (ticked in reference)</t>
        </is>
      </c>
      <c r="J58" s="63" t="inlineStr"/>
      <c r="K58" s="63" t="inlineStr">
        <is>
          <t>Not stated in reference</t>
        </is>
      </c>
      <c r="L58" s="63" t="inlineStr">
        <is>
          <t>Required</t>
        </is>
      </c>
      <c r="M58" s="63" t="inlineStr"/>
      <c r="N58" s="63" t="inlineStr">
        <is>
          <t>STD UPLIFT INFORMATION.xlsx &gt; F&amp;B LINEN!H7</t>
        </is>
      </c>
    </row>
    <row r="59" ht="28" customHeight="1">
      <c r="A59" s="63" t="inlineStr">
        <is>
          <t>F07</t>
        </is>
      </c>
      <c r="B59" s="63" t="inlineStr">
        <is>
          <t>MH0003</t>
        </is>
      </c>
      <c r="C59" s="64" t="n">
        <v>46304</v>
      </c>
      <c r="D59" s="63" t="inlineStr">
        <is>
          <t>LHR-KUL</t>
        </is>
      </c>
      <c r="E59" s="63" t="inlineStr">
        <is>
          <t>BC</t>
        </is>
      </c>
      <c r="F59" s="63" t="inlineStr">
        <is>
          <t>A350</t>
        </is>
      </c>
      <c r="G59" s="63" t="inlineStr">
        <is>
          <t>F&amp;B Linen</t>
        </is>
      </c>
      <c r="H59" s="63" t="inlineStr">
        <is>
          <t>Trolley cloth</t>
        </is>
      </c>
      <c r="I59" s="63" t="inlineStr">
        <is>
          <t>Wide body: Top/Middle &amp; Bottom</t>
        </is>
      </c>
      <c r="J59" s="63" t="inlineStr"/>
      <c r="K59" s="63" t="inlineStr">
        <is>
          <t>Not stated in reference</t>
        </is>
      </c>
      <c r="L59" s="63" t="inlineStr">
        <is>
          <t>Required</t>
        </is>
      </c>
      <c r="M59" s="63" t="inlineStr">
        <is>
          <t>Per note F&amp;B LINEN!B79:C80.</t>
        </is>
      </c>
      <c r="N59" s="63" t="inlineStr">
        <is>
          <t>STD UPLIFT INFORMATION.xlsx &gt; F&amp;B LINEN!I7</t>
        </is>
      </c>
    </row>
    <row r="60" ht="28" customHeight="1">
      <c r="A60" s="63" t="inlineStr">
        <is>
          <t>F07</t>
        </is>
      </c>
      <c r="B60" s="63" t="inlineStr">
        <is>
          <t>MH0003</t>
        </is>
      </c>
      <c r="C60" s="64" t="n">
        <v>46304</v>
      </c>
      <c r="D60" s="63" t="inlineStr">
        <is>
          <t>LHR-KUL</t>
        </is>
      </c>
      <c r="E60" s="63" t="inlineStr">
        <is>
          <t>BC</t>
        </is>
      </c>
      <c r="F60" s="63" t="inlineStr">
        <is>
          <t>A350</t>
        </is>
      </c>
      <c r="G60" s="63" t="inlineStr">
        <is>
          <t>F&amp;B Linen</t>
        </is>
      </c>
      <c r="H60" s="63" t="inlineStr">
        <is>
          <t>Linen bag</t>
        </is>
      </c>
      <c r="I60" s="63" t="inlineStr">
        <is>
          <t>Available (ticked in reference)</t>
        </is>
      </c>
      <c r="J60" s="63" t="inlineStr"/>
      <c r="K60" s="63" t="inlineStr">
        <is>
          <t>Not stated in reference</t>
        </is>
      </c>
      <c r="L60" s="63" t="inlineStr">
        <is>
          <t>Required</t>
        </is>
      </c>
      <c r="M60" s="63" t="inlineStr"/>
      <c r="N60" s="63" t="inlineStr">
        <is>
          <t>STD UPLIFT INFORMATION.xlsx &gt; F&amp;B LINEN!J7</t>
        </is>
      </c>
    </row>
    <row r="61" ht="28" customHeight="1">
      <c r="A61" s="63" t="inlineStr">
        <is>
          <t>F07</t>
        </is>
      </c>
      <c r="B61" s="63" t="inlineStr">
        <is>
          <t>MH0003</t>
        </is>
      </c>
      <c r="C61" s="64" t="n">
        <v>46304</v>
      </c>
      <c r="D61" s="63" t="inlineStr">
        <is>
          <t>LHR-KUL</t>
        </is>
      </c>
      <c r="E61" s="63" t="inlineStr">
        <is>
          <t>BC</t>
        </is>
      </c>
      <c r="F61" s="63" t="inlineStr">
        <is>
          <t>A350</t>
        </is>
      </c>
      <c r="G61" s="63" t="inlineStr">
        <is>
          <t>Seat Linen</t>
        </is>
      </c>
      <c r="H61" s="63" t="inlineStr">
        <is>
          <t>Seat pillow (BS &amp; BC)</t>
        </is>
      </c>
      <c r="I61" s="63" t="inlineStr">
        <is>
          <t>Available 100% (ticked in reference)</t>
        </is>
      </c>
      <c r="J61" s="63" t="inlineStr"/>
      <c r="K61" s="63" t="inlineStr">
        <is>
          <t>Not stated in reference</t>
        </is>
      </c>
      <c r="L61" s="63" t="inlineStr">
        <is>
          <t>Required</t>
        </is>
      </c>
      <c r="M61" s="63" t="inlineStr"/>
      <c r="N61" s="63" t="inlineStr">
        <is>
          <t>STD UPLIFT INFORMATION.xlsx &gt; SEAT LINEN!E7</t>
        </is>
      </c>
    </row>
    <row r="62" ht="28" customHeight="1">
      <c r="A62" s="63" t="inlineStr">
        <is>
          <t>F07</t>
        </is>
      </c>
      <c r="B62" s="63" t="inlineStr">
        <is>
          <t>MH0003</t>
        </is>
      </c>
      <c r="C62" s="64" t="n">
        <v>46304</v>
      </c>
      <c r="D62" s="63" t="inlineStr">
        <is>
          <t>LHR-KUL</t>
        </is>
      </c>
      <c r="E62" s="63" t="inlineStr">
        <is>
          <t>BC</t>
        </is>
      </c>
      <c r="F62" s="63" t="inlineStr">
        <is>
          <t>A350</t>
        </is>
      </c>
      <c r="G62" s="63" t="inlineStr">
        <is>
          <t>Seat Linen</t>
        </is>
      </c>
      <c r="H62" s="63" t="inlineStr">
        <is>
          <t>Duvet (BS &amp; BC)</t>
        </is>
      </c>
      <c r="I62" s="63" t="inlineStr">
        <is>
          <t>Available 100% (ticked in reference)</t>
        </is>
      </c>
      <c r="J62" s="63" t="inlineStr"/>
      <c r="K62" s="63" t="inlineStr">
        <is>
          <t>Not stated in reference</t>
        </is>
      </c>
      <c r="L62" s="63" t="inlineStr">
        <is>
          <t>Required</t>
        </is>
      </c>
      <c r="M62" s="63" t="inlineStr"/>
      <c r="N62" s="63" t="inlineStr">
        <is>
          <t>STD UPLIFT INFORMATION.xlsx &gt; SEAT LINEN!F7</t>
        </is>
      </c>
    </row>
    <row r="63" ht="28" customHeight="1">
      <c r="A63" s="63" t="inlineStr">
        <is>
          <t>F07</t>
        </is>
      </c>
      <c r="B63" s="63" t="inlineStr">
        <is>
          <t>MH0003</t>
        </is>
      </c>
      <c r="C63" s="64" t="n">
        <v>46304</v>
      </c>
      <c r="D63" s="63" t="inlineStr">
        <is>
          <t>LHR-KUL</t>
        </is>
      </c>
      <c r="E63" s="63" t="inlineStr">
        <is>
          <t>BC</t>
        </is>
      </c>
      <c r="F63" s="63" t="inlineStr">
        <is>
          <t>A350</t>
        </is>
      </c>
      <c r="G63" s="63" t="inlineStr">
        <is>
          <t>Seat Linen</t>
        </is>
      </c>
      <c r="H63" s="63" t="inlineStr">
        <is>
          <t>Mattress (BS &amp; BC)</t>
        </is>
      </c>
      <c r="I63" s="63" t="inlineStr">
        <is>
          <t>Available 100% (ticked in reference)</t>
        </is>
      </c>
      <c r="J63" s="63" t="inlineStr"/>
      <c r="K63" s="63" t="inlineStr">
        <is>
          <t>Not stated in reference</t>
        </is>
      </c>
      <c r="L63" s="63" t="inlineStr">
        <is>
          <t>Required</t>
        </is>
      </c>
      <c r="M63" s="63" t="inlineStr"/>
      <c r="N63" s="63" t="inlineStr">
        <is>
          <t>STD UPLIFT INFORMATION.xlsx &gt; SEAT LINEN!G7</t>
        </is>
      </c>
    </row>
    <row r="64" ht="28" customHeight="1">
      <c r="A64" s="63" t="inlineStr">
        <is>
          <t>F07</t>
        </is>
      </c>
      <c r="B64" s="63" t="inlineStr">
        <is>
          <t>MH0003</t>
        </is>
      </c>
      <c r="C64" s="64" t="n">
        <v>46304</v>
      </c>
      <c r="D64" s="63" t="inlineStr">
        <is>
          <t>LHR-KUL</t>
        </is>
      </c>
      <c r="E64" s="63" t="inlineStr">
        <is>
          <t>BC</t>
        </is>
      </c>
      <c r="F64" s="63" t="inlineStr">
        <is>
          <t>A350</t>
        </is>
      </c>
      <c r="G64" s="63" t="inlineStr">
        <is>
          <t>Signature Drinks</t>
        </is>
      </c>
      <c r="H64" s="63" t="inlineStr">
        <is>
          <t>Signature drink &amp; garnish (BC)</t>
        </is>
      </c>
      <c r="I64" s="63" t="inlineStr">
        <is>
          <t>Available (ticked in reference)</t>
        </is>
      </c>
      <c r="J64" s="63" t="inlineStr"/>
      <c r="K64" s="63" t="inlineStr">
        <is>
          <t>KUL</t>
        </is>
      </c>
      <c r="L64" s="63" t="inlineStr">
        <is>
          <t>Required</t>
        </is>
      </c>
      <c r="M64" s="63" t="inlineStr">
        <is>
          <t>Signature drinks &amp; garnish uplifted from KUL (note D79).</t>
        </is>
      </c>
      <c r="N64" s="63" t="inlineStr">
        <is>
          <t>STD UPLIFT INFORMATION.xlsx &gt; Signature Drinks!F6 / G6 / D79</t>
        </is>
      </c>
    </row>
    <row r="65" ht="28" customHeight="1">
      <c r="A65" s="63" t="inlineStr">
        <is>
          <t>F08</t>
        </is>
      </c>
      <c r="B65" s="63" t="inlineStr">
        <is>
          <t>MH0752</t>
        </is>
      </c>
      <c r="C65" s="64" t="n">
        <v>46305</v>
      </c>
      <c r="D65" s="63" t="inlineStr">
        <is>
          <t>KUL-HAN</t>
        </is>
      </c>
      <c r="E65" s="63" t="inlineStr">
        <is>
          <t>EY</t>
        </is>
      </c>
      <c r="F65" s="63" t="inlineStr">
        <is>
          <t>B738MAX</t>
        </is>
      </c>
      <c r="G65" s="63" t="inlineStr">
        <is>
          <t>Seat Linen</t>
        </is>
      </c>
      <c r="H65" s="63" t="inlineStr">
        <is>
          <t>Seat pillow (EY)</t>
        </is>
      </c>
      <c r="I65" s="63" t="inlineStr">
        <is>
          <t>Available 100% (ticked in reference)</t>
        </is>
      </c>
      <c r="J65" s="63" t="inlineStr"/>
      <c r="K65" s="63" t="inlineStr">
        <is>
          <t>Not stated in reference</t>
        </is>
      </c>
      <c r="L65" s="63" t="inlineStr">
        <is>
          <t>Required</t>
        </is>
      </c>
      <c r="M65" s="63" t="inlineStr"/>
      <c r="N65" s="63" t="inlineStr">
        <is>
          <t>STD UPLIFT INFORMATION.xlsx &gt; SEAT LINEN!I46</t>
        </is>
      </c>
    </row>
    <row r="66" ht="28" customHeight="1">
      <c r="A66" s="63" t="inlineStr">
        <is>
          <t>F09</t>
        </is>
      </c>
      <c r="B66" s="63" t="inlineStr">
        <is>
          <t>MH0753</t>
        </is>
      </c>
      <c r="C66" s="64" t="n">
        <v>46306</v>
      </c>
      <c r="D66" s="63" t="inlineStr">
        <is>
          <t>HAN-KUL</t>
        </is>
      </c>
      <c r="E66" s="63" t="inlineStr">
        <is>
          <t>BC</t>
        </is>
      </c>
      <c r="F66" s="63" t="inlineStr">
        <is>
          <t>B738MAX</t>
        </is>
      </c>
      <c r="G66" s="63" t="inlineStr">
        <is>
          <t>Amenities</t>
        </is>
      </c>
      <c r="H66" s="63" t="inlineStr">
        <is>
          <t>Disposable slippers in DAM cart (BC, on request)</t>
        </is>
      </c>
      <c r="I66" s="63" t="inlineStr">
        <is>
          <t>Available in DAM cart on request basis</t>
        </is>
      </c>
      <c r="J66" s="63" t="inlineStr"/>
      <c r="K66" s="63" t="inlineStr">
        <is>
          <t>Not stated in reference</t>
        </is>
      </c>
      <c r="L66" s="63" t="inlineStr">
        <is>
          <t>Required</t>
        </is>
      </c>
      <c r="M66" s="63" t="inlineStr">
        <is>
          <t>Sector has no BC slippers; note C83: disposable slipper available in DAM cart (on request basis).</t>
        </is>
      </c>
      <c r="N66" s="63" t="inlineStr">
        <is>
          <t>STD UPLIFT INFORMATION.xlsx &gt; AMENITIES!G56 / C83</t>
        </is>
      </c>
    </row>
    <row r="67" ht="28" customHeight="1">
      <c r="A67" s="63" t="inlineStr">
        <is>
          <t>F09</t>
        </is>
      </c>
      <c r="B67" s="63" t="inlineStr">
        <is>
          <t>MH0753</t>
        </is>
      </c>
      <c r="C67" s="64" t="n">
        <v>46306</v>
      </c>
      <c r="D67" s="63" t="inlineStr">
        <is>
          <t>HAN-KUL</t>
        </is>
      </c>
      <c r="E67" s="63" t="inlineStr">
        <is>
          <t>BC</t>
        </is>
      </c>
      <c r="F67" s="63" t="inlineStr">
        <is>
          <t>B738MAX</t>
        </is>
      </c>
      <c r="G67" s="63" t="inlineStr">
        <is>
          <t>F&amp;B Linen</t>
        </is>
      </c>
      <c r="H67" s="63" t="inlineStr">
        <is>
          <t>Towel</t>
        </is>
      </c>
      <c r="I67" s="63" t="inlineStr">
        <is>
          <t>Available (ticked in reference)</t>
        </is>
      </c>
      <c r="J67" s="63" t="inlineStr"/>
      <c r="K67" s="63" t="inlineStr">
        <is>
          <t>Not stated in reference</t>
        </is>
      </c>
      <c r="L67" s="63" t="inlineStr">
        <is>
          <t>Required</t>
        </is>
      </c>
      <c r="M67" s="63" t="inlineStr"/>
      <c r="N67" s="63" t="inlineStr">
        <is>
          <t>STD UPLIFT INFORMATION.xlsx &gt; F&amp;B LINEN!D48</t>
        </is>
      </c>
    </row>
    <row r="68" ht="28" customHeight="1">
      <c r="A68" s="63" t="inlineStr">
        <is>
          <t>F09</t>
        </is>
      </c>
      <c r="B68" s="63" t="inlineStr">
        <is>
          <t>MH0753</t>
        </is>
      </c>
      <c r="C68" s="64" t="n">
        <v>46306</v>
      </c>
      <c r="D68" s="63" t="inlineStr">
        <is>
          <t>HAN-KUL</t>
        </is>
      </c>
      <c r="E68" s="63" t="inlineStr">
        <is>
          <t>BC</t>
        </is>
      </c>
      <c r="F68" s="63" t="inlineStr">
        <is>
          <t>B738MAX</t>
        </is>
      </c>
      <c r="G68" s="63" t="inlineStr">
        <is>
          <t>F&amp;B Linen</t>
        </is>
      </c>
      <c r="H68" s="63" t="inlineStr">
        <is>
          <t>Tray cloth</t>
        </is>
      </c>
      <c r="I68" s="63" t="inlineStr">
        <is>
          <t>Available (ticked in reference)</t>
        </is>
      </c>
      <c r="J68" s="63" t="inlineStr"/>
      <c r="K68" s="63" t="inlineStr">
        <is>
          <t>Not stated in reference</t>
        </is>
      </c>
      <c r="L68" s="63" t="inlineStr">
        <is>
          <t>Required</t>
        </is>
      </c>
      <c r="M68" s="63" t="inlineStr"/>
      <c r="N68" s="63" t="inlineStr">
        <is>
          <t>STD UPLIFT INFORMATION.xlsx &gt; F&amp;B LINEN!E48</t>
        </is>
      </c>
    </row>
    <row r="69" ht="28" customHeight="1">
      <c r="A69" s="63" t="inlineStr">
        <is>
          <t>F09</t>
        </is>
      </c>
      <c r="B69" s="63" t="inlineStr">
        <is>
          <t>MH0753</t>
        </is>
      </c>
      <c r="C69" s="64" t="n">
        <v>46306</v>
      </c>
      <c r="D69" s="63" t="inlineStr">
        <is>
          <t>HAN-KUL</t>
        </is>
      </c>
      <c r="E69" s="63" t="inlineStr">
        <is>
          <t>BC</t>
        </is>
      </c>
      <c r="F69" s="63" t="inlineStr">
        <is>
          <t>B738MAX</t>
        </is>
      </c>
      <c r="G69" s="63" t="inlineStr">
        <is>
          <t>F&amp;B Linen</t>
        </is>
      </c>
      <c r="H69" s="63" t="inlineStr">
        <is>
          <t>Napkin</t>
        </is>
      </c>
      <c r="I69" s="63" t="inlineStr">
        <is>
          <t>Available (ticked in reference)</t>
        </is>
      </c>
      <c r="J69" s="63" t="inlineStr"/>
      <c r="K69" s="63" t="inlineStr">
        <is>
          <t>Not stated in reference</t>
        </is>
      </c>
      <c r="L69" s="63" t="inlineStr">
        <is>
          <t>Required</t>
        </is>
      </c>
      <c r="M69" s="63" t="inlineStr"/>
      <c r="N69" s="63" t="inlineStr">
        <is>
          <t>STD UPLIFT INFORMATION.xlsx &gt; F&amp;B LINEN!F48</t>
        </is>
      </c>
    </row>
    <row r="70" ht="65.5" customHeight="1">
      <c r="A70" s="63" t="inlineStr">
        <is>
          <t>F09</t>
        </is>
      </c>
      <c r="B70" s="63" t="inlineStr">
        <is>
          <t>MH0753</t>
        </is>
      </c>
      <c r="C70" s="64" t="n">
        <v>46306</v>
      </c>
      <c r="D70" s="63" t="inlineStr">
        <is>
          <t>HAN-KUL</t>
        </is>
      </c>
      <c r="E70" s="63" t="inlineStr">
        <is>
          <t>BC</t>
        </is>
      </c>
      <c r="F70" s="63" t="inlineStr">
        <is>
          <t>B738MAX</t>
        </is>
      </c>
      <c r="G70" s="63" t="inlineStr">
        <is>
          <t>F&amp;B Linen</t>
        </is>
      </c>
      <c r="H70" s="63" t="inlineStr">
        <is>
          <t>Table cloth</t>
        </is>
      </c>
      <c r="I70" s="63" t="inlineStr">
        <is>
          <t>Available (ticked in reference)</t>
        </is>
      </c>
      <c r="J70" s="63" t="inlineStr"/>
      <c r="K70" s="63" t="inlineStr">
        <is>
          <t>Not stated in reference</t>
        </is>
      </c>
      <c r="L70" s="80" t="inlineStr">
        <is>
          <t>Clarification required</t>
        </is>
      </c>
      <c r="M70" s="63" t="inlineStr">
        <is>
          <t>Reference contradicts itself: matrix shows _/ for this sector but note F&amp;B LINEN!B78:C78 says table cloth is 'Not Applicable for Domestic/Asean &amp; Regional' (ASEAN). Confirm before loading; if not carried, mark N/A with the confirmation as justification.</t>
        </is>
      </c>
      <c r="N70" s="63" t="inlineStr">
        <is>
          <t>STD UPLIFT INFORMATION.xlsx &gt; F&amp;B LINEN!G48</t>
        </is>
      </c>
    </row>
    <row r="71" ht="65.5" customHeight="1">
      <c r="A71" s="63" t="inlineStr">
        <is>
          <t>F09</t>
        </is>
      </c>
      <c r="B71" s="63" t="inlineStr">
        <is>
          <t>MH0753</t>
        </is>
      </c>
      <c r="C71" s="64" t="n">
        <v>46306</v>
      </c>
      <c r="D71" s="63" t="inlineStr">
        <is>
          <t>HAN-KUL</t>
        </is>
      </c>
      <c r="E71" s="63" t="inlineStr">
        <is>
          <t>BC</t>
        </is>
      </c>
      <c r="F71" s="63" t="inlineStr">
        <is>
          <t>B738MAX</t>
        </is>
      </c>
      <c r="G71" s="63" t="inlineStr">
        <is>
          <t>F&amp;B Linen</t>
        </is>
      </c>
      <c r="H71" s="63" t="inlineStr">
        <is>
          <t>Bread linen (using table cloth)</t>
        </is>
      </c>
      <c r="I71" s="63" t="inlineStr">
        <is>
          <t>Available (ticked in reference)</t>
        </is>
      </c>
      <c r="J71" s="63" t="inlineStr"/>
      <c r="K71" s="63" t="inlineStr">
        <is>
          <t>Not stated in reference</t>
        </is>
      </c>
      <c r="L71" s="80" t="inlineStr">
        <is>
          <t>Clarification required</t>
        </is>
      </c>
      <c r="M71" s="63" t="inlineStr">
        <is>
          <t>Reference contradicts itself: matrix shows _/ for this sector but note F&amp;B LINEN!B78:C78 says table cloth is 'Not Applicable for Domestic/Asean &amp; Regional' (ASEAN). Confirm before loading; if not carried, mark N/A with the confirmation as justification.</t>
        </is>
      </c>
      <c r="N71" s="63" t="inlineStr">
        <is>
          <t>STD UPLIFT INFORMATION.xlsx &gt; F&amp;B LINEN!H48</t>
        </is>
      </c>
    </row>
    <row r="72" ht="28" customHeight="1">
      <c r="A72" s="63" t="inlineStr">
        <is>
          <t>F09</t>
        </is>
      </c>
      <c r="B72" s="63" t="inlineStr">
        <is>
          <t>MH0753</t>
        </is>
      </c>
      <c r="C72" s="64" t="n">
        <v>46306</v>
      </c>
      <c r="D72" s="63" t="inlineStr">
        <is>
          <t>HAN-KUL</t>
        </is>
      </c>
      <c r="E72" s="63" t="inlineStr">
        <is>
          <t>BC</t>
        </is>
      </c>
      <c r="F72" s="63" t="inlineStr">
        <is>
          <t>B738MAX</t>
        </is>
      </c>
      <c r="G72" s="63" t="inlineStr">
        <is>
          <t>F&amp;B Linen</t>
        </is>
      </c>
      <c r="H72" s="63" t="inlineStr">
        <is>
          <t>Trolley cloth</t>
        </is>
      </c>
      <c r="I72" s="63" t="inlineStr">
        <is>
          <t>Narrow body: Top only</t>
        </is>
      </c>
      <c r="J72" s="63" t="inlineStr"/>
      <c r="K72" s="63" t="inlineStr">
        <is>
          <t>Not stated in reference</t>
        </is>
      </c>
      <c r="L72" s="63" t="inlineStr">
        <is>
          <t>Required</t>
        </is>
      </c>
      <c r="M72" s="63" t="inlineStr">
        <is>
          <t>Per note F&amp;B LINEN!B79:C80.</t>
        </is>
      </c>
      <c r="N72" s="63" t="inlineStr">
        <is>
          <t>STD UPLIFT INFORMATION.xlsx &gt; F&amp;B LINEN!I48</t>
        </is>
      </c>
    </row>
    <row r="73" ht="28" customHeight="1">
      <c r="A73" s="63" t="inlineStr">
        <is>
          <t>F09</t>
        </is>
      </c>
      <c r="B73" s="63" t="inlineStr">
        <is>
          <t>MH0753</t>
        </is>
      </c>
      <c r="C73" s="64" t="n">
        <v>46306</v>
      </c>
      <c r="D73" s="63" t="inlineStr">
        <is>
          <t>HAN-KUL</t>
        </is>
      </c>
      <c r="E73" s="63" t="inlineStr">
        <is>
          <t>BC</t>
        </is>
      </c>
      <c r="F73" s="63" t="inlineStr">
        <is>
          <t>B738MAX</t>
        </is>
      </c>
      <c r="G73" s="63" t="inlineStr">
        <is>
          <t>F&amp;B Linen</t>
        </is>
      </c>
      <c r="H73" s="63" t="inlineStr">
        <is>
          <t>Linen bag</t>
        </is>
      </c>
      <c r="I73" s="63" t="inlineStr">
        <is>
          <t>Available (ticked in reference)</t>
        </is>
      </c>
      <c r="J73" s="63" t="inlineStr"/>
      <c r="K73" s="63" t="inlineStr">
        <is>
          <t>Not stated in reference</t>
        </is>
      </c>
      <c r="L73" s="63" t="inlineStr">
        <is>
          <t>Required</t>
        </is>
      </c>
      <c r="M73" s="63" t="inlineStr"/>
      <c r="N73" s="63" t="inlineStr">
        <is>
          <t>STD UPLIFT INFORMATION.xlsx &gt; F&amp;B LINEN!J48</t>
        </is>
      </c>
    </row>
    <row r="74" ht="28" customHeight="1">
      <c r="A74" s="63" t="inlineStr">
        <is>
          <t>F09</t>
        </is>
      </c>
      <c r="B74" s="63" t="inlineStr">
        <is>
          <t>MH0753</t>
        </is>
      </c>
      <c r="C74" s="64" t="n">
        <v>46306</v>
      </c>
      <c r="D74" s="63" t="inlineStr">
        <is>
          <t>HAN-KUL</t>
        </is>
      </c>
      <c r="E74" s="63" t="inlineStr">
        <is>
          <t>BC</t>
        </is>
      </c>
      <c r="F74" s="63" t="inlineStr">
        <is>
          <t>B738MAX</t>
        </is>
      </c>
      <c r="G74" s="63" t="inlineStr">
        <is>
          <t>Seat Linen</t>
        </is>
      </c>
      <c r="H74" s="63" t="inlineStr">
        <is>
          <t>Seat pillow (BS &amp; BC)</t>
        </is>
      </c>
      <c r="I74" s="63" t="inlineStr">
        <is>
          <t>Available 100% (ticked in reference)</t>
        </is>
      </c>
      <c r="J74" s="63" t="inlineStr"/>
      <c r="K74" s="63" t="inlineStr">
        <is>
          <t>Not stated in reference</t>
        </is>
      </c>
      <c r="L74" s="63" t="inlineStr">
        <is>
          <t>Required</t>
        </is>
      </c>
      <c r="M74" s="63" t="inlineStr"/>
      <c r="N74" s="63" t="inlineStr">
        <is>
          <t>STD UPLIFT INFORMATION.xlsx &gt; SEAT LINEN!E46</t>
        </is>
      </c>
    </row>
    <row r="75" ht="28" customHeight="1">
      <c r="A75" s="63" t="inlineStr">
        <is>
          <t>F09</t>
        </is>
      </c>
      <c r="B75" s="63" t="inlineStr">
        <is>
          <t>MH0753</t>
        </is>
      </c>
      <c r="C75" s="64" t="n">
        <v>46306</v>
      </c>
      <c r="D75" s="63" t="inlineStr">
        <is>
          <t>HAN-KUL</t>
        </is>
      </c>
      <c r="E75" s="63" t="inlineStr">
        <is>
          <t>BC</t>
        </is>
      </c>
      <c r="F75" s="63" t="inlineStr">
        <is>
          <t>B738MAX</t>
        </is>
      </c>
      <c r="G75" s="63" t="inlineStr">
        <is>
          <t>Seat Linen</t>
        </is>
      </c>
      <c r="H75" s="63" t="inlineStr">
        <is>
          <t>Blanket (BS &amp; BC)</t>
        </is>
      </c>
      <c r="I75" s="63" t="inlineStr">
        <is>
          <t>Available 100% (ticked in reference)</t>
        </is>
      </c>
      <c r="J75" s="63" t="inlineStr"/>
      <c r="K75" s="63" t="inlineStr">
        <is>
          <t>Not stated in reference</t>
        </is>
      </c>
      <c r="L75" s="63" t="inlineStr">
        <is>
          <t>Required</t>
        </is>
      </c>
      <c r="M75" s="63" t="inlineStr"/>
      <c r="N75" s="63" t="inlineStr">
        <is>
          <t>STD UPLIFT INFORMATION.xlsx &gt; SEAT LINEN!H46</t>
        </is>
      </c>
    </row>
    <row r="76" ht="28" customHeight="1">
      <c r="A76" s="63" t="inlineStr">
        <is>
          <t>F10</t>
        </is>
      </c>
      <c r="B76" s="63" t="inlineStr">
        <is>
          <t>MH1140</t>
        </is>
      </c>
      <c r="C76" s="64" t="n">
        <v>46307</v>
      </c>
      <c r="D76" s="63" t="inlineStr">
        <is>
          <t>KUL-PEN</t>
        </is>
      </c>
      <c r="E76" s="63" t="inlineStr">
        <is>
          <t>BC</t>
        </is>
      </c>
      <c r="F76" s="63" t="inlineStr">
        <is>
          <t>B738MAX</t>
        </is>
      </c>
      <c r="G76" s="63" t="inlineStr">
        <is>
          <t>Amenities</t>
        </is>
      </c>
      <c r="H76" s="63" t="inlineStr">
        <is>
          <t>Disposable slippers in DAM cart (BC, on request)</t>
        </is>
      </c>
      <c r="I76" s="63" t="inlineStr">
        <is>
          <t>Available in DAM cart on request basis</t>
        </is>
      </c>
      <c r="J76" s="63" t="inlineStr"/>
      <c r="K76" s="63" t="inlineStr">
        <is>
          <t>Not stated in reference</t>
        </is>
      </c>
      <c r="L76" s="63" t="inlineStr">
        <is>
          <t>Required</t>
        </is>
      </c>
      <c r="M76" s="63" t="inlineStr">
        <is>
          <t>Sector has no BC slippers; note C83: disposable slipper available in DAM cart (on request basis).</t>
        </is>
      </c>
      <c r="N76" s="63" t="inlineStr">
        <is>
          <t>STD UPLIFT INFORMATION.xlsx &gt; AMENITIES!G72 / C83</t>
        </is>
      </c>
    </row>
    <row r="77" ht="28" customHeight="1">
      <c r="A77" s="63" t="inlineStr">
        <is>
          <t>F10</t>
        </is>
      </c>
      <c r="B77" s="63" t="inlineStr">
        <is>
          <t>MH1140</t>
        </is>
      </c>
      <c r="C77" s="64" t="n">
        <v>46307</v>
      </c>
      <c r="D77" s="63" t="inlineStr">
        <is>
          <t>KUL-PEN</t>
        </is>
      </c>
      <c r="E77" s="63" t="inlineStr">
        <is>
          <t>BC</t>
        </is>
      </c>
      <c r="F77" s="63" t="inlineStr">
        <is>
          <t>B738MAX</t>
        </is>
      </c>
      <c r="G77" s="63" t="inlineStr">
        <is>
          <t>F&amp;B Linen</t>
        </is>
      </c>
      <c r="H77" s="63" t="inlineStr">
        <is>
          <t>Towel</t>
        </is>
      </c>
      <c r="I77" s="63" t="inlineStr">
        <is>
          <t>Available (ticked in reference)</t>
        </is>
      </c>
      <c r="J77" s="63" t="inlineStr"/>
      <c r="K77" s="63" t="inlineStr">
        <is>
          <t>Not stated in reference</t>
        </is>
      </c>
      <c r="L77" s="63" t="inlineStr">
        <is>
          <t>Required</t>
        </is>
      </c>
      <c r="M77" s="63" t="inlineStr"/>
      <c r="N77" s="63" t="inlineStr">
        <is>
          <t>STD UPLIFT INFORMATION.xlsx &gt; F&amp;B LINEN!D66</t>
        </is>
      </c>
    </row>
    <row r="78" ht="28" customHeight="1">
      <c r="A78" s="63" t="inlineStr">
        <is>
          <t>F10</t>
        </is>
      </c>
      <c r="B78" s="63" t="inlineStr">
        <is>
          <t>MH1140</t>
        </is>
      </c>
      <c r="C78" s="64" t="n">
        <v>46307</v>
      </c>
      <c r="D78" s="63" t="inlineStr">
        <is>
          <t>KUL-PEN</t>
        </is>
      </c>
      <c r="E78" s="63" t="inlineStr">
        <is>
          <t>BC</t>
        </is>
      </c>
      <c r="F78" s="63" t="inlineStr">
        <is>
          <t>B738MAX</t>
        </is>
      </c>
      <c r="G78" s="63" t="inlineStr">
        <is>
          <t>F&amp;B Linen</t>
        </is>
      </c>
      <c r="H78" s="63" t="inlineStr">
        <is>
          <t>Tray cloth</t>
        </is>
      </c>
      <c r="I78" s="63" t="inlineStr">
        <is>
          <t>Available (ticked in reference)</t>
        </is>
      </c>
      <c r="J78" s="63" t="inlineStr"/>
      <c r="K78" s="63" t="inlineStr">
        <is>
          <t>Not stated in reference</t>
        </is>
      </c>
      <c r="L78" s="63" t="inlineStr">
        <is>
          <t>Required</t>
        </is>
      </c>
      <c r="M78" s="63" t="inlineStr"/>
      <c r="N78" s="63" t="inlineStr">
        <is>
          <t>STD UPLIFT INFORMATION.xlsx &gt; F&amp;B LINEN!E66</t>
        </is>
      </c>
    </row>
    <row r="79" ht="28" customHeight="1">
      <c r="A79" s="63" t="inlineStr">
        <is>
          <t>F10</t>
        </is>
      </c>
      <c r="B79" s="63" t="inlineStr">
        <is>
          <t>MH1140</t>
        </is>
      </c>
      <c r="C79" s="64" t="n">
        <v>46307</v>
      </c>
      <c r="D79" s="63" t="inlineStr">
        <is>
          <t>KUL-PEN</t>
        </is>
      </c>
      <c r="E79" s="63" t="inlineStr">
        <is>
          <t>BC</t>
        </is>
      </c>
      <c r="F79" s="63" t="inlineStr">
        <is>
          <t>B738MAX</t>
        </is>
      </c>
      <c r="G79" s="63" t="inlineStr">
        <is>
          <t>F&amp;B Linen</t>
        </is>
      </c>
      <c r="H79" s="63" t="inlineStr">
        <is>
          <t>Napkin</t>
        </is>
      </c>
      <c r="I79" s="63" t="inlineStr">
        <is>
          <t>Available (ticked in reference)</t>
        </is>
      </c>
      <c r="J79" s="63" t="inlineStr"/>
      <c r="K79" s="63" t="inlineStr">
        <is>
          <t>Not stated in reference</t>
        </is>
      </c>
      <c r="L79" s="63" t="inlineStr">
        <is>
          <t>Required</t>
        </is>
      </c>
      <c r="M79" s="63" t="inlineStr"/>
      <c r="N79" s="63" t="inlineStr">
        <is>
          <t>STD UPLIFT INFORMATION.xlsx &gt; F&amp;B LINEN!F66</t>
        </is>
      </c>
    </row>
    <row r="80" ht="28" customHeight="1">
      <c r="A80" s="63" t="inlineStr">
        <is>
          <t>F10</t>
        </is>
      </c>
      <c r="B80" s="63" t="inlineStr">
        <is>
          <t>MH1140</t>
        </is>
      </c>
      <c r="C80" s="64" t="n">
        <v>46307</v>
      </c>
      <c r="D80" s="63" t="inlineStr">
        <is>
          <t>KUL-PEN</t>
        </is>
      </c>
      <c r="E80" s="63" t="inlineStr">
        <is>
          <t>BC</t>
        </is>
      </c>
      <c r="F80" s="63" t="inlineStr">
        <is>
          <t>B738MAX</t>
        </is>
      </c>
      <c r="G80" s="63" t="inlineStr">
        <is>
          <t>F&amp;B Linen</t>
        </is>
      </c>
      <c r="H80" s="63" t="inlineStr">
        <is>
          <t>Trolley cloth</t>
        </is>
      </c>
      <c r="I80" s="63" t="inlineStr">
        <is>
          <t>Narrow body: Top only</t>
        </is>
      </c>
      <c r="J80" s="63" t="inlineStr"/>
      <c r="K80" s="63" t="inlineStr">
        <is>
          <t>Not stated in reference</t>
        </is>
      </c>
      <c r="L80" s="63" t="inlineStr">
        <is>
          <t>Required</t>
        </is>
      </c>
      <c r="M80" s="63" t="inlineStr">
        <is>
          <t>Per note F&amp;B LINEN!B79:C80.</t>
        </is>
      </c>
      <c r="N80" s="63" t="inlineStr">
        <is>
          <t>STD UPLIFT INFORMATION.xlsx &gt; F&amp;B LINEN!I66</t>
        </is>
      </c>
    </row>
    <row r="81" ht="28" customHeight="1">
      <c r="A81" s="63" t="inlineStr">
        <is>
          <t>F10</t>
        </is>
      </c>
      <c r="B81" s="63" t="inlineStr">
        <is>
          <t>MH1140</t>
        </is>
      </c>
      <c r="C81" s="64" t="n">
        <v>46307</v>
      </c>
      <c r="D81" s="63" t="inlineStr">
        <is>
          <t>KUL-PEN</t>
        </is>
      </c>
      <c r="E81" s="63" t="inlineStr">
        <is>
          <t>BC</t>
        </is>
      </c>
      <c r="F81" s="63" t="inlineStr">
        <is>
          <t>B738MAX</t>
        </is>
      </c>
      <c r="G81" s="63" t="inlineStr">
        <is>
          <t>F&amp;B Linen</t>
        </is>
      </c>
      <c r="H81" s="63" t="inlineStr">
        <is>
          <t>Linen bag</t>
        </is>
      </c>
      <c r="I81" s="63" t="inlineStr">
        <is>
          <t>Available (ticked in reference)</t>
        </is>
      </c>
      <c r="J81" s="63" t="inlineStr"/>
      <c r="K81" s="63" t="inlineStr">
        <is>
          <t>Not stated in reference</t>
        </is>
      </c>
      <c r="L81" s="63" t="inlineStr">
        <is>
          <t>Required</t>
        </is>
      </c>
      <c r="M81" s="63" t="inlineStr"/>
      <c r="N81" s="63" t="inlineStr">
        <is>
          <t>STD UPLIFT INFORMATION.xlsx &gt; F&amp;B LINEN!J66</t>
        </is>
      </c>
    </row>
    <row r="82" ht="28" customHeight="1">
      <c r="A82" s="63" t="inlineStr">
        <is>
          <t>F10</t>
        </is>
      </c>
      <c r="B82" s="63" t="inlineStr">
        <is>
          <t>MH1140</t>
        </is>
      </c>
      <c r="C82" s="64" t="n">
        <v>46307</v>
      </c>
      <c r="D82" s="63" t="inlineStr">
        <is>
          <t>KUL-PEN</t>
        </is>
      </c>
      <c r="E82" s="63" t="inlineStr">
        <is>
          <t>BC</t>
        </is>
      </c>
      <c r="F82" s="63" t="inlineStr">
        <is>
          <t>B738MAX</t>
        </is>
      </c>
      <c r="G82" s="63" t="inlineStr">
        <is>
          <t>Seat Linen</t>
        </is>
      </c>
      <c r="H82" s="63" t="inlineStr">
        <is>
          <t>Seat pillow (BS &amp; BC)</t>
        </is>
      </c>
      <c r="I82" s="63" t="inlineStr">
        <is>
          <t>Available 100% (ticked in reference)</t>
        </is>
      </c>
      <c r="J82" s="63" t="inlineStr"/>
      <c r="K82" s="63" t="inlineStr">
        <is>
          <t>Not stated in reference</t>
        </is>
      </c>
      <c r="L82" s="63" t="inlineStr">
        <is>
          <t>Required</t>
        </is>
      </c>
      <c r="M82" s="63" t="inlineStr"/>
      <c r="N82" s="63" t="inlineStr">
        <is>
          <t>STD UPLIFT INFORMATION.xlsx &gt; SEAT LINEN!E62</t>
        </is>
      </c>
    </row>
    <row r="83" ht="28" customHeight="1">
      <c r="A83" s="63" t="inlineStr">
        <is>
          <t>F10</t>
        </is>
      </c>
      <c r="B83" s="63" t="inlineStr">
        <is>
          <t>MH1140</t>
        </is>
      </c>
      <c r="C83" s="64" t="n">
        <v>46307</v>
      </c>
      <c r="D83" s="63" t="inlineStr">
        <is>
          <t>KUL-PEN</t>
        </is>
      </c>
      <c r="E83" s="63" t="inlineStr">
        <is>
          <t>BC</t>
        </is>
      </c>
      <c r="F83" s="63" t="inlineStr">
        <is>
          <t>B738MAX</t>
        </is>
      </c>
      <c r="G83" s="63" t="inlineStr">
        <is>
          <t>Seat Linen</t>
        </is>
      </c>
      <c r="H83" s="63" t="inlineStr">
        <is>
          <t>Blanket (BS &amp; BC)</t>
        </is>
      </c>
      <c r="I83" s="63" t="inlineStr">
        <is>
          <t>Available 100% (ticked in reference)</t>
        </is>
      </c>
      <c r="J83" s="63" t="inlineStr"/>
      <c r="K83" s="63" t="inlineStr">
        <is>
          <t>Not stated in reference</t>
        </is>
      </c>
      <c r="L83" s="63" t="inlineStr">
        <is>
          <t>Required</t>
        </is>
      </c>
      <c r="M83" s="63" t="inlineStr"/>
      <c r="N83" s="63" t="inlineStr">
        <is>
          <t>STD UPLIFT INFORMATION.xlsx &gt; SEAT LINEN!H62</t>
        </is>
      </c>
    </row>
    <row r="84" ht="28" customHeight="1">
      <c r="A84" s="63" t="inlineStr">
        <is>
          <t>F11</t>
        </is>
      </c>
      <c r="B84" s="63" t="inlineStr">
        <is>
          <t>MH1149</t>
        </is>
      </c>
      <c r="C84" s="64" t="n">
        <v>46307</v>
      </c>
      <c r="D84" s="63" t="inlineStr">
        <is>
          <t>PEN-KUL</t>
        </is>
      </c>
      <c r="E84" s="63" t="inlineStr">
        <is>
          <t>EY</t>
        </is>
      </c>
      <c r="F84" s="63" t="inlineStr">
        <is>
          <t>B738MAX</t>
        </is>
      </c>
      <c r="G84" s="63" t="inlineStr">
        <is>
          <t>Seat Linen</t>
        </is>
      </c>
      <c r="H84" s="63" t="inlineStr">
        <is>
          <t>Seat pillow (EY)</t>
        </is>
      </c>
      <c r="I84" s="63" t="inlineStr">
        <is>
          <t>Available 100% (ticked in reference)</t>
        </is>
      </c>
      <c r="J84" s="63" t="inlineStr"/>
      <c r="K84" s="63" t="inlineStr">
        <is>
          <t>Not stated in reference</t>
        </is>
      </c>
      <c r="L84" s="63" t="inlineStr">
        <is>
          <t>Required</t>
        </is>
      </c>
      <c r="M84" s="63" t="inlineStr"/>
      <c r="N84" s="63" t="inlineStr">
        <is>
          <t>STD UPLIFT INFORMATION.xlsx &gt; SEAT LINEN!I62</t>
        </is>
      </c>
    </row>
    <row r="85" ht="28" customHeight="1">
      <c r="A85" s="63" t="inlineStr">
        <is>
          <t>F12</t>
        </is>
      </c>
      <c r="B85" s="63" t="inlineStr">
        <is>
          <t>MH0139</t>
        </is>
      </c>
      <c r="C85" s="64" t="n">
        <v>46307</v>
      </c>
      <c r="D85" s="63" t="inlineStr">
        <is>
          <t>KUL-ADL</t>
        </is>
      </c>
      <c r="E85" s="63" t="inlineStr">
        <is>
          <t>BC</t>
        </is>
      </c>
      <c r="F85" s="63" t="inlineStr">
        <is>
          <t>A339</t>
        </is>
      </c>
      <c r="G85" s="63" t="inlineStr">
        <is>
          <t>Amenities</t>
        </is>
      </c>
      <c r="H85" s="63" t="inlineStr">
        <is>
          <t>Toiletry kits</t>
        </is>
      </c>
      <c r="I85" s="63" t="inlineStr">
        <is>
          <t>Available (ticked in reference)</t>
        </is>
      </c>
      <c r="J85" s="63" t="inlineStr"/>
      <c r="K85" s="63" t="inlineStr">
        <is>
          <t>KUL</t>
        </is>
      </c>
      <c r="L85" s="63" t="inlineStr">
        <is>
          <t>Required</t>
        </is>
      </c>
      <c r="M85" s="63" t="inlineStr"/>
      <c r="N85" s="63" t="inlineStr">
        <is>
          <t>STD UPLIFT INFORMATION.xlsx &gt; AMENITIES!D18 / H18</t>
        </is>
      </c>
    </row>
    <row r="86" ht="28" customHeight="1">
      <c r="A86" s="63" t="inlineStr">
        <is>
          <t>F12</t>
        </is>
      </c>
      <c r="B86" s="63" t="inlineStr">
        <is>
          <t>MH0139</t>
        </is>
      </c>
      <c r="C86" s="64" t="n">
        <v>46307</v>
      </c>
      <c r="D86" s="63" t="inlineStr">
        <is>
          <t>KUL-ADL</t>
        </is>
      </c>
      <c r="E86" s="63" t="inlineStr">
        <is>
          <t>BC</t>
        </is>
      </c>
      <c r="F86" s="63" t="inlineStr">
        <is>
          <t>A339</t>
        </is>
      </c>
      <c r="G86" s="63" t="inlineStr">
        <is>
          <t>Amenities</t>
        </is>
      </c>
      <c r="H86" s="63" t="inlineStr">
        <is>
          <t>Slippers (BS/BC)</t>
        </is>
      </c>
      <c r="I86" s="63" t="inlineStr">
        <is>
          <t>Available (ticked in reference)</t>
        </is>
      </c>
      <c r="J86" s="63" t="inlineStr"/>
      <c r="K86" s="63" t="inlineStr">
        <is>
          <t>KUL</t>
        </is>
      </c>
      <c r="L86" s="63" t="inlineStr">
        <is>
          <t>Required</t>
        </is>
      </c>
      <c r="M86" s="63" t="inlineStr"/>
      <c r="N86" s="63" t="inlineStr">
        <is>
          <t>STD UPLIFT INFORMATION.xlsx &gt; AMENITIES!G18 / H18</t>
        </is>
      </c>
    </row>
    <row r="87" ht="28" customHeight="1">
      <c r="A87" s="63" t="inlineStr">
        <is>
          <t>F12</t>
        </is>
      </c>
      <c r="B87" s="63" t="inlineStr">
        <is>
          <t>MH0139</t>
        </is>
      </c>
      <c r="C87" s="64" t="n">
        <v>46307</v>
      </c>
      <c r="D87" s="63" t="inlineStr">
        <is>
          <t>KUL-ADL</t>
        </is>
      </c>
      <c r="E87" s="63" t="inlineStr">
        <is>
          <t>BC</t>
        </is>
      </c>
      <c r="F87" s="63" t="inlineStr">
        <is>
          <t>A339</t>
        </is>
      </c>
      <c r="G87" s="63" t="inlineStr">
        <is>
          <t>F&amp;B Linen</t>
        </is>
      </c>
      <c r="H87" s="63" t="inlineStr">
        <is>
          <t>Towel</t>
        </is>
      </c>
      <c r="I87" s="63" t="inlineStr">
        <is>
          <t>Available (ticked in reference)</t>
        </is>
      </c>
      <c r="J87" s="63" t="inlineStr"/>
      <c r="K87" s="63" t="inlineStr">
        <is>
          <t>Not stated in reference</t>
        </is>
      </c>
      <c r="L87" s="63" t="inlineStr">
        <is>
          <t>Required</t>
        </is>
      </c>
      <c r="M87" s="63" t="inlineStr"/>
      <c r="N87" s="63" t="inlineStr">
        <is>
          <t>STD UPLIFT INFORMATION.xlsx &gt; F&amp;B LINEN!D9</t>
        </is>
      </c>
    </row>
    <row r="88" ht="28" customHeight="1">
      <c r="A88" s="63" t="inlineStr">
        <is>
          <t>F12</t>
        </is>
      </c>
      <c r="B88" s="63" t="inlineStr">
        <is>
          <t>MH0139</t>
        </is>
      </c>
      <c r="C88" s="64" t="n">
        <v>46307</v>
      </c>
      <c r="D88" s="63" t="inlineStr">
        <is>
          <t>KUL-ADL</t>
        </is>
      </c>
      <c r="E88" s="63" t="inlineStr">
        <is>
          <t>BC</t>
        </is>
      </c>
      <c r="F88" s="63" t="inlineStr">
        <is>
          <t>A339</t>
        </is>
      </c>
      <c r="G88" s="63" t="inlineStr">
        <is>
          <t>F&amp;B Linen</t>
        </is>
      </c>
      <c r="H88" s="63" t="inlineStr">
        <is>
          <t>Tray cloth</t>
        </is>
      </c>
      <c r="I88" s="63" t="inlineStr">
        <is>
          <t>Available (ticked in reference)</t>
        </is>
      </c>
      <c r="J88" s="63" t="inlineStr"/>
      <c r="K88" s="63" t="inlineStr">
        <is>
          <t>Not stated in reference</t>
        </is>
      </c>
      <c r="L88" s="63" t="inlineStr">
        <is>
          <t>Required</t>
        </is>
      </c>
      <c r="M88" s="63" t="inlineStr"/>
      <c r="N88" s="63" t="inlineStr">
        <is>
          <t>STD UPLIFT INFORMATION.xlsx &gt; F&amp;B LINEN!E9</t>
        </is>
      </c>
    </row>
    <row r="89" ht="28" customHeight="1">
      <c r="A89" s="63" t="inlineStr">
        <is>
          <t>F12</t>
        </is>
      </c>
      <c r="B89" s="63" t="inlineStr">
        <is>
          <t>MH0139</t>
        </is>
      </c>
      <c r="C89" s="64" t="n">
        <v>46307</v>
      </c>
      <c r="D89" s="63" t="inlineStr">
        <is>
          <t>KUL-ADL</t>
        </is>
      </c>
      <c r="E89" s="63" t="inlineStr">
        <is>
          <t>BC</t>
        </is>
      </c>
      <c r="F89" s="63" t="inlineStr">
        <is>
          <t>A339</t>
        </is>
      </c>
      <c r="G89" s="63" t="inlineStr">
        <is>
          <t>F&amp;B Linen</t>
        </is>
      </c>
      <c r="H89" s="63" t="inlineStr">
        <is>
          <t>Napkin</t>
        </is>
      </c>
      <c r="I89" s="63" t="inlineStr">
        <is>
          <t>Available (ticked in reference)</t>
        </is>
      </c>
      <c r="J89" s="63" t="inlineStr"/>
      <c r="K89" s="63" t="inlineStr">
        <is>
          <t>Not stated in reference</t>
        </is>
      </c>
      <c r="L89" s="63" t="inlineStr">
        <is>
          <t>Required</t>
        </is>
      </c>
      <c r="M89" s="63" t="inlineStr"/>
      <c r="N89" s="63" t="inlineStr">
        <is>
          <t>STD UPLIFT INFORMATION.xlsx &gt; F&amp;B LINEN!F9</t>
        </is>
      </c>
    </row>
    <row r="90" ht="28" customHeight="1">
      <c r="A90" s="63" t="inlineStr">
        <is>
          <t>F12</t>
        </is>
      </c>
      <c r="B90" s="63" t="inlineStr">
        <is>
          <t>MH0139</t>
        </is>
      </c>
      <c r="C90" s="64" t="n">
        <v>46307</v>
      </c>
      <c r="D90" s="63" t="inlineStr">
        <is>
          <t>KUL-ADL</t>
        </is>
      </c>
      <c r="E90" s="63" t="inlineStr">
        <is>
          <t>BC</t>
        </is>
      </c>
      <c r="F90" s="63" t="inlineStr">
        <is>
          <t>A339</t>
        </is>
      </c>
      <c r="G90" s="63" t="inlineStr">
        <is>
          <t>F&amp;B Linen</t>
        </is>
      </c>
      <c r="H90" s="63" t="inlineStr">
        <is>
          <t>Table cloth</t>
        </is>
      </c>
      <c r="I90" s="63" t="inlineStr">
        <is>
          <t>Available (ticked in reference)</t>
        </is>
      </c>
      <c r="J90" s="63" t="inlineStr"/>
      <c r="K90" s="63" t="inlineStr">
        <is>
          <t>Not stated in reference</t>
        </is>
      </c>
      <c r="L90" s="63" t="inlineStr">
        <is>
          <t>Required</t>
        </is>
      </c>
      <c r="M90" s="63" t="inlineStr"/>
      <c r="N90" s="63" t="inlineStr">
        <is>
          <t>STD UPLIFT INFORMATION.xlsx &gt; F&amp;B LINEN!G9</t>
        </is>
      </c>
    </row>
    <row r="91" ht="28" customHeight="1">
      <c r="A91" s="63" t="inlineStr">
        <is>
          <t>F12</t>
        </is>
      </c>
      <c r="B91" s="63" t="inlineStr">
        <is>
          <t>MH0139</t>
        </is>
      </c>
      <c r="C91" s="64" t="n">
        <v>46307</v>
      </c>
      <c r="D91" s="63" t="inlineStr">
        <is>
          <t>KUL-ADL</t>
        </is>
      </c>
      <c r="E91" s="63" t="inlineStr">
        <is>
          <t>BC</t>
        </is>
      </c>
      <c r="F91" s="63" t="inlineStr">
        <is>
          <t>A339</t>
        </is>
      </c>
      <c r="G91" s="63" t="inlineStr">
        <is>
          <t>F&amp;B Linen</t>
        </is>
      </c>
      <c r="H91" s="63" t="inlineStr">
        <is>
          <t>Bread linen (using table cloth)</t>
        </is>
      </c>
      <c r="I91" s="63" t="inlineStr">
        <is>
          <t>Available (ticked in reference)</t>
        </is>
      </c>
      <c r="J91" s="63" t="inlineStr"/>
      <c r="K91" s="63" t="inlineStr">
        <is>
          <t>Not stated in reference</t>
        </is>
      </c>
      <c r="L91" s="63" t="inlineStr">
        <is>
          <t>Required</t>
        </is>
      </c>
      <c r="M91" s="63" t="inlineStr"/>
      <c r="N91" s="63" t="inlineStr">
        <is>
          <t>STD UPLIFT INFORMATION.xlsx &gt; F&amp;B LINEN!H9</t>
        </is>
      </c>
    </row>
    <row r="92" ht="28" customHeight="1">
      <c r="A92" s="63" t="inlineStr">
        <is>
          <t>F12</t>
        </is>
      </c>
      <c r="B92" s="63" t="inlineStr">
        <is>
          <t>MH0139</t>
        </is>
      </c>
      <c r="C92" s="64" t="n">
        <v>46307</v>
      </c>
      <c r="D92" s="63" t="inlineStr">
        <is>
          <t>KUL-ADL</t>
        </is>
      </c>
      <c r="E92" s="63" t="inlineStr">
        <is>
          <t>BC</t>
        </is>
      </c>
      <c r="F92" s="63" t="inlineStr">
        <is>
          <t>A339</t>
        </is>
      </c>
      <c r="G92" s="63" t="inlineStr">
        <is>
          <t>F&amp;B Linen</t>
        </is>
      </c>
      <c r="H92" s="63" t="inlineStr">
        <is>
          <t>Trolley cloth</t>
        </is>
      </c>
      <c r="I92" s="63" t="inlineStr">
        <is>
          <t>Wide body: Top/Middle &amp; Bottom</t>
        </is>
      </c>
      <c r="J92" s="63" t="inlineStr"/>
      <c r="K92" s="63" t="inlineStr">
        <is>
          <t>Not stated in reference</t>
        </is>
      </c>
      <c r="L92" s="63" t="inlineStr">
        <is>
          <t>Required</t>
        </is>
      </c>
      <c r="M92" s="63" t="inlineStr">
        <is>
          <t>Per note F&amp;B LINEN!B79:C80.</t>
        </is>
      </c>
      <c r="N92" s="63" t="inlineStr">
        <is>
          <t>STD UPLIFT INFORMATION.xlsx &gt; F&amp;B LINEN!I9</t>
        </is>
      </c>
    </row>
    <row r="93" ht="28" customHeight="1">
      <c r="A93" s="63" t="inlineStr">
        <is>
          <t>F12</t>
        </is>
      </c>
      <c r="B93" s="63" t="inlineStr">
        <is>
          <t>MH0139</t>
        </is>
      </c>
      <c r="C93" s="64" t="n">
        <v>46307</v>
      </c>
      <c r="D93" s="63" t="inlineStr">
        <is>
          <t>KUL-ADL</t>
        </is>
      </c>
      <c r="E93" s="63" t="inlineStr">
        <is>
          <t>BC</t>
        </is>
      </c>
      <c r="F93" s="63" t="inlineStr">
        <is>
          <t>A339</t>
        </is>
      </c>
      <c r="G93" s="63" t="inlineStr">
        <is>
          <t>F&amp;B Linen</t>
        </is>
      </c>
      <c r="H93" s="63" t="inlineStr">
        <is>
          <t>Linen bag</t>
        </is>
      </c>
      <c r="I93" s="63" t="inlineStr">
        <is>
          <t>Available (ticked in reference)</t>
        </is>
      </c>
      <c r="J93" s="63" t="inlineStr"/>
      <c r="K93" s="63" t="inlineStr">
        <is>
          <t>Not stated in reference</t>
        </is>
      </c>
      <c r="L93" s="63" t="inlineStr">
        <is>
          <t>Required</t>
        </is>
      </c>
      <c r="M93" s="63" t="inlineStr"/>
      <c r="N93" s="63" t="inlineStr">
        <is>
          <t>STD UPLIFT INFORMATION.xlsx &gt; F&amp;B LINEN!J9</t>
        </is>
      </c>
    </row>
    <row r="94" ht="28" customHeight="1">
      <c r="A94" s="63" t="inlineStr">
        <is>
          <t>F12</t>
        </is>
      </c>
      <c r="B94" s="63" t="inlineStr">
        <is>
          <t>MH0139</t>
        </is>
      </c>
      <c r="C94" s="64" t="n">
        <v>46307</v>
      </c>
      <c r="D94" s="63" t="inlineStr">
        <is>
          <t>KUL-ADL</t>
        </is>
      </c>
      <c r="E94" s="63" t="inlineStr">
        <is>
          <t>BC</t>
        </is>
      </c>
      <c r="F94" s="63" t="inlineStr">
        <is>
          <t>A339</t>
        </is>
      </c>
      <c r="G94" s="63" t="inlineStr">
        <is>
          <t>Seat Linen</t>
        </is>
      </c>
      <c r="H94" s="63" t="inlineStr">
        <is>
          <t>Seat pillow (BS &amp; BC)</t>
        </is>
      </c>
      <c r="I94" s="63" t="inlineStr">
        <is>
          <t>Available 100% (ticked in reference)</t>
        </is>
      </c>
      <c r="J94" s="63" t="inlineStr"/>
      <c r="K94" s="63" t="inlineStr">
        <is>
          <t>Not stated in reference</t>
        </is>
      </c>
      <c r="L94" s="63" t="inlineStr">
        <is>
          <t>Required</t>
        </is>
      </c>
      <c r="M94" s="63" t="inlineStr"/>
      <c r="N94" s="63" t="inlineStr">
        <is>
          <t>STD UPLIFT INFORMATION.xlsx &gt; SEAT LINEN!E9</t>
        </is>
      </c>
    </row>
    <row r="95" ht="28" customHeight="1">
      <c r="A95" s="63" t="inlineStr">
        <is>
          <t>F12</t>
        </is>
      </c>
      <c r="B95" s="63" t="inlineStr">
        <is>
          <t>MH0139</t>
        </is>
      </c>
      <c r="C95" s="64" t="n">
        <v>46307</v>
      </c>
      <c r="D95" s="63" t="inlineStr">
        <is>
          <t>KUL-ADL</t>
        </is>
      </c>
      <c r="E95" s="63" t="inlineStr">
        <is>
          <t>BC</t>
        </is>
      </c>
      <c r="F95" s="63" t="inlineStr">
        <is>
          <t>A339</t>
        </is>
      </c>
      <c r="G95" s="63" t="inlineStr">
        <is>
          <t>Seat Linen</t>
        </is>
      </c>
      <c r="H95" s="63" t="inlineStr">
        <is>
          <t>Duvet (BS &amp; BC)</t>
        </is>
      </c>
      <c r="I95" s="63" t="inlineStr">
        <is>
          <t>Available 100% (ticked in reference)</t>
        </is>
      </c>
      <c r="J95" s="63" t="inlineStr"/>
      <c r="K95" s="63" t="inlineStr">
        <is>
          <t>Not stated in reference</t>
        </is>
      </c>
      <c r="L95" s="63" t="inlineStr">
        <is>
          <t>Required</t>
        </is>
      </c>
      <c r="M95" s="63" t="inlineStr"/>
      <c r="N95" s="63" t="inlineStr">
        <is>
          <t>STD UPLIFT INFORMATION.xlsx &gt; SEAT LINEN!F9</t>
        </is>
      </c>
    </row>
    <row r="96" ht="28" customHeight="1">
      <c r="A96" s="63" t="inlineStr">
        <is>
          <t>F12</t>
        </is>
      </c>
      <c r="B96" s="63" t="inlineStr">
        <is>
          <t>MH0139</t>
        </is>
      </c>
      <c r="C96" s="64" t="n">
        <v>46307</v>
      </c>
      <c r="D96" s="63" t="inlineStr">
        <is>
          <t>KUL-ADL</t>
        </is>
      </c>
      <c r="E96" s="63" t="inlineStr">
        <is>
          <t>BC</t>
        </is>
      </c>
      <c r="F96" s="63" t="inlineStr">
        <is>
          <t>A339</t>
        </is>
      </c>
      <c r="G96" s="63" t="inlineStr">
        <is>
          <t>Seat Linen</t>
        </is>
      </c>
      <c r="H96" s="63" t="inlineStr">
        <is>
          <t>Mattress (BS &amp; BC)</t>
        </is>
      </c>
      <c r="I96" s="63" t="inlineStr">
        <is>
          <t>Available 100% (ticked in reference)</t>
        </is>
      </c>
      <c r="J96" s="63" t="inlineStr"/>
      <c r="K96" s="63" t="inlineStr">
        <is>
          <t>Not stated in reference</t>
        </is>
      </c>
      <c r="L96" s="63" t="inlineStr">
        <is>
          <t>Required</t>
        </is>
      </c>
      <c r="M96" s="63" t="inlineStr"/>
      <c r="N96" s="63" t="inlineStr">
        <is>
          <t>STD UPLIFT INFORMATION.xlsx &gt; SEAT LINEN!G9</t>
        </is>
      </c>
    </row>
    <row r="97" ht="28" customHeight="1">
      <c r="A97" s="63" t="inlineStr">
        <is>
          <t>F12</t>
        </is>
      </c>
      <c r="B97" s="63" t="inlineStr">
        <is>
          <t>MH0139</t>
        </is>
      </c>
      <c r="C97" s="64" t="n">
        <v>46307</v>
      </c>
      <c r="D97" s="63" t="inlineStr">
        <is>
          <t>KUL-ADL</t>
        </is>
      </c>
      <c r="E97" s="63" t="inlineStr">
        <is>
          <t>BC</t>
        </is>
      </c>
      <c r="F97" s="63" t="inlineStr">
        <is>
          <t>A339</t>
        </is>
      </c>
      <c r="G97" s="63" t="inlineStr">
        <is>
          <t>Signature Drinks</t>
        </is>
      </c>
      <c r="H97" s="63" t="inlineStr">
        <is>
          <t>Signature drink &amp; garnish (BC)</t>
        </is>
      </c>
      <c r="I97" s="63" t="inlineStr">
        <is>
          <t>Available (ticked in reference)</t>
        </is>
      </c>
      <c r="J97" s="63" t="inlineStr"/>
      <c r="K97" s="63" t="inlineStr">
        <is>
          <t>KUL</t>
        </is>
      </c>
      <c r="L97" s="63" t="inlineStr">
        <is>
          <t>Required</t>
        </is>
      </c>
      <c r="M97" s="63" t="inlineStr">
        <is>
          <t>Signature drinks &amp; garnish uplifted from KUL (note D79).</t>
        </is>
      </c>
      <c r="N97" s="63" t="inlineStr">
        <is>
          <t>STD UPLIFT INFORMATION.xlsx &gt; Signature Drinks!F9 / G9 / D79</t>
        </is>
      </c>
    </row>
    <row r="98" ht="28" customHeight="1">
      <c r="A98" s="63" t="inlineStr">
        <is>
          <t>F12</t>
        </is>
      </c>
      <c r="B98" s="63" t="inlineStr">
        <is>
          <t>MH0139</t>
        </is>
      </c>
      <c r="C98" s="64" t="n">
        <v>46307</v>
      </c>
      <c r="D98" s="63" t="inlineStr">
        <is>
          <t>KUL-ADL</t>
        </is>
      </c>
      <c r="E98" s="63" t="inlineStr">
        <is>
          <t>BC</t>
        </is>
      </c>
      <c r="F98" s="63" t="inlineStr">
        <is>
          <t>A339</t>
        </is>
      </c>
      <c r="G98" s="63" t="inlineStr">
        <is>
          <t>Sales Cart</t>
        </is>
      </c>
      <c r="H98" s="63" t="inlineStr">
        <is>
          <t>Sales cart (caterer PASB)</t>
        </is>
      </c>
      <c r="I98" s="63" t="inlineStr">
        <is>
          <t>Location 241 &amp; 947 (A339)</t>
        </is>
      </c>
      <c r="J98" s="63" t="inlineStr"/>
      <c r="K98" s="63" t="inlineStr">
        <is>
          <t>Not stated in reference</t>
        </is>
      </c>
      <c r="L98" s="63" t="inlineStr">
        <is>
          <t>Required</t>
        </is>
      </c>
      <c r="M98" s="63" t="inlineStr">
        <is>
          <t>Block 7.08 h &gt;= 4 h.</t>
        </is>
      </c>
      <c r="N98" s="63" t="inlineStr">
        <is>
          <t>STD UPLIFT INFORMATION.xlsx &gt; SALES CART!J8:J17 / C13 / C40</t>
        </is>
      </c>
    </row>
    <row r="99" ht="40.5" customHeight="1">
      <c r="A99" s="63" t="inlineStr">
        <is>
          <t>F13</t>
        </is>
      </c>
      <c r="B99" s="63" t="inlineStr">
        <is>
          <t>MH0138</t>
        </is>
      </c>
      <c r="C99" s="64" t="n">
        <v>46309</v>
      </c>
      <c r="D99" s="63" t="inlineStr">
        <is>
          <t>ADL-KUL</t>
        </is>
      </c>
      <c r="E99" s="63" t="inlineStr">
        <is>
          <t>EY</t>
        </is>
      </c>
      <c r="F99" s="63" t="inlineStr">
        <is>
          <t>A339</t>
        </is>
      </c>
      <c r="G99" s="63" t="inlineStr">
        <is>
          <t>Amenities</t>
        </is>
      </c>
      <c r="H99" s="63" t="inlineStr">
        <is>
          <t>Toiletry kits</t>
        </is>
      </c>
      <c r="I99" s="63" t="inlineStr">
        <is>
          <t>Available for sector (ticked in reference)</t>
        </is>
      </c>
      <c r="J99" s="63" t="inlineStr"/>
      <c r="K99" s="63" t="inlineStr">
        <is>
          <t>KUL</t>
        </is>
      </c>
      <c r="L99" s="80" t="inlineStr">
        <is>
          <t>Clarification required</t>
        </is>
      </c>
      <c r="M99" s="63" t="inlineStr">
        <is>
          <t>Reference does not state the cabin class for toiletry kits. Confirm whether EY receives them; if not, mark N/A with the confirmation as justification.</t>
        </is>
      </c>
      <c r="N99" s="63" t="inlineStr">
        <is>
          <t>STD UPLIFT INFORMATION.xlsx &gt; AMENITIES!D18 / H18</t>
        </is>
      </c>
    </row>
    <row r="100" ht="28" customHeight="1">
      <c r="A100" s="63" t="inlineStr">
        <is>
          <t>F13</t>
        </is>
      </c>
      <c r="B100" s="63" t="inlineStr">
        <is>
          <t>MH0138</t>
        </is>
      </c>
      <c r="C100" s="64" t="n">
        <v>46309</v>
      </c>
      <c r="D100" s="63" t="inlineStr">
        <is>
          <t>ADL-KUL</t>
        </is>
      </c>
      <c r="E100" s="63" t="inlineStr">
        <is>
          <t>EY</t>
        </is>
      </c>
      <c r="F100" s="63" t="inlineStr">
        <is>
          <t>A339</t>
        </is>
      </c>
      <c r="G100" s="63" t="inlineStr">
        <is>
          <t>Seat Linen</t>
        </is>
      </c>
      <c r="H100" s="63" t="inlineStr">
        <is>
          <t>Seat pillow (EY)</t>
        </is>
      </c>
      <c r="I100" s="63" t="inlineStr">
        <is>
          <t>Available 100% (ticked in reference)</t>
        </is>
      </c>
      <c r="J100" s="63" t="inlineStr"/>
      <c r="K100" s="63" t="inlineStr">
        <is>
          <t>Not stated in reference</t>
        </is>
      </c>
      <c r="L100" s="63" t="inlineStr">
        <is>
          <t>Required</t>
        </is>
      </c>
      <c r="M100" s="63" t="inlineStr"/>
      <c r="N100" s="63" t="inlineStr">
        <is>
          <t>STD UPLIFT INFORMATION.xlsx &gt; SEAT LINEN!I9</t>
        </is>
      </c>
    </row>
    <row r="101" ht="40.5" customHeight="1">
      <c r="A101" s="63" t="inlineStr">
        <is>
          <t>F13</t>
        </is>
      </c>
      <c r="B101" s="63" t="inlineStr">
        <is>
          <t>MH0138</t>
        </is>
      </c>
      <c r="C101" s="64" t="n">
        <v>46309</v>
      </c>
      <c r="D101" s="63" t="inlineStr">
        <is>
          <t>ADL-KUL</t>
        </is>
      </c>
      <c r="E101" s="63" t="inlineStr">
        <is>
          <t>EY</t>
        </is>
      </c>
      <c r="F101" s="63" t="inlineStr">
        <is>
          <t>A339</t>
        </is>
      </c>
      <c r="G101" s="63" t="inlineStr">
        <is>
          <t>Seat Linen</t>
        </is>
      </c>
      <c r="H101" s="63" t="inlineStr">
        <is>
          <t>Blanket (EY)</t>
        </is>
      </c>
      <c r="I101" s="63" t="inlineStr">
        <is>
          <t>Available 100% (ticked in reference)</t>
        </is>
      </c>
      <c r="J101" s="63" t="inlineStr">
        <is>
          <t>280</t>
        </is>
      </c>
      <c r="K101" s="63" t="inlineStr">
        <is>
          <t>Not stated in reference</t>
        </is>
      </c>
      <c r="L101" s="63" t="inlineStr">
        <is>
          <t>Required</t>
        </is>
      </c>
      <c r="M101" s="63" t="inlineStr">
        <is>
          <t>EY blanket: flight above 3 hours excl. Regional (SEAT LINEN!B74:C74); block 7.75 h. Qty 280 pcs (14 bundles) for A332/A333/A339 (SEAT LINEN!B75:C75).</t>
        </is>
      </c>
      <c r="N101" s="63" t="inlineStr">
        <is>
          <t>STD UPLIFT INFORMATION.xlsx &gt; SEAT LINEN!J9</t>
        </is>
      </c>
    </row>
    <row r="102" ht="53" customHeight="1">
      <c r="A102" s="63" t="inlineStr">
        <is>
          <t>F13</t>
        </is>
      </c>
      <c r="B102" s="63" t="inlineStr">
        <is>
          <t>MH0138</t>
        </is>
      </c>
      <c r="C102" s="64" t="n">
        <v>46309</v>
      </c>
      <c r="D102" s="63" t="inlineStr">
        <is>
          <t>ADL-KUL</t>
        </is>
      </c>
      <c r="E102" s="63" t="inlineStr">
        <is>
          <t>EY</t>
        </is>
      </c>
      <c r="F102" s="63" t="inlineStr">
        <is>
          <t>A339</t>
        </is>
      </c>
      <c r="G102" s="63" t="inlineStr">
        <is>
          <t>Sales Cart</t>
        </is>
      </c>
      <c r="H102" s="63" t="inlineStr">
        <is>
          <t>Sales cart (caterer PASB)</t>
        </is>
      </c>
      <c r="I102" s="63" t="inlineStr">
        <is>
          <t>Location 241 &amp; 947 (A339)</t>
        </is>
      </c>
      <c r="J102" s="63" t="inlineStr"/>
      <c r="K102" s="63" t="inlineStr">
        <is>
          <t>Not stated in reference</t>
        </is>
      </c>
      <c r="L102" s="80" t="inlineStr">
        <is>
          <t>Clarification required</t>
        </is>
      </c>
      <c r="M102" s="63" t="inlineStr">
        <is>
          <t>Block 7.75 h &gt;= 4 h. Reference names caterer PASB (KUL) for the KUL/ADL/KUL sector but no uplift station: confirm whether the ADL-KUL sales cart is loaded at KUL (round trip) or at ADL.</t>
        </is>
      </c>
      <c r="N102" s="63" t="inlineStr">
        <is>
          <t>STD UPLIFT INFORMATION.xlsx &gt; SALES CART!J8:J17 / C13 / C40</t>
        </is>
      </c>
    </row>
    <row r="103" ht="103" customHeight="1">
      <c r="A103" s="63" t="inlineStr">
        <is>
          <t>F14</t>
        </is>
      </c>
      <c r="B103" s="63" t="inlineStr">
        <is>
          <t>MH0004</t>
        </is>
      </c>
      <c r="C103" s="64" t="n">
        <v>46310</v>
      </c>
      <c r="D103" s="63" t="inlineStr">
        <is>
          <t>KUL-LHR</t>
        </is>
      </c>
      <c r="E103" s="63" t="inlineStr">
        <is>
          <t>EY</t>
        </is>
      </c>
      <c r="F103" s="63" t="inlineStr">
        <is>
          <t>A350</t>
        </is>
      </c>
      <c r="G103" s="63" t="inlineStr">
        <is>
          <t>Amenities</t>
        </is>
      </c>
      <c r="H103" s="63" t="inlineStr">
        <is>
          <t>Toiletry kits</t>
        </is>
      </c>
      <c r="I103" s="63" t="inlineStr">
        <is>
          <t>Available (ticked in reference)</t>
        </is>
      </c>
      <c r="J103" s="63" t="inlineStr"/>
      <c r="K103" s="63" t="inlineStr">
        <is>
          <t>LHR or KUL - confirm</t>
        </is>
      </c>
      <c r="L103" s="80" t="inlineStr">
        <is>
          <t>Clarification required</t>
        </is>
      </c>
      <c r="M103" s="63" t="inlineStr">
        <is>
          <t>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is>
      </c>
      <c r="N103" s="63" t="inlineStr">
        <is>
          <t>STD UPLIFT INFORMATION.xlsx &gt; AMENITIES!D12 / H12</t>
        </is>
      </c>
    </row>
    <row r="104" ht="28" customHeight="1">
      <c r="A104" s="63" t="inlineStr">
        <is>
          <t>F14</t>
        </is>
      </c>
      <c r="B104" s="63" t="inlineStr">
        <is>
          <t>MH0004</t>
        </is>
      </c>
      <c r="C104" s="64" t="n">
        <v>46310</v>
      </c>
      <c r="D104" s="63" t="inlineStr">
        <is>
          <t>KUL-LHR</t>
        </is>
      </c>
      <c r="E104" s="63" t="inlineStr">
        <is>
          <t>EY</t>
        </is>
      </c>
      <c r="F104" s="63" t="inlineStr">
        <is>
          <t>A350</t>
        </is>
      </c>
      <c r="G104" s="63" t="inlineStr">
        <is>
          <t>Seat Linen</t>
        </is>
      </c>
      <c r="H104" s="63" t="inlineStr">
        <is>
          <t>Seat pillow (EY)</t>
        </is>
      </c>
      <c r="I104" s="63" t="inlineStr">
        <is>
          <t>Available 100% (ticked in reference)</t>
        </is>
      </c>
      <c r="J104" s="63" t="inlineStr"/>
      <c r="K104" s="63" t="inlineStr">
        <is>
          <t>Not stated in reference</t>
        </is>
      </c>
      <c r="L104" s="63" t="inlineStr">
        <is>
          <t>Required</t>
        </is>
      </c>
      <c r="M104" s="63" t="inlineStr"/>
      <c r="N104" s="63" t="inlineStr">
        <is>
          <t>STD UPLIFT INFORMATION.xlsx &gt; SEAT LINEN!I7</t>
        </is>
      </c>
    </row>
    <row r="105" ht="53" customHeight="1">
      <c r="A105" s="63" t="inlineStr">
        <is>
          <t>F14</t>
        </is>
      </c>
      <c r="B105" s="63" t="inlineStr">
        <is>
          <t>MH0004</t>
        </is>
      </c>
      <c r="C105" s="64" t="n">
        <v>46310</v>
      </c>
      <c r="D105" s="63" t="inlineStr">
        <is>
          <t>KUL-LHR</t>
        </is>
      </c>
      <c r="E105" s="63" t="inlineStr">
        <is>
          <t>EY</t>
        </is>
      </c>
      <c r="F105" s="63" t="inlineStr">
        <is>
          <t>A350</t>
        </is>
      </c>
      <c r="G105" s="63" t="inlineStr">
        <is>
          <t>Seat Linen</t>
        </is>
      </c>
      <c r="H105" s="63" t="inlineStr">
        <is>
          <t>Blanket (EY)</t>
        </is>
      </c>
      <c r="I105" s="63" t="inlineStr">
        <is>
          <t>Available 100% (ticked in reference)</t>
        </is>
      </c>
      <c r="J105" s="63" t="inlineStr">
        <is>
          <t>280 (A350 9M-MAH) / 260 (A359) - per tail</t>
        </is>
      </c>
      <c r="K105" s="63" t="inlineStr">
        <is>
          <t>Not stated in reference</t>
        </is>
      </c>
      <c r="L105" s="63" t="inlineStr">
        <is>
          <t>Required</t>
        </is>
      </c>
      <c r="M105" s="63" t="inlineStr">
        <is>
          <t>EY blanket: flight above 3 hours excl. Regional (SEAT LINEN!B74:C74); block 13.75 h. Qty per tail: A350 280 pcs (SEAT LINEN!B76:C76), A359 260 pcs (SEAT LINEN!B77:C77).</t>
        </is>
      </c>
      <c r="N105" s="63" t="inlineStr">
        <is>
          <t>STD UPLIFT INFORMATION.xlsx &gt; SEAT LINEN!J7</t>
        </is>
      </c>
    </row>
    <row r="106" ht="40.5" customHeight="1">
      <c r="A106" s="63" t="inlineStr">
        <is>
          <t>F15</t>
        </is>
      </c>
      <c r="B106" s="63" t="inlineStr">
        <is>
          <t>MH0003</t>
        </is>
      </c>
      <c r="C106" s="64" t="n">
        <v>46320</v>
      </c>
      <c r="D106" s="63" t="inlineStr">
        <is>
          <t>LHR-KUL</t>
        </is>
      </c>
      <c r="E106" s="63" t="inlineStr">
        <is>
          <t>EY</t>
        </is>
      </c>
      <c r="F106" s="63" t="inlineStr">
        <is>
          <t>A350</t>
        </is>
      </c>
      <c r="G106" s="63" t="inlineStr">
        <is>
          <t>Amenities</t>
        </is>
      </c>
      <c r="H106" s="63" t="inlineStr">
        <is>
          <t>Toiletry kits</t>
        </is>
      </c>
      <c r="I106" s="63" t="inlineStr">
        <is>
          <t>Available for sector (ticked in reference)</t>
        </is>
      </c>
      <c r="J106" s="63" t="inlineStr"/>
      <c r="K106" s="63" t="inlineStr">
        <is>
          <t>LHR</t>
        </is>
      </c>
      <c r="L106" s="80" t="inlineStr">
        <is>
          <t>Clarification required</t>
        </is>
      </c>
      <c r="M106" s="63" t="inlineStr">
        <is>
          <t>Reference does not state the cabin class for toiletry kits. Confirm whether EY receives them; if not, mark N/A with the confirmation as justification.</t>
        </is>
      </c>
      <c r="N106" s="63" t="inlineStr">
        <is>
          <t>STD UPLIFT INFORMATION.xlsx &gt; AMENITIES!D12 / H12</t>
        </is>
      </c>
    </row>
    <row r="107" ht="28" customHeight="1">
      <c r="A107" s="63" t="inlineStr">
        <is>
          <t>F15</t>
        </is>
      </c>
      <c r="B107" s="63" t="inlineStr">
        <is>
          <t>MH0003</t>
        </is>
      </c>
      <c r="C107" s="64" t="n">
        <v>46320</v>
      </c>
      <c r="D107" s="63" t="inlineStr">
        <is>
          <t>LHR-KUL</t>
        </is>
      </c>
      <c r="E107" s="63" t="inlineStr">
        <is>
          <t>EY</t>
        </is>
      </c>
      <c r="F107" s="63" t="inlineStr">
        <is>
          <t>A350</t>
        </is>
      </c>
      <c r="G107" s="63" t="inlineStr">
        <is>
          <t>Seat Linen</t>
        </is>
      </c>
      <c r="H107" s="63" t="inlineStr">
        <is>
          <t>Seat pillow (EY)</t>
        </is>
      </c>
      <c r="I107" s="63" t="inlineStr">
        <is>
          <t>Available 100% (ticked in reference)</t>
        </is>
      </c>
      <c r="J107" s="63" t="inlineStr"/>
      <c r="K107" s="63" t="inlineStr">
        <is>
          <t>Not stated in reference</t>
        </is>
      </c>
      <c r="L107" s="63" t="inlineStr">
        <is>
          <t>Required</t>
        </is>
      </c>
      <c r="M107" s="63" t="inlineStr"/>
      <c r="N107" s="63" t="inlineStr">
        <is>
          <t>STD UPLIFT INFORMATION.xlsx &gt; SEAT LINEN!I7</t>
        </is>
      </c>
    </row>
    <row r="108" ht="53" customHeight="1">
      <c r="A108" s="63" t="inlineStr">
        <is>
          <t>F15</t>
        </is>
      </c>
      <c r="B108" s="63" t="inlineStr">
        <is>
          <t>MH0003</t>
        </is>
      </c>
      <c r="C108" s="64" t="n">
        <v>46320</v>
      </c>
      <c r="D108" s="63" t="inlineStr">
        <is>
          <t>LHR-KUL</t>
        </is>
      </c>
      <c r="E108" s="63" t="inlineStr">
        <is>
          <t>EY</t>
        </is>
      </c>
      <c r="F108" s="63" t="inlineStr">
        <is>
          <t>A350</t>
        </is>
      </c>
      <c r="G108" s="63" t="inlineStr">
        <is>
          <t>Seat Linen</t>
        </is>
      </c>
      <c r="H108" s="63" t="inlineStr">
        <is>
          <t>Blanket (EY)</t>
        </is>
      </c>
      <c r="I108" s="63" t="inlineStr">
        <is>
          <t>Available 100% (ticked in reference)</t>
        </is>
      </c>
      <c r="J108" s="63" t="inlineStr">
        <is>
          <t>280 (A350 9M-MAH) / 260 (A359) - per tail</t>
        </is>
      </c>
      <c r="K108" s="63" t="inlineStr">
        <is>
          <t>Not stated in reference</t>
        </is>
      </c>
      <c r="L108" s="63" t="inlineStr">
        <is>
          <t>Required</t>
        </is>
      </c>
      <c r="M108" s="63" t="inlineStr">
        <is>
          <t>EY blanket: flight above 3 hours excl. Regional (SEAT LINEN!B74:C74); block 11.75 h. Qty per tail: A350 280 pcs (SEAT LINEN!B76:C76), A359 260 pcs (SEAT LINEN!B77:C77).</t>
        </is>
      </c>
      <c r="N108" s="63" t="inlineStr">
        <is>
          <t>STD UPLIFT INFORMATION.xlsx &gt; SEAT LINEN!J7</t>
        </is>
      </c>
    </row>
    <row r="109" ht="28" customHeight="1">
      <c r="A109" s="63" t="inlineStr">
        <is>
          <t>F16</t>
        </is>
      </c>
      <c r="B109" s="63" t="inlineStr">
        <is>
          <t>MH0072</t>
        </is>
      </c>
      <c r="C109" s="64" t="n">
        <v>46321</v>
      </c>
      <c r="D109" s="63" t="inlineStr">
        <is>
          <t>KUL-HKG</t>
        </is>
      </c>
      <c r="E109" s="63" t="inlineStr">
        <is>
          <t>EY</t>
        </is>
      </c>
      <c r="F109" s="63" t="inlineStr">
        <is>
          <t>B738MAX</t>
        </is>
      </c>
      <c r="G109" s="63" t="inlineStr">
        <is>
          <t>Seat Linen</t>
        </is>
      </c>
      <c r="H109" s="63" t="inlineStr">
        <is>
          <t>Seat pillow (EY)</t>
        </is>
      </c>
      <c r="I109" s="63" t="inlineStr">
        <is>
          <t>Available 100% (ticked in reference)</t>
        </is>
      </c>
      <c r="J109" s="63" t="inlineStr"/>
      <c r="K109" s="63" t="inlineStr">
        <is>
          <t>Not stated in reference</t>
        </is>
      </c>
      <c r="L109" s="63" t="inlineStr">
        <is>
          <t>Required</t>
        </is>
      </c>
      <c r="M109" s="63" t="inlineStr"/>
      <c r="N109" s="63" t="inlineStr">
        <is>
          <t>STD UPLIFT INFORMATION.xlsx &gt; SEAT LINEN!I30</t>
        </is>
      </c>
    </row>
    <row r="110" ht="65.5" customHeight="1">
      <c r="A110" s="63" t="inlineStr">
        <is>
          <t>F16</t>
        </is>
      </c>
      <c r="B110" s="63" t="inlineStr">
        <is>
          <t>MH0072</t>
        </is>
      </c>
      <c r="C110" s="64" t="n">
        <v>46321</v>
      </c>
      <c r="D110" s="63" t="inlineStr">
        <is>
          <t>KUL-HKG</t>
        </is>
      </c>
      <c r="E110" s="63" t="inlineStr">
        <is>
          <t>EY</t>
        </is>
      </c>
      <c r="F110" s="63" t="inlineStr">
        <is>
          <t>B738MAX</t>
        </is>
      </c>
      <c r="G110" s="63" t="inlineStr">
        <is>
          <t>Seat Linen</t>
        </is>
      </c>
      <c r="H110" s="63" t="inlineStr">
        <is>
          <t>Blanket (EY)</t>
        </is>
      </c>
      <c r="I110" s="63" t="inlineStr">
        <is>
          <t>Available 100% (ticked in reference)</t>
        </is>
      </c>
      <c r="J110" s="63" t="inlineStr"/>
      <c r="K110" s="63" t="inlineStr">
        <is>
          <t>Not stated in reference</t>
        </is>
      </c>
      <c r="L110" s="80" t="inlineStr">
        <is>
          <t>Clarification required</t>
        </is>
      </c>
      <c r="M110" s="63" t="inlineStr">
        <is>
          <t>EY blanket: flight above 3 hours excl. Regional (SEAT LINEN!B74:C74); block 4.08 h. Matrix shows _/ for this ORIENTAL sector but B74 excludes 'Regional sectors' without defining them - confirm whether this sector counts as Regional. Quantity for this aircraft not stated in reference.</t>
        </is>
      </c>
      <c r="N110" s="63" t="inlineStr">
        <is>
          <t>STD UPLIFT INFORMATION.xlsx &gt; SEAT LINEN!J30</t>
        </is>
      </c>
    </row>
    <row r="111" ht="28" customHeight="1">
      <c r="A111" s="63" t="inlineStr">
        <is>
          <t>F16</t>
        </is>
      </c>
      <c r="B111" s="63" t="inlineStr">
        <is>
          <t>MH0072</t>
        </is>
      </c>
      <c r="C111" s="64" t="n">
        <v>46321</v>
      </c>
      <c r="D111" s="63" t="inlineStr">
        <is>
          <t>KUL-HKG</t>
        </is>
      </c>
      <c r="E111" s="63" t="inlineStr">
        <is>
          <t>EY</t>
        </is>
      </c>
      <c r="F111" s="63" t="inlineStr">
        <is>
          <t>B738MAX</t>
        </is>
      </c>
      <c r="G111" s="63" t="inlineStr">
        <is>
          <t>Sales Cart</t>
        </is>
      </c>
      <c r="H111" s="63" t="inlineStr">
        <is>
          <t>Sales cart (caterer MCAT)</t>
        </is>
      </c>
      <c r="I111" s="63" t="inlineStr">
        <is>
          <t>Location 210A (B7M8)</t>
        </is>
      </c>
      <c r="J111" s="63" t="inlineStr"/>
      <c r="K111" s="63" t="inlineStr">
        <is>
          <t>Not stated in reference</t>
        </is>
      </c>
      <c r="L111" s="63" t="inlineStr">
        <is>
          <t>Required</t>
        </is>
      </c>
      <c r="M111" s="63" t="inlineStr">
        <is>
          <t>Block 4.08 h &gt;= 4 h (note SALES CART!C40).</t>
        </is>
      </c>
      <c r="N111" s="63" t="inlineStr">
        <is>
          <t>STD UPLIFT INFORMATION.xlsx &gt; SALES CART!F21:F35 / C28 / M7:M37 / C40</t>
        </is>
      </c>
    </row>
    <row r="112" ht="28" customHeight="1">
      <c r="A112" s="63" t="inlineStr">
        <is>
          <t>F17</t>
        </is>
      </c>
      <c r="B112" s="63" t="inlineStr">
        <is>
          <t>MH0073</t>
        </is>
      </c>
      <c r="C112" s="64" t="n">
        <v>46322</v>
      </c>
      <c r="D112" s="63" t="inlineStr">
        <is>
          <t>HKG-KUL</t>
        </is>
      </c>
      <c r="E112" s="63" t="inlineStr">
        <is>
          <t>BC</t>
        </is>
      </c>
      <c r="F112" s="63" t="inlineStr">
        <is>
          <t>B738MAX</t>
        </is>
      </c>
      <c r="G112" s="63" t="inlineStr">
        <is>
          <t>Amenities</t>
        </is>
      </c>
      <c r="H112" s="63" t="inlineStr">
        <is>
          <t>Slippers (BS/BC) - Dispo slipper</t>
        </is>
      </c>
      <c r="I112" s="63" t="inlineStr">
        <is>
          <t>Available (ticked in reference)</t>
        </is>
      </c>
      <c r="J112" s="63" t="inlineStr"/>
      <c r="K112" s="63" t="inlineStr">
        <is>
          <t>KUL</t>
        </is>
      </c>
      <c r="L112" s="63" t="inlineStr">
        <is>
          <t>Required</t>
        </is>
      </c>
      <c r="M112" s="63" t="inlineStr"/>
      <c r="N112" s="63" t="inlineStr">
        <is>
          <t>STD UPLIFT INFORMATION.xlsx &gt; AMENITIES!G39 / H39 / I39</t>
        </is>
      </c>
    </row>
    <row r="113" ht="28" customHeight="1">
      <c r="A113" s="63" t="inlineStr">
        <is>
          <t>F17</t>
        </is>
      </c>
      <c r="B113" s="63" t="inlineStr">
        <is>
          <t>MH0073</t>
        </is>
      </c>
      <c r="C113" s="64" t="n">
        <v>46322</v>
      </c>
      <c r="D113" s="63" t="inlineStr">
        <is>
          <t>HKG-KUL</t>
        </is>
      </c>
      <c r="E113" s="63" t="inlineStr">
        <is>
          <t>BC</t>
        </is>
      </c>
      <c r="F113" s="63" t="inlineStr">
        <is>
          <t>B738MAX</t>
        </is>
      </c>
      <c r="G113" s="63" t="inlineStr">
        <is>
          <t>F&amp;B Linen</t>
        </is>
      </c>
      <c r="H113" s="63" t="inlineStr">
        <is>
          <t>Towel</t>
        </is>
      </c>
      <c r="I113" s="63" t="inlineStr">
        <is>
          <t>Available (ticked in reference)</t>
        </is>
      </c>
      <c r="J113" s="63" t="inlineStr"/>
      <c r="K113" s="63" t="inlineStr">
        <is>
          <t>Not stated in reference</t>
        </is>
      </c>
      <c r="L113" s="63" t="inlineStr">
        <is>
          <t>Required</t>
        </is>
      </c>
      <c r="M113" s="63" t="inlineStr"/>
      <c r="N113" s="63" t="inlineStr">
        <is>
          <t>STD UPLIFT INFORMATION.xlsx &gt; F&amp;B LINEN!D31</t>
        </is>
      </c>
    </row>
    <row r="114" ht="28" customHeight="1">
      <c r="A114" s="63" t="inlineStr">
        <is>
          <t>F17</t>
        </is>
      </c>
      <c r="B114" s="63" t="inlineStr">
        <is>
          <t>MH0073</t>
        </is>
      </c>
      <c r="C114" s="64" t="n">
        <v>46322</v>
      </c>
      <c r="D114" s="63" t="inlineStr">
        <is>
          <t>HKG-KUL</t>
        </is>
      </c>
      <c r="E114" s="63" t="inlineStr">
        <is>
          <t>BC</t>
        </is>
      </c>
      <c r="F114" s="63" t="inlineStr">
        <is>
          <t>B738MAX</t>
        </is>
      </c>
      <c r="G114" s="63" t="inlineStr">
        <is>
          <t>F&amp;B Linen</t>
        </is>
      </c>
      <c r="H114" s="63" t="inlineStr">
        <is>
          <t>Tray cloth</t>
        </is>
      </c>
      <c r="I114" s="63" t="inlineStr">
        <is>
          <t>Available (ticked in reference)</t>
        </is>
      </c>
      <c r="J114" s="63" t="inlineStr"/>
      <c r="K114" s="63" t="inlineStr">
        <is>
          <t>Not stated in reference</t>
        </is>
      </c>
      <c r="L114" s="63" t="inlineStr">
        <is>
          <t>Required</t>
        </is>
      </c>
      <c r="M114" s="63" t="inlineStr"/>
      <c r="N114" s="63" t="inlineStr">
        <is>
          <t>STD UPLIFT INFORMATION.xlsx &gt; F&amp;B LINEN!E31</t>
        </is>
      </c>
    </row>
    <row r="115" ht="28" customHeight="1">
      <c r="A115" s="63" t="inlineStr">
        <is>
          <t>F17</t>
        </is>
      </c>
      <c r="B115" s="63" t="inlineStr">
        <is>
          <t>MH0073</t>
        </is>
      </c>
      <c r="C115" s="64" t="n">
        <v>46322</v>
      </c>
      <c r="D115" s="63" t="inlineStr">
        <is>
          <t>HKG-KUL</t>
        </is>
      </c>
      <c r="E115" s="63" t="inlineStr">
        <is>
          <t>BC</t>
        </is>
      </c>
      <c r="F115" s="63" t="inlineStr">
        <is>
          <t>B738MAX</t>
        </is>
      </c>
      <c r="G115" s="63" t="inlineStr">
        <is>
          <t>F&amp;B Linen</t>
        </is>
      </c>
      <c r="H115" s="63" t="inlineStr">
        <is>
          <t>Napkin</t>
        </is>
      </c>
      <c r="I115" s="63" t="inlineStr">
        <is>
          <t>Available (ticked in reference)</t>
        </is>
      </c>
      <c r="J115" s="63" t="inlineStr"/>
      <c r="K115" s="63" t="inlineStr">
        <is>
          <t>Not stated in reference</t>
        </is>
      </c>
      <c r="L115" s="63" t="inlineStr">
        <is>
          <t>Required</t>
        </is>
      </c>
      <c r="M115" s="63" t="inlineStr"/>
      <c r="N115" s="63" t="inlineStr">
        <is>
          <t>STD UPLIFT INFORMATION.xlsx &gt; F&amp;B LINEN!F31</t>
        </is>
      </c>
    </row>
    <row r="116" ht="65.5" customHeight="1">
      <c r="A116" s="63" t="inlineStr">
        <is>
          <t>F17</t>
        </is>
      </c>
      <c r="B116" s="63" t="inlineStr">
        <is>
          <t>MH0073</t>
        </is>
      </c>
      <c r="C116" s="64" t="n">
        <v>46322</v>
      </c>
      <c r="D116" s="63" t="inlineStr">
        <is>
          <t>HKG-KUL</t>
        </is>
      </c>
      <c r="E116" s="63" t="inlineStr">
        <is>
          <t>BC</t>
        </is>
      </c>
      <c r="F116" s="63" t="inlineStr">
        <is>
          <t>B738MAX</t>
        </is>
      </c>
      <c r="G116" s="63" t="inlineStr">
        <is>
          <t>F&amp;B Linen</t>
        </is>
      </c>
      <c r="H116" s="63" t="inlineStr">
        <is>
          <t>Table cloth</t>
        </is>
      </c>
      <c r="I116" s="63" t="inlineStr">
        <is>
          <t>Available (ticked in reference)</t>
        </is>
      </c>
      <c r="J116" s="63" t="inlineStr"/>
      <c r="K116" s="63" t="inlineStr">
        <is>
          <t>Not stated in reference</t>
        </is>
      </c>
      <c r="L116" s="80" t="inlineStr">
        <is>
          <t>Clarification required</t>
        </is>
      </c>
      <c r="M116" s="63" t="inlineStr">
        <is>
          <t>Reference contradicts itself: matrix shows _/ for this sector but note F&amp;B LINEN!B78:C78 says table cloth is 'Not Applicable for Domestic/Asean &amp; Regional' (ORIENTAL). Confirm before loading; if not carried, mark N/A with the confirmation as justification.</t>
        </is>
      </c>
      <c r="N116" s="63" t="inlineStr">
        <is>
          <t>STD UPLIFT INFORMATION.xlsx &gt; F&amp;B LINEN!G31</t>
        </is>
      </c>
    </row>
    <row r="117" ht="65.5" customHeight="1">
      <c r="A117" s="63" t="inlineStr">
        <is>
          <t>F17</t>
        </is>
      </c>
      <c r="B117" s="63" t="inlineStr">
        <is>
          <t>MH0073</t>
        </is>
      </c>
      <c r="C117" s="64" t="n">
        <v>46322</v>
      </c>
      <c r="D117" s="63" t="inlineStr">
        <is>
          <t>HKG-KUL</t>
        </is>
      </c>
      <c r="E117" s="63" t="inlineStr">
        <is>
          <t>BC</t>
        </is>
      </c>
      <c r="F117" s="63" t="inlineStr">
        <is>
          <t>B738MAX</t>
        </is>
      </c>
      <c r="G117" s="63" t="inlineStr">
        <is>
          <t>F&amp;B Linen</t>
        </is>
      </c>
      <c r="H117" s="63" t="inlineStr">
        <is>
          <t>Bread linen (using table cloth)</t>
        </is>
      </c>
      <c r="I117" s="63" t="inlineStr">
        <is>
          <t>Available (ticked in reference)</t>
        </is>
      </c>
      <c r="J117" s="63" t="inlineStr"/>
      <c r="K117" s="63" t="inlineStr">
        <is>
          <t>Not stated in reference</t>
        </is>
      </c>
      <c r="L117" s="80" t="inlineStr">
        <is>
          <t>Clarification required</t>
        </is>
      </c>
      <c r="M117" s="63" t="inlineStr">
        <is>
          <t>Reference contradicts itself: matrix shows _/ for this sector but note F&amp;B LINEN!B78:C78 says table cloth is 'Not Applicable for Domestic/Asean &amp; Regional' (ORIENTAL). Confirm before loading; if not carried, mark N/A with the confirmation as justification.</t>
        </is>
      </c>
      <c r="N117" s="63" t="inlineStr">
        <is>
          <t>STD UPLIFT INFORMATION.xlsx &gt; F&amp;B LINEN!H31</t>
        </is>
      </c>
    </row>
    <row r="118" ht="28" customHeight="1">
      <c r="A118" s="63" t="inlineStr">
        <is>
          <t>F17</t>
        </is>
      </c>
      <c r="B118" s="63" t="inlineStr">
        <is>
          <t>MH0073</t>
        </is>
      </c>
      <c r="C118" s="64" t="n">
        <v>46322</v>
      </c>
      <c r="D118" s="63" t="inlineStr">
        <is>
          <t>HKG-KUL</t>
        </is>
      </c>
      <c r="E118" s="63" t="inlineStr">
        <is>
          <t>BC</t>
        </is>
      </c>
      <c r="F118" s="63" t="inlineStr">
        <is>
          <t>B738MAX</t>
        </is>
      </c>
      <c r="G118" s="63" t="inlineStr">
        <is>
          <t>F&amp;B Linen</t>
        </is>
      </c>
      <c r="H118" s="63" t="inlineStr">
        <is>
          <t>Trolley cloth</t>
        </is>
      </c>
      <c r="I118" s="63" t="inlineStr">
        <is>
          <t>Narrow body: Top only</t>
        </is>
      </c>
      <c r="J118" s="63" t="inlineStr"/>
      <c r="K118" s="63" t="inlineStr">
        <is>
          <t>Not stated in reference</t>
        </is>
      </c>
      <c r="L118" s="63" t="inlineStr">
        <is>
          <t>Required</t>
        </is>
      </c>
      <c r="M118" s="63" t="inlineStr">
        <is>
          <t>Per note F&amp;B LINEN!B79:C80.</t>
        </is>
      </c>
      <c r="N118" s="63" t="inlineStr">
        <is>
          <t>STD UPLIFT INFORMATION.xlsx &gt; F&amp;B LINEN!I31</t>
        </is>
      </c>
    </row>
    <row r="119" ht="28" customHeight="1">
      <c r="A119" s="63" t="inlineStr">
        <is>
          <t>F17</t>
        </is>
      </c>
      <c r="B119" s="63" t="inlineStr">
        <is>
          <t>MH0073</t>
        </is>
      </c>
      <c r="C119" s="64" t="n">
        <v>46322</v>
      </c>
      <c r="D119" s="63" t="inlineStr">
        <is>
          <t>HKG-KUL</t>
        </is>
      </c>
      <c r="E119" s="63" t="inlineStr">
        <is>
          <t>BC</t>
        </is>
      </c>
      <c r="F119" s="63" t="inlineStr">
        <is>
          <t>B738MAX</t>
        </is>
      </c>
      <c r="G119" s="63" t="inlineStr">
        <is>
          <t>F&amp;B Linen</t>
        </is>
      </c>
      <c r="H119" s="63" t="inlineStr">
        <is>
          <t>Linen bag</t>
        </is>
      </c>
      <c r="I119" s="63" t="inlineStr">
        <is>
          <t>Available (ticked in reference)</t>
        </is>
      </c>
      <c r="J119" s="63" t="inlineStr"/>
      <c r="K119" s="63" t="inlineStr">
        <is>
          <t>Not stated in reference</t>
        </is>
      </c>
      <c r="L119" s="63" t="inlineStr">
        <is>
          <t>Required</t>
        </is>
      </c>
      <c r="M119" s="63" t="inlineStr"/>
      <c r="N119" s="63" t="inlineStr">
        <is>
          <t>STD UPLIFT INFORMATION.xlsx &gt; F&amp;B LINEN!J31</t>
        </is>
      </c>
    </row>
    <row r="120" ht="28" customHeight="1">
      <c r="A120" s="63" t="inlineStr">
        <is>
          <t>F17</t>
        </is>
      </c>
      <c r="B120" s="63" t="inlineStr">
        <is>
          <t>MH0073</t>
        </is>
      </c>
      <c r="C120" s="64" t="n">
        <v>46322</v>
      </c>
      <c r="D120" s="63" t="inlineStr">
        <is>
          <t>HKG-KUL</t>
        </is>
      </c>
      <c r="E120" s="63" t="inlineStr">
        <is>
          <t>BC</t>
        </is>
      </c>
      <c r="F120" s="63" t="inlineStr">
        <is>
          <t>B738MAX</t>
        </is>
      </c>
      <c r="G120" s="63" t="inlineStr">
        <is>
          <t>Seat Linen</t>
        </is>
      </c>
      <c r="H120" s="63" t="inlineStr">
        <is>
          <t>Seat pillow (BS &amp; BC)</t>
        </is>
      </c>
      <c r="I120" s="63" t="inlineStr">
        <is>
          <t>Available 100% (ticked in reference)</t>
        </is>
      </c>
      <c r="J120" s="63" t="inlineStr"/>
      <c r="K120" s="63" t="inlineStr">
        <is>
          <t>Not stated in reference</t>
        </is>
      </c>
      <c r="L120" s="63" t="inlineStr">
        <is>
          <t>Required</t>
        </is>
      </c>
      <c r="M120" s="63" t="inlineStr"/>
      <c r="N120" s="63" t="inlineStr">
        <is>
          <t>STD UPLIFT INFORMATION.xlsx &gt; SEAT LINEN!E30</t>
        </is>
      </c>
    </row>
    <row r="121" ht="28" customHeight="1">
      <c r="A121" s="63" t="inlineStr">
        <is>
          <t>F17</t>
        </is>
      </c>
      <c r="B121" s="63" t="inlineStr">
        <is>
          <t>MH0073</t>
        </is>
      </c>
      <c r="C121" s="64" t="n">
        <v>46322</v>
      </c>
      <c r="D121" s="63" t="inlineStr">
        <is>
          <t>HKG-KUL</t>
        </is>
      </c>
      <c r="E121" s="63" t="inlineStr">
        <is>
          <t>BC</t>
        </is>
      </c>
      <c r="F121" s="63" t="inlineStr">
        <is>
          <t>B738MAX</t>
        </is>
      </c>
      <c r="G121" s="63" t="inlineStr">
        <is>
          <t>Seat Linen</t>
        </is>
      </c>
      <c r="H121" s="63" t="inlineStr">
        <is>
          <t>Blanket (BS &amp; BC)</t>
        </is>
      </c>
      <c r="I121" s="63" t="inlineStr">
        <is>
          <t>Available 100% (ticked in reference)</t>
        </is>
      </c>
      <c r="J121" s="63" t="inlineStr"/>
      <c r="K121" s="63" t="inlineStr">
        <is>
          <t>Not stated in reference</t>
        </is>
      </c>
      <c r="L121" s="63" t="inlineStr">
        <is>
          <t>Required</t>
        </is>
      </c>
      <c r="M121" s="63" t="inlineStr"/>
      <c r="N121" s="63" t="inlineStr">
        <is>
          <t>STD UPLIFT INFORMATION.xlsx &gt; SEAT LINEN!H30</t>
        </is>
      </c>
    </row>
    <row r="122" ht="53" customHeight="1">
      <c r="A122" s="63" t="inlineStr">
        <is>
          <t>F17</t>
        </is>
      </c>
      <c r="B122" s="63" t="inlineStr">
        <is>
          <t>MH0073</t>
        </is>
      </c>
      <c r="C122" s="64" t="n">
        <v>46322</v>
      </c>
      <c r="D122" s="63" t="inlineStr">
        <is>
          <t>HKG-KUL</t>
        </is>
      </c>
      <c r="E122" s="63" t="inlineStr">
        <is>
          <t>BC</t>
        </is>
      </c>
      <c r="F122" s="63" t="inlineStr">
        <is>
          <t>B738MAX</t>
        </is>
      </c>
      <c r="G122" s="63" t="inlineStr">
        <is>
          <t>Sales Cart</t>
        </is>
      </c>
      <c r="H122" s="63" t="inlineStr">
        <is>
          <t>Sales cart (caterer MCAT)</t>
        </is>
      </c>
      <c r="I122" s="63" t="inlineStr">
        <is>
          <t>Location 210A (B7M8)</t>
        </is>
      </c>
      <c r="J122" s="63" t="inlineStr"/>
      <c r="K122" s="63" t="inlineStr">
        <is>
          <t>Not stated in reference</t>
        </is>
      </c>
      <c r="L122" s="80" t="inlineStr">
        <is>
          <t>Clarification required</t>
        </is>
      </c>
      <c r="M122" s="63" t="inlineStr">
        <is>
          <t>Block 4.08 h &gt;= 4 h (note SALES CART!C40). Reference names caterer MCAT (KUL) for the KUL/HKG/KUL sector but no uplift station: confirm whether the HKG-KUL sales cart is loaded at KUL (round trip) or at HKG.</t>
        </is>
      </c>
      <c r="N122" s="63" t="inlineStr">
        <is>
          <t>STD UPLIFT INFORMATION.xlsx &gt; SALES CART!F21:F35 / C28 / M7:M37 / C40</t>
        </is>
      </c>
    </row>
    <row r="123" ht="28" customHeight="1">
      <c r="A123" s="63" t="inlineStr">
        <is>
          <t>F18</t>
        </is>
      </c>
      <c r="B123" s="63" t="inlineStr">
        <is>
          <t>MH0052</t>
        </is>
      </c>
      <c r="C123" s="64" t="n">
        <v>46322</v>
      </c>
      <c r="D123" s="63" t="inlineStr">
        <is>
          <t>KUL-KIX</t>
        </is>
      </c>
      <c r="E123" s="63" t="inlineStr">
        <is>
          <t>BC</t>
        </is>
      </c>
      <c r="F123" s="63" t="inlineStr">
        <is>
          <t>A333</t>
        </is>
      </c>
      <c r="G123" s="63" t="inlineStr">
        <is>
          <t>Amenities</t>
        </is>
      </c>
      <c r="H123" s="63" t="inlineStr">
        <is>
          <t>Slippers (BS/BC)</t>
        </is>
      </c>
      <c r="I123" s="63" t="inlineStr">
        <is>
          <t>Available (ticked in reference)</t>
        </is>
      </c>
      <c r="J123" s="63" t="inlineStr"/>
      <c r="K123" s="63" t="inlineStr">
        <is>
          <t>KUL</t>
        </is>
      </c>
      <c r="L123" s="63" t="inlineStr">
        <is>
          <t>Required</t>
        </is>
      </c>
      <c r="M123" s="63" t="inlineStr"/>
      <c r="N123" s="63" t="inlineStr">
        <is>
          <t>STD UPLIFT INFORMATION.xlsx &gt; AMENITIES!G24 / H24</t>
        </is>
      </c>
    </row>
    <row r="124" ht="28" customHeight="1">
      <c r="A124" s="63" t="inlineStr">
        <is>
          <t>F18</t>
        </is>
      </c>
      <c r="B124" s="63" t="inlineStr">
        <is>
          <t>MH0052</t>
        </is>
      </c>
      <c r="C124" s="64" t="n">
        <v>46322</v>
      </c>
      <c r="D124" s="63" t="inlineStr">
        <is>
          <t>KUL-KIX</t>
        </is>
      </c>
      <c r="E124" s="63" t="inlineStr">
        <is>
          <t>BC</t>
        </is>
      </c>
      <c r="F124" s="63" t="inlineStr">
        <is>
          <t>A333</t>
        </is>
      </c>
      <c r="G124" s="63" t="inlineStr">
        <is>
          <t>F&amp;B Linen</t>
        </is>
      </c>
      <c r="H124" s="63" t="inlineStr">
        <is>
          <t>Towel</t>
        </is>
      </c>
      <c r="I124" s="63" t="inlineStr">
        <is>
          <t>Available (ticked in reference)</t>
        </is>
      </c>
      <c r="J124" s="63" t="inlineStr"/>
      <c r="K124" s="63" t="inlineStr">
        <is>
          <t>Not stated in reference</t>
        </is>
      </c>
      <c r="L124" s="63" t="inlineStr">
        <is>
          <t>Required</t>
        </is>
      </c>
      <c r="M124" s="63" t="inlineStr"/>
      <c r="N124" s="63" t="inlineStr">
        <is>
          <t>STD UPLIFT INFORMATION.xlsx &gt; F&amp;B LINEN!D15</t>
        </is>
      </c>
    </row>
    <row r="125" ht="28" customHeight="1">
      <c r="A125" s="63" t="inlineStr">
        <is>
          <t>F18</t>
        </is>
      </c>
      <c r="B125" s="63" t="inlineStr">
        <is>
          <t>MH0052</t>
        </is>
      </c>
      <c r="C125" s="64" t="n">
        <v>46322</v>
      </c>
      <c r="D125" s="63" t="inlineStr">
        <is>
          <t>KUL-KIX</t>
        </is>
      </c>
      <c r="E125" s="63" t="inlineStr">
        <is>
          <t>BC</t>
        </is>
      </c>
      <c r="F125" s="63" t="inlineStr">
        <is>
          <t>A333</t>
        </is>
      </c>
      <c r="G125" s="63" t="inlineStr">
        <is>
          <t>F&amp;B Linen</t>
        </is>
      </c>
      <c r="H125" s="63" t="inlineStr">
        <is>
          <t>Tray cloth</t>
        </is>
      </c>
      <c r="I125" s="63" t="inlineStr">
        <is>
          <t>Available (ticked in reference)</t>
        </is>
      </c>
      <c r="J125" s="63" t="inlineStr"/>
      <c r="K125" s="63" t="inlineStr">
        <is>
          <t>Not stated in reference</t>
        </is>
      </c>
      <c r="L125" s="63" t="inlineStr">
        <is>
          <t>Required</t>
        </is>
      </c>
      <c r="M125" s="63" t="inlineStr"/>
      <c r="N125" s="63" t="inlineStr">
        <is>
          <t>STD UPLIFT INFORMATION.xlsx &gt; F&amp;B LINEN!E15</t>
        </is>
      </c>
    </row>
    <row r="126" ht="28" customHeight="1">
      <c r="A126" s="63" t="inlineStr">
        <is>
          <t>F18</t>
        </is>
      </c>
      <c r="B126" s="63" t="inlineStr">
        <is>
          <t>MH0052</t>
        </is>
      </c>
      <c r="C126" s="64" t="n">
        <v>46322</v>
      </c>
      <c r="D126" s="63" t="inlineStr">
        <is>
          <t>KUL-KIX</t>
        </is>
      </c>
      <c r="E126" s="63" t="inlineStr">
        <is>
          <t>BC</t>
        </is>
      </c>
      <c r="F126" s="63" t="inlineStr">
        <is>
          <t>A333</t>
        </is>
      </c>
      <c r="G126" s="63" t="inlineStr">
        <is>
          <t>F&amp;B Linen</t>
        </is>
      </c>
      <c r="H126" s="63" t="inlineStr">
        <is>
          <t>Napkin</t>
        </is>
      </c>
      <c r="I126" s="63" t="inlineStr">
        <is>
          <t>Available (ticked in reference)</t>
        </is>
      </c>
      <c r="J126" s="63" t="inlineStr"/>
      <c r="K126" s="63" t="inlineStr">
        <is>
          <t>Not stated in reference</t>
        </is>
      </c>
      <c r="L126" s="63" t="inlineStr">
        <is>
          <t>Required</t>
        </is>
      </c>
      <c r="M126" s="63" t="inlineStr"/>
      <c r="N126" s="63" t="inlineStr">
        <is>
          <t>STD UPLIFT INFORMATION.xlsx &gt; F&amp;B LINEN!F15</t>
        </is>
      </c>
    </row>
    <row r="127" ht="28" customHeight="1">
      <c r="A127" s="63" t="inlineStr">
        <is>
          <t>F18</t>
        </is>
      </c>
      <c r="B127" s="63" t="inlineStr">
        <is>
          <t>MH0052</t>
        </is>
      </c>
      <c r="C127" s="64" t="n">
        <v>46322</v>
      </c>
      <c r="D127" s="63" t="inlineStr">
        <is>
          <t>KUL-KIX</t>
        </is>
      </c>
      <c r="E127" s="63" t="inlineStr">
        <is>
          <t>BC</t>
        </is>
      </c>
      <c r="F127" s="63" t="inlineStr">
        <is>
          <t>A333</t>
        </is>
      </c>
      <c r="G127" s="63" t="inlineStr">
        <is>
          <t>F&amp;B Linen</t>
        </is>
      </c>
      <c r="H127" s="63" t="inlineStr">
        <is>
          <t>Table cloth</t>
        </is>
      </c>
      <c r="I127" s="63" t="inlineStr">
        <is>
          <t>Available (ticked in reference)</t>
        </is>
      </c>
      <c r="J127" s="63" t="inlineStr"/>
      <c r="K127" s="63" t="inlineStr">
        <is>
          <t>Not stated in reference</t>
        </is>
      </c>
      <c r="L127" s="63" t="inlineStr">
        <is>
          <t>Required</t>
        </is>
      </c>
      <c r="M127" s="63" t="inlineStr"/>
      <c r="N127" s="63" t="inlineStr">
        <is>
          <t>STD UPLIFT INFORMATION.xlsx &gt; F&amp;B LINEN!G15</t>
        </is>
      </c>
    </row>
    <row r="128" ht="28" customHeight="1">
      <c r="A128" s="63" t="inlineStr">
        <is>
          <t>F18</t>
        </is>
      </c>
      <c r="B128" s="63" t="inlineStr">
        <is>
          <t>MH0052</t>
        </is>
      </c>
      <c r="C128" s="64" t="n">
        <v>46322</v>
      </c>
      <c r="D128" s="63" t="inlineStr">
        <is>
          <t>KUL-KIX</t>
        </is>
      </c>
      <c r="E128" s="63" t="inlineStr">
        <is>
          <t>BC</t>
        </is>
      </c>
      <c r="F128" s="63" t="inlineStr">
        <is>
          <t>A333</t>
        </is>
      </c>
      <c r="G128" s="63" t="inlineStr">
        <is>
          <t>F&amp;B Linen</t>
        </is>
      </c>
      <c r="H128" s="63" t="inlineStr">
        <is>
          <t>Bread linen (using table cloth)</t>
        </is>
      </c>
      <c r="I128" s="63" t="inlineStr">
        <is>
          <t>Available (ticked in reference)</t>
        </is>
      </c>
      <c r="J128" s="63" t="inlineStr"/>
      <c r="K128" s="63" t="inlineStr">
        <is>
          <t>Not stated in reference</t>
        </is>
      </c>
      <c r="L128" s="63" t="inlineStr">
        <is>
          <t>Required</t>
        </is>
      </c>
      <c r="M128" s="63" t="inlineStr"/>
      <c r="N128" s="63" t="inlineStr">
        <is>
          <t>STD UPLIFT INFORMATION.xlsx &gt; F&amp;B LINEN!H15</t>
        </is>
      </c>
    </row>
    <row r="129" ht="28" customHeight="1">
      <c r="A129" s="63" t="inlineStr">
        <is>
          <t>F18</t>
        </is>
      </c>
      <c r="B129" s="63" t="inlineStr">
        <is>
          <t>MH0052</t>
        </is>
      </c>
      <c r="C129" s="64" t="n">
        <v>46322</v>
      </c>
      <c r="D129" s="63" t="inlineStr">
        <is>
          <t>KUL-KIX</t>
        </is>
      </c>
      <c r="E129" s="63" t="inlineStr">
        <is>
          <t>BC</t>
        </is>
      </c>
      <c r="F129" s="63" t="inlineStr">
        <is>
          <t>A333</t>
        </is>
      </c>
      <c r="G129" s="63" t="inlineStr">
        <is>
          <t>F&amp;B Linen</t>
        </is>
      </c>
      <c r="H129" s="63" t="inlineStr">
        <is>
          <t>Trolley cloth</t>
        </is>
      </c>
      <c r="I129" s="63" t="inlineStr">
        <is>
          <t>Wide body: Top/Middle &amp; Bottom</t>
        </is>
      </c>
      <c r="J129" s="63" t="inlineStr"/>
      <c r="K129" s="63" t="inlineStr">
        <is>
          <t>Not stated in reference</t>
        </is>
      </c>
      <c r="L129" s="63" t="inlineStr">
        <is>
          <t>Required</t>
        </is>
      </c>
      <c r="M129" s="63" t="inlineStr">
        <is>
          <t>Per note F&amp;B LINEN!B79:C80.</t>
        </is>
      </c>
      <c r="N129" s="63" t="inlineStr">
        <is>
          <t>STD UPLIFT INFORMATION.xlsx &gt; F&amp;B LINEN!I15</t>
        </is>
      </c>
    </row>
    <row r="130" ht="28" customHeight="1">
      <c r="A130" s="63" t="inlineStr">
        <is>
          <t>F18</t>
        </is>
      </c>
      <c r="B130" s="63" t="inlineStr">
        <is>
          <t>MH0052</t>
        </is>
      </c>
      <c r="C130" s="64" t="n">
        <v>46322</v>
      </c>
      <c r="D130" s="63" t="inlineStr">
        <is>
          <t>KUL-KIX</t>
        </is>
      </c>
      <c r="E130" s="63" t="inlineStr">
        <is>
          <t>BC</t>
        </is>
      </c>
      <c r="F130" s="63" t="inlineStr">
        <is>
          <t>A333</t>
        </is>
      </c>
      <c r="G130" s="63" t="inlineStr">
        <is>
          <t>F&amp;B Linen</t>
        </is>
      </c>
      <c r="H130" s="63" t="inlineStr">
        <is>
          <t>Linen bag</t>
        </is>
      </c>
      <c r="I130" s="63" t="inlineStr">
        <is>
          <t>Available (ticked in reference)</t>
        </is>
      </c>
      <c r="J130" s="63" t="inlineStr"/>
      <c r="K130" s="63" t="inlineStr">
        <is>
          <t>Not stated in reference</t>
        </is>
      </c>
      <c r="L130" s="63" t="inlineStr">
        <is>
          <t>Required</t>
        </is>
      </c>
      <c r="M130" s="63" t="inlineStr"/>
      <c r="N130" s="63" t="inlineStr">
        <is>
          <t>STD UPLIFT INFORMATION.xlsx &gt; F&amp;B LINEN!J15</t>
        </is>
      </c>
    </row>
    <row r="131" ht="28" customHeight="1">
      <c r="A131" s="63" t="inlineStr">
        <is>
          <t>F18</t>
        </is>
      </c>
      <c r="B131" s="63" t="inlineStr">
        <is>
          <t>MH0052</t>
        </is>
      </c>
      <c r="C131" s="64" t="n">
        <v>46322</v>
      </c>
      <c r="D131" s="63" t="inlineStr">
        <is>
          <t>KUL-KIX</t>
        </is>
      </c>
      <c r="E131" s="63" t="inlineStr">
        <is>
          <t>BC</t>
        </is>
      </c>
      <c r="F131" s="63" t="inlineStr">
        <is>
          <t>A333</t>
        </is>
      </c>
      <c r="G131" s="63" t="inlineStr">
        <is>
          <t>Seat Linen</t>
        </is>
      </c>
      <c r="H131" s="63" t="inlineStr">
        <is>
          <t>Seat pillow (BS &amp; BC)</t>
        </is>
      </c>
      <c r="I131" s="63" t="inlineStr">
        <is>
          <t>Available 100% (ticked in reference)</t>
        </is>
      </c>
      <c r="J131" s="63" t="inlineStr"/>
      <c r="K131" s="63" t="inlineStr">
        <is>
          <t>Not stated in reference</t>
        </is>
      </c>
      <c r="L131" s="63" t="inlineStr">
        <is>
          <t>Required</t>
        </is>
      </c>
      <c r="M131" s="63" t="inlineStr"/>
      <c r="N131" s="63" t="inlineStr">
        <is>
          <t>STD UPLIFT INFORMATION.xlsx &gt; SEAT LINEN!E15</t>
        </is>
      </c>
    </row>
    <row r="132" ht="28" customHeight="1">
      <c r="A132" s="63" t="inlineStr">
        <is>
          <t>F18</t>
        </is>
      </c>
      <c r="B132" s="63" t="inlineStr">
        <is>
          <t>MH0052</t>
        </is>
      </c>
      <c r="C132" s="64" t="n">
        <v>46322</v>
      </c>
      <c r="D132" s="63" t="inlineStr">
        <is>
          <t>KUL-KIX</t>
        </is>
      </c>
      <c r="E132" s="63" t="inlineStr">
        <is>
          <t>BC</t>
        </is>
      </c>
      <c r="F132" s="63" t="inlineStr">
        <is>
          <t>A333</t>
        </is>
      </c>
      <c r="G132" s="63" t="inlineStr">
        <is>
          <t>Seat Linen</t>
        </is>
      </c>
      <c r="H132" s="63" t="inlineStr">
        <is>
          <t>Duvet (BS &amp; BC)</t>
        </is>
      </c>
      <c r="I132" s="63" t="inlineStr">
        <is>
          <t>Available 100% (ticked in reference)</t>
        </is>
      </c>
      <c r="J132" s="63" t="inlineStr"/>
      <c r="K132" s="63" t="inlineStr">
        <is>
          <t>Not stated in reference</t>
        </is>
      </c>
      <c r="L132" s="63" t="inlineStr">
        <is>
          <t>Required</t>
        </is>
      </c>
      <c r="M132" s="63" t="inlineStr"/>
      <c r="N132" s="63" t="inlineStr">
        <is>
          <t>STD UPLIFT INFORMATION.xlsx &gt; SEAT LINEN!F15</t>
        </is>
      </c>
    </row>
    <row r="133" ht="28" customHeight="1">
      <c r="A133" s="63" t="inlineStr">
        <is>
          <t>F18</t>
        </is>
      </c>
      <c r="B133" s="63" t="inlineStr">
        <is>
          <t>MH0052</t>
        </is>
      </c>
      <c r="C133" s="64" t="n">
        <v>46322</v>
      </c>
      <c r="D133" s="63" t="inlineStr">
        <is>
          <t>KUL-KIX</t>
        </is>
      </c>
      <c r="E133" s="63" t="inlineStr">
        <is>
          <t>BC</t>
        </is>
      </c>
      <c r="F133" s="63" t="inlineStr">
        <is>
          <t>A333</t>
        </is>
      </c>
      <c r="G133" s="63" t="inlineStr">
        <is>
          <t>Seat Linen</t>
        </is>
      </c>
      <c r="H133" s="63" t="inlineStr">
        <is>
          <t>Mattress (BS &amp; BC)</t>
        </is>
      </c>
      <c r="I133" s="63" t="inlineStr">
        <is>
          <t>Available 100% (ticked in reference)</t>
        </is>
      </c>
      <c r="J133" s="63" t="inlineStr"/>
      <c r="K133" s="63" t="inlineStr">
        <is>
          <t>Not stated in reference</t>
        </is>
      </c>
      <c r="L133" s="63" t="inlineStr">
        <is>
          <t>Required</t>
        </is>
      </c>
      <c r="M133" s="63" t="inlineStr"/>
      <c r="N133" s="63" t="inlineStr">
        <is>
          <t>STD UPLIFT INFORMATION.xlsx &gt; SEAT LINEN!G15</t>
        </is>
      </c>
    </row>
    <row r="134" ht="28" customHeight="1">
      <c r="A134" s="63" t="inlineStr">
        <is>
          <t>F18</t>
        </is>
      </c>
      <c r="B134" s="63" t="inlineStr">
        <is>
          <t>MH0052</t>
        </is>
      </c>
      <c r="C134" s="64" t="n">
        <v>46322</v>
      </c>
      <c r="D134" s="63" t="inlineStr">
        <is>
          <t>KUL-KIX</t>
        </is>
      </c>
      <c r="E134" s="63" t="inlineStr">
        <is>
          <t>BC</t>
        </is>
      </c>
      <c r="F134" s="63" t="inlineStr">
        <is>
          <t>A333</t>
        </is>
      </c>
      <c r="G134" s="63" t="inlineStr">
        <is>
          <t>Signature Drinks</t>
        </is>
      </c>
      <c r="H134" s="63" t="inlineStr">
        <is>
          <t>Signature drink &amp; garnish (BC)</t>
        </is>
      </c>
      <c r="I134" s="63" t="inlineStr">
        <is>
          <t>Available (ticked in reference)</t>
        </is>
      </c>
      <c r="J134" s="63" t="inlineStr"/>
      <c r="K134" s="63" t="inlineStr">
        <is>
          <t>KUL</t>
        </is>
      </c>
      <c r="L134" s="63" t="inlineStr">
        <is>
          <t>Required</t>
        </is>
      </c>
      <c r="M134" s="63" t="inlineStr">
        <is>
          <t>Signature drinks &amp; garnish uplifted from KUL (note D79).</t>
        </is>
      </c>
      <c r="N134" s="63" t="inlineStr">
        <is>
          <t>STD UPLIFT INFORMATION.xlsx &gt; Signature Drinks!F15 / G15 / D79</t>
        </is>
      </c>
    </row>
    <row r="135" ht="28" customHeight="1">
      <c r="A135" s="63" t="inlineStr">
        <is>
          <t>F18</t>
        </is>
      </c>
      <c r="B135" s="63" t="inlineStr">
        <is>
          <t>MH0052</t>
        </is>
      </c>
      <c r="C135" s="64" t="n">
        <v>46322</v>
      </c>
      <c r="D135" s="63" t="inlineStr">
        <is>
          <t>KUL-KIX</t>
        </is>
      </c>
      <c r="E135" s="63" t="inlineStr">
        <is>
          <t>BC</t>
        </is>
      </c>
      <c r="F135" s="63" t="inlineStr">
        <is>
          <t>A333</t>
        </is>
      </c>
      <c r="G135" s="63" t="inlineStr">
        <is>
          <t>Sales Cart</t>
        </is>
      </c>
      <c r="H135" s="63" t="inlineStr">
        <is>
          <t>Sales cart (caterer PASB)</t>
        </is>
      </c>
      <c r="I135" s="63" t="inlineStr">
        <is>
          <t>Location 643 &amp; 947 (A333, full cart)</t>
        </is>
      </c>
      <c r="J135" s="63" t="inlineStr"/>
      <c r="K135" s="63" t="inlineStr">
        <is>
          <t>Not stated in reference</t>
        </is>
      </c>
      <c r="L135" s="63" t="inlineStr">
        <is>
          <t>Required</t>
        </is>
      </c>
      <c r="M135" s="63" t="inlineStr">
        <is>
          <t>Block 6.50 h &gt;= 4 h.</t>
        </is>
      </c>
      <c r="N135" s="63" t="inlineStr">
        <is>
          <t>STD UPLIFT INFORMATION.xlsx &gt; SALES CART!I8:I37 / C12 / C40</t>
        </is>
      </c>
    </row>
    <row r="136" ht="28" customHeight="1">
      <c r="A136" s="63" t="inlineStr">
        <is>
          <t>F19</t>
        </is>
      </c>
      <c r="B136" s="63" t="inlineStr">
        <is>
          <t>MH0053</t>
        </is>
      </c>
      <c r="C136" s="64" t="n">
        <v>46324</v>
      </c>
      <c r="D136" s="63" t="inlineStr">
        <is>
          <t>KIX-KUL</t>
        </is>
      </c>
      <c r="E136" s="63" t="inlineStr">
        <is>
          <t>EY</t>
        </is>
      </c>
      <c r="F136" s="63" t="inlineStr">
        <is>
          <t>A333</t>
        </is>
      </c>
      <c r="G136" s="63" t="inlineStr">
        <is>
          <t>Seat Linen</t>
        </is>
      </c>
      <c r="H136" s="63" t="inlineStr">
        <is>
          <t>Seat pillow (EY)</t>
        </is>
      </c>
      <c r="I136" s="63" t="inlineStr">
        <is>
          <t>Available 100% (ticked in reference)</t>
        </is>
      </c>
      <c r="J136" s="63" t="inlineStr"/>
      <c r="K136" s="63" t="inlineStr">
        <is>
          <t>Not stated in reference</t>
        </is>
      </c>
      <c r="L136" s="63" t="inlineStr">
        <is>
          <t>Required</t>
        </is>
      </c>
      <c r="M136" s="63" t="inlineStr"/>
      <c r="N136" s="63" t="inlineStr">
        <is>
          <t>STD UPLIFT INFORMATION.xlsx &gt; SEAT LINEN!I15</t>
        </is>
      </c>
    </row>
    <row r="137" ht="40.5" customHeight="1">
      <c r="A137" s="63" t="inlineStr">
        <is>
          <t>F19</t>
        </is>
      </c>
      <c r="B137" s="63" t="inlineStr">
        <is>
          <t>MH0053</t>
        </is>
      </c>
      <c r="C137" s="64" t="n">
        <v>46324</v>
      </c>
      <c r="D137" s="63" t="inlineStr">
        <is>
          <t>KIX-KUL</t>
        </is>
      </c>
      <c r="E137" s="63" t="inlineStr">
        <is>
          <t>EY</t>
        </is>
      </c>
      <c r="F137" s="63" t="inlineStr">
        <is>
          <t>A333</t>
        </is>
      </c>
      <c r="G137" s="63" t="inlineStr">
        <is>
          <t>Seat Linen</t>
        </is>
      </c>
      <c r="H137" s="63" t="inlineStr">
        <is>
          <t>Blanket (EY)</t>
        </is>
      </c>
      <c r="I137" s="63" t="inlineStr">
        <is>
          <t>Available 100% (ticked in reference)</t>
        </is>
      </c>
      <c r="J137" s="63" t="inlineStr">
        <is>
          <t>280</t>
        </is>
      </c>
      <c r="K137" s="63" t="inlineStr">
        <is>
          <t>Not stated in reference</t>
        </is>
      </c>
      <c r="L137" s="63" t="inlineStr">
        <is>
          <t>Required</t>
        </is>
      </c>
      <c r="M137" s="63" t="inlineStr">
        <is>
          <t>EY blanket: flight above 3 hours excl. Regional (SEAT LINEN!B74:C74); block 8.08 h. Qty 280 pcs (14 bundles) for A332/A333/A339 (SEAT LINEN!B75:C75).</t>
        </is>
      </c>
      <c r="N137" s="63" t="inlineStr">
        <is>
          <t>STD UPLIFT INFORMATION.xlsx &gt; SEAT LINEN!J15</t>
        </is>
      </c>
    </row>
    <row r="138" ht="53" customHeight="1">
      <c r="A138" s="63" t="inlineStr">
        <is>
          <t>F19</t>
        </is>
      </c>
      <c r="B138" s="63" t="inlineStr">
        <is>
          <t>MH0053</t>
        </is>
      </c>
      <c r="C138" s="64" t="n">
        <v>46324</v>
      </c>
      <c r="D138" s="63" t="inlineStr">
        <is>
          <t>KIX-KUL</t>
        </is>
      </c>
      <c r="E138" s="63" t="inlineStr">
        <is>
          <t>EY</t>
        </is>
      </c>
      <c r="F138" s="63" t="inlineStr">
        <is>
          <t>A333</t>
        </is>
      </c>
      <c r="G138" s="63" t="inlineStr">
        <is>
          <t>Sales Cart</t>
        </is>
      </c>
      <c r="H138" s="63" t="inlineStr">
        <is>
          <t>Sales cart (caterer PASB)</t>
        </is>
      </c>
      <c r="I138" s="63" t="inlineStr">
        <is>
          <t>Location 643 &amp; 947 (A333, full cart)</t>
        </is>
      </c>
      <c r="J138" s="63" t="inlineStr"/>
      <c r="K138" s="63" t="inlineStr">
        <is>
          <t>Not stated in reference</t>
        </is>
      </c>
      <c r="L138" s="80" t="inlineStr">
        <is>
          <t>Clarification required</t>
        </is>
      </c>
      <c r="M138" s="63" t="inlineStr">
        <is>
          <t>Block 8.08 h &gt;= 4 h. Reference names caterer PASB (KUL) for the KUL/KIX/KUL sector but no uplift station: confirm whether the KIX-KUL sales cart is loaded at KUL (round trip) or at KIX.</t>
        </is>
      </c>
      <c r="N138" s="63" t="inlineStr">
        <is>
          <t>STD UPLIFT INFORMATION.xlsx &gt; SALES CART!I8:I37 / C12 / C40</t>
        </is>
      </c>
    </row>
    <row r="139" ht="28" customHeight="1">
      <c r="A139" s="63" t="inlineStr">
        <is>
          <t>F20</t>
        </is>
      </c>
      <c r="B139" s="63" t="inlineStr">
        <is>
          <t>MH1450</t>
        </is>
      </c>
      <c r="C139" s="64" t="n">
        <v>46324</v>
      </c>
      <c r="D139" s="63" t="inlineStr">
        <is>
          <t>KUL-LGK</t>
        </is>
      </c>
      <c r="E139" s="63" t="inlineStr">
        <is>
          <t>EY</t>
        </is>
      </c>
      <c r="F139" s="63" t="inlineStr">
        <is>
          <t>B738MAX</t>
        </is>
      </c>
      <c r="G139" s="63" t="inlineStr">
        <is>
          <t>Seat Linen</t>
        </is>
      </c>
      <c r="H139" s="63" t="inlineStr">
        <is>
          <t>Seat pillow (EY)</t>
        </is>
      </c>
      <c r="I139" s="63" t="inlineStr">
        <is>
          <t>Available 100% (ticked in reference)</t>
        </is>
      </c>
      <c r="J139" s="63" t="inlineStr"/>
      <c r="K139" s="63" t="inlineStr">
        <is>
          <t>Not stated in reference</t>
        </is>
      </c>
      <c r="L139" s="63" t="inlineStr">
        <is>
          <t>Required</t>
        </is>
      </c>
      <c r="M139" s="63" t="inlineStr"/>
      <c r="N139" s="63" t="inlineStr">
        <is>
          <t>STD UPLIFT INFORMATION.xlsx &gt; SEAT LINEN!I64</t>
        </is>
      </c>
    </row>
    <row r="140" ht="28" customHeight="1">
      <c r="A140" s="63" t="inlineStr">
        <is>
          <t>F21</t>
        </is>
      </c>
      <c r="B140" s="63" t="inlineStr">
        <is>
          <t>MH1437</t>
        </is>
      </c>
      <c r="C140" s="64" t="n">
        <v>46325</v>
      </c>
      <c r="D140" s="63" t="inlineStr">
        <is>
          <t>LGK-KUL</t>
        </is>
      </c>
      <c r="E140" s="63" t="inlineStr">
        <is>
          <t>BC</t>
        </is>
      </c>
      <c r="F140" s="63" t="inlineStr">
        <is>
          <t>B738MAX</t>
        </is>
      </c>
      <c r="G140" s="63" t="inlineStr">
        <is>
          <t>Amenities</t>
        </is>
      </c>
      <c r="H140" s="63" t="inlineStr">
        <is>
          <t>Disposable slippers in DAM cart (BC, on request)</t>
        </is>
      </c>
      <c r="I140" s="63" t="inlineStr">
        <is>
          <t>Available in DAM cart on request basis</t>
        </is>
      </c>
      <c r="J140" s="63" t="inlineStr"/>
      <c r="K140" s="63" t="inlineStr">
        <is>
          <t>Not stated in reference</t>
        </is>
      </c>
      <c r="L140" s="63" t="inlineStr">
        <is>
          <t>Required</t>
        </is>
      </c>
      <c r="M140" s="63" t="inlineStr">
        <is>
          <t>Sector has no BC slippers; note C83: disposable slipper available in DAM cart (on request basis).</t>
        </is>
      </c>
      <c r="N140" s="63" t="inlineStr">
        <is>
          <t>STD UPLIFT INFORMATION.xlsx &gt; AMENITIES!G74 / C83</t>
        </is>
      </c>
    </row>
    <row r="141" ht="28" customHeight="1">
      <c r="A141" s="63" t="inlineStr">
        <is>
          <t>F21</t>
        </is>
      </c>
      <c r="B141" s="63" t="inlineStr">
        <is>
          <t>MH1437</t>
        </is>
      </c>
      <c r="C141" s="64" t="n">
        <v>46325</v>
      </c>
      <c r="D141" s="63" t="inlineStr">
        <is>
          <t>LGK-KUL</t>
        </is>
      </c>
      <c r="E141" s="63" t="inlineStr">
        <is>
          <t>BC</t>
        </is>
      </c>
      <c r="F141" s="63" t="inlineStr">
        <is>
          <t>B738MAX</t>
        </is>
      </c>
      <c r="G141" s="63" t="inlineStr">
        <is>
          <t>F&amp;B Linen</t>
        </is>
      </c>
      <c r="H141" s="63" t="inlineStr">
        <is>
          <t>Towel</t>
        </is>
      </c>
      <c r="I141" s="63" t="inlineStr">
        <is>
          <t>Available (ticked in reference)</t>
        </is>
      </c>
      <c r="J141" s="63" t="inlineStr"/>
      <c r="K141" s="63" t="inlineStr">
        <is>
          <t>Not stated in reference</t>
        </is>
      </c>
      <c r="L141" s="63" t="inlineStr">
        <is>
          <t>Required</t>
        </is>
      </c>
      <c r="M141" s="63" t="inlineStr"/>
      <c r="N141" s="63" t="inlineStr">
        <is>
          <t>STD UPLIFT INFORMATION.xlsx &gt; F&amp;B LINEN!D68</t>
        </is>
      </c>
    </row>
    <row r="142" ht="28" customHeight="1">
      <c r="A142" s="63" t="inlineStr">
        <is>
          <t>F21</t>
        </is>
      </c>
      <c r="B142" s="63" t="inlineStr">
        <is>
          <t>MH1437</t>
        </is>
      </c>
      <c r="C142" s="64" t="n">
        <v>46325</v>
      </c>
      <c r="D142" s="63" t="inlineStr">
        <is>
          <t>LGK-KUL</t>
        </is>
      </c>
      <c r="E142" s="63" t="inlineStr">
        <is>
          <t>BC</t>
        </is>
      </c>
      <c r="F142" s="63" t="inlineStr">
        <is>
          <t>B738MAX</t>
        </is>
      </c>
      <c r="G142" s="63" t="inlineStr">
        <is>
          <t>F&amp;B Linen</t>
        </is>
      </c>
      <c r="H142" s="63" t="inlineStr">
        <is>
          <t>Tray cloth</t>
        </is>
      </c>
      <c r="I142" s="63" t="inlineStr">
        <is>
          <t>Available (ticked in reference)</t>
        </is>
      </c>
      <c r="J142" s="63" t="inlineStr"/>
      <c r="K142" s="63" t="inlineStr">
        <is>
          <t>Not stated in reference</t>
        </is>
      </c>
      <c r="L142" s="63" t="inlineStr">
        <is>
          <t>Required</t>
        </is>
      </c>
      <c r="M142" s="63" t="inlineStr"/>
      <c r="N142" s="63" t="inlineStr">
        <is>
          <t>STD UPLIFT INFORMATION.xlsx &gt; F&amp;B LINEN!E68</t>
        </is>
      </c>
    </row>
    <row r="143" ht="28" customHeight="1">
      <c r="A143" s="63" t="inlineStr">
        <is>
          <t>F21</t>
        </is>
      </c>
      <c r="B143" s="63" t="inlineStr">
        <is>
          <t>MH1437</t>
        </is>
      </c>
      <c r="C143" s="64" t="n">
        <v>46325</v>
      </c>
      <c r="D143" s="63" t="inlineStr">
        <is>
          <t>LGK-KUL</t>
        </is>
      </c>
      <c r="E143" s="63" t="inlineStr">
        <is>
          <t>BC</t>
        </is>
      </c>
      <c r="F143" s="63" t="inlineStr">
        <is>
          <t>B738MAX</t>
        </is>
      </c>
      <c r="G143" s="63" t="inlineStr">
        <is>
          <t>F&amp;B Linen</t>
        </is>
      </c>
      <c r="H143" s="63" t="inlineStr">
        <is>
          <t>Napkin</t>
        </is>
      </c>
      <c r="I143" s="63" t="inlineStr">
        <is>
          <t>Available (ticked in reference)</t>
        </is>
      </c>
      <c r="J143" s="63" t="inlineStr"/>
      <c r="K143" s="63" t="inlineStr">
        <is>
          <t>Not stated in reference</t>
        </is>
      </c>
      <c r="L143" s="63" t="inlineStr">
        <is>
          <t>Required</t>
        </is>
      </c>
      <c r="M143" s="63" t="inlineStr"/>
      <c r="N143" s="63" t="inlineStr">
        <is>
          <t>STD UPLIFT INFORMATION.xlsx &gt; F&amp;B LINEN!F68</t>
        </is>
      </c>
    </row>
    <row r="144" ht="28" customHeight="1">
      <c r="A144" s="63" t="inlineStr">
        <is>
          <t>F21</t>
        </is>
      </c>
      <c r="B144" s="63" t="inlineStr">
        <is>
          <t>MH1437</t>
        </is>
      </c>
      <c r="C144" s="64" t="n">
        <v>46325</v>
      </c>
      <c r="D144" s="63" t="inlineStr">
        <is>
          <t>LGK-KUL</t>
        </is>
      </c>
      <c r="E144" s="63" t="inlineStr">
        <is>
          <t>BC</t>
        </is>
      </c>
      <c r="F144" s="63" t="inlineStr">
        <is>
          <t>B738MAX</t>
        </is>
      </c>
      <c r="G144" s="63" t="inlineStr">
        <is>
          <t>F&amp;B Linen</t>
        </is>
      </c>
      <c r="H144" s="63" t="inlineStr">
        <is>
          <t>Trolley cloth</t>
        </is>
      </c>
      <c r="I144" s="63" t="inlineStr">
        <is>
          <t>Narrow body: Top only</t>
        </is>
      </c>
      <c r="J144" s="63" t="inlineStr"/>
      <c r="K144" s="63" t="inlineStr">
        <is>
          <t>Not stated in reference</t>
        </is>
      </c>
      <c r="L144" s="63" t="inlineStr">
        <is>
          <t>Required</t>
        </is>
      </c>
      <c r="M144" s="63" t="inlineStr">
        <is>
          <t>Per note F&amp;B LINEN!B79:C80.</t>
        </is>
      </c>
      <c r="N144" s="63" t="inlineStr">
        <is>
          <t>STD UPLIFT INFORMATION.xlsx &gt; F&amp;B LINEN!I68</t>
        </is>
      </c>
    </row>
    <row r="145" ht="28" customHeight="1">
      <c r="A145" s="63" t="inlineStr">
        <is>
          <t>F21</t>
        </is>
      </c>
      <c r="B145" s="63" t="inlineStr">
        <is>
          <t>MH1437</t>
        </is>
      </c>
      <c r="C145" s="64" t="n">
        <v>46325</v>
      </c>
      <c r="D145" s="63" t="inlineStr">
        <is>
          <t>LGK-KUL</t>
        </is>
      </c>
      <c r="E145" s="63" t="inlineStr">
        <is>
          <t>BC</t>
        </is>
      </c>
      <c r="F145" s="63" t="inlineStr">
        <is>
          <t>B738MAX</t>
        </is>
      </c>
      <c r="G145" s="63" t="inlineStr">
        <is>
          <t>F&amp;B Linen</t>
        </is>
      </c>
      <c r="H145" s="63" t="inlineStr">
        <is>
          <t>Linen bag</t>
        </is>
      </c>
      <c r="I145" s="63" t="inlineStr">
        <is>
          <t>Available (ticked in reference)</t>
        </is>
      </c>
      <c r="J145" s="63" t="inlineStr"/>
      <c r="K145" s="63" t="inlineStr">
        <is>
          <t>Not stated in reference</t>
        </is>
      </c>
      <c r="L145" s="63" t="inlineStr">
        <is>
          <t>Required</t>
        </is>
      </c>
      <c r="M145" s="63" t="inlineStr"/>
      <c r="N145" s="63" t="inlineStr">
        <is>
          <t>STD UPLIFT INFORMATION.xlsx &gt; F&amp;B LINEN!J68</t>
        </is>
      </c>
    </row>
    <row r="146" ht="28" customHeight="1">
      <c r="A146" s="63" t="inlineStr">
        <is>
          <t>F21</t>
        </is>
      </c>
      <c r="B146" s="63" t="inlineStr">
        <is>
          <t>MH1437</t>
        </is>
      </c>
      <c r="C146" s="64" t="n">
        <v>46325</v>
      </c>
      <c r="D146" s="63" t="inlineStr">
        <is>
          <t>LGK-KUL</t>
        </is>
      </c>
      <c r="E146" s="63" t="inlineStr">
        <is>
          <t>BC</t>
        </is>
      </c>
      <c r="F146" s="63" t="inlineStr">
        <is>
          <t>B738MAX</t>
        </is>
      </c>
      <c r="G146" s="63" t="inlineStr">
        <is>
          <t>Seat Linen</t>
        </is>
      </c>
      <c r="H146" s="63" t="inlineStr">
        <is>
          <t>Seat pillow (BS &amp; BC)</t>
        </is>
      </c>
      <c r="I146" s="63" t="inlineStr">
        <is>
          <t>Available 100% (ticked in reference)</t>
        </is>
      </c>
      <c r="J146" s="63" t="inlineStr"/>
      <c r="K146" s="63" t="inlineStr">
        <is>
          <t>Not stated in reference</t>
        </is>
      </c>
      <c r="L146" s="63" t="inlineStr">
        <is>
          <t>Required</t>
        </is>
      </c>
      <c r="M146" s="63" t="inlineStr"/>
      <c r="N146" s="63" t="inlineStr">
        <is>
          <t>STD UPLIFT INFORMATION.xlsx &gt; SEAT LINEN!E64</t>
        </is>
      </c>
    </row>
    <row r="147" ht="28" customHeight="1">
      <c r="A147" s="63" t="inlineStr">
        <is>
          <t>F21</t>
        </is>
      </c>
      <c r="B147" s="63" t="inlineStr">
        <is>
          <t>MH1437</t>
        </is>
      </c>
      <c r="C147" s="64" t="n">
        <v>46325</v>
      </c>
      <c r="D147" s="63" t="inlineStr">
        <is>
          <t>LGK-KUL</t>
        </is>
      </c>
      <c r="E147" s="63" t="inlineStr">
        <is>
          <t>BC</t>
        </is>
      </c>
      <c r="F147" s="63" t="inlineStr">
        <is>
          <t>B738MAX</t>
        </is>
      </c>
      <c r="G147" s="63" t="inlineStr">
        <is>
          <t>Seat Linen</t>
        </is>
      </c>
      <c r="H147" s="63" t="inlineStr">
        <is>
          <t>Blanket (BS &amp; BC)</t>
        </is>
      </c>
      <c r="I147" s="63" t="inlineStr">
        <is>
          <t>Available 100% (ticked in reference)</t>
        </is>
      </c>
      <c r="J147" s="63" t="inlineStr"/>
      <c r="K147" s="63" t="inlineStr">
        <is>
          <t>Not stated in reference</t>
        </is>
      </c>
      <c r="L147" s="63" t="inlineStr">
        <is>
          <t>Required</t>
        </is>
      </c>
      <c r="M147" s="63" t="inlineStr"/>
      <c r="N147" s="63" t="inlineStr">
        <is>
          <t>STD UPLIFT INFORMATION.xlsx &gt; SEAT LINEN!H64</t>
        </is>
      </c>
    </row>
    <row r="148" ht="78" customHeight="1">
      <c r="A148" s="63" t="inlineStr">
        <is>
          <t>F22</t>
        </is>
      </c>
      <c r="B148" s="63" t="inlineStr">
        <is>
          <t>MH0002</t>
        </is>
      </c>
      <c r="C148" s="64" t="n">
        <v>46325</v>
      </c>
      <c r="D148" s="63" t="inlineStr">
        <is>
          <t>KUL-LHR</t>
        </is>
      </c>
      <c r="E148" s="63" t="inlineStr">
        <is>
          <t>BC</t>
        </is>
      </c>
      <c r="F148" s="63" t="inlineStr">
        <is>
          <t>A350</t>
        </is>
      </c>
      <c r="G148" s="63" t="inlineStr">
        <is>
          <t>Amenities</t>
        </is>
      </c>
      <c r="H148" s="63" t="inlineStr">
        <is>
          <t>Toiletry kits</t>
        </is>
      </c>
      <c r="I148" s="63" t="inlineStr">
        <is>
          <t>Available (ticked in reference)</t>
        </is>
      </c>
      <c r="J148" s="63" t="inlineStr"/>
      <c r="K148" s="63" t="inlineStr">
        <is>
          <t>LHR or KUL - confirm</t>
        </is>
      </c>
      <c r="L148" s="80" t="inlineStr">
        <is>
          <t>Clarification required</t>
        </is>
      </c>
      <c r="M148" s="63" t="inlineStr">
        <is>
          <t>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is>
      </c>
      <c r="N148" s="63" t="inlineStr">
        <is>
          <t>STD UPLIFT INFORMATION.xlsx &gt; AMENITIES!D12 / H12</t>
        </is>
      </c>
    </row>
    <row r="149" ht="28" customHeight="1">
      <c r="A149" s="63" t="inlineStr">
        <is>
          <t>F22</t>
        </is>
      </c>
      <c r="B149" s="63" t="inlineStr">
        <is>
          <t>MH0002</t>
        </is>
      </c>
      <c r="C149" s="64" t="n">
        <v>46325</v>
      </c>
      <c r="D149" s="63" t="inlineStr">
        <is>
          <t>KUL-LHR</t>
        </is>
      </c>
      <c r="E149" s="63" t="inlineStr">
        <is>
          <t>BC</t>
        </is>
      </c>
      <c r="F149" s="63" t="inlineStr">
        <is>
          <t>A350</t>
        </is>
      </c>
      <c r="G149" s="63" t="inlineStr">
        <is>
          <t>Amenities</t>
        </is>
      </c>
      <c r="H149" s="63" t="inlineStr">
        <is>
          <t>Pajamas (BC)</t>
        </is>
      </c>
      <c r="I149" s="63" t="inlineStr">
        <is>
          <t>Available - BC red-eye only</t>
        </is>
      </c>
      <c r="J149" s="63" t="inlineStr"/>
      <c r="K149" s="63" t="inlineStr">
        <is>
          <t>KUL</t>
        </is>
      </c>
      <c r="L149" s="63" t="inlineStr">
        <is>
          <t>Required</t>
        </is>
      </c>
      <c r="M149" s="63" t="inlineStr">
        <is>
          <t>Red-eye departure 2320 local.</t>
        </is>
      </c>
      <c r="N149" s="63" t="inlineStr">
        <is>
          <t>STD UPLIFT INFORMATION.xlsx &gt; AMENITIES!F13 / H13</t>
        </is>
      </c>
    </row>
    <row r="150" ht="28" customHeight="1">
      <c r="A150" s="63" t="inlineStr">
        <is>
          <t>F22</t>
        </is>
      </c>
      <c r="B150" s="63" t="inlineStr">
        <is>
          <t>MH0002</t>
        </is>
      </c>
      <c r="C150" s="64" t="n">
        <v>46325</v>
      </c>
      <c r="D150" s="63" t="inlineStr">
        <is>
          <t>KUL-LHR</t>
        </is>
      </c>
      <c r="E150" s="63" t="inlineStr">
        <is>
          <t>BC</t>
        </is>
      </c>
      <c r="F150" s="63" t="inlineStr">
        <is>
          <t>A350</t>
        </is>
      </c>
      <c r="G150" s="63" t="inlineStr">
        <is>
          <t>Amenities</t>
        </is>
      </c>
      <c r="H150" s="63" t="inlineStr">
        <is>
          <t>Slippers (BS/BC)</t>
        </is>
      </c>
      <c r="I150" s="63" t="inlineStr">
        <is>
          <t>Available (ticked in reference)</t>
        </is>
      </c>
      <c r="J150" s="63" t="inlineStr"/>
      <c r="K150" s="63" t="inlineStr">
        <is>
          <t>KUL</t>
        </is>
      </c>
      <c r="L150" s="63" t="inlineStr">
        <is>
          <t>Required</t>
        </is>
      </c>
      <c r="M150" s="63" t="inlineStr"/>
      <c r="N150" s="63" t="inlineStr">
        <is>
          <t>STD UPLIFT INFORMATION.xlsx &gt; AMENITIES!G13 / H13</t>
        </is>
      </c>
    </row>
    <row r="151" ht="28" customHeight="1">
      <c r="A151" s="63" t="inlineStr">
        <is>
          <t>F22</t>
        </is>
      </c>
      <c r="B151" s="63" t="inlineStr">
        <is>
          <t>MH0002</t>
        </is>
      </c>
      <c r="C151" s="64" t="n">
        <v>46325</v>
      </c>
      <c r="D151" s="63" t="inlineStr">
        <is>
          <t>KUL-LHR</t>
        </is>
      </c>
      <c r="E151" s="63" t="inlineStr">
        <is>
          <t>BC</t>
        </is>
      </c>
      <c r="F151" s="63" t="inlineStr">
        <is>
          <t>A350</t>
        </is>
      </c>
      <c r="G151" s="63" t="inlineStr">
        <is>
          <t>F&amp;B Linen</t>
        </is>
      </c>
      <c r="H151" s="63" t="inlineStr">
        <is>
          <t>Towel</t>
        </is>
      </c>
      <c r="I151" s="63" t="inlineStr">
        <is>
          <t>Available (ticked in reference)</t>
        </is>
      </c>
      <c r="J151" s="63" t="inlineStr"/>
      <c r="K151" s="63" t="inlineStr">
        <is>
          <t>Not stated in reference</t>
        </is>
      </c>
      <c r="L151" s="63" t="inlineStr">
        <is>
          <t>Required</t>
        </is>
      </c>
      <c r="M151" s="63" t="inlineStr"/>
      <c r="N151" s="63" t="inlineStr">
        <is>
          <t>STD UPLIFT INFORMATION.xlsx &gt; F&amp;B LINEN!D7</t>
        </is>
      </c>
    </row>
    <row r="152" ht="28" customHeight="1">
      <c r="A152" s="63" t="inlineStr">
        <is>
          <t>F22</t>
        </is>
      </c>
      <c r="B152" s="63" t="inlineStr">
        <is>
          <t>MH0002</t>
        </is>
      </c>
      <c r="C152" s="64" t="n">
        <v>46325</v>
      </c>
      <c r="D152" s="63" t="inlineStr">
        <is>
          <t>KUL-LHR</t>
        </is>
      </c>
      <c r="E152" s="63" t="inlineStr">
        <is>
          <t>BC</t>
        </is>
      </c>
      <c r="F152" s="63" t="inlineStr">
        <is>
          <t>A350</t>
        </is>
      </c>
      <c r="G152" s="63" t="inlineStr">
        <is>
          <t>F&amp;B Linen</t>
        </is>
      </c>
      <c r="H152" s="63" t="inlineStr">
        <is>
          <t>Tray cloth</t>
        </is>
      </c>
      <c r="I152" s="63" t="inlineStr">
        <is>
          <t>Available (ticked in reference)</t>
        </is>
      </c>
      <c r="J152" s="63" t="inlineStr"/>
      <c r="K152" s="63" t="inlineStr">
        <is>
          <t>Not stated in reference</t>
        </is>
      </c>
      <c r="L152" s="63" t="inlineStr">
        <is>
          <t>Required</t>
        </is>
      </c>
      <c r="M152" s="63" t="inlineStr"/>
      <c r="N152" s="63" t="inlineStr">
        <is>
          <t>STD UPLIFT INFORMATION.xlsx &gt; F&amp;B LINEN!E7</t>
        </is>
      </c>
    </row>
    <row r="153" ht="28" customHeight="1">
      <c r="A153" s="63" t="inlineStr">
        <is>
          <t>F22</t>
        </is>
      </c>
      <c r="B153" s="63" t="inlineStr">
        <is>
          <t>MH0002</t>
        </is>
      </c>
      <c r="C153" s="64" t="n">
        <v>46325</v>
      </c>
      <c r="D153" s="63" t="inlineStr">
        <is>
          <t>KUL-LHR</t>
        </is>
      </c>
      <c r="E153" s="63" t="inlineStr">
        <is>
          <t>BC</t>
        </is>
      </c>
      <c r="F153" s="63" t="inlineStr">
        <is>
          <t>A350</t>
        </is>
      </c>
      <c r="G153" s="63" t="inlineStr">
        <is>
          <t>F&amp;B Linen</t>
        </is>
      </c>
      <c r="H153" s="63" t="inlineStr">
        <is>
          <t>Napkin</t>
        </is>
      </c>
      <c r="I153" s="63" t="inlineStr">
        <is>
          <t>Available (ticked in reference)</t>
        </is>
      </c>
      <c r="J153" s="63" t="inlineStr"/>
      <c r="K153" s="63" t="inlineStr">
        <is>
          <t>Not stated in reference</t>
        </is>
      </c>
      <c r="L153" s="63" t="inlineStr">
        <is>
          <t>Required</t>
        </is>
      </c>
      <c r="M153" s="63" t="inlineStr"/>
      <c r="N153" s="63" t="inlineStr">
        <is>
          <t>STD UPLIFT INFORMATION.xlsx &gt; F&amp;B LINEN!F7</t>
        </is>
      </c>
    </row>
    <row r="154" ht="28" customHeight="1">
      <c r="A154" s="63" t="inlineStr">
        <is>
          <t>F22</t>
        </is>
      </c>
      <c r="B154" s="63" t="inlineStr">
        <is>
          <t>MH0002</t>
        </is>
      </c>
      <c r="C154" s="64" t="n">
        <v>46325</v>
      </c>
      <c r="D154" s="63" t="inlineStr">
        <is>
          <t>KUL-LHR</t>
        </is>
      </c>
      <c r="E154" s="63" t="inlineStr">
        <is>
          <t>BC</t>
        </is>
      </c>
      <c r="F154" s="63" t="inlineStr">
        <is>
          <t>A350</t>
        </is>
      </c>
      <c r="G154" s="63" t="inlineStr">
        <is>
          <t>F&amp;B Linen</t>
        </is>
      </c>
      <c r="H154" s="63" t="inlineStr">
        <is>
          <t>Table cloth</t>
        </is>
      </c>
      <c r="I154" s="63" t="inlineStr">
        <is>
          <t>Available (ticked in reference)</t>
        </is>
      </c>
      <c r="J154" s="63" t="inlineStr"/>
      <c r="K154" s="63" t="inlineStr">
        <is>
          <t>Not stated in reference</t>
        </is>
      </c>
      <c r="L154" s="63" t="inlineStr">
        <is>
          <t>Required</t>
        </is>
      </c>
      <c r="M154" s="63" t="inlineStr"/>
      <c r="N154" s="63" t="inlineStr">
        <is>
          <t>STD UPLIFT INFORMATION.xlsx &gt; F&amp;B LINEN!G7</t>
        </is>
      </c>
    </row>
    <row r="155" ht="28" customHeight="1">
      <c r="A155" s="63" t="inlineStr">
        <is>
          <t>F22</t>
        </is>
      </c>
      <c r="B155" s="63" t="inlineStr">
        <is>
          <t>MH0002</t>
        </is>
      </c>
      <c r="C155" s="64" t="n">
        <v>46325</v>
      </c>
      <c r="D155" s="63" t="inlineStr">
        <is>
          <t>KUL-LHR</t>
        </is>
      </c>
      <c r="E155" s="63" t="inlineStr">
        <is>
          <t>BC</t>
        </is>
      </c>
      <c r="F155" s="63" t="inlineStr">
        <is>
          <t>A350</t>
        </is>
      </c>
      <c r="G155" s="63" t="inlineStr">
        <is>
          <t>F&amp;B Linen</t>
        </is>
      </c>
      <c r="H155" s="63" t="inlineStr">
        <is>
          <t>Bread linen (using table cloth)</t>
        </is>
      </c>
      <c r="I155" s="63" t="inlineStr">
        <is>
          <t>Available (ticked in reference)</t>
        </is>
      </c>
      <c r="J155" s="63" t="inlineStr"/>
      <c r="K155" s="63" t="inlineStr">
        <is>
          <t>Not stated in reference</t>
        </is>
      </c>
      <c r="L155" s="63" t="inlineStr">
        <is>
          <t>Required</t>
        </is>
      </c>
      <c r="M155" s="63" t="inlineStr"/>
      <c r="N155" s="63" t="inlineStr">
        <is>
          <t>STD UPLIFT INFORMATION.xlsx &gt; F&amp;B LINEN!H7</t>
        </is>
      </c>
    </row>
    <row r="156" ht="28" customHeight="1">
      <c r="A156" s="63" t="inlineStr">
        <is>
          <t>F22</t>
        </is>
      </c>
      <c r="B156" s="63" t="inlineStr">
        <is>
          <t>MH0002</t>
        </is>
      </c>
      <c r="C156" s="64" t="n">
        <v>46325</v>
      </c>
      <c r="D156" s="63" t="inlineStr">
        <is>
          <t>KUL-LHR</t>
        </is>
      </c>
      <c r="E156" s="63" t="inlineStr">
        <is>
          <t>BC</t>
        </is>
      </c>
      <c r="F156" s="63" t="inlineStr">
        <is>
          <t>A350</t>
        </is>
      </c>
      <c r="G156" s="63" t="inlineStr">
        <is>
          <t>F&amp;B Linen</t>
        </is>
      </c>
      <c r="H156" s="63" t="inlineStr">
        <is>
          <t>Trolley cloth</t>
        </is>
      </c>
      <c r="I156" s="63" t="inlineStr">
        <is>
          <t>Wide body: Top/Middle &amp; Bottom</t>
        </is>
      </c>
      <c r="J156" s="63" t="inlineStr"/>
      <c r="K156" s="63" t="inlineStr">
        <is>
          <t>Not stated in reference</t>
        </is>
      </c>
      <c r="L156" s="63" t="inlineStr">
        <is>
          <t>Required</t>
        </is>
      </c>
      <c r="M156" s="63" t="inlineStr">
        <is>
          <t>Per note F&amp;B LINEN!B79:C80.</t>
        </is>
      </c>
      <c r="N156" s="63" t="inlineStr">
        <is>
          <t>STD UPLIFT INFORMATION.xlsx &gt; F&amp;B LINEN!I7</t>
        </is>
      </c>
    </row>
    <row r="157" ht="28" customHeight="1">
      <c r="A157" s="63" t="inlineStr">
        <is>
          <t>F22</t>
        </is>
      </c>
      <c r="B157" s="63" t="inlineStr">
        <is>
          <t>MH0002</t>
        </is>
      </c>
      <c r="C157" s="64" t="n">
        <v>46325</v>
      </c>
      <c r="D157" s="63" t="inlineStr">
        <is>
          <t>KUL-LHR</t>
        </is>
      </c>
      <c r="E157" s="63" t="inlineStr">
        <is>
          <t>BC</t>
        </is>
      </c>
      <c r="F157" s="63" t="inlineStr">
        <is>
          <t>A350</t>
        </is>
      </c>
      <c r="G157" s="63" t="inlineStr">
        <is>
          <t>F&amp;B Linen</t>
        </is>
      </c>
      <c r="H157" s="63" t="inlineStr">
        <is>
          <t>Linen bag</t>
        </is>
      </c>
      <c r="I157" s="63" t="inlineStr">
        <is>
          <t>Available (ticked in reference)</t>
        </is>
      </c>
      <c r="J157" s="63" t="inlineStr"/>
      <c r="K157" s="63" t="inlineStr">
        <is>
          <t>Not stated in reference</t>
        </is>
      </c>
      <c r="L157" s="63" t="inlineStr">
        <is>
          <t>Required</t>
        </is>
      </c>
      <c r="M157" s="63" t="inlineStr"/>
      <c r="N157" s="63" t="inlineStr">
        <is>
          <t>STD UPLIFT INFORMATION.xlsx &gt; F&amp;B LINEN!J7</t>
        </is>
      </c>
    </row>
    <row r="158" ht="28" customHeight="1">
      <c r="A158" s="63" t="inlineStr">
        <is>
          <t>F22</t>
        </is>
      </c>
      <c r="B158" s="63" t="inlineStr">
        <is>
          <t>MH0002</t>
        </is>
      </c>
      <c r="C158" s="64" t="n">
        <v>46325</v>
      </c>
      <c r="D158" s="63" t="inlineStr">
        <is>
          <t>KUL-LHR</t>
        </is>
      </c>
      <c r="E158" s="63" t="inlineStr">
        <is>
          <t>BC</t>
        </is>
      </c>
      <c r="F158" s="63" t="inlineStr">
        <is>
          <t>A350</t>
        </is>
      </c>
      <c r="G158" s="63" t="inlineStr">
        <is>
          <t>Seat Linen</t>
        </is>
      </c>
      <c r="H158" s="63" t="inlineStr">
        <is>
          <t>Seat pillow (BS &amp; BC)</t>
        </is>
      </c>
      <c r="I158" s="63" t="inlineStr">
        <is>
          <t>Available 100% (ticked in reference)</t>
        </is>
      </c>
      <c r="J158" s="63" t="inlineStr"/>
      <c r="K158" s="63" t="inlineStr">
        <is>
          <t>Not stated in reference</t>
        </is>
      </c>
      <c r="L158" s="63" t="inlineStr">
        <is>
          <t>Required</t>
        </is>
      </c>
      <c r="M158" s="63" t="inlineStr"/>
      <c r="N158" s="63" t="inlineStr">
        <is>
          <t>STD UPLIFT INFORMATION.xlsx &gt; SEAT LINEN!E7</t>
        </is>
      </c>
    </row>
    <row r="159" ht="28" customHeight="1">
      <c r="A159" s="63" t="inlineStr">
        <is>
          <t>F22</t>
        </is>
      </c>
      <c r="B159" s="63" t="inlineStr">
        <is>
          <t>MH0002</t>
        </is>
      </c>
      <c r="C159" s="64" t="n">
        <v>46325</v>
      </c>
      <c r="D159" s="63" t="inlineStr">
        <is>
          <t>KUL-LHR</t>
        </is>
      </c>
      <c r="E159" s="63" t="inlineStr">
        <is>
          <t>BC</t>
        </is>
      </c>
      <c r="F159" s="63" t="inlineStr">
        <is>
          <t>A350</t>
        </is>
      </c>
      <c r="G159" s="63" t="inlineStr">
        <is>
          <t>Seat Linen</t>
        </is>
      </c>
      <c r="H159" s="63" t="inlineStr">
        <is>
          <t>Duvet (BS &amp; BC)</t>
        </is>
      </c>
      <c r="I159" s="63" t="inlineStr">
        <is>
          <t>Available 100% (ticked in reference)</t>
        </is>
      </c>
      <c r="J159" s="63" t="inlineStr"/>
      <c r="K159" s="63" t="inlineStr">
        <is>
          <t>Not stated in reference</t>
        </is>
      </c>
      <c r="L159" s="63" t="inlineStr">
        <is>
          <t>Required</t>
        </is>
      </c>
      <c r="M159" s="63" t="inlineStr"/>
      <c r="N159" s="63" t="inlineStr">
        <is>
          <t>STD UPLIFT INFORMATION.xlsx &gt; SEAT LINEN!F7</t>
        </is>
      </c>
    </row>
    <row r="160" ht="28" customHeight="1">
      <c r="A160" s="63" t="inlineStr">
        <is>
          <t>F22</t>
        </is>
      </c>
      <c r="B160" s="63" t="inlineStr">
        <is>
          <t>MH0002</t>
        </is>
      </c>
      <c r="C160" s="64" t="n">
        <v>46325</v>
      </c>
      <c r="D160" s="63" t="inlineStr">
        <is>
          <t>KUL-LHR</t>
        </is>
      </c>
      <c r="E160" s="63" t="inlineStr">
        <is>
          <t>BC</t>
        </is>
      </c>
      <c r="F160" s="63" t="inlineStr">
        <is>
          <t>A350</t>
        </is>
      </c>
      <c r="G160" s="63" t="inlineStr">
        <is>
          <t>Seat Linen</t>
        </is>
      </c>
      <c r="H160" s="63" t="inlineStr">
        <is>
          <t>Mattress (BS &amp; BC)</t>
        </is>
      </c>
      <c r="I160" s="63" t="inlineStr">
        <is>
          <t>Available 100% (ticked in reference)</t>
        </is>
      </c>
      <c r="J160" s="63" t="inlineStr"/>
      <c r="K160" s="63" t="inlineStr">
        <is>
          <t>Not stated in reference</t>
        </is>
      </c>
      <c r="L160" s="63" t="inlineStr">
        <is>
          <t>Required</t>
        </is>
      </c>
      <c r="M160" s="63" t="inlineStr"/>
      <c r="N160" s="63" t="inlineStr">
        <is>
          <t>STD UPLIFT INFORMATION.xlsx &gt; SEAT LINEN!G7</t>
        </is>
      </c>
    </row>
    <row r="161" ht="28" customHeight="1">
      <c r="A161" s="63" t="inlineStr">
        <is>
          <t>F22</t>
        </is>
      </c>
      <c r="B161" s="63" t="inlineStr">
        <is>
          <t>MH0002</t>
        </is>
      </c>
      <c r="C161" s="64" t="n">
        <v>46325</v>
      </c>
      <c r="D161" s="63" t="inlineStr">
        <is>
          <t>KUL-LHR</t>
        </is>
      </c>
      <c r="E161" s="63" t="inlineStr">
        <is>
          <t>BC</t>
        </is>
      </c>
      <c r="F161" s="63" t="inlineStr">
        <is>
          <t>A350</t>
        </is>
      </c>
      <c r="G161" s="63" t="inlineStr">
        <is>
          <t>Signature Drinks</t>
        </is>
      </c>
      <c r="H161" s="63" t="inlineStr">
        <is>
          <t>Signature drink &amp; garnish (BC)</t>
        </is>
      </c>
      <c r="I161" s="63" t="inlineStr">
        <is>
          <t>Available (ticked in reference)</t>
        </is>
      </c>
      <c r="J161" s="63" t="inlineStr"/>
      <c r="K161" s="63" t="inlineStr">
        <is>
          <t>KUL</t>
        </is>
      </c>
      <c r="L161" s="63" t="inlineStr">
        <is>
          <t>Required</t>
        </is>
      </c>
      <c r="M161" s="63" t="inlineStr">
        <is>
          <t>Signature drinks &amp; garnish uplifted from KUL (note D79).</t>
        </is>
      </c>
      <c r="N161" s="63" t="inlineStr">
        <is>
          <t>STD UPLIFT INFORMATION.xlsx &gt; Signature Drinks!F6 / G6 / D79</t>
        </is>
      </c>
    </row>
    <row r="163">
      <c r="A163" s="81" t="inlineStr">
        <is>
          <t>Items the reference marks NOT provided (X / blank) for each flight – listed for traceability, no check line created</t>
        </is>
      </c>
    </row>
    <row r="164" ht="30" customHeight="1">
      <c r="A164" s="62" t="inlineStr">
        <is>
          <t>Flight ID</t>
        </is>
      </c>
      <c r="B164" s="62" t="inlineStr">
        <is>
          <t>Flight No</t>
        </is>
      </c>
      <c r="C164" s="62" t="inlineStr">
        <is>
          <t>Date</t>
        </is>
      </c>
      <c r="D164" s="62" t="inlineStr">
        <is>
          <t>Sector</t>
        </is>
      </c>
      <c r="E164" s="62" t="inlineStr">
        <is>
          <t>Class</t>
        </is>
      </c>
      <c r="F164" s="62" t="inlineStr">
        <is>
          <t>Fleet</t>
        </is>
      </c>
      <c r="G164" s="62" t="inlineStr">
        <is>
          <t>Category</t>
        </is>
      </c>
      <c r="H164" s="62" t="inlineStr">
        <is>
          <t>Item</t>
        </is>
      </c>
      <c r="I164" s="62" t="inlineStr">
        <is>
          <t>Source cell</t>
        </is>
      </c>
    </row>
    <row r="165" ht="28" customHeight="1">
      <c r="A165" s="82" t="inlineStr">
        <is>
          <t>F01</t>
        </is>
      </c>
      <c r="B165" s="82" t="inlineStr">
        <is>
          <t>MH0001</t>
        </is>
      </c>
      <c r="C165" s="83" t="n">
        <v>46303</v>
      </c>
      <c r="D165" s="82" t="inlineStr">
        <is>
          <t>LHR-KUL</t>
        </is>
      </c>
      <c r="E165" s="82" t="inlineStr">
        <is>
          <t>EY</t>
        </is>
      </c>
      <c r="F165" s="82" t="inlineStr">
        <is>
          <t>A350</t>
        </is>
      </c>
      <c r="G165" s="82" t="inlineStr">
        <is>
          <t>Sales Cart</t>
        </is>
      </c>
      <c r="H165" s="82" t="inlineStr">
        <is>
          <t>No sales cart location on LHR sector (A359 'not applicable for LHR'; 9M-MAH '-')</t>
        </is>
      </c>
      <c r="I165" s="82" t="inlineStr">
        <is>
          <t>STD UPLIFT INFORMATION.xlsx &gt; SALES CART!K7:K14 / L7</t>
        </is>
      </c>
    </row>
    <row r="166" ht="28" customHeight="1">
      <c r="A166" s="82" t="inlineStr">
        <is>
          <t>F02</t>
        </is>
      </c>
      <c r="B166" s="82" t="inlineStr">
        <is>
          <t>MH0727</t>
        </is>
      </c>
      <c r="C166" s="83" t="n">
        <v>46304</v>
      </c>
      <c r="D166" s="82" t="inlineStr">
        <is>
          <t>KUL-CGK</t>
        </is>
      </c>
      <c r="E166" s="82" t="inlineStr">
        <is>
          <t>BC</t>
        </is>
      </c>
      <c r="F166" s="82" t="inlineStr">
        <is>
          <t>B738MAX</t>
        </is>
      </c>
      <c r="G166" s="82" t="inlineStr">
        <is>
          <t>Amenities</t>
        </is>
      </c>
      <c r="H166" s="82" t="inlineStr">
        <is>
          <t>Toiletry kits</t>
        </is>
      </c>
      <c r="I166" s="82" t="inlineStr">
        <is>
          <t>STD UPLIFT INFORMATION.xlsx &gt; AMENITIES!D52</t>
        </is>
      </c>
    </row>
    <row r="167" ht="28" customHeight="1">
      <c r="A167" s="82" t="inlineStr">
        <is>
          <t>F02</t>
        </is>
      </c>
      <c r="B167" s="82" t="inlineStr">
        <is>
          <t>MH0727</t>
        </is>
      </c>
      <c r="C167" s="83" t="n">
        <v>46304</v>
      </c>
      <c r="D167" s="82" t="inlineStr">
        <is>
          <t>KUL-CGK</t>
        </is>
      </c>
      <c r="E167" s="82" t="inlineStr">
        <is>
          <t>BC</t>
        </is>
      </c>
      <c r="F167" s="82" t="inlineStr">
        <is>
          <t>B738MAX</t>
        </is>
      </c>
      <c r="G167" s="82" t="inlineStr">
        <is>
          <t>Amenities</t>
        </is>
      </c>
      <c r="H167" s="82" t="inlineStr">
        <is>
          <t>Pajamas (BC red-eye)</t>
        </is>
      </c>
      <c r="I167" s="82" t="inlineStr">
        <is>
          <t>STD UPLIFT INFORMATION.xlsx &gt; AMENITIES!F52</t>
        </is>
      </c>
    </row>
    <row r="168" ht="28" customHeight="1">
      <c r="A168" s="82" t="inlineStr">
        <is>
          <t>F02</t>
        </is>
      </c>
      <c r="B168" s="82" t="inlineStr">
        <is>
          <t>MH0727</t>
        </is>
      </c>
      <c r="C168" s="83" t="n">
        <v>46304</v>
      </c>
      <c r="D168" s="82" t="inlineStr">
        <is>
          <t>KUL-CGK</t>
        </is>
      </c>
      <c r="E168" s="82" t="inlineStr">
        <is>
          <t>BC</t>
        </is>
      </c>
      <c r="F168" s="82" t="inlineStr">
        <is>
          <t>B738MAX</t>
        </is>
      </c>
      <c r="G168" s="82" t="inlineStr">
        <is>
          <t>Amenities</t>
        </is>
      </c>
      <c r="H168" s="82" t="inlineStr">
        <is>
          <t>Slippers (BS/BC)</t>
        </is>
      </c>
      <c r="I168" s="82" t="inlineStr">
        <is>
          <t>STD UPLIFT INFORMATION.xlsx &gt; AMENITIES!G52</t>
        </is>
      </c>
    </row>
    <row r="169" ht="28" customHeight="1">
      <c r="A169" s="82" t="inlineStr">
        <is>
          <t>F02</t>
        </is>
      </c>
      <c r="B169" s="82" t="inlineStr">
        <is>
          <t>MH0727</t>
        </is>
      </c>
      <c r="C169" s="83" t="n">
        <v>46304</v>
      </c>
      <c r="D169" s="82" t="inlineStr">
        <is>
          <t>KUL-CGK</t>
        </is>
      </c>
      <c r="E169" s="82" t="inlineStr">
        <is>
          <t>BC</t>
        </is>
      </c>
      <c r="F169" s="82" t="inlineStr">
        <is>
          <t>B738MAX</t>
        </is>
      </c>
      <c r="G169" s="82" t="inlineStr">
        <is>
          <t>Signature Drinks</t>
        </is>
      </c>
      <c r="H169" s="82" t="inlineStr">
        <is>
          <t>Signature drink (BCL)</t>
        </is>
      </c>
      <c r="I169" s="82" t="inlineStr">
        <is>
          <t>STD UPLIFT INFORMATION.xlsx &gt; Signature Drinks!F47</t>
        </is>
      </c>
    </row>
    <row r="170" ht="28" customHeight="1">
      <c r="A170" s="82" t="inlineStr">
        <is>
          <t>F02</t>
        </is>
      </c>
      <c r="B170" s="82" t="inlineStr">
        <is>
          <t>MH0727</t>
        </is>
      </c>
      <c r="C170" s="83" t="n">
        <v>46304</v>
      </c>
      <c r="D170" s="82" t="inlineStr">
        <is>
          <t>KUL-CGK</t>
        </is>
      </c>
      <c r="E170" s="82" t="inlineStr">
        <is>
          <t>BC</t>
        </is>
      </c>
      <c r="F170" s="82" t="inlineStr">
        <is>
          <t>B738MAX</t>
        </is>
      </c>
      <c r="G170" s="82" t="inlineStr">
        <is>
          <t>Seat Linen</t>
        </is>
      </c>
      <c r="H170" s="82" t="inlineStr">
        <is>
          <t>Duvet</t>
        </is>
      </c>
      <c r="I170" s="82" t="inlineStr">
        <is>
          <t>STD UPLIFT INFORMATION.xlsx &gt; SEAT LINEN!F42 (blank)</t>
        </is>
      </c>
    </row>
    <row r="171" ht="28" customHeight="1">
      <c r="A171" s="82" t="inlineStr">
        <is>
          <t>F02</t>
        </is>
      </c>
      <c r="B171" s="82" t="inlineStr">
        <is>
          <t>MH0727</t>
        </is>
      </c>
      <c r="C171" s="83" t="n">
        <v>46304</v>
      </c>
      <c r="D171" s="82" t="inlineStr">
        <is>
          <t>KUL-CGK</t>
        </is>
      </c>
      <c r="E171" s="82" t="inlineStr">
        <is>
          <t>BC</t>
        </is>
      </c>
      <c r="F171" s="82" t="inlineStr">
        <is>
          <t>B738MAX</t>
        </is>
      </c>
      <c r="G171" s="82" t="inlineStr">
        <is>
          <t>Seat Linen</t>
        </is>
      </c>
      <c r="H171" s="82" t="inlineStr">
        <is>
          <t>Mattress</t>
        </is>
      </c>
      <c r="I171" s="82" t="inlineStr">
        <is>
          <t>STD UPLIFT INFORMATION.xlsx &gt; SEAT LINEN!G42 (blank)</t>
        </is>
      </c>
    </row>
    <row r="172" ht="28" customHeight="1">
      <c r="A172" s="82" t="inlineStr">
        <is>
          <t>F02</t>
        </is>
      </c>
      <c r="B172" s="82" t="inlineStr">
        <is>
          <t>MH0727</t>
        </is>
      </c>
      <c r="C172" s="83" t="n">
        <v>46304</v>
      </c>
      <c r="D172" s="82" t="inlineStr">
        <is>
          <t>KUL-CGK</t>
        </is>
      </c>
      <c r="E172" s="82" t="inlineStr">
        <is>
          <t>BC</t>
        </is>
      </c>
      <c r="F172" s="82" t="inlineStr">
        <is>
          <t>B738MAX</t>
        </is>
      </c>
      <c r="G172" s="82" t="inlineStr">
        <is>
          <t>Sales Cart</t>
        </is>
      </c>
      <c r="H172" s="82" t="inlineStr">
        <is>
          <t>Sector not listed</t>
        </is>
      </c>
      <c r="I172" s="82" t="inlineStr">
        <is>
          <t>STD UPLIFT INFORMATION.xlsx &gt; SALES CART!D7:D37</t>
        </is>
      </c>
    </row>
    <row r="173" ht="28" customHeight="1">
      <c r="A173" s="82" t="inlineStr">
        <is>
          <t>F03</t>
        </is>
      </c>
      <c r="B173" s="82" t="inlineStr">
        <is>
          <t>MH0720</t>
        </is>
      </c>
      <c r="C173" s="83" t="n">
        <v>46305</v>
      </c>
      <c r="D173" s="82" t="inlineStr">
        <is>
          <t>CGK-KUL</t>
        </is>
      </c>
      <c r="E173" s="82" t="inlineStr">
        <is>
          <t>EY</t>
        </is>
      </c>
      <c r="F173" s="82" t="inlineStr">
        <is>
          <t>A333</t>
        </is>
      </c>
      <c r="G173" s="82" t="inlineStr">
        <is>
          <t>Amenities</t>
        </is>
      </c>
      <c r="H173" s="82" t="inlineStr">
        <is>
          <t>Toiletry kits</t>
        </is>
      </c>
      <c r="I173" s="82" t="inlineStr">
        <is>
          <t>STD UPLIFT INFORMATION.xlsx &gt; AMENITIES!D52</t>
        </is>
      </c>
    </row>
    <row r="174" ht="28" customHeight="1">
      <c r="A174" s="82" t="inlineStr">
        <is>
          <t>F03</t>
        </is>
      </c>
      <c r="B174" s="82" t="inlineStr">
        <is>
          <t>MH0720</t>
        </is>
      </c>
      <c r="C174" s="83" t="n">
        <v>46305</v>
      </c>
      <c r="D174" s="82" t="inlineStr">
        <is>
          <t>CGK-KUL</t>
        </is>
      </c>
      <c r="E174" s="82" t="inlineStr">
        <is>
          <t>EY</t>
        </is>
      </c>
      <c r="F174" s="82" t="inlineStr">
        <is>
          <t>A333</t>
        </is>
      </c>
      <c r="G174" s="82" t="inlineStr">
        <is>
          <t>Seat Linen</t>
        </is>
      </c>
      <c r="H174" s="82" t="inlineStr">
        <is>
          <t>Blanket (EY)</t>
        </is>
      </c>
      <c r="I174" s="82" t="inlineStr">
        <is>
          <t>STD UPLIFT INFORMATION.xlsx &gt; SEAT LINEN!J36:J69 (blank)</t>
        </is>
      </c>
    </row>
    <row r="175" ht="28" customHeight="1">
      <c r="A175" s="82" t="inlineStr">
        <is>
          <t>F03</t>
        </is>
      </c>
      <c r="B175" s="82" t="inlineStr">
        <is>
          <t>MH0720</t>
        </is>
      </c>
      <c r="C175" s="83" t="n">
        <v>46305</v>
      </c>
      <c r="D175" s="82" t="inlineStr">
        <is>
          <t>CGK-KUL</t>
        </is>
      </c>
      <c r="E175" s="82" t="inlineStr">
        <is>
          <t>EY</t>
        </is>
      </c>
      <c r="F175" s="82" t="inlineStr">
        <is>
          <t>A333</t>
        </is>
      </c>
      <c r="G175" s="82" t="inlineStr">
        <is>
          <t>Sales Cart</t>
        </is>
      </c>
      <c r="H175" s="82" t="inlineStr">
        <is>
          <t>Sector not listed</t>
        </is>
      </c>
      <c r="I175" s="82" t="inlineStr">
        <is>
          <t>STD UPLIFT INFORMATION.xlsx &gt; SALES CART!D7:D37</t>
        </is>
      </c>
    </row>
    <row r="176" ht="28" customHeight="1">
      <c r="A176" s="82" t="inlineStr">
        <is>
          <t>F04</t>
        </is>
      </c>
      <c r="B176" s="82" t="inlineStr">
        <is>
          <t>MH0088</t>
        </is>
      </c>
      <c r="C176" s="83" t="n">
        <v>46305</v>
      </c>
      <c r="D176" s="82" t="inlineStr">
        <is>
          <t>KUL-NRT</t>
        </is>
      </c>
      <c r="E176" s="82" t="inlineStr">
        <is>
          <t>BC</t>
        </is>
      </c>
      <c r="F176" s="82" t="inlineStr">
        <is>
          <t>A350</t>
        </is>
      </c>
      <c r="G176" s="82" t="inlineStr">
        <is>
          <t>Amenities</t>
        </is>
      </c>
      <c r="H176" s="82" t="inlineStr">
        <is>
          <t>Pajamas (BC red-eye)</t>
        </is>
      </c>
      <c r="I176" s="82" t="inlineStr">
        <is>
          <t>STD UPLIFT INFORMATION.xlsx &gt; AMENITIES!F23</t>
        </is>
      </c>
    </row>
    <row r="177" ht="28" customHeight="1">
      <c r="A177" s="82" t="inlineStr">
        <is>
          <t>F04</t>
        </is>
      </c>
      <c r="B177" s="82" t="inlineStr">
        <is>
          <t>MH0088</t>
        </is>
      </c>
      <c r="C177" s="83" t="n">
        <v>46305</v>
      </c>
      <c r="D177" s="82" t="inlineStr">
        <is>
          <t>KUL-NRT</t>
        </is>
      </c>
      <c r="E177" s="82" t="inlineStr">
        <is>
          <t>BC</t>
        </is>
      </c>
      <c r="F177" s="82" t="inlineStr">
        <is>
          <t>A350</t>
        </is>
      </c>
      <c r="G177" s="82" t="inlineStr">
        <is>
          <t>Seat Linen</t>
        </is>
      </c>
      <c r="H177" s="82" t="inlineStr">
        <is>
          <t>Blanket</t>
        </is>
      </c>
      <c r="I177" s="82" t="inlineStr">
        <is>
          <t>STD UPLIFT INFORMATION.xlsx &gt; SEAT LINEN!H14 (blank)</t>
        </is>
      </c>
    </row>
    <row r="178" ht="28" customHeight="1">
      <c r="A178" s="82" t="inlineStr">
        <is>
          <t>F06</t>
        </is>
      </c>
      <c r="B178" s="82" t="inlineStr">
        <is>
          <t>MH0002</t>
        </is>
      </c>
      <c r="C178" s="83" t="n">
        <v>46310</v>
      </c>
      <c r="D178" s="82" t="inlineStr">
        <is>
          <t>KUL-LHR</t>
        </is>
      </c>
      <c r="E178" s="82" t="inlineStr">
        <is>
          <t>BC</t>
        </is>
      </c>
      <c r="F178" s="82" t="inlineStr">
        <is>
          <t>A350</t>
        </is>
      </c>
      <c r="G178" s="82" t="inlineStr">
        <is>
          <t>Seat Linen</t>
        </is>
      </c>
      <c r="H178" s="82" t="inlineStr">
        <is>
          <t>Blanket</t>
        </is>
      </c>
      <c r="I178" s="82" t="inlineStr">
        <is>
          <t>STD UPLIFT INFORMATION.xlsx &gt; SEAT LINEN!H7 (blank)</t>
        </is>
      </c>
    </row>
    <row r="179" ht="28" customHeight="1">
      <c r="A179" s="82" t="inlineStr">
        <is>
          <t>F06</t>
        </is>
      </c>
      <c r="B179" s="82" t="inlineStr">
        <is>
          <t>MH0002</t>
        </is>
      </c>
      <c r="C179" s="83" t="n">
        <v>46310</v>
      </c>
      <c r="D179" s="82" t="inlineStr">
        <is>
          <t>KUL-LHR</t>
        </is>
      </c>
      <c r="E179" s="82" t="inlineStr">
        <is>
          <t>BC</t>
        </is>
      </c>
      <c r="F179" s="82" t="inlineStr">
        <is>
          <t>A350</t>
        </is>
      </c>
      <c r="G179" s="82" t="inlineStr">
        <is>
          <t>Sales Cart</t>
        </is>
      </c>
      <c r="H179" s="82" t="inlineStr">
        <is>
          <t>No sales cart location on LHR sector (A359 'not applicable for LHR'; 9M-MAH '-')</t>
        </is>
      </c>
      <c r="I179" s="82" t="inlineStr">
        <is>
          <t>STD UPLIFT INFORMATION.xlsx &gt; SALES CART!K7:K14 / L7</t>
        </is>
      </c>
    </row>
    <row r="180" ht="28" customHeight="1">
      <c r="A180" s="82" t="inlineStr">
        <is>
          <t>F07</t>
        </is>
      </c>
      <c r="B180" s="82" t="inlineStr">
        <is>
          <t>MH0003</t>
        </is>
      </c>
      <c r="C180" s="83" t="n">
        <v>46304</v>
      </c>
      <c r="D180" s="82" t="inlineStr">
        <is>
          <t>LHR-KUL</t>
        </is>
      </c>
      <c r="E180" s="82" t="inlineStr">
        <is>
          <t>BC</t>
        </is>
      </c>
      <c r="F180" s="82" t="inlineStr">
        <is>
          <t>A350</t>
        </is>
      </c>
      <c r="G180" s="82" t="inlineStr">
        <is>
          <t>Seat Linen</t>
        </is>
      </c>
      <c r="H180" s="82" t="inlineStr">
        <is>
          <t>Blanket</t>
        </is>
      </c>
      <c r="I180" s="82" t="inlineStr">
        <is>
          <t>STD UPLIFT INFORMATION.xlsx &gt; SEAT LINEN!H7 (blank)</t>
        </is>
      </c>
    </row>
    <row r="181" ht="28" customHeight="1">
      <c r="A181" s="82" t="inlineStr">
        <is>
          <t>F07</t>
        </is>
      </c>
      <c r="B181" s="82" t="inlineStr">
        <is>
          <t>MH0003</t>
        </is>
      </c>
      <c r="C181" s="83" t="n">
        <v>46304</v>
      </c>
      <c r="D181" s="82" t="inlineStr">
        <is>
          <t>LHR-KUL</t>
        </is>
      </c>
      <c r="E181" s="82" t="inlineStr">
        <is>
          <t>BC</t>
        </is>
      </c>
      <c r="F181" s="82" t="inlineStr">
        <is>
          <t>A350</t>
        </is>
      </c>
      <c r="G181" s="82" t="inlineStr">
        <is>
          <t>Sales Cart</t>
        </is>
      </c>
      <c r="H181" s="82" t="inlineStr">
        <is>
          <t>No sales cart location on LHR sector (A359 'not applicable for LHR'; 9M-MAH '-')</t>
        </is>
      </c>
      <c r="I181" s="82" t="inlineStr">
        <is>
          <t>STD UPLIFT INFORMATION.xlsx &gt; SALES CART!K7:K14 / L7</t>
        </is>
      </c>
    </row>
    <row r="182" ht="28" customHeight="1">
      <c r="A182" s="82" t="inlineStr">
        <is>
          <t>F08</t>
        </is>
      </c>
      <c r="B182" s="82" t="inlineStr">
        <is>
          <t>MH0752</t>
        </is>
      </c>
      <c r="C182" s="83" t="n">
        <v>46305</v>
      </c>
      <c r="D182" s="82" t="inlineStr">
        <is>
          <t>KUL-HAN</t>
        </is>
      </c>
      <c r="E182" s="82" t="inlineStr">
        <is>
          <t>EY</t>
        </is>
      </c>
      <c r="F182" s="82" t="inlineStr">
        <is>
          <t>B738MAX</t>
        </is>
      </c>
      <c r="G182" s="82" t="inlineStr">
        <is>
          <t>Amenities</t>
        </is>
      </c>
      <c r="H182" s="82" t="inlineStr">
        <is>
          <t>Toiletry kits</t>
        </is>
      </c>
      <c r="I182" s="82" t="inlineStr">
        <is>
          <t>STD UPLIFT INFORMATION.xlsx &gt; AMENITIES!D56</t>
        </is>
      </c>
    </row>
    <row r="183" ht="28" customHeight="1">
      <c r="A183" s="82" t="inlineStr">
        <is>
          <t>F08</t>
        </is>
      </c>
      <c r="B183" s="82" t="inlineStr">
        <is>
          <t>MH0752</t>
        </is>
      </c>
      <c r="C183" s="83" t="n">
        <v>46305</v>
      </c>
      <c r="D183" s="82" t="inlineStr">
        <is>
          <t>KUL-HAN</t>
        </is>
      </c>
      <c r="E183" s="82" t="inlineStr">
        <is>
          <t>EY</t>
        </is>
      </c>
      <c r="F183" s="82" t="inlineStr">
        <is>
          <t>B738MAX</t>
        </is>
      </c>
      <c r="G183" s="82" t="inlineStr">
        <is>
          <t>Seat Linen</t>
        </is>
      </c>
      <c r="H183" s="82" t="inlineStr">
        <is>
          <t>Blanket (EY)</t>
        </is>
      </c>
      <c r="I183" s="82" t="inlineStr">
        <is>
          <t>STD UPLIFT INFORMATION.xlsx &gt; SEAT LINEN!J36:J69 (blank)</t>
        </is>
      </c>
    </row>
    <row r="184" ht="28" customHeight="1">
      <c r="A184" s="82" t="inlineStr">
        <is>
          <t>F08</t>
        </is>
      </c>
      <c r="B184" s="82" t="inlineStr">
        <is>
          <t>MH0752</t>
        </is>
      </c>
      <c r="C184" s="83" t="n">
        <v>46305</v>
      </c>
      <c r="D184" s="82" t="inlineStr">
        <is>
          <t>KUL-HAN</t>
        </is>
      </c>
      <c r="E184" s="82" t="inlineStr">
        <is>
          <t>EY</t>
        </is>
      </c>
      <c r="F184" s="82" t="inlineStr">
        <is>
          <t>B738MAX</t>
        </is>
      </c>
      <c r="G184" s="82" t="inlineStr">
        <is>
          <t>Sales Cart</t>
        </is>
      </c>
      <c r="H184" s="82" t="inlineStr">
        <is>
          <t>Sector not listed</t>
        </is>
      </c>
      <c r="I184" s="82" t="inlineStr">
        <is>
          <t>STD UPLIFT INFORMATION.xlsx &gt; SALES CART!D7:D37</t>
        </is>
      </c>
    </row>
    <row r="185" ht="28" customHeight="1">
      <c r="A185" s="82" t="inlineStr">
        <is>
          <t>F09</t>
        </is>
      </c>
      <c r="B185" s="82" t="inlineStr">
        <is>
          <t>MH0753</t>
        </is>
      </c>
      <c r="C185" s="83" t="n">
        <v>46306</v>
      </c>
      <c r="D185" s="82" t="inlineStr">
        <is>
          <t>HAN-KUL</t>
        </is>
      </c>
      <c r="E185" s="82" t="inlineStr">
        <is>
          <t>BC</t>
        </is>
      </c>
      <c r="F185" s="82" t="inlineStr">
        <is>
          <t>B738MAX</t>
        </is>
      </c>
      <c r="G185" s="82" t="inlineStr">
        <is>
          <t>Amenities</t>
        </is>
      </c>
      <c r="H185" s="82" t="inlineStr">
        <is>
          <t>Toiletry kits</t>
        </is>
      </c>
      <c r="I185" s="82" t="inlineStr">
        <is>
          <t>STD UPLIFT INFORMATION.xlsx &gt; AMENITIES!D56</t>
        </is>
      </c>
    </row>
    <row r="186" ht="28" customHeight="1">
      <c r="A186" s="82" t="inlineStr">
        <is>
          <t>F09</t>
        </is>
      </c>
      <c r="B186" s="82" t="inlineStr">
        <is>
          <t>MH0753</t>
        </is>
      </c>
      <c r="C186" s="83" t="n">
        <v>46306</v>
      </c>
      <c r="D186" s="82" t="inlineStr">
        <is>
          <t>HAN-KUL</t>
        </is>
      </c>
      <c r="E186" s="82" t="inlineStr">
        <is>
          <t>BC</t>
        </is>
      </c>
      <c r="F186" s="82" t="inlineStr">
        <is>
          <t>B738MAX</t>
        </is>
      </c>
      <c r="G186" s="82" t="inlineStr">
        <is>
          <t>Amenities</t>
        </is>
      </c>
      <c r="H186" s="82" t="inlineStr">
        <is>
          <t>Pajamas (BC red-eye)</t>
        </is>
      </c>
      <c r="I186" s="82" t="inlineStr">
        <is>
          <t>STD UPLIFT INFORMATION.xlsx &gt; AMENITIES!F56</t>
        </is>
      </c>
    </row>
    <row r="187" ht="28" customHeight="1">
      <c r="A187" s="82" t="inlineStr">
        <is>
          <t>F09</t>
        </is>
      </c>
      <c r="B187" s="82" t="inlineStr">
        <is>
          <t>MH0753</t>
        </is>
      </c>
      <c r="C187" s="83" t="n">
        <v>46306</v>
      </c>
      <c r="D187" s="82" t="inlineStr">
        <is>
          <t>HAN-KUL</t>
        </is>
      </c>
      <c r="E187" s="82" t="inlineStr">
        <is>
          <t>BC</t>
        </is>
      </c>
      <c r="F187" s="82" t="inlineStr">
        <is>
          <t>B738MAX</t>
        </is>
      </c>
      <c r="G187" s="82" t="inlineStr">
        <is>
          <t>Amenities</t>
        </is>
      </c>
      <c r="H187" s="82" t="inlineStr">
        <is>
          <t>Slippers (BS/BC)</t>
        </is>
      </c>
      <c r="I187" s="82" t="inlineStr">
        <is>
          <t>STD UPLIFT INFORMATION.xlsx &gt; AMENITIES!G56</t>
        </is>
      </c>
    </row>
    <row r="188" ht="28" customHeight="1">
      <c r="A188" s="82" t="inlineStr">
        <is>
          <t>F09</t>
        </is>
      </c>
      <c r="B188" s="82" t="inlineStr">
        <is>
          <t>MH0753</t>
        </is>
      </c>
      <c r="C188" s="83" t="n">
        <v>46306</v>
      </c>
      <c r="D188" s="82" t="inlineStr">
        <is>
          <t>HAN-KUL</t>
        </is>
      </c>
      <c r="E188" s="82" t="inlineStr">
        <is>
          <t>BC</t>
        </is>
      </c>
      <c r="F188" s="82" t="inlineStr">
        <is>
          <t>B738MAX</t>
        </is>
      </c>
      <c r="G188" s="82" t="inlineStr">
        <is>
          <t>Signature Drinks</t>
        </is>
      </c>
      <c r="H188" s="82" t="inlineStr">
        <is>
          <t>Signature drink (BCL)</t>
        </is>
      </c>
      <c r="I188" s="82" t="inlineStr">
        <is>
          <t>STD UPLIFT INFORMATION.xlsx &gt; Signature Drinks!F51</t>
        </is>
      </c>
    </row>
    <row r="189" ht="28" customHeight="1">
      <c r="A189" s="82" t="inlineStr">
        <is>
          <t>F09</t>
        </is>
      </c>
      <c r="B189" s="82" t="inlineStr">
        <is>
          <t>MH0753</t>
        </is>
      </c>
      <c r="C189" s="83" t="n">
        <v>46306</v>
      </c>
      <c r="D189" s="82" t="inlineStr">
        <is>
          <t>HAN-KUL</t>
        </is>
      </c>
      <c r="E189" s="82" t="inlineStr">
        <is>
          <t>BC</t>
        </is>
      </c>
      <c r="F189" s="82" t="inlineStr">
        <is>
          <t>B738MAX</t>
        </is>
      </c>
      <c r="G189" s="82" t="inlineStr">
        <is>
          <t>Seat Linen</t>
        </is>
      </c>
      <c r="H189" s="82" t="inlineStr">
        <is>
          <t>Duvet</t>
        </is>
      </c>
      <c r="I189" s="82" t="inlineStr">
        <is>
          <t>STD UPLIFT INFORMATION.xlsx &gt; SEAT LINEN!F46 (blank)</t>
        </is>
      </c>
    </row>
    <row r="190" ht="28" customHeight="1">
      <c r="A190" s="82" t="inlineStr">
        <is>
          <t>F09</t>
        </is>
      </c>
      <c r="B190" s="82" t="inlineStr">
        <is>
          <t>MH0753</t>
        </is>
      </c>
      <c r="C190" s="83" t="n">
        <v>46306</v>
      </c>
      <c r="D190" s="82" t="inlineStr">
        <is>
          <t>HAN-KUL</t>
        </is>
      </c>
      <c r="E190" s="82" t="inlineStr">
        <is>
          <t>BC</t>
        </is>
      </c>
      <c r="F190" s="82" t="inlineStr">
        <is>
          <t>B738MAX</t>
        </is>
      </c>
      <c r="G190" s="82" t="inlineStr">
        <is>
          <t>Seat Linen</t>
        </is>
      </c>
      <c r="H190" s="82" t="inlineStr">
        <is>
          <t>Mattress</t>
        </is>
      </c>
      <c r="I190" s="82" t="inlineStr">
        <is>
          <t>STD UPLIFT INFORMATION.xlsx &gt; SEAT LINEN!G46 (blank)</t>
        </is>
      </c>
    </row>
    <row r="191" ht="28" customHeight="1">
      <c r="A191" s="82" t="inlineStr">
        <is>
          <t>F09</t>
        </is>
      </c>
      <c r="B191" s="82" t="inlineStr">
        <is>
          <t>MH0753</t>
        </is>
      </c>
      <c r="C191" s="83" t="n">
        <v>46306</v>
      </c>
      <c r="D191" s="82" t="inlineStr">
        <is>
          <t>HAN-KUL</t>
        </is>
      </c>
      <c r="E191" s="82" t="inlineStr">
        <is>
          <t>BC</t>
        </is>
      </c>
      <c r="F191" s="82" t="inlineStr">
        <is>
          <t>B738MAX</t>
        </is>
      </c>
      <c r="G191" s="82" t="inlineStr">
        <is>
          <t>Sales Cart</t>
        </is>
      </c>
      <c r="H191" s="82" t="inlineStr">
        <is>
          <t>Sector not listed</t>
        </is>
      </c>
      <c r="I191" s="82" t="inlineStr">
        <is>
          <t>STD UPLIFT INFORMATION.xlsx &gt; SALES CART!D7:D37</t>
        </is>
      </c>
    </row>
    <row r="192" ht="28" customHeight="1">
      <c r="A192" s="82" t="inlineStr">
        <is>
          <t>F10</t>
        </is>
      </c>
      <c r="B192" s="82" t="inlineStr">
        <is>
          <t>MH1140</t>
        </is>
      </c>
      <c r="C192" s="83" t="n">
        <v>46307</v>
      </c>
      <c r="D192" s="82" t="inlineStr">
        <is>
          <t>KUL-PEN</t>
        </is>
      </c>
      <c r="E192" s="82" t="inlineStr">
        <is>
          <t>BC</t>
        </is>
      </c>
      <c r="F192" s="82" t="inlineStr">
        <is>
          <t>B738MAX</t>
        </is>
      </c>
      <c r="G192" s="82" t="inlineStr">
        <is>
          <t>Amenities</t>
        </is>
      </c>
      <c r="H192" s="82" t="inlineStr">
        <is>
          <t>Toiletry kits</t>
        </is>
      </c>
      <c r="I192" s="82" t="inlineStr">
        <is>
          <t>STD UPLIFT INFORMATION.xlsx &gt; AMENITIES!D72</t>
        </is>
      </c>
    </row>
    <row r="193" ht="28" customHeight="1">
      <c r="A193" s="82" t="inlineStr">
        <is>
          <t>F10</t>
        </is>
      </c>
      <c r="B193" s="82" t="inlineStr">
        <is>
          <t>MH1140</t>
        </is>
      </c>
      <c r="C193" s="83" t="n">
        <v>46307</v>
      </c>
      <c r="D193" s="82" t="inlineStr">
        <is>
          <t>KUL-PEN</t>
        </is>
      </c>
      <c r="E193" s="82" t="inlineStr">
        <is>
          <t>BC</t>
        </is>
      </c>
      <c r="F193" s="82" t="inlineStr">
        <is>
          <t>B738MAX</t>
        </is>
      </c>
      <c r="G193" s="82" t="inlineStr">
        <is>
          <t>Amenities</t>
        </is>
      </c>
      <c r="H193" s="82" t="inlineStr">
        <is>
          <t>Pajamas (BC red-eye)</t>
        </is>
      </c>
      <c r="I193" s="82" t="inlineStr">
        <is>
          <t>STD UPLIFT INFORMATION.xlsx &gt; AMENITIES!F72</t>
        </is>
      </c>
    </row>
    <row r="194" ht="28" customHeight="1">
      <c r="A194" s="82" t="inlineStr">
        <is>
          <t>F10</t>
        </is>
      </c>
      <c r="B194" s="82" t="inlineStr">
        <is>
          <t>MH1140</t>
        </is>
      </c>
      <c r="C194" s="83" t="n">
        <v>46307</v>
      </c>
      <c r="D194" s="82" t="inlineStr">
        <is>
          <t>KUL-PEN</t>
        </is>
      </c>
      <c r="E194" s="82" t="inlineStr">
        <is>
          <t>BC</t>
        </is>
      </c>
      <c r="F194" s="82" t="inlineStr">
        <is>
          <t>B738MAX</t>
        </is>
      </c>
      <c r="G194" s="82" t="inlineStr">
        <is>
          <t>Amenities</t>
        </is>
      </c>
      <c r="H194" s="82" t="inlineStr">
        <is>
          <t>Slippers (BS/BC)</t>
        </is>
      </c>
      <c r="I194" s="82" t="inlineStr">
        <is>
          <t>STD UPLIFT INFORMATION.xlsx &gt; AMENITIES!G72</t>
        </is>
      </c>
    </row>
    <row r="195" ht="28" customHeight="1">
      <c r="A195" s="82" t="inlineStr">
        <is>
          <t>F10</t>
        </is>
      </c>
      <c r="B195" s="82" t="inlineStr">
        <is>
          <t>MH1140</t>
        </is>
      </c>
      <c r="C195" s="83" t="n">
        <v>46307</v>
      </c>
      <c r="D195" s="82" t="inlineStr">
        <is>
          <t>KUL-PEN</t>
        </is>
      </c>
      <c r="E195" s="82" t="inlineStr">
        <is>
          <t>BC</t>
        </is>
      </c>
      <c r="F195" s="82" t="inlineStr">
        <is>
          <t>B738MAX</t>
        </is>
      </c>
      <c r="G195" s="82" t="inlineStr">
        <is>
          <t>F&amp;B Linen</t>
        </is>
      </c>
      <c r="H195" s="82" t="inlineStr">
        <is>
          <t>Table cloth</t>
        </is>
      </c>
      <c r="I195" s="82" t="inlineStr">
        <is>
          <t>STD UPLIFT INFORMATION.xlsx &gt; F&amp;B LINEN!G66</t>
        </is>
      </c>
    </row>
    <row r="196" ht="28" customHeight="1">
      <c r="A196" s="82" t="inlineStr">
        <is>
          <t>F10</t>
        </is>
      </c>
      <c r="B196" s="82" t="inlineStr">
        <is>
          <t>MH1140</t>
        </is>
      </c>
      <c r="C196" s="83" t="n">
        <v>46307</v>
      </c>
      <c r="D196" s="82" t="inlineStr">
        <is>
          <t>KUL-PEN</t>
        </is>
      </c>
      <c r="E196" s="82" t="inlineStr">
        <is>
          <t>BC</t>
        </is>
      </c>
      <c r="F196" s="82" t="inlineStr">
        <is>
          <t>B738MAX</t>
        </is>
      </c>
      <c r="G196" s="82" t="inlineStr">
        <is>
          <t>F&amp;B Linen</t>
        </is>
      </c>
      <c r="H196" s="82" t="inlineStr">
        <is>
          <t>Bread linen</t>
        </is>
      </c>
      <c r="I196" s="82" t="inlineStr">
        <is>
          <t>STD UPLIFT INFORMATION.xlsx &gt; F&amp;B LINEN!H66</t>
        </is>
      </c>
    </row>
    <row r="197" ht="28" customHeight="1">
      <c r="A197" s="82" t="inlineStr">
        <is>
          <t>F10</t>
        </is>
      </c>
      <c r="B197" s="82" t="inlineStr">
        <is>
          <t>MH1140</t>
        </is>
      </c>
      <c r="C197" s="83" t="n">
        <v>46307</v>
      </c>
      <c r="D197" s="82" t="inlineStr">
        <is>
          <t>KUL-PEN</t>
        </is>
      </c>
      <c r="E197" s="82" t="inlineStr">
        <is>
          <t>BC</t>
        </is>
      </c>
      <c r="F197" s="82" t="inlineStr">
        <is>
          <t>B738MAX</t>
        </is>
      </c>
      <c r="G197" s="82" t="inlineStr">
        <is>
          <t>Signature Drinks</t>
        </is>
      </c>
      <c r="H197" s="82" t="inlineStr">
        <is>
          <t>Signature drink (BCL)</t>
        </is>
      </c>
      <c r="I197" s="82" t="inlineStr">
        <is>
          <t>STD UPLIFT INFORMATION.xlsx &gt; Signature Drinks!F67</t>
        </is>
      </c>
    </row>
    <row r="198" ht="28" customHeight="1">
      <c r="A198" s="82" t="inlineStr">
        <is>
          <t>F10</t>
        </is>
      </c>
      <c r="B198" s="82" t="inlineStr">
        <is>
          <t>MH1140</t>
        </is>
      </c>
      <c r="C198" s="83" t="n">
        <v>46307</v>
      </c>
      <c r="D198" s="82" t="inlineStr">
        <is>
          <t>KUL-PEN</t>
        </is>
      </c>
      <c r="E198" s="82" t="inlineStr">
        <is>
          <t>BC</t>
        </is>
      </c>
      <c r="F198" s="82" t="inlineStr">
        <is>
          <t>B738MAX</t>
        </is>
      </c>
      <c r="G198" s="82" t="inlineStr">
        <is>
          <t>Seat Linen</t>
        </is>
      </c>
      <c r="H198" s="82" t="inlineStr">
        <is>
          <t>Duvet</t>
        </is>
      </c>
      <c r="I198" s="82" t="inlineStr">
        <is>
          <t>STD UPLIFT INFORMATION.xlsx &gt; SEAT LINEN!F62 (blank)</t>
        </is>
      </c>
    </row>
    <row r="199" ht="28" customHeight="1">
      <c r="A199" s="82" t="inlineStr">
        <is>
          <t>F10</t>
        </is>
      </c>
      <c r="B199" s="82" t="inlineStr">
        <is>
          <t>MH1140</t>
        </is>
      </c>
      <c r="C199" s="83" t="n">
        <v>46307</v>
      </c>
      <c r="D199" s="82" t="inlineStr">
        <is>
          <t>KUL-PEN</t>
        </is>
      </c>
      <c r="E199" s="82" t="inlineStr">
        <is>
          <t>BC</t>
        </is>
      </c>
      <c r="F199" s="82" t="inlineStr">
        <is>
          <t>B738MAX</t>
        </is>
      </c>
      <c r="G199" s="82" t="inlineStr">
        <is>
          <t>Seat Linen</t>
        </is>
      </c>
      <c r="H199" s="82" t="inlineStr">
        <is>
          <t>Mattress</t>
        </is>
      </c>
      <c r="I199" s="82" t="inlineStr">
        <is>
          <t>STD UPLIFT INFORMATION.xlsx &gt; SEAT LINEN!G62 (blank)</t>
        </is>
      </c>
    </row>
    <row r="200" ht="28" customHeight="1">
      <c r="A200" s="82" t="inlineStr">
        <is>
          <t>F10</t>
        </is>
      </c>
      <c r="B200" s="82" t="inlineStr">
        <is>
          <t>MH1140</t>
        </is>
      </c>
      <c r="C200" s="83" t="n">
        <v>46307</v>
      </c>
      <c r="D200" s="82" t="inlineStr">
        <is>
          <t>KUL-PEN</t>
        </is>
      </c>
      <c r="E200" s="82" t="inlineStr">
        <is>
          <t>BC</t>
        </is>
      </c>
      <c r="F200" s="82" t="inlineStr">
        <is>
          <t>B738MAX</t>
        </is>
      </c>
      <c r="G200" s="82" t="inlineStr">
        <is>
          <t>Sales Cart</t>
        </is>
      </c>
      <c r="H200" s="82" t="inlineStr">
        <is>
          <t>Sector not listed</t>
        </is>
      </c>
      <c r="I200" s="82" t="inlineStr">
        <is>
          <t>STD UPLIFT INFORMATION.xlsx &gt; SALES CART!D7:D37</t>
        </is>
      </c>
    </row>
    <row r="201" ht="28" customHeight="1">
      <c r="A201" s="82" t="inlineStr">
        <is>
          <t>F11</t>
        </is>
      </c>
      <c r="B201" s="82" t="inlineStr">
        <is>
          <t>MH1149</t>
        </is>
      </c>
      <c r="C201" s="83" t="n">
        <v>46307</v>
      </c>
      <c r="D201" s="82" t="inlineStr">
        <is>
          <t>PEN-KUL</t>
        </is>
      </c>
      <c r="E201" s="82" t="inlineStr">
        <is>
          <t>EY</t>
        </is>
      </c>
      <c r="F201" s="82" t="inlineStr">
        <is>
          <t>B738MAX</t>
        </is>
      </c>
      <c r="G201" s="82" t="inlineStr">
        <is>
          <t>Amenities</t>
        </is>
      </c>
      <c r="H201" s="82" t="inlineStr">
        <is>
          <t>Toiletry kits</t>
        </is>
      </c>
      <c r="I201" s="82" t="inlineStr">
        <is>
          <t>STD UPLIFT INFORMATION.xlsx &gt; AMENITIES!D72</t>
        </is>
      </c>
    </row>
    <row r="202" ht="28" customHeight="1">
      <c r="A202" s="82" t="inlineStr">
        <is>
          <t>F11</t>
        </is>
      </c>
      <c r="B202" s="82" t="inlineStr">
        <is>
          <t>MH1149</t>
        </is>
      </c>
      <c r="C202" s="83" t="n">
        <v>46307</v>
      </c>
      <c r="D202" s="82" t="inlineStr">
        <is>
          <t>PEN-KUL</t>
        </is>
      </c>
      <c r="E202" s="82" t="inlineStr">
        <is>
          <t>EY</t>
        </is>
      </c>
      <c r="F202" s="82" t="inlineStr">
        <is>
          <t>B738MAX</t>
        </is>
      </c>
      <c r="G202" s="82" t="inlineStr">
        <is>
          <t>Seat Linen</t>
        </is>
      </c>
      <c r="H202" s="82" t="inlineStr">
        <is>
          <t>Blanket (EY)</t>
        </is>
      </c>
      <c r="I202" s="82" t="inlineStr">
        <is>
          <t>STD UPLIFT INFORMATION.xlsx &gt; SEAT LINEN!J36:J69 (blank)</t>
        </is>
      </c>
    </row>
    <row r="203" ht="28" customHeight="1">
      <c r="A203" s="82" t="inlineStr">
        <is>
          <t>F11</t>
        </is>
      </c>
      <c r="B203" s="82" t="inlineStr">
        <is>
          <t>MH1149</t>
        </is>
      </c>
      <c r="C203" s="83" t="n">
        <v>46307</v>
      </c>
      <c r="D203" s="82" t="inlineStr">
        <is>
          <t>PEN-KUL</t>
        </is>
      </c>
      <c r="E203" s="82" t="inlineStr">
        <is>
          <t>EY</t>
        </is>
      </c>
      <c r="F203" s="82" t="inlineStr">
        <is>
          <t>B738MAX</t>
        </is>
      </c>
      <c r="G203" s="82" t="inlineStr">
        <is>
          <t>Sales Cart</t>
        </is>
      </c>
      <c r="H203" s="82" t="inlineStr">
        <is>
          <t>Sector not listed</t>
        </is>
      </c>
      <c r="I203" s="82" t="inlineStr">
        <is>
          <t>STD UPLIFT INFORMATION.xlsx &gt; SALES CART!D7:D37</t>
        </is>
      </c>
    </row>
    <row r="204" ht="28" customHeight="1">
      <c r="A204" s="82" t="inlineStr">
        <is>
          <t>F12</t>
        </is>
      </c>
      <c r="B204" s="82" t="inlineStr">
        <is>
          <t>MH0139</t>
        </is>
      </c>
      <c r="C204" s="83" t="n">
        <v>46307</v>
      </c>
      <c r="D204" s="82" t="inlineStr">
        <is>
          <t>KUL-ADL</t>
        </is>
      </c>
      <c r="E204" s="82" t="inlineStr">
        <is>
          <t>BC</t>
        </is>
      </c>
      <c r="F204" s="82" t="inlineStr">
        <is>
          <t>A339</t>
        </is>
      </c>
      <c r="G204" s="82" t="inlineStr">
        <is>
          <t>Amenities</t>
        </is>
      </c>
      <c r="H204" s="82" t="inlineStr">
        <is>
          <t>Pajamas (BC red-eye)</t>
        </is>
      </c>
      <c r="I204" s="82" t="inlineStr">
        <is>
          <t>STD UPLIFT INFORMATION.xlsx &gt; AMENITIES!F18</t>
        </is>
      </c>
    </row>
    <row r="205" ht="28" customHeight="1">
      <c r="A205" s="82" t="inlineStr">
        <is>
          <t>F12</t>
        </is>
      </c>
      <c r="B205" s="82" t="inlineStr">
        <is>
          <t>MH0139</t>
        </is>
      </c>
      <c r="C205" s="83" t="n">
        <v>46307</v>
      </c>
      <c r="D205" s="82" t="inlineStr">
        <is>
          <t>KUL-ADL</t>
        </is>
      </c>
      <c r="E205" s="82" t="inlineStr">
        <is>
          <t>BC</t>
        </is>
      </c>
      <c r="F205" s="82" t="inlineStr">
        <is>
          <t>A339</t>
        </is>
      </c>
      <c r="G205" s="82" t="inlineStr">
        <is>
          <t>Seat Linen</t>
        </is>
      </c>
      <c r="H205" s="82" t="inlineStr">
        <is>
          <t>Blanket</t>
        </is>
      </c>
      <c r="I205" s="82" t="inlineStr">
        <is>
          <t>STD UPLIFT INFORMATION.xlsx &gt; SEAT LINEN!H9 (blank)</t>
        </is>
      </c>
    </row>
    <row r="206" ht="28" customHeight="1">
      <c r="A206" s="82" t="inlineStr">
        <is>
          <t>F14</t>
        </is>
      </c>
      <c r="B206" s="82" t="inlineStr">
        <is>
          <t>MH0004</t>
        </is>
      </c>
      <c r="C206" s="83" t="n">
        <v>46310</v>
      </c>
      <c r="D206" s="82" t="inlineStr">
        <is>
          <t>KUL-LHR</t>
        </is>
      </c>
      <c r="E206" s="82" t="inlineStr">
        <is>
          <t>EY</t>
        </is>
      </c>
      <c r="F206" s="82" t="inlineStr">
        <is>
          <t>A350</t>
        </is>
      </c>
      <c r="G206" s="82" t="inlineStr">
        <is>
          <t>Sales Cart</t>
        </is>
      </c>
      <c r="H206" s="82" t="inlineStr">
        <is>
          <t>No sales cart location on LHR sector (A359 'not applicable for LHR'; 9M-MAH '-')</t>
        </is>
      </c>
      <c r="I206" s="82" t="inlineStr">
        <is>
          <t>STD UPLIFT INFORMATION.xlsx &gt; SALES CART!K7:K14 / L7</t>
        </is>
      </c>
    </row>
    <row r="207" ht="28" customHeight="1">
      <c r="A207" s="82" t="inlineStr">
        <is>
          <t>F15</t>
        </is>
      </c>
      <c r="B207" s="82" t="inlineStr">
        <is>
          <t>MH0003</t>
        </is>
      </c>
      <c r="C207" s="83" t="n">
        <v>46320</v>
      </c>
      <c r="D207" s="82" t="inlineStr">
        <is>
          <t>LHR-KUL</t>
        </is>
      </c>
      <c r="E207" s="82" t="inlineStr">
        <is>
          <t>EY</t>
        </is>
      </c>
      <c r="F207" s="82" t="inlineStr">
        <is>
          <t>A350</t>
        </is>
      </c>
      <c r="G207" s="82" t="inlineStr">
        <is>
          <t>Sales Cart</t>
        </is>
      </c>
      <c r="H207" s="82" t="inlineStr">
        <is>
          <t>No sales cart location on LHR sector (A359 'not applicable for LHR'; 9M-MAH '-')</t>
        </is>
      </c>
      <c r="I207" s="82" t="inlineStr">
        <is>
          <t>STD UPLIFT INFORMATION.xlsx &gt; SALES CART!K7:K14 / L7</t>
        </is>
      </c>
    </row>
    <row r="208" ht="28" customHeight="1">
      <c r="A208" s="82" t="inlineStr">
        <is>
          <t>F16</t>
        </is>
      </c>
      <c r="B208" s="82" t="inlineStr">
        <is>
          <t>MH0072</t>
        </is>
      </c>
      <c r="C208" s="83" t="n">
        <v>46321</v>
      </c>
      <c r="D208" s="82" t="inlineStr">
        <is>
          <t>KUL-HKG</t>
        </is>
      </c>
      <c r="E208" s="82" t="inlineStr">
        <is>
          <t>EY</t>
        </is>
      </c>
      <c r="F208" s="82" t="inlineStr">
        <is>
          <t>B738MAX</t>
        </is>
      </c>
      <c r="G208" s="82" t="inlineStr">
        <is>
          <t>Amenities</t>
        </is>
      </c>
      <c r="H208" s="82" t="inlineStr">
        <is>
          <t>Toiletry kits</t>
        </is>
      </c>
      <c r="I208" s="82" t="inlineStr">
        <is>
          <t>STD UPLIFT INFORMATION.xlsx &gt; AMENITIES!D39</t>
        </is>
      </c>
    </row>
    <row r="209" ht="28" customHeight="1">
      <c r="A209" s="82" t="inlineStr">
        <is>
          <t>F17</t>
        </is>
      </c>
      <c r="B209" s="82" t="inlineStr">
        <is>
          <t>MH0073</t>
        </is>
      </c>
      <c r="C209" s="83" t="n">
        <v>46322</v>
      </c>
      <c r="D209" s="82" t="inlineStr">
        <is>
          <t>HKG-KUL</t>
        </is>
      </c>
      <c r="E209" s="82" t="inlineStr">
        <is>
          <t>BC</t>
        </is>
      </c>
      <c r="F209" s="82" t="inlineStr">
        <is>
          <t>B738MAX</t>
        </is>
      </c>
      <c r="G209" s="82" t="inlineStr">
        <is>
          <t>Amenities</t>
        </is>
      </c>
      <c r="H209" s="82" t="inlineStr">
        <is>
          <t>Toiletry kits</t>
        </is>
      </c>
      <c r="I209" s="82" t="inlineStr">
        <is>
          <t>STD UPLIFT INFORMATION.xlsx &gt; AMENITIES!D39</t>
        </is>
      </c>
    </row>
    <row r="210" ht="28" customHeight="1">
      <c r="A210" s="82" t="inlineStr">
        <is>
          <t>F17</t>
        </is>
      </c>
      <c r="B210" s="82" t="inlineStr">
        <is>
          <t>MH0073</t>
        </is>
      </c>
      <c r="C210" s="83" t="n">
        <v>46322</v>
      </c>
      <c r="D210" s="82" t="inlineStr">
        <is>
          <t>HKG-KUL</t>
        </is>
      </c>
      <c r="E210" s="82" t="inlineStr">
        <is>
          <t>BC</t>
        </is>
      </c>
      <c r="F210" s="82" t="inlineStr">
        <is>
          <t>B738MAX</t>
        </is>
      </c>
      <c r="G210" s="82" t="inlineStr">
        <is>
          <t>Amenities</t>
        </is>
      </c>
      <c r="H210" s="82" t="inlineStr">
        <is>
          <t>Pajamas (BC red-eye)</t>
        </is>
      </c>
      <c r="I210" s="82" t="inlineStr">
        <is>
          <t>STD UPLIFT INFORMATION.xlsx &gt; AMENITIES!F39</t>
        </is>
      </c>
    </row>
    <row r="211" ht="28" customHeight="1">
      <c r="A211" s="82" t="inlineStr">
        <is>
          <t>F17</t>
        </is>
      </c>
      <c r="B211" s="82" t="inlineStr">
        <is>
          <t>MH0073</t>
        </is>
      </c>
      <c r="C211" s="83" t="n">
        <v>46322</v>
      </c>
      <c r="D211" s="82" t="inlineStr">
        <is>
          <t>HKG-KUL</t>
        </is>
      </c>
      <c r="E211" s="82" t="inlineStr">
        <is>
          <t>BC</t>
        </is>
      </c>
      <c r="F211" s="82" t="inlineStr">
        <is>
          <t>B738MAX</t>
        </is>
      </c>
      <c r="G211" s="82" t="inlineStr">
        <is>
          <t>Signature Drinks</t>
        </is>
      </c>
      <c r="H211" s="82" t="inlineStr">
        <is>
          <t>Signature drink (BCL)</t>
        </is>
      </c>
      <c r="I211" s="82" t="inlineStr">
        <is>
          <t>STD UPLIFT INFORMATION.xlsx &gt; Signature Drinks!F34</t>
        </is>
      </c>
    </row>
    <row r="212" ht="28" customHeight="1">
      <c r="A212" s="82" t="inlineStr">
        <is>
          <t>F17</t>
        </is>
      </c>
      <c r="B212" s="82" t="inlineStr">
        <is>
          <t>MH0073</t>
        </is>
      </c>
      <c r="C212" s="83" t="n">
        <v>46322</v>
      </c>
      <c r="D212" s="82" t="inlineStr">
        <is>
          <t>HKG-KUL</t>
        </is>
      </c>
      <c r="E212" s="82" t="inlineStr">
        <is>
          <t>BC</t>
        </is>
      </c>
      <c r="F212" s="82" t="inlineStr">
        <is>
          <t>B738MAX</t>
        </is>
      </c>
      <c r="G212" s="82" t="inlineStr">
        <is>
          <t>Seat Linen</t>
        </is>
      </c>
      <c r="H212" s="82" t="inlineStr">
        <is>
          <t>Duvet</t>
        </is>
      </c>
      <c r="I212" s="82" t="inlineStr">
        <is>
          <t>STD UPLIFT INFORMATION.xlsx &gt; SEAT LINEN!F30 (blank)</t>
        </is>
      </c>
    </row>
    <row r="213" ht="28" customHeight="1">
      <c r="A213" s="82" t="inlineStr">
        <is>
          <t>F17</t>
        </is>
      </c>
      <c r="B213" s="82" t="inlineStr">
        <is>
          <t>MH0073</t>
        </is>
      </c>
      <c r="C213" s="83" t="n">
        <v>46322</v>
      </c>
      <c r="D213" s="82" t="inlineStr">
        <is>
          <t>HKG-KUL</t>
        </is>
      </c>
      <c r="E213" s="82" t="inlineStr">
        <is>
          <t>BC</t>
        </is>
      </c>
      <c r="F213" s="82" t="inlineStr">
        <is>
          <t>B738MAX</t>
        </is>
      </c>
      <c r="G213" s="82" t="inlineStr">
        <is>
          <t>Seat Linen</t>
        </is>
      </c>
      <c r="H213" s="82" t="inlineStr">
        <is>
          <t>Mattress</t>
        </is>
      </c>
      <c r="I213" s="82" t="inlineStr">
        <is>
          <t>STD UPLIFT INFORMATION.xlsx &gt; SEAT LINEN!G30 (blank)</t>
        </is>
      </c>
    </row>
    <row r="214" ht="28" customHeight="1">
      <c r="A214" s="82" t="inlineStr">
        <is>
          <t>F18</t>
        </is>
      </c>
      <c r="B214" s="82" t="inlineStr">
        <is>
          <t>MH0052</t>
        </is>
      </c>
      <c r="C214" s="83" t="n">
        <v>46322</v>
      </c>
      <c r="D214" s="82" t="inlineStr">
        <is>
          <t>KUL-KIX</t>
        </is>
      </c>
      <c r="E214" s="82" t="inlineStr">
        <is>
          <t>BC</t>
        </is>
      </c>
      <c r="F214" s="82" t="inlineStr">
        <is>
          <t>A333</t>
        </is>
      </c>
      <c r="G214" s="82" t="inlineStr">
        <is>
          <t>Amenities</t>
        </is>
      </c>
      <c r="H214" s="82" t="inlineStr">
        <is>
          <t>Toiletry kits</t>
        </is>
      </c>
      <c r="I214" s="82" t="inlineStr">
        <is>
          <t>STD UPLIFT INFORMATION.xlsx &gt; AMENITIES!D24</t>
        </is>
      </c>
    </row>
    <row r="215" ht="28" customHeight="1">
      <c r="A215" s="82" t="inlineStr">
        <is>
          <t>F18</t>
        </is>
      </c>
      <c r="B215" s="82" t="inlineStr">
        <is>
          <t>MH0052</t>
        </is>
      </c>
      <c r="C215" s="83" t="n">
        <v>46322</v>
      </c>
      <c r="D215" s="82" t="inlineStr">
        <is>
          <t>KUL-KIX</t>
        </is>
      </c>
      <c r="E215" s="82" t="inlineStr">
        <is>
          <t>BC</t>
        </is>
      </c>
      <c r="F215" s="82" t="inlineStr">
        <is>
          <t>A333</t>
        </is>
      </c>
      <c r="G215" s="82" t="inlineStr">
        <is>
          <t>Amenities</t>
        </is>
      </c>
      <c r="H215" s="82" t="inlineStr">
        <is>
          <t>Pajamas (BC red-eye)</t>
        </is>
      </c>
      <c r="I215" s="82" t="inlineStr">
        <is>
          <t>STD UPLIFT INFORMATION.xlsx &gt; AMENITIES!F24</t>
        </is>
      </c>
    </row>
    <row r="216" ht="28" customHeight="1">
      <c r="A216" s="82" t="inlineStr">
        <is>
          <t>F18</t>
        </is>
      </c>
      <c r="B216" s="82" t="inlineStr">
        <is>
          <t>MH0052</t>
        </is>
      </c>
      <c r="C216" s="83" t="n">
        <v>46322</v>
      </c>
      <c r="D216" s="82" t="inlineStr">
        <is>
          <t>KUL-KIX</t>
        </is>
      </c>
      <c r="E216" s="82" t="inlineStr">
        <is>
          <t>BC</t>
        </is>
      </c>
      <c r="F216" s="82" t="inlineStr">
        <is>
          <t>A333</t>
        </is>
      </c>
      <c r="G216" s="82" t="inlineStr">
        <is>
          <t>Seat Linen</t>
        </is>
      </c>
      <c r="H216" s="82" t="inlineStr">
        <is>
          <t>Blanket</t>
        </is>
      </c>
      <c r="I216" s="82" t="inlineStr">
        <is>
          <t>STD UPLIFT INFORMATION.xlsx &gt; SEAT LINEN!H15 (blank)</t>
        </is>
      </c>
    </row>
    <row r="217" ht="28" customHeight="1">
      <c r="A217" s="82" t="inlineStr">
        <is>
          <t>F19</t>
        </is>
      </c>
      <c r="B217" s="82" t="inlineStr">
        <is>
          <t>MH0053</t>
        </is>
      </c>
      <c r="C217" s="83" t="n">
        <v>46324</v>
      </c>
      <c r="D217" s="82" t="inlineStr">
        <is>
          <t>KIX-KUL</t>
        </is>
      </c>
      <c r="E217" s="82" t="inlineStr">
        <is>
          <t>EY</t>
        </is>
      </c>
      <c r="F217" s="82" t="inlineStr">
        <is>
          <t>A333</t>
        </is>
      </c>
      <c r="G217" s="82" t="inlineStr">
        <is>
          <t>Amenities</t>
        </is>
      </c>
      <c r="H217" s="82" t="inlineStr">
        <is>
          <t>Toiletry kits</t>
        </is>
      </c>
      <c r="I217" s="82" t="inlineStr">
        <is>
          <t>STD UPLIFT INFORMATION.xlsx &gt; AMENITIES!D24</t>
        </is>
      </c>
    </row>
    <row r="218" ht="28" customHeight="1">
      <c r="A218" s="82" t="inlineStr">
        <is>
          <t>F20</t>
        </is>
      </c>
      <c r="B218" s="82" t="inlineStr">
        <is>
          <t>MH1450</t>
        </is>
      </c>
      <c r="C218" s="83" t="n">
        <v>46324</v>
      </c>
      <c r="D218" s="82" t="inlineStr">
        <is>
          <t>KUL-LGK</t>
        </is>
      </c>
      <c r="E218" s="82" t="inlineStr">
        <is>
          <t>EY</t>
        </is>
      </c>
      <c r="F218" s="82" t="inlineStr">
        <is>
          <t>B738MAX</t>
        </is>
      </c>
      <c r="G218" s="82" t="inlineStr">
        <is>
          <t>Amenities</t>
        </is>
      </c>
      <c r="H218" s="82" t="inlineStr">
        <is>
          <t>Toiletry kits</t>
        </is>
      </c>
      <c r="I218" s="82" t="inlineStr">
        <is>
          <t>STD UPLIFT INFORMATION.xlsx &gt; AMENITIES!D74</t>
        </is>
      </c>
    </row>
    <row r="219" ht="28" customHeight="1">
      <c r="A219" s="82" t="inlineStr">
        <is>
          <t>F20</t>
        </is>
      </c>
      <c r="B219" s="82" t="inlineStr">
        <is>
          <t>MH1450</t>
        </is>
      </c>
      <c r="C219" s="83" t="n">
        <v>46324</v>
      </c>
      <c r="D219" s="82" t="inlineStr">
        <is>
          <t>KUL-LGK</t>
        </is>
      </c>
      <c r="E219" s="82" t="inlineStr">
        <is>
          <t>EY</t>
        </is>
      </c>
      <c r="F219" s="82" t="inlineStr">
        <is>
          <t>B738MAX</t>
        </is>
      </c>
      <c r="G219" s="82" t="inlineStr">
        <is>
          <t>Seat Linen</t>
        </is>
      </c>
      <c r="H219" s="82" t="inlineStr">
        <is>
          <t>Blanket (EY)</t>
        </is>
      </c>
      <c r="I219" s="82" t="inlineStr">
        <is>
          <t>STD UPLIFT INFORMATION.xlsx &gt; SEAT LINEN!J36:J69 (blank)</t>
        </is>
      </c>
    </row>
    <row r="220" ht="28" customHeight="1">
      <c r="A220" s="82" t="inlineStr">
        <is>
          <t>F20</t>
        </is>
      </c>
      <c r="B220" s="82" t="inlineStr">
        <is>
          <t>MH1450</t>
        </is>
      </c>
      <c r="C220" s="83" t="n">
        <v>46324</v>
      </c>
      <c r="D220" s="82" t="inlineStr">
        <is>
          <t>KUL-LGK</t>
        </is>
      </c>
      <c r="E220" s="82" t="inlineStr">
        <is>
          <t>EY</t>
        </is>
      </c>
      <c r="F220" s="82" t="inlineStr">
        <is>
          <t>B738MAX</t>
        </is>
      </c>
      <c r="G220" s="82" t="inlineStr">
        <is>
          <t>Sales Cart</t>
        </is>
      </c>
      <c r="H220" s="82" t="inlineStr">
        <is>
          <t>Sector not listed</t>
        </is>
      </c>
      <c r="I220" s="82" t="inlineStr">
        <is>
          <t>STD UPLIFT INFORMATION.xlsx &gt; SALES CART!D7:D37</t>
        </is>
      </c>
    </row>
    <row r="221" ht="28" customHeight="1">
      <c r="A221" s="82" t="inlineStr">
        <is>
          <t>F21</t>
        </is>
      </c>
      <c r="B221" s="82" t="inlineStr">
        <is>
          <t>MH1437</t>
        </is>
      </c>
      <c r="C221" s="83" t="n">
        <v>46325</v>
      </c>
      <c r="D221" s="82" t="inlineStr">
        <is>
          <t>LGK-KUL</t>
        </is>
      </c>
      <c r="E221" s="82" t="inlineStr">
        <is>
          <t>BC</t>
        </is>
      </c>
      <c r="F221" s="82" t="inlineStr">
        <is>
          <t>B738MAX</t>
        </is>
      </c>
      <c r="G221" s="82" t="inlineStr">
        <is>
          <t>Amenities</t>
        </is>
      </c>
      <c r="H221" s="82" t="inlineStr">
        <is>
          <t>Toiletry kits</t>
        </is>
      </c>
      <c r="I221" s="82" t="inlineStr">
        <is>
          <t>STD UPLIFT INFORMATION.xlsx &gt; AMENITIES!D74</t>
        </is>
      </c>
    </row>
    <row r="222" ht="28" customHeight="1">
      <c r="A222" s="82" t="inlineStr">
        <is>
          <t>F21</t>
        </is>
      </c>
      <c r="B222" s="82" t="inlineStr">
        <is>
          <t>MH1437</t>
        </is>
      </c>
      <c r="C222" s="83" t="n">
        <v>46325</v>
      </c>
      <c r="D222" s="82" t="inlineStr">
        <is>
          <t>LGK-KUL</t>
        </is>
      </c>
      <c r="E222" s="82" t="inlineStr">
        <is>
          <t>BC</t>
        </is>
      </c>
      <c r="F222" s="82" t="inlineStr">
        <is>
          <t>B738MAX</t>
        </is>
      </c>
      <c r="G222" s="82" t="inlineStr">
        <is>
          <t>Amenities</t>
        </is>
      </c>
      <c r="H222" s="82" t="inlineStr">
        <is>
          <t>Pajamas (BC red-eye)</t>
        </is>
      </c>
      <c r="I222" s="82" t="inlineStr">
        <is>
          <t>STD UPLIFT INFORMATION.xlsx &gt; AMENITIES!F74</t>
        </is>
      </c>
    </row>
    <row r="223" ht="28" customHeight="1">
      <c r="A223" s="82" t="inlineStr">
        <is>
          <t>F21</t>
        </is>
      </c>
      <c r="B223" s="82" t="inlineStr">
        <is>
          <t>MH1437</t>
        </is>
      </c>
      <c r="C223" s="83" t="n">
        <v>46325</v>
      </c>
      <c r="D223" s="82" t="inlineStr">
        <is>
          <t>LGK-KUL</t>
        </is>
      </c>
      <c r="E223" s="82" t="inlineStr">
        <is>
          <t>BC</t>
        </is>
      </c>
      <c r="F223" s="82" t="inlineStr">
        <is>
          <t>B738MAX</t>
        </is>
      </c>
      <c r="G223" s="82" t="inlineStr">
        <is>
          <t>Amenities</t>
        </is>
      </c>
      <c r="H223" s="82" t="inlineStr">
        <is>
          <t>Slippers (BS/BC)</t>
        </is>
      </c>
      <c r="I223" s="82" t="inlineStr">
        <is>
          <t>STD UPLIFT INFORMATION.xlsx &gt; AMENITIES!G74</t>
        </is>
      </c>
    </row>
    <row r="224" ht="28" customHeight="1">
      <c r="A224" s="82" t="inlineStr">
        <is>
          <t>F21</t>
        </is>
      </c>
      <c r="B224" s="82" t="inlineStr">
        <is>
          <t>MH1437</t>
        </is>
      </c>
      <c r="C224" s="83" t="n">
        <v>46325</v>
      </c>
      <c r="D224" s="82" t="inlineStr">
        <is>
          <t>LGK-KUL</t>
        </is>
      </c>
      <c r="E224" s="82" t="inlineStr">
        <is>
          <t>BC</t>
        </is>
      </c>
      <c r="F224" s="82" t="inlineStr">
        <is>
          <t>B738MAX</t>
        </is>
      </c>
      <c r="G224" s="82" t="inlineStr">
        <is>
          <t>F&amp;B Linen</t>
        </is>
      </c>
      <c r="H224" s="82" t="inlineStr">
        <is>
          <t>Table cloth</t>
        </is>
      </c>
      <c r="I224" s="82" t="inlineStr">
        <is>
          <t>STD UPLIFT INFORMATION.xlsx &gt; F&amp;B LINEN!G68</t>
        </is>
      </c>
    </row>
    <row r="225" ht="28" customHeight="1">
      <c r="A225" s="82" t="inlineStr">
        <is>
          <t>F21</t>
        </is>
      </c>
      <c r="B225" s="82" t="inlineStr">
        <is>
          <t>MH1437</t>
        </is>
      </c>
      <c r="C225" s="83" t="n">
        <v>46325</v>
      </c>
      <c r="D225" s="82" t="inlineStr">
        <is>
          <t>LGK-KUL</t>
        </is>
      </c>
      <c r="E225" s="82" t="inlineStr">
        <is>
          <t>BC</t>
        </is>
      </c>
      <c r="F225" s="82" t="inlineStr">
        <is>
          <t>B738MAX</t>
        </is>
      </c>
      <c r="G225" s="82" t="inlineStr">
        <is>
          <t>F&amp;B Linen</t>
        </is>
      </c>
      <c r="H225" s="82" t="inlineStr">
        <is>
          <t>Bread linen</t>
        </is>
      </c>
      <c r="I225" s="82" t="inlineStr">
        <is>
          <t>STD UPLIFT INFORMATION.xlsx &gt; F&amp;B LINEN!H68</t>
        </is>
      </c>
    </row>
    <row r="226" ht="28" customHeight="1">
      <c r="A226" s="82" t="inlineStr">
        <is>
          <t>F21</t>
        </is>
      </c>
      <c r="B226" s="82" t="inlineStr">
        <is>
          <t>MH1437</t>
        </is>
      </c>
      <c r="C226" s="83" t="n">
        <v>46325</v>
      </c>
      <c r="D226" s="82" t="inlineStr">
        <is>
          <t>LGK-KUL</t>
        </is>
      </c>
      <c r="E226" s="82" t="inlineStr">
        <is>
          <t>BC</t>
        </is>
      </c>
      <c r="F226" s="82" t="inlineStr">
        <is>
          <t>B738MAX</t>
        </is>
      </c>
      <c r="G226" s="82" t="inlineStr">
        <is>
          <t>Signature Drinks</t>
        </is>
      </c>
      <c r="H226" s="82" t="inlineStr">
        <is>
          <t>Signature drink (BCL)</t>
        </is>
      </c>
      <c r="I226" s="82" t="inlineStr">
        <is>
          <t>STD UPLIFT INFORMATION.xlsx &gt; Signature Drinks!F69</t>
        </is>
      </c>
    </row>
    <row r="227" ht="28" customHeight="1">
      <c r="A227" s="82" t="inlineStr">
        <is>
          <t>F21</t>
        </is>
      </c>
      <c r="B227" s="82" t="inlineStr">
        <is>
          <t>MH1437</t>
        </is>
      </c>
      <c r="C227" s="83" t="n">
        <v>46325</v>
      </c>
      <c r="D227" s="82" t="inlineStr">
        <is>
          <t>LGK-KUL</t>
        </is>
      </c>
      <c r="E227" s="82" t="inlineStr">
        <is>
          <t>BC</t>
        </is>
      </c>
      <c r="F227" s="82" t="inlineStr">
        <is>
          <t>B738MAX</t>
        </is>
      </c>
      <c r="G227" s="82" t="inlineStr">
        <is>
          <t>Seat Linen</t>
        </is>
      </c>
      <c r="H227" s="82" t="inlineStr">
        <is>
          <t>Duvet</t>
        </is>
      </c>
      <c r="I227" s="82" t="inlineStr">
        <is>
          <t>STD UPLIFT INFORMATION.xlsx &gt; SEAT LINEN!F64 (blank)</t>
        </is>
      </c>
    </row>
    <row r="228" ht="28" customHeight="1">
      <c r="A228" s="82" t="inlineStr">
        <is>
          <t>F21</t>
        </is>
      </c>
      <c r="B228" s="82" t="inlineStr">
        <is>
          <t>MH1437</t>
        </is>
      </c>
      <c r="C228" s="83" t="n">
        <v>46325</v>
      </c>
      <c r="D228" s="82" t="inlineStr">
        <is>
          <t>LGK-KUL</t>
        </is>
      </c>
      <c r="E228" s="82" t="inlineStr">
        <is>
          <t>BC</t>
        </is>
      </c>
      <c r="F228" s="82" t="inlineStr">
        <is>
          <t>B738MAX</t>
        </is>
      </c>
      <c r="G228" s="82" t="inlineStr">
        <is>
          <t>Seat Linen</t>
        </is>
      </c>
      <c r="H228" s="82" t="inlineStr">
        <is>
          <t>Mattress</t>
        </is>
      </c>
      <c r="I228" s="82" t="inlineStr">
        <is>
          <t>STD UPLIFT INFORMATION.xlsx &gt; SEAT LINEN!G64 (blank)</t>
        </is>
      </c>
    </row>
    <row r="229" ht="28" customHeight="1">
      <c r="A229" s="82" t="inlineStr">
        <is>
          <t>F21</t>
        </is>
      </c>
      <c r="B229" s="82" t="inlineStr">
        <is>
          <t>MH1437</t>
        </is>
      </c>
      <c r="C229" s="83" t="n">
        <v>46325</v>
      </c>
      <c r="D229" s="82" t="inlineStr">
        <is>
          <t>LGK-KUL</t>
        </is>
      </c>
      <c r="E229" s="82" t="inlineStr">
        <is>
          <t>BC</t>
        </is>
      </c>
      <c r="F229" s="82" t="inlineStr">
        <is>
          <t>B738MAX</t>
        </is>
      </c>
      <c r="G229" s="82" t="inlineStr">
        <is>
          <t>Sales Cart</t>
        </is>
      </c>
      <c r="H229" s="82" t="inlineStr">
        <is>
          <t>Sector not listed</t>
        </is>
      </c>
      <c r="I229" s="82" t="inlineStr">
        <is>
          <t>STD UPLIFT INFORMATION.xlsx &gt; SALES CART!D7:D37</t>
        </is>
      </c>
    </row>
    <row r="230" ht="28" customHeight="1">
      <c r="A230" s="82" t="inlineStr">
        <is>
          <t>F22</t>
        </is>
      </c>
      <c r="B230" s="82" t="inlineStr">
        <is>
          <t>MH0002</t>
        </is>
      </c>
      <c r="C230" s="83" t="n">
        <v>46325</v>
      </c>
      <c r="D230" s="82" t="inlineStr">
        <is>
          <t>KUL-LHR</t>
        </is>
      </c>
      <c r="E230" s="82" t="inlineStr">
        <is>
          <t>BC</t>
        </is>
      </c>
      <c r="F230" s="82" t="inlineStr">
        <is>
          <t>A350</t>
        </is>
      </c>
      <c r="G230" s="82" t="inlineStr">
        <is>
          <t>Seat Linen</t>
        </is>
      </c>
      <c r="H230" s="82" t="inlineStr">
        <is>
          <t>Blanket</t>
        </is>
      </c>
      <c r="I230" s="82" t="inlineStr">
        <is>
          <t>STD UPLIFT INFORMATION.xlsx &gt; SEAT LINEN!H7 (blank)</t>
        </is>
      </c>
    </row>
    <row r="231" ht="28" customHeight="1">
      <c r="A231" s="82" t="inlineStr">
        <is>
          <t>F22</t>
        </is>
      </c>
      <c r="B231" s="82" t="inlineStr">
        <is>
          <t>MH0002</t>
        </is>
      </c>
      <c r="C231" s="83" t="n">
        <v>46325</v>
      </c>
      <c r="D231" s="82" t="inlineStr">
        <is>
          <t>KUL-LHR</t>
        </is>
      </c>
      <c r="E231" s="82" t="inlineStr">
        <is>
          <t>BC</t>
        </is>
      </c>
      <c r="F231" s="82" t="inlineStr">
        <is>
          <t>A350</t>
        </is>
      </c>
      <c r="G231" s="82" t="inlineStr">
        <is>
          <t>Sales Cart</t>
        </is>
      </c>
      <c r="H231" s="82" t="inlineStr">
        <is>
          <t>No sales cart location on LHR sector (A359 'not applicable for LHR'; 9M-MAH '-')</t>
        </is>
      </c>
      <c r="I231" s="82" t="inlineStr">
        <is>
          <t>STD UPLIFT INFORMATION.xlsx &gt; SALES CART!K7:K14 / L7</t>
        </is>
      </c>
    </row>
  </sheetData>
  <autoFilter ref="A4:N161"/>
  <pageMargins left="0.3" right="0.3" top="1" bottom="1" header="0.5" footer="0.5"/>
  <pageSetup orientation="landscape" paperSize="9" fitToHeight="0" fitToWidth="2"/>
  <headerFooter>
    <oddHeader/>
    <oddFooter>&amp;C&amp;8 &amp;A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23"/>
  <sheetViews>
    <sheetView showGridLines="0" tabSelected="0" workbookViewId="0">
      <selection activeCell="A1" sqref="A1"/>
    </sheetView>
  </sheetViews>
  <sheetFormatPr baseColWidth="8" defaultRowHeight="15"/>
  <cols>
    <col width="50" customWidth="1" min="1" max="1"/>
    <col width="20" customWidth="1" min="2" max="2"/>
    <col width="14" customWidth="1" min="3" max="3"/>
    <col width="14" customWidth="1" min="4" max="4"/>
    <col width="18" customWidth="1" min="5" max="5"/>
    <col width="18" customWidth="1" min="6" max="6"/>
    <col width="16" customWidth="1" min="8" max="8"/>
    <col width="14" customWidth="1" min="9" max="9"/>
  </cols>
  <sheetData>
    <row r="1" ht="26" customHeight="1">
      <c r="A1" s="1" t="inlineStr">
        <is>
          <t>Settings &amp; reference tables</t>
        </is>
      </c>
    </row>
    <row r="2">
      <c r="A2" s="2" t="inlineStr">
        <is>
          <t>Yellow cells are editable. Everything else is referenced by formulas.</t>
        </is>
      </c>
    </row>
    <row r="3">
      <c r="H3" s="84" t="inlineStr">
        <is>
          <t>Status list</t>
        </is>
      </c>
      <c r="I3" s="84" t="inlineStr">
        <is>
          <t>CA status list</t>
        </is>
      </c>
    </row>
    <row r="4" ht="40" customHeight="1">
      <c r="A4" s="85" t="inlineStr">
        <is>
          <t>As-of override (UTC). Leave blank for the live clock; enter a UTC date-time to review the workbook as at that moment.</t>
        </is>
      </c>
      <c r="B4" s="86" t="n"/>
      <c r="H4" s="87" t="inlineStr">
        <is>
          <t>Not started</t>
        </is>
      </c>
      <c r="I4" s="87" t="inlineStr">
        <is>
          <t>Open</t>
        </is>
      </c>
    </row>
    <row r="5" ht="28" customHeight="1">
      <c r="A5" s="85" t="inlineStr">
        <is>
          <t>This PC's clock offset from UTC (hours). 8 = Malaysia (MYT). Used to convert NOW() to UTC.</t>
        </is>
      </c>
      <c r="B5" s="88" t="n">
        <v>8</v>
      </c>
      <c r="H5" s="87" t="inlineStr">
        <is>
          <t>In progress</t>
        </is>
      </c>
      <c r="I5" s="87" t="inlineStr">
        <is>
          <t>Closed</t>
        </is>
      </c>
    </row>
    <row r="6" ht="26" customHeight="1">
      <c r="A6" s="85" t="inlineStr">
        <is>
          <t>Effective as-of time (UTC) used for all overdue tests</t>
        </is>
      </c>
      <c r="B6" s="89">
        <f>IF(B4&lt;&gt;"",B4,NOW()-B5/24)</f>
        <v/>
      </c>
      <c r="C6" s="90">
        <f>B6+8/24</f>
        <v/>
      </c>
      <c r="D6" s="91" t="inlineStr">
        <is>
          <t>← as-of in MYT</t>
        </is>
      </c>
      <c r="H6" s="87" t="inlineStr">
        <is>
          <t>Pass</t>
        </is>
      </c>
    </row>
    <row r="7" ht="40" customHeight="1">
      <c r="A7" s="85" t="inlineStr">
        <is>
          <t>Physical-uplift window: on-board confirmation is valid only within this many hours before STD (assumption – adjust to station loading practice)</t>
        </is>
      </c>
      <c r="B7" s="88" t="n">
        <v>6</v>
      </c>
      <c r="H7" s="87" t="inlineStr">
        <is>
          <t>Pass after CA</t>
        </is>
      </c>
    </row>
    <row r="8" ht="40" customHeight="1">
      <c r="A8" s="85" t="inlineStr">
        <is>
          <t>T-24H sensory test: earliest valid completion, hours before its due time (assumption – production batch must exist)</t>
        </is>
      </c>
      <c r="B8" s="88" t="n">
        <v>24</v>
      </c>
      <c r="H8" s="87" t="inlineStr">
        <is>
          <t>Fail</t>
        </is>
      </c>
    </row>
    <row r="9" ht="28" customHeight="1">
      <c r="A9" s="85" t="inlineStr">
        <is>
          <t>T-12H preparation check: earliest valid completion, hours before its due time (assumption)</t>
        </is>
      </c>
      <c r="B9" s="88" t="n">
        <v>12</v>
      </c>
      <c r="H9" s="87" t="inlineStr">
        <is>
          <t>N/A</t>
        </is>
      </c>
    </row>
    <row r="11">
      <c r="A11" s="92" t="inlineStr">
        <is>
          <t>Station time zones (IANA tz database rules; DST windows cover the Oct-2026 programme)</t>
        </is>
      </c>
    </row>
    <row r="12" ht="30" customHeight="1">
      <c r="A12" s="62" t="inlineStr">
        <is>
          <t>Station</t>
        </is>
      </c>
      <c r="B12" s="62" t="inlineStr">
        <is>
          <t>IANA zone</t>
        </is>
      </c>
      <c r="C12" s="62" t="inlineStr">
        <is>
          <t>Std offset (h)</t>
        </is>
      </c>
      <c r="D12" s="62" t="inlineStr">
        <is>
          <t>DST offset (h)</t>
        </is>
      </c>
      <c r="E12" s="62" t="inlineStr">
        <is>
          <t>DST start (UTC)</t>
        </is>
      </c>
      <c r="F12" s="62" t="inlineStr">
        <is>
          <t>DST end (UTC)</t>
        </is>
      </c>
    </row>
    <row r="13">
      <c r="A13" s="93" t="inlineStr">
        <is>
          <t>KUL</t>
        </is>
      </c>
      <c r="B13" s="93" t="inlineStr">
        <is>
          <t>Asia/Kuala_Lumpur</t>
        </is>
      </c>
      <c r="C13" s="93" t="n">
        <v>8</v>
      </c>
      <c r="D13" s="93" t="n"/>
      <c r="E13" s="94" t="n"/>
      <c r="F13" s="94" t="n"/>
    </row>
    <row r="14">
      <c r="A14" s="93" t="inlineStr">
        <is>
          <t>PEN</t>
        </is>
      </c>
      <c r="B14" s="93" t="inlineStr">
        <is>
          <t>Asia/Kuala_Lumpur</t>
        </is>
      </c>
      <c r="C14" s="93" t="n">
        <v>8</v>
      </c>
      <c r="D14" s="93" t="n"/>
      <c r="E14" s="94" t="n"/>
      <c r="F14" s="94" t="n"/>
    </row>
    <row r="15">
      <c r="A15" s="93" t="inlineStr">
        <is>
          <t>LGK</t>
        </is>
      </c>
      <c r="B15" s="93" t="inlineStr">
        <is>
          <t>Asia/Kuala_Lumpur</t>
        </is>
      </c>
      <c r="C15" s="93" t="n">
        <v>8</v>
      </c>
      <c r="D15" s="93" t="n"/>
      <c r="E15" s="94" t="n"/>
      <c r="F15" s="94" t="n"/>
    </row>
    <row r="16">
      <c r="A16" s="93" t="inlineStr">
        <is>
          <t>LHR</t>
        </is>
      </c>
      <c r="B16" s="93" t="inlineStr">
        <is>
          <t>Europe/London</t>
        </is>
      </c>
      <c r="C16" s="93" t="n">
        <v>0</v>
      </c>
      <c r="D16" s="93" t="n">
        <v>1</v>
      </c>
      <c r="E16" s="94" t="n">
        <v>46110.04166666666</v>
      </c>
      <c r="F16" s="94" t="n">
        <v>46320.04166666666</v>
      </c>
    </row>
    <row r="17">
      <c r="A17" s="93" t="inlineStr">
        <is>
          <t>CGK</t>
        </is>
      </c>
      <c r="B17" s="93" t="inlineStr">
        <is>
          <t>Asia/Jakarta</t>
        </is>
      </c>
      <c r="C17" s="93" t="n">
        <v>7</v>
      </c>
      <c r="D17" s="93" t="n"/>
      <c r="E17" s="94" t="n"/>
      <c r="F17" s="94" t="n"/>
    </row>
    <row r="18">
      <c r="A18" s="93" t="inlineStr">
        <is>
          <t>HAN</t>
        </is>
      </c>
      <c r="B18" s="93" t="inlineStr">
        <is>
          <t>Asia/Ho_Chi_Minh</t>
        </is>
      </c>
      <c r="C18" s="93" t="n">
        <v>7</v>
      </c>
      <c r="D18" s="93" t="n"/>
      <c r="E18" s="94" t="n"/>
      <c r="F18" s="94" t="n"/>
    </row>
    <row r="19">
      <c r="A19" s="93" t="inlineStr">
        <is>
          <t>NRT</t>
        </is>
      </c>
      <c r="B19" s="93" t="inlineStr">
        <is>
          <t>Asia/Tokyo</t>
        </is>
      </c>
      <c r="C19" s="93" t="n">
        <v>9</v>
      </c>
      <c r="D19" s="93" t="n"/>
      <c r="E19" s="94" t="n"/>
      <c r="F19" s="94" t="n"/>
    </row>
    <row r="20">
      <c r="A20" s="93" t="inlineStr">
        <is>
          <t>KIX</t>
        </is>
      </c>
      <c r="B20" s="93" t="inlineStr">
        <is>
          <t>Asia/Tokyo</t>
        </is>
      </c>
      <c r="C20" s="93" t="n">
        <v>9</v>
      </c>
      <c r="D20" s="93" t="n"/>
      <c r="E20" s="94" t="n"/>
      <c r="F20" s="94" t="n"/>
    </row>
    <row r="21">
      <c r="A21" s="93" t="inlineStr">
        <is>
          <t>HKG</t>
        </is>
      </c>
      <c r="B21" s="93" t="inlineStr">
        <is>
          <t>Asia/Hong_Kong</t>
        </is>
      </c>
      <c r="C21" s="93" t="n">
        <v>8</v>
      </c>
      <c r="D21" s="93" t="n"/>
      <c r="E21" s="94" t="n"/>
      <c r="F21" s="94" t="n"/>
    </row>
    <row r="22">
      <c r="A22" s="93" t="inlineStr">
        <is>
          <t>ADL</t>
        </is>
      </c>
      <c r="B22" s="93" t="inlineStr">
        <is>
          <t>Australia/Adelaide</t>
        </is>
      </c>
      <c r="C22" s="93" t="n">
        <v>9.5</v>
      </c>
      <c r="D22" s="93" t="n">
        <v>10.5</v>
      </c>
      <c r="E22" s="94" t="n">
        <v>46298.6875</v>
      </c>
      <c r="F22" s="94" t="n">
        <v>46480.6875</v>
      </c>
    </row>
    <row r="23" ht="24" customHeight="1">
      <c r="A23" s="95" t="inlineStr">
        <is>
          <t>Source: IANA tz database. Europe/London BST ends Sun 25-Oct-2026 01:00 UTC; Australia/Adelaide ACDT (UTC+10:30) starts Sun 4-Oct-2026 02:00 local (03-Oct 16:30 UTC). No DST at other stations.</t>
        </is>
      </c>
    </row>
  </sheetData>
  <pageMargins left="0.3" right="0.3" top="1" bottom="1" header="0.5" footer="0.5"/>
  <pageSetup orientation="landscape" paperSize="9" fitToHeight="0" fitToWidth="1"/>
  <headerFooter>
    <oddHeader/>
    <oddFooter>&amp;C&amp;8 &amp;A  |  Page &amp;P of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1F3864"/>
    <outlinePr summaryBelow="1" summaryRight="1"/>
    <pageSetUpPr fitToPage="1"/>
  </sheetPr>
  <dimension ref="A1:H6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F01  "&amp;Flights!$F$5&amp;"  "&amp;TEXT(Flights!$D$5,"DD-MMM-YY")&amp;" ("&amp;Flights!$E$5&amp;")  "&amp;Flights!$G$5&amp;" → "&amp;Flights!$H$5&amp;"  |  Class "&amp;Flights!$K$5</f>
        <v/>
      </c>
      <c r="B1" s="97" t="n"/>
      <c r="C1" s="97" t="n"/>
      <c r="D1" s="97" t="n"/>
      <c r="E1" s="97" t="n"/>
      <c r="F1" s="97" t="n"/>
      <c r="G1" s="97" t="n"/>
      <c r="H1" s="98" t="n"/>
    </row>
    <row r="2" ht="13" customHeight="1">
      <c r="A2" s="99" t="inlineStr">
        <is>
          <t>Flight / date</t>
        </is>
      </c>
      <c r="B2" s="100">
        <f>Flights!$F$5&amp;"   "&amp;TEXT(Flights!$D$5,"DD-MMM-YY")&amp;" ("&amp;Flights!$E$5&amp;")"</f>
        <v/>
      </c>
      <c r="C2" s="97" t="n"/>
      <c r="D2" s="98" t="n"/>
      <c r="E2" s="101" t="inlineStr">
        <is>
          <t>READINESS STATUS</t>
        </is>
      </c>
      <c r="F2" s="102">
        <f>Flights!$AT$5</f>
        <v/>
      </c>
      <c r="G2" s="97" t="n"/>
      <c r="H2" s="98" t="n"/>
    </row>
    <row r="3" ht="24" customHeight="1">
      <c r="A3" s="99" t="inlineStr">
        <is>
          <t>Sector / class / seat</t>
        </is>
      </c>
      <c r="B3" s="100">
        <f>Flights!$G$5&amp;" → "&amp;Flights!$H$5&amp;"   Class "&amp;Flights!$K$5&amp;"   Seat "&amp;Flights!$O$5</f>
        <v/>
      </c>
      <c r="C3" s="97" t="n"/>
      <c r="D3" s="98" t="n"/>
      <c r="E3" s="101" t="inlineStr">
        <is>
          <t>Checkpoint</t>
        </is>
      </c>
      <c r="F3" s="101" t="inlineStr">
        <is>
          <t>Due (local)</t>
        </is>
      </c>
      <c r="G3" s="103" t="inlineStr">
        <is>
          <t>% complete</t>
        </is>
      </c>
      <c r="H3" s="98" t="n"/>
    </row>
    <row r="4" ht="13" customHeight="1">
      <c r="A4" s="99" t="inlineStr">
        <is>
          <t>STD → STA (local)</t>
        </is>
      </c>
      <c r="B4" s="100">
        <f>IF(ISNUMBER(Flights!$I$5),TEXT(Flights!$I$5,"DD-MMM-YY HH:MM"),"")&amp;" "&amp;Flights!$G$5&amp;"  →  "&amp;IF(ISNUMBER(Flights!$J$5),TEXT(Flights!$J$5,"DD-MMM-YY HH:MM"),"")&amp;" "&amp;Flights!$H$5</f>
        <v/>
      </c>
      <c r="C4" s="97" t="n"/>
      <c r="D4" s="98" t="n"/>
      <c r="E4" s="99" t="inlineStr">
        <is>
          <t>T-7D – 7 days before departure</t>
        </is>
      </c>
      <c r="F4" s="104">
        <f>IF(ISNUMBER(Flights!$AG$5),TEXT(Flights!$AG$5,"DD-MMM-YY HH:MM"),"")&amp;" "&amp;Flights!$V$5</f>
        <v/>
      </c>
      <c r="G4" s="105">
        <f>Flights!$AJ$5</f>
        <v/>
      </c>
      <c r="H4" s="98" t="n"/>
    </row>
    <row r="5" ht="24" customHeight="1">
      <c r="A5" s="99" t="inlineStr">
        <is>
          <t>Fleet / aircraft ref</t>
        </is>
      </c>
      <c r="B5" s="100">
        <f>Flights!$L$5&amp;" – "&amp;Flights!$M$5</f>
        <v/>
      </c>
      <c r="C5" s="97" t="n"/>
      <c r="D5" s="98" t="n"/>
      <c r="E5" s="99" t="inlineStr">
        <is>
          <t>T-24H – production batch sensory</t>
        </is>
      </c>
      <c r="F5" s="104">
        <f>IF(ISNUMBER(Flights!$AH$5),TEXT(Flights!$AH$5,"DD-MMM-YY HH:MM"),"")&amp;" "&amp;Flights!$V$5</f>
        <v/>
      </c>
      <c r="G5" s="105">
        <f>Flights!$AK$5</f>
        <v/>
      </c>
      <c r="H5" s="98" t="n"/>
    </row>
    <row r="6" ht="13" customHeight="1">
      <c r="A6" s="99" t="inlineStr">
        <is>
          <t>Tail / Reg</t>
        </is>
      </c>
      <c r="B6" s="100">
        <f>IF(TRIM(Flights!$N$5)="","__________________",Flights!$N$5)</f>
        <v/>
      </c>
      <c r="C6" s="97" t="n"/>
      <c r="D6" s="98" t="n"/>
      <c r="E6" s="99" t="inlineStr">
        <is>
          <t>T-12H PREP – caterer prep only</t>
        </is>
      </c>
      <c r="F6" s="104">
        <f>IF(ISNUMBER(Flights!$AI$5),TEXT(Flights!$AI$5,"DD-MMM-YY HH:MM"),"")&amp;" "&amp;Flights!$V$5&amp;IF(Flights!$AI$5=Flights!$AH$5,"  (= T-24H due)","")</f>
        <v/>
      </c>
      <c r="G6" s="105">
        <f>Flights!$AL$5</f>
        <v/>
      </c>
      <c r="H6" s="98" t="n"/>
    </row>
    <row r="7" ht="13" customHeight="1">
      <c r="A7" s="99" t="inlineStr">
        <is>
          <t>Service type</t>
        </is>
      </c>
      <c r="B7" s="100">
        <f>Flights!$T$5</f>
        <v/>
      </c>
      <c r="C7" s="97" t="n"/>
      <c r="D7" s="98" t="n"/>
      <c r="E7" s="99" t="inlineStr">
        <is>
          <t>UPLIFT – on-board confirmation</t>
        </is>
      </c>
      <c r="F7" s="104">
        <f>"STD "&amp;IF(ISNUMBER(Flights!$I$5),TEXT(Flights!$I$5,"DD-MMM-YY HH:MM"),"")&amp;" "&amp;Flights!$G$5&amp;" (dep stn)"</f>
        <v/>
      </c>
      <c r="G7" s="105">
        <f>Flights!$AM$5</f>
        <v/>
      </c>
      <c r="H7" s="98" t="n"/>
    </row>
    <row r="8" ht="13" customHeight="1">
      <c r="A8" s="99" t="inlineStr">
        <is>
          <t>Meal uplift stn</t>
        </is>
      </c>
      <c r="B8" s="100">
        <f>Flights!$V$5&amp;"   (reference uplift stns: "&amp;Flights!$U$5&amp;")"</f>
        <v/>
      </c>
      <c r="C8" s="97" t="n"/>
      <c r="D8" s="98" t="n"/>
      <c r="E8" s="99" t="inlineStr">
        <is>
          <t>OVERALL (all checkpoints)</t>
        </is>
      </c>
      <c r="F8" s="106" t="inlineStr">
        <is>
          <t>–</t>
        </is>
      </c>
      <c r="G8" s="105">
        <f>Flights!$AN$5</f>
        <v/>
      </c>
      <c r="H8" s="98" t="n"/>
    </row>
    <row r="9" ht="13" customHeight="1">
      <c r="A9" s="99" t="inlineStr">
        <is>
          <t>Transit / remark</t>
        </is>
      </c>
      <c r="B9" s="100">
        <f>TRIM(Flights!$P$5&amp;"  "&amp;Flights!$Q$5)</f>
        <v/>
      </c>
      <c r="C9" s="97" t="n"/>
      <c r="D9" s="98" t="n"/>
      <c r="E9" s="99" t="inlineStr">
        <is>
          <t>Overdue / discrep. / invalid</t>
        </is>
      </c>
      <c r="F9" s="107">
        <f>Flights!$AP$5</f>
        <v/>
      </c>
      <c r="G9" s="107">
        <f>Flights!$AQ$5</f>
        <v/>
      </c>
      <c r="H9" s="107">
        <f>Flights!$AU$5</f>
        <v/>
      </c>
    </row>
    <row r="10" ht="13" customHeight="1">
      <c r="A10" s="99" t="inlineStr">
        <is>
          <t>Caterer</t>
        </is>
      </c>
      <c r="B10" s="100">
        <f>IF(TRIM(Flights!$X$5)="","__________________",Flights!$X$5)</f>
        <v/>
      </c>
      <c r="C10" s="97" t="n"/>
      <c r="D10" s="98" t="n"/>
      <c r="E10" s="99" t="inlineStr">
        <is>
          <t>Open reqd / clarif. / docs out</t>
        </is>
      </c>
      <c r="F10" s="107">
        <f>Flights!$AO$5</f>
        <v/>
      </c>
      <c r="G10" s="107">
        <f>Flights!$AS$5</f>
        <v/>
      </c>
      <c r="H10" s="107">
        <f>Flights!$AR$5</f>
        <v/>
      </c>
    </row>
    <row r="11" ht="13" customHeight="1">
      <c r="A11" s="99" t="inlineStr">
        <is>
          <t>Flight PIC</t>
        </is>
      </c>
      <c r="B11" s="100">
        <f>IF(TRIM(Flights!$Y$5)="","__________________",Flights!$Y$5)</f>
        <v/>
      </c>
      <c r="C11" s="97" t="n"/>
      <c r="D11" s="98" t="n"/>
      <c r="E11" s="99" t="inlineStr">
        <is>
          <t>Done / in scope | as of UTC</t>
        </is>
      </c>
      <c r="F11" s="107">
        <f>Flights!$AV$5&amp;" / "&amp;Flights!$AW$5</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IF(Documents!$F$5="","",Documents!$F$5)</f>
        <v/>
      </c>
      <c r="C14" s="115">
        <f>IF(Documents!$G$5="","",Documents!$G$5)&amp;IF(ISNUMBER(Documents!$H$5),"  "&amp;TEXT(Documents!$H$5,"DD-MMM-YY"),"")</f>
        <v/>
      </c>
      <c r="D14" s="98" t="n"/>
      <c r="E14" s="116">
        <f>IF(Documents!$J$5="OUTSTANDING","OUTSTANDING – attach before T-7D (due "&amp;IF(ISNUMBER(Flights!$AG$5),TEXT(Flights!$AG$5,"DD-MMM-YY HH:MM"),"")&amp;" "&amp;Flights!$V$5&amp;")",IF(Documents!$J$5="","Status not recorded",Documents!$J$5))</f>
        <v/>
      </c>
      <c r="F14" s="117">
        <f>"Staple behind this sheet as page A1."&amp;IF(Documents!$I$5="",""," Location: "&amp;Documents!$I$5)</f>
        <v/>
      </c>
      <c r="G14" s="97" t="n"/>
      <c r="H14" s="98" t="n"/>
    </row>
    <row r="15" ht="25" customHeight="1">
      <c r="A15" s="99" t="inlineStr">
        <is>
          <t>A2  Menu Checklist</t>
        </is>
      </c>
      <c r="B15" s="114">
        <f>IF(Documents!$K$5="","",Documents!$K$5)</f>
        <v/>
      </c>
      <c r="C15" s="115">
        <f>IF(Documents!$L$5="","",Documents!$L$5)&amp;IF(ISNUMBER(Documents!$M$5),"  "&amp;TEXT(Documents!$M$5,"DD-MMM-YY"),"")</f>
        <v/>
      </c>
      <c r="D15" s="98" t="n"/>
      <c r="E15" s="116">
        <f>IF(Documents!$O$5="OUTSTANDING","OUTSTANDING – attach before T-7D (due "&amp;IF(ISNUMBER(Flights!$AG$5),TEXT(Flights!$AG$5,"DD-MMM-YY HH:MM"),"")&amp;" "&amp;Flights!$V$5&amp;")",IF(Documents!$O$5="","Status not recorded",Documents!$O$5))</f>
        <v/>
      </c>
      <c r="F15" s="117">
        <f>"Staple behind this sheet as page A2."&amp;IF(Documents!$N$5="",""," Location: "&amp;Documents!$N$5)</f>
        <v/>
      </c>
      <c r="G15" s="97" t="n"/>
      <c r="H15" s="98" t="n"/>
    </row>
    <row r="16" ht="33" customHeight="1">
      <c r="A16" s="99" t="inlineStr">
        <is>
          <t>Document notes</t>
        </is>
      </c>
      <c r="B16" s="118">
        <f>IF(Documents!$Q$5="","",Documents!$Q$5)</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"&amp;IF(TRIM(Flights!$Y$5)="","__________________",Flights!$Y$5)</f>
        <v/>
      </c>
      <c r="B18" s="98" t="n"/>
      <c r="C18" s="100">
        <f>"Name: __________________"</f>
        <v/>
      </c>
      <c r="D18" s="97" t="n"/>
      <c r="E18" s="98" t="n"/>
      <c r="F18" s="100">
        <f>"Name: __________________"&amp;"   Station: "&amp;Flights!$V$5</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"&amp;IF(ISNUMBER(Flights!$AG$5),TEXT(Flights!$AG$5,"DD-MMM-YY HH:MM"),"")&amp;" "&amp;Flights!$V$5&amp;" (meal uplift stn)"&amp;" (rows with another due show their own)  |  Complete "&amp;IF(ISNUMBER(Flights!$AJ$5),TEXT(Flights!$AJ$5,"0%"),Flights!$AJ$5)&amp;"  |  9 lines"</f>
        <v/>
      </c>
      <c r="B22" s="97" t="n"/>
      <c r="C22" s="97" t="n"/>
      <c r="D22" s="97" t="n"/>
      <c r="E22" s="97" t="n"/>
      <c r="F22" s="97" t="n"/>
      <c r="G22" s="97" t="n"/>
      <c r="H22" s="98" t="n"/>
    </row>
    <row r="23" ht="81" customHeight="1">
      <c r="A23" s="124">
        <f>Checks!$A$5&amp;CHAR(10)&amp;IF(Checks!$I$5="","",Checks!$I$5&amp;": ")&amp;Checks!$J$5</f>
        <v/>
      </c>
      <c r="B23" s="124">
        <f>Checks!$K$5&amp;IF(Checks!$O$5="","",IF(Checks!$K$5="","",CHAR(10))&amp;"Note: "&amp;Checks!$O$5)</f>
        <v/>
      </c>
      <c r="C23" s="124">
        <f>Checks!$N$5&amp;CHAR(10)&amp;IF(ISNUMBER(Checks!$R$5),TEXT(Checks!$R$5,"DD-MMM-YY HH:MM"),"")&amp;" "&amp;Checks!$P$5</f>
        <v/>
      </c>
      <c r="D23" s="124">
        <f>IF(Checks!$U$5="","",Checks!$U$5)&amp;IF(Checks!$AB$5="","",CHAR(10)&amp;"CA: "&amp;Checks!$AB$5)</f>
        <v/>
      </c>
      <c r="E23" s="124">
        <f>IF(Checks!$V$5="","",Checks!$V$5)&amp;IF(Checks!$AC$5="","",IF(Checks!$V$5="","",CHAR(10))&amp;"N/A just.: "&amp;Checks!$AC$5)&amp;IF(Checks!$W$5="","",CHAR(10)&amp;"Batch: "&amp;Checks!$W$5)&amp;IF(AND(Checks!$X$5="",Checks!$Y$5=""),"",CHAR(10)&amp;"Exp: "&amp;Checks!$X$5&amp;"  /  Act: "&amp;Checks!$Y$5)</f>
        <v/>
      </c>
      <c r="F23" s="124">
        <f>IF(Checks!$Z$5="","","Evidence: "&amp;Checks!$Z$5)&amp;IF(Checks!$AA$5="","",IF(Checks!$Z$5="","",CHAR(10))&amp;"CA: "&amp;Checks!$AA$5)</f>
        <v/>
      </c>
      <c r="G23" s="124">
        <f>IF(ISNUMBER(Checks!$AD$5),TEXT(Checks!$AD$5,"DD-MMM-YY HH:MM")&amp;" "&amp;Checks!$P$5,"")&amp;IF(Checks!$AE$5="","",CHAR(10)&amp;Checks!$AE$5)</f>
        <v/>
      </c>
      <c r="H23" s="125">
        <f>IF(Checks!$AH$5="","",Checks!$AH$5)</f>
        <v/>
      </c>
    </row>
    <row r="24" ht="81" customHeight="1">
      <c r="A24" s="124">
        <f>Checks!$A$6&amp;CHAR(10)&amp;IF(Checks!$I$6="","",Checks!$I$6&amp;": ")&amp;Checks!$J$6</f>
        <v/>
      </c>
      <c r="B24" s="124">
        <f>Checks!$K$6&amp;IF(Checks!$O$6="","",IF(Checks!$K$6="","",CHAR(10))&amp;"Note: "&amp;Checks!$O$6)</f>
        <v/>
      </c>
      <c r="C24" s="124">
        <f>Checks!$N$6&amp;CHAR(10)&amp;IF(ISNUMBER(Checks!$R$6),TEXT(Checks!$R$6,"DD-MMM-YY HH:MM"),"")&amp;" "&amp;Checks!$P$6</f>
        <v/>
      </c>
      <c r="D24" s="124">
        <f>IF(Checks!$U$6="","",Checks!$U$6)&amp;IF(Checks!$AB$6="","",CHAR(10)&amp;"CA: "&amp;Checks!$AB$6)</f>
        <v/>
      </c>
      <c r="E24" s="124">
        <f>IF(Checks!$V$6="","",Checks!$V$6)&amp;IF(Checks!$AC$6="","",IF(Checks!$V$6="","",CHAR(10))&amp;"N/A just.: "&amp;Checks!$AC$6)&amp;IF(Checks!$W$6="","",CHAR(10)&amp;"Batch: "&amp;Checks!$W$6)&amp;IF(AND(Checks!$X$6="",Checks!$Y$6=""),"",CHAR(10)&amp;"Exp: "&amp;Checks!$X$6&amp;"  /  Act: "&amp;Checks!$Y$6)</f>
        <v/>
      </c>
      <c r="F24" s="124">
        <f>IF(Checks!$Z$6="","","Evidence: "&amp;Checks!$Z$6)&amp;IF(Checks!$AA$6="","",IF(Checks!$Z$6="","",CHAR(10))&amp;"CA: "&amp;Checks!$AA$6)</f>
        <v/>
      </c>
      <c r="G24" s="124">
        <f>IF(ISNUMBER(Checks!$AD$6),TEXT(Checks!$AD$6,"DD-MMM-YY HH:MM")&amp;" "&amp;Checks!$P$6,"")&amp;IF(Checks!$AE$6="","",CHAR(10)&amp;Checks!$AE$6)</f>
        <v/>
      </c>
      <c r="H24" s="125">
        <f>IF(Checks!$AH$6="","",Checks!$AH$6)</f>
        <v/>
      </c>
    </row>
    <row r="25" ht="92" customHeight="1">
      <c r="A25" s="124">
        <f>Checks!$A$7&amp;CHAR(10)&amp;IF(Checks!$I$7="","",Checks!$I$7&amp;": ")&amp;Checks!$J$7</f>
        <v/>
      </c>
      <c r="B25" s="124">
        <f>Checks!$K$7&amp;IF(Checks!$O$7="","",IF(Checks!$K$7="","",CHAR(10))&amp;"Note: "&amp;Checks!$O$7)</f>
        <v/>
      </c>
      <c r="C25" s="124">
        <f>Checks!$N$7&amp;CHAR(10)&amp;IF(ISNUMBER(Checks!$R$7),TEXT(Checks!$R$7,"DD-MMM-YY HH:MM"),"")&amp;" "&amp;Checks!$P$7</f>
        <v/>
      </c>
      <c r="D25" s="124">
        <f>IF(Checks!$U$7="","",Checks!$U$7)&amp;IF(Checks!$AB$7="","",CHAR(10)&amp;"CA: "&amp;Checks!$AB$7)</f>
        <v/>
      </c>
      <c r="E25" s="124">
        <f>IF(Checks!$V$7="","",Checks!$V$7)&amp;IF(Checks!$AC$7="","",IF(Checks!$V$7="","",CHAR(10))&amp;"N/A just.: "&amp;Checks!$AC$7)&amp;IF(Checks!$W$7="","",CHAR(10)&amp;"Batch: "&amp;Checks!$W$7)&amp;IF(AND(Checks!$X$7="",Checks!$Y$7=""),"",CHAR(10)&amp;"Exp: "&amp;Checks!$X$7&amp;"  /  Act: "&amp;Checks!$Y$7)</f>
        <v/>
      </c>
      <c r="F25" s="124">
        <f>IF(Checks!$Z$7="","","Evidence: "&amp;Checks!$Z$7)&amp;IF(Checks!$AA$7="","",IF(Checks!$Z$7="","",CHAR(10))&amp;"CA: "&amp;Checks!$AA$7)</f>
        <v/>
      </c>
      <c r="G25" s="124">
        <f>IF(ISNUMBER(Checks!$AD$7),TEXT(Checks!$AD$7,"DD-MMM-YY HH:MM")&amp;" "&amp;Checks!$P$7,"")&amp;IF(Checks!$AE$7="","",CHAR(10)&amp;Checks!$AE$7)</f>
        <v/>
      </c>
      <c r="H25" s="125">
        <f>IF(Checks!$AH$7="","",Checks!$AH$7)</f>
        <v/>
      </c>
    </row>
    <row r="26" ht="81" customHeight="1">
      <c r="A26" s="124">
        <f>Checks!$A$8&amp;CHAR(10)&amp;IF(Checks!$I$8="","",Checks!$I$8&amp;": ")&amp;Checks!$J$8</f>
        <v/>
      </c>
      <c r="B26" s="124">
        <f>Checks!$K$8&amp;IF(Checks!$O$8="","",IF(Checks!$K$8="","",CHAR(10))&amp;"Note: "&amp;Checks!$O$8)</f>
        <v/>
      </c>
      <c r="C26" s="124">
        <f>Checks!$N$8&amp;CHAR(10)&amp;IF(ISNUMBER(Checks!$R$8),TEXT(Checks!$R$8,"DD-MMM-YY HH:MM"),"")&amp;" "&amp;Checks!$P$8</f>
        <v/>
      </c>
      <c r="D26" s="124">
        <f>IF(Checks!$U$8="","",Checks!$U$8)&amp;IF(Checks!$AB$8="","",CHAR(10)&amp;"CA: "&amp;Checks!$AB$8)</f>
        <v/>
      </c>
      <c r="E26" s="124">
        <f>IF(Checks!$V$8="","",Checks!$V$8)&amp;IF(Checks!$AC$8="","",IF(Checks!$V$8="","",CHAR(10))&amp;"N/A just.: "&amp;Checks!$AC$8)&amp;IF(Checks!$W$8="","",CHAR(10)&amp;"Batch: "&amp;Checks!$W$8)&amp;IF(AND(Checks!$X$8="",Checks!$Y$8=""),"",CHAR(10)&amp;"Exp: "&amp;Checks!$X$8&amp;"  /  Act: "&amp;Checks!$Y$8)</f>
        <v/>
      </c>
      <c r="F26" s="124">
        <f>IF(Checks!$Z$8="","","Evidence: "&amp;Checks!$Z$8)&amp;IF(Checks!$AA$8="","",IF(Checks!$Z$8="","",CHAR(10))&amp;"CA: "&amp;Checks!$AA$8)</f>
        <v/>
      </c>
      <c r="G26" s="124">
        <f>IF(ISNUMBER(Checks!$AD$8),TEXT(Checks!$AD$8,"DD-MMM-YY HH:MM")&amp;" "&amp;Checks!$P$8,"")&amp;IF(Checks!$AE$8="","",CHAR(10)&amp;Checks!$AE$8)</f>
        <v/>
      </c>
      <c r="H26" s="125">
        <f>IF(Checks!$AH$8="","",Checks!$AH$8)</f>
        <v/>
      </c>
    </row>
    <row r="27" ht="81" customHeight="1">
      <c r="A27" s="124">
        <f>Checks!$A$9&amp;CHAR(10)&amp;IF(Checks!$I$9="","",Checks!$I$9&amp;": ")&amp;Checks!$J$9</f>
        <v/>
      </c>
      <c r="B27" s="124">
        <f>Checks!$K$9&amp;IF(Checks!$O$9="","",IF(Checks!$K$9="","",CHAR(10))&amp;"Note: "&amp;Checks!$O$9)</f>
        <v/>
      </c>
      <c r="C27" s="124">
        <f>Checks!$N$9&amp;CHAR(10)&amp;IF(ISNUMBER(Checks!$R$9),TEXT(Checks!$R$9,"DD-MMM-YY HH:MM"),"")&amp;" "&amp;Checks!$P$9</f>
        <v/>
      </c>
      <c r="D27" s="124">
        <f>IF(Checks!$U$9="","",Checks!$U$9)&amp;IF(Checks!$AB$9="","",CHAR(10)&amp;"CA: "&amp;Checks!$AB$9)</f>
        <v/>
      </c>
      <c r="E27" s="124">
        <f>IF(Checks!$V$9="","",Checks!$V$9)&amp;IF(Checks!$AC$9="","",IF(Checks!$V$9="","",CHAR(10))&amp;"N/A just.: "&amp;Checks!$AC$9)&amp;IF(Checks!$W$9="","",CHAR(10)&amp;"Batch: "&amp;Checks!$W$9)&amp;IF(AND(Checks!$X$9="",Checks!$Y$9=""),"",CHAR(10)&amp;"Exp: "&amp;Checks!$X$9&amp;"  /  Act: "&amp;Checks!$Y$9)</f>
        <v/>
      </c>
      <c r="F27" s="124">
        <f>IF(Checks!$Z$9="","","Evidence: "&amp;Checks!$Z$9)&amp;IF(Checks!$AA$9="","",IF(Checks!$Z$9="","",CHAR(10))&amp;"CA: "&amp;Checks!$AA$9)</f>
        <v/>
      </c>
      <c r="G27" s="124">
        <f>IF(ISNUMBER(Checks!$AD$9),TEXT(Checks!$AD$9,"DD-MMM-YY HH:MM")&amp;" "&amp;Checks!$P$9,"")&amp;IF(Checks!$AE$9="","",CHAR(10)&amp;Checks!$AE$9)</f>
        <v/>
      </c>
      <c r="H27" s="125">
        <f>IF(Checks!$AH$9="","",Checks!$AH$9)</f>
        <v/>
      </c>
    </row>
    <row r="28" ht="81" customHeight="1">
      <c r="A28" s="124">
        <f>Checks!$A$10&amp;CHAR(10)&amp;IF(Checks!$I$10="","",Checks!$I$10&amp;": ")&amp;Checks!$J$10</f>
        <v/>
      </c>
      <c r="B28" s="124">
        <f>Checks!$K$10&amp;IF(Checks!$O$10="","",IF(Checks!$K$10="","",CHAR(10))&amp;"Note: "&amp;Checks!$O$10)</f>
        <v/>
      </c>
      <c r="C28" s="124">
        <f>Checks!$N$10&amp;CHAR(10)&amp;IF(ISNUMBER(Checks!$R$10),TEXT(Checks!$R$10,"DD-MMM-YY HH:MM"),"")&amp;" "&amp;Checks!$P$10</f>
        <v/>
      </c>
      <c r="D28" s="124">
        <f>IF(Checks!$U$10="","",Checks!$U$10)&amp;IF(Checks!$AB$10="","",CHAR(10)&amp;"CA: "&amp;Checks!$AB$10)</f>
        <v/>
      </c>
      <c r="E28" s="124">
        <f>IF(Checks!$V$10="","",Checks!$V$10)&amp;IF(Checks!$AC$10="","",IF(Checks!$V$10="","",CHAR(10))&amp;"N/A just.: "&amp;Checks!$AC$10)&amp;IF(Checks!$W$10="","",CHAR(10)&amp;"Batch: "&amp;Checks!$W$10)&amp;IF(AND(Checks!$X$10="",Checks!$Y$10=""),"",CHAR(10)&amp;"Exp: "&amp;Checks!$X$10&amp;"  /  Act: "&amp;Checks!$Y$10)</f>
        <v/>
      </c>
      <c r="F28" s="124">
        <f>IF(Checks!$Z$10="","","Evidence: "&amp;Checks!$Z$10)&amp;IF(Checks!$AA$10="","",IF(Checks!$Z$10="","",CHAR(10))&amp;"CA: "&amp;Checks!$AA$10)</f>
        <v/>
      </c>
      <c r="G28" s="124">
        <f>IF(ISNUMBER(Checks!$AD$10),TEXT(Checks!$AD$10,"DD-MMM-YY HH:MM")&amp;" "&amp;Checks!$P$10,"")&amp;IF(Checks!$AE$10="","",CHAR(10)&amp;Checks!$AE$10)</f>
        <v/>
      </c>
      <c r="H28" s="125">
        <f>IF(Checks!$AH$10="","",Checks!$AH$10)</f>
        <v/>
      </c>
    </row>
    <row r="29" ht="81" customHeight="1">
      <c r="A29" s="124">
        <f>Checks!$A$11&amp;CHAR(10)&amp;IF(Checks!$I$11="","",Checks!$I$11&amp;": ")&amp;Checks!$J$11</f>
        <v/>
      </c>
      <c r="B29" s="124">
        <f>Checks!$K$11&amp;IF(Checks!$O$11="","",IF(Checks!$K$11="","",CHAR(10))&amp;"Note: "&amp;Checks!$O$11)</f>
        <v/>
      </c>
      <c r="C29" s="124">
        <f>Checks!$N$11&amp;CHAR(10)&amp;IF(ISNUMBER(Checks!$R$11),TEXT(Checks!$R$11,"DD-MMM-YY HH:MM"),"")&amp;" "&amp;Checks!$P$11</f>
        <v/>
      </c>
      <c r="D29" s="124">
        <f>IF(Checks!$U$11="","",Checks!$U$11)&amp;IF(Checks!$AB$11="","",CHAR(10)&amp;"CA: "&amp;Checks!$AB$11)</f>
        <v/>
      </c>
      <c r="E29" s="124">
        <f>IF(Checks!$V$11="","",Checks!$V$11)&amp;IF(Checks!$AC$11="","",IF(Checks!$V$11="","",CHAR(10))&amp;"N/A just.: "&amp;Checks!$AC$11)&amp;IF(Checks!$W$11="","",CHAR(10)&amp;"Batch: "&amp;Checks!$W$11)&amp;IF(AND(Checks!$X$11="",Checks!$Y$11=""),"",CHAR(10)&amp;"Exp: "&amp;Checks!$X$11&amp;"  /  Act: "&amp;Checks!$Y$11)</f>
        <v/>
      </c>
      <c r="F29" s="124">
        <f>IF(Checks!$Z$11="","","Evidence: "&amp;Checks!$Z$11)&amp;IF(Checks!$AA$11="","",IF(Checks!$Z$11="","",CHAR(10))&amp;"CA: "&amp;Checks!$AA$11)</f>
        <v/>
      </c>
      <c r="G29" s="124">
        <f>IF(ISNUMBER(Checks!$AD$11),TEXT(Checks!$AD$11,"DD-MMM-YY HH:MM")&amp;" "&amp;Checks!$P$11,"")&amp;IF(Checks!$AE$11="","",CHAR(10)&amp;Checks!$AE$11)</f>
        <v/>
      </c>
      <c r="H29" s="125">
        <f>IF(Checks!$AH$11="","",Checks!$AH$11)</f>
        <v/>
      </c>
    </row>
    <row r="30" ht="81" customHeight="1">
      <c r="A30" s="124">
        <f>Checks!$A$12&amp;CHAR(10)&amp;IF(Checks!$I$12="","",Checks!$I$12&amp;": ")&amp;Checks!$J$12</f>
        <v/>
      </c>
      <c r="B30" s="124">
        <f>Checks!$K$12&amp;IF(Checks!$O$12="","",IF(Checks!$K$12="","",CHAR(10))&amp;"Note: "&amp;Checks!$O$12)</f>
        <v/>
      </c>
      <c r="C30" s="124">
        <f>Checks!$N$12&amp;CHAR(10)&amp;IF(ISNUMBER(Checks!$R$12),TEXT(Checks!$R$12,"DD-MMM-YY HH:MM"),"")&amp;" "&amp;Checks!$P$12</f>
        <v/>
      </c>
      <c r="D30" s="124">
        <f>IF(Checks!$U$12="","",Checks!$U$12)&amp;IF(Checks!$AB$12="","",CHAR(10)&amp;"CA: "&amp;Checks!$AB$12)</f>
        <v/>
      </c>
      <c r="E30" s="124">
        <f>IF(Checks!$V$12="","",Checks!$V$12)&amp;IF(Checks!$AC$12="","",IF(Checks!$V$12="","",CHAR(10))&amp;"N/A just.: "&amp;Checks!$AC$12)&amp;IF(Checks!$W$12="","",CHAR(10)&amp;"Batch: "&amp;Checks!$W$12)&amp;IF(AND(Checks!$X$12="",Checks!$Y$12=""),"",CHAR(10)&amp;"Exp: "&amp;Checks!$X$12&amp;"  /  Act: "&amp;Checks!$Y$12)</f>
        <v/>
      </c>
      <c r="F30" s="124">
        <f>IF(Checks!$Z$12="","","Evidence: "&amp;Checks!$Z$12)&amp;IF(Checks!$AA$12="","",IF(Checks!$Z$12="","",CHAR(10))&amp;"CA: "&amp;Checks!$AA$12)</f>
        <v/>
      </c>
      <c r="G30" s="124">
        <f>IF(ISNUMBER(Checks!$AD$12),TEXT(Checks!$AD$12,"DD-MMM-YY HH:MM")&amp;" "&amp;Checks!$P$12,"")&amp;IF(Checks!$AE$12="","",CHAR(10)&amp;Checks!$AE$12)</f>
        <v/>
      </c>
      <c r="H30" s="125">
        <f>IF(Checks!$AH$12="","",Checks!$AH$12)</f>
        <v/>
      </c>
    </row>
    <row r="31" ht="81" customHeight="1">
      <c r="A31" s="124">
        <f>Checks!$A$13&amp;CHAR(10)&amp;IF(Checks!$I$13="","",Checks!$I$13&amp;": ")&amp;Checks!$J$13</f>
        <v/>
      </c>
      <c r="B31" s="124">
        <f>Checks!$K$13&amp;IF(Checks!$O$13="","",IF(Checks!$K$13="","",CHAR(10))&amp;"Note: "&amp;Checks!$O$13)</f>
        <v/>
      </c>
      <c r="C31" s="124">
        <f>Checks!$N$13&amp;CHAR(10)&amp;IF(ISNUMBER(Checks!$R$13),TEXT(Checks!$R$13,"DD-MMM-YY HH:MM"),"")&amp;" "&amp;Checks!$P$13</f>
        <v/>
      </c>
      <c r="D31" s="124">
        <f>IF(Checks!$U$13="","",Checks!$U$13)&amp;IF(Checks!$AB$13="","",CHAR(10)&amp;"CA: "&amp;Checks!$AB$13)</f>
        <v/>
      </c>
      <c r="E31" s="124">
        <f>IF(Checks!$V$13="","",Checks!$V$13)&amp;IF(Checks!$AC$13="","",IF(Checks!$V$13="","",CHAR(10))&amp;"N/A just.: "&amp;Checks!$AC$13)&amp;IF(Checks!$W$13="","",CHAR(10)&amp;"Batch: "&amp;Checks!$W$13)&amp;IF(AND(Checks!$X$13="",Checks!$Y$13=""),"",CHAR(10)&amp;"Exp: "&amp;Checks!$X$13&amp;"  /  Act: "&amp;Checks!$Y$13)</f>
        <v/>
      </c>
      <c r="F31" s="124">
        <f>IF(Checks!$Z$13="","","Evidence: "&amp;Checks!$Z$13)&amp;IF(Checks!$AA$13="","",IF(Checks!$Z$13="","",CHAR(10))&amp;"CA: "&amp;Checks!$AA$13)</f>
        <v/>
      </c>
      <c r="G31" s="124">
        <f>IF(ISNUMBER(Checks!$AD$13),TEXT(Checks!$AD$13,"DD-MMM-YY HH:MM")&amp;" "&amp;Checks!$P$13,"")&amp;IF(Checks!$AE$13="","",CHAR(10)&amp;Checks!$AE$13)</f>
        <v/>
      </c>
      <c r="H31" s="125">
        <f>IF(Checks!$AH$13="","",Checks!$AH$13)</f>
        <v/>
      </c>
    </row>
    <row r="32" ht="26" customHeight="1">
      <c r="A32" s="123">
        <f>"T-24H — Production batch sensory  |  Due "&amp;IF(ISNUMBER(Flights!$AH$5),TEXT(Flights!$AH$5,"DD-MMM-YY HH:MM"),"")&amp;" "&amp;Flights!$V$5&amp;" (meal uplift stn)"&amp;" (rows with another due show their own)  |  Complete "&amp;IF(ISNUMBER(Flights!$AK$5),TEXT(Flights!$AK$5,"0%"),Flights!$AK$5)&amp;"  |  1 lines"</f>
        <v/>
      </c>
      <c r="B32" s="97" t="n"/>
      <c r="C32" s="97" t="n"/>
      <c r="D32" s="97" t="n"/>
      <c r="E32" s="97" t="n"/>
      <c r="F32" s="97" t="n"/>
      <c r="G32" s="97" t="n"/>
      <c r="H32" s="98" t="n"/>
    </row>
    <row r="33" ht="81" customHeight="1">
      <c r="A33" s="124">
        <f>Checks!$A$14&amp;CHAR(10)&amp;IF(Checks!$I$14="","",Checks!$I$14&amp;": ")&amp;Checks!$J$14</f>
        <v/>
      </c>
      <c r="B33" s="124">
        <f>Checks!$K$14&amp;IF(Checks!$O$14="","",IF(Checks!$K$14="","",CHAR(10))&amp;"Note: "&amp;Checks!$O$14)</f>
        <v/>
      </c>
      <c r="C33" s="124">
        <f>Checks!$N$14&amp;CHAR(10)&amp;IF(ISNUMBER(Checks!$R$14),TEXT(Checks!$R$14,"DD-MMM-YY HH:MM"),"")&amp;" "&amp;Checks!$P$14</f>
        <v/>
      </c>
      <c r="D33" s="124">
        <f>IF(Checks!$U$14="","",Checks!$U$14)&amp;IF(Checks!$AB$14="","",CHAR(10)&amp;"CA: "&amp;Checks!$AB$14)</f>
        <v/>
      </c>
      <c r="E33" s="124">
        <f>IF(Checks!$V$14="","",Checks!$V$14)&amp;IF(Checks!$AC$14="","",IF(Checks!$V$14="","",CHAR(10))&amp;"N/A just.: "&amp;Checks!$AC$14)&amp;IF(Checks!$W$14="","",CHAR(10)&amp;"Batch: "&amp;Checks!$W$14)&amp;IF(AND(Checks!$X$14="",Checks!$Y$14=""),"",CHAR(10)&amp;"Exp: "&amp;Checks!$X$14&amp;"  /  Act: "&amp;Checks!$Y$14)</f>
        <v/>
      </c>
      <c r="F33" s="124">
        <f>IF(Checks!$Z$14="","","Evidence: "&amp;Checks!$Z$14)&amp;IF(Checks!$AA$14="","",IF(Checks!$Z$14="","",CHAR(10))&amp;"CA: "&amp;Checks!$AA$14)</f>
        <v/>
      </c>
      <c r="G33" s="124">
        <f>IF(ISNUMBER(Checks!$AD$14),TEXT(Checks!$AD$14,"DD-MMM-YY HH:MM")&amp;" "&amp;Checks!$P$14,"")&amp;IF(Checks!$AE$14="","",CHAR(10)&amp;Checks!$AE$14)</f>
        <v/>
      </c>
      <c r="H33" s="125">
        <f>IF(Checks!$AH$14="","",Checks!$AH$14)</f>
        <v/>
      </c>
    </row>
    <row r="34" ht="26" customHeight="1">
      <c r="A34" s="123">
        <f>"T-12H PREP — Preparation check at caterer (does NOT confirm loading)  |  Due "&amp;IF(ISNUMBER(Flights!$AI$5),TEXT(Flights!$AI$5,"DD-MMM-YY HH:MM"),"")&amp;" "&amp;Flights!$V$5&amp;" (meal uplift stn)"&amp;" (rows with another due show their own)  |  Complete "&amp;IF(ISNUMBER(Flights!$AL$5),TEXT(Flights!$AL$5,"0%"),Flights!$AL$5)&amp;"  |  10 lines"</f>
        <v/>
      </c>
      <c r="B34" s="97" t="n"/>
      <c r="C34" s="97" t="n"/>
      <c r="D34" s="97" t="n"/>
      <c r="E34" s="97" t="n"/>
      <c r="F34" s="97" t="n"/>
      <c r="G34" s="97" t="n"/>
      <c r="H34" s="98" t="n"/>
    </row>
    <row r="35" ht="81" customHeight="1">
      <c r="A35" s="124">
        <f>Checks!$A$15&amp;CHAR(10)&amp;IF(Checks!$I$15="","",Checks!$I$15&amp;": ")&amp;Checks!$J$15</f>
        <v/>
      </c>
      <c r="B35" s="124">
        <f>Checks!$K$15&amp;IF(Checks!$O$15="","",IF(Checks!$K$15="","",CHAR(10))&amp;"Note: "&amp;Checks!$O$15)</f>
        <v/>
      </c>
      <c r="C35" s="124">
        <f>Checks!$N$15&amp;CHAR(10)&amp;IF(ISNUMBER(Checks!$R$15),TEXT(Checks!$R$15,"DD-MMM-YY HH:MM"),"")&amp;" "&amp;Checks!$P$15</f>
        <v/>
      </c>
      <c r="D35" s="124">
        <f>IF(Checks!$U$15="","",Checks!$U$15)&amp;IF(Checks!$AB$15="","",CHAR(10)&amp;"CA: "&amp;Checks!$AB$15)</f>
        <v/>
      </c>
      <c r="E35" s="124">
        <f>IF(Checks!$V$15="","",Checks!$V$15)&amp;IF(Checks!$AC$15="","",IF(Checks!$V$15="","",CHAR(10))&amp;"N/A just.: "&amp;Checks!$AC$15)&amp;IF(Checks!$W$15="","",CHAR(10)&amp;"Batch: "&amp;Checks!$W$15)&amp;IF(AND(Checks!$X$15="",Checks!$Y$15=""),"",CHAR(10)&amp;"Exp: "&amp;Checks!$X$15&amp;"  /  Act: "&amp;Checks!$Y$15)</f>
        <v/>
      </c>
      <c r="F35" s="124">
        <f>IF(Checks!$Z$15="","","Evidence: "&amp;Checks!$Z$15)&amp;IF(Checks!$AA$15="","",IF(Checks!$Z$15="","",CHAR(10))&amp;"CA: "&amp;Checks!$AA$15)</f>
        <v/>
      </c>
      <c r="G35" s="124">
        <f>IF(ISNUMBER(Checks!$AD$15),TEXT(Checks!$AD$15,"DD-MMM-YY HH:MM")&amp;" "&amp;Checks!$P$15,"")&amp;IF(Checks!$AE$15="","",CHAR(10)&amp;Checks!$AE$15)</f>
        <v/>
      </c>
      <c r="H35" s="125">
        <f>IF(Checks!$AH$15="","",Checks!$AH$15)</f>
        <v/>
      </c>
    </row>
    <row r="36" ht="81" customHeight="1">
      <c r="A36" s="124">
        <f>Checks!$A$16&amp;CHAR(10)&amp;IF(Checks!$I$16="","",Checks!$I$16&amp;": ")&amp;Checks!$J$16</f>
        <v/>
      </c>
      <c r="B36" s="124">
        <f>Checks!$K$16&amp;IF(Checks!$O$16="","",IF(Checks!$K$16="","",CHAR(10))&amp;"Note: "&amp;Checks!$O$16)</f>
        <v/>
      </c>
      <c r="C36" s="124">
        <f>Checks!$N$16&amp;CHAR(10)&amp;IF(ISNUMBER(Checks!$R$16),TEXT(Checks!$R$16,"DD-MMM-YY HH:MM"),"")&amp;" "&amp;Checks!$P$16</f>
        <v/>
      </c>
      <c r="D36" s="124">
        <f>IF(Checks!$U$16="","",Checks!$U$16)&amp;IF(Checks!$AB$16="","",CHAR(10)&amp;"CA: "&amp;Checks!$AB$16)</f>
        <v/>
      </c>
      <c r="E36" s="124">
        <f>IF(Checks!$V$16="","",Checks!$V$16)&amp;IF(Checks!$AC$16="","",IF(Checks!$V$16="","",CHAR(10))&amp;"N/A just.: "&amp;Checks!$AC$16)&amp;IF(Checks!$W$16="","",CHAR(10)&amp;"Batch: "&amp;Checks!$W$16)&amp;IF(AND(Checks!$X$16="",Checks!$Y$16=""),"",CHAR(10)&amp;"Exp: "&amp;Checks!$X$16&amp;"  /  Act: "&amp;Checks!$Y$16)</f>
        <v/>
      </c>
      <c r="F36" s="124">
        <f>IF(Checks!$Z$16="","","Evidence: "&amp;Checks!$Z$16)&amp;IF(Checks!$AA$16="","",IF(Checks!$Z$16="","",CHAR(10))&amp;"CA: "&amp;Checks!$AA$16)</f>
        <v/>
      </c>
      <c r="G36" s="124">
        <f>IF(ISNUMBER(Checks!$AD$16),TEXT(Checks!$AD$16,"DD-MMM-YY HH:MM")&amp;" "&amp;Checks!$P$16,"")&amp;IF(Checks!$AE$16="","",CHAR(10)&amp;Checks!$AE$16)</f>
        <v/>
      </c>
      <c r="H36" s="125">
        <f>IF(Checks!$AH$16="","",Checks!$AH$16)</f>
        <v/>
      </c>
    </row>
    <row r="37" ht="81" customHeight="1">
      <c r="A37" s="124">
        <f>Checks!$A$17&amp;CHAR(10)&amp;IF(Checks!$I$17="","",Checks!$I$17&amp;": ")&amp;Checks!$J$17</f>
        <v/>
      </c>
      <c r="B37" s="124">
        <f>Checks!$K$17&amp;IF(Checks!$O$17="","",IF(Checks!$K$17="","",CHAR(10))&amp;"Note: "&amp;Checks!$O$17)</f>
        <v/>
      </c>
      <c r="C37" s="124">
        <f>Checks!$N$17&amp;CHAR(10)&amp;IF(ISNUMBER(Checks!$R$17),TEXT(Checks!$R$17,"DD-MMM-YY HH:MM"),"")&amp;" "&amp;Checks!$P$17</f>
        <v/>
      </c>
      <c r="D37" s="124">
        <f>IF(Checks!$U$17="","",Checks!$U$17)&amp;IF(Checks!$AB$17="","",CHAR(10)&amp;"CA: "&amp;Checks!$AB$17)</f>
        <v/>
      </c>
      <c r="E37" s="124">
        <f>IF(Checks!$V$17="","",Checks!$V$17)&amp;IF(Checks!$AC$17="","",IF(Checks!$V$17="","",CHAR(10))&amp;"N/A just.: "&amp;Checks!$AC$17)&amp;IF(Checks!$W$17="","",CHAR(10)&amp;"Batch: "&amp;Checks!$W$17)&amp;IF(AND(Checks!$X$17="",Checks!$Y$17=""),"",CHAR(10)&amp;"Exp: "&amp;Checks!$X$17&amp;"  /  Act: "&amp;Checks!$Y$17)</f>
        <v/>
      </c>
      <c r="F37" s="124">
        <f>IF(Checks!$Z$17="","","Evidence: "&amp;Checks!$Z$17)&amp;IF(Checks!$AA$17="","",IF(Checks!$Z$17="","",CHAR(10))&amp;"CA: "&amp;Checks!$AA$17)</f>
        <v/>
      </c>
      <c r="G37" s="124">
        <f>IF(ISNUMBER(Checks!$AD$17),TEXT(Checks!$AD$17,"DD-MMM-YY HH:MM")&amp;" "&amp;Checks!$P$17,"")&amp;IF(Checks!$AE$17="","",CHAR(10)&amp;Checks!$AE$17)</f>
        <v/>
      </c>
      <c r="H37" s="125">
        <f>IF(Checks!$AH$17="","",Checks!$AH$17)</f>
        <v/>
      </c>
    </row>
    <row r="38" ht="81" customHeight="1">
      <c r="A38" s="124">
        <f>Checks!$A$18&amp;CHAR(10)&amp;IF(Checks!$I$18="","",Checks!$I$18&amp;": ")&amp;Checks!$J$18</f>
        <v/>
      </c>
      <c r="B38" s="124">
        <f>Checks!$K$18&amp;IF(Checks!$O$18="","",IF(Checks!$K$18="","",CHAR(10))&amp;"Note: "&amp;Checks!$O$18)</f>
        <v/>
      </c>
      <c r="C38" s="124">
        <f>Checks!$N$18&amp;CHAR(10)&amp;IF(ISNUMBER(Checks!$R$18),TEXT(Checks!$R$18,"DD-MMM-YY HH:MM"),"")&amp;" "&amp;Checks!$P$18</f>
        <v/>
      </c>
      <c r="D38" s="124">
        <f>IF(Checks!$U$18="","",Checks!$U$18)&amp;IF(Checks!$AB$18="","",CHAR(10)&amp;"CA: "&amp;Checks!$AB$18)</f>
        <v/>
      </c>
      <c r="E38" s="124">
        <f>IF(Checks!$V$18="","",Checks!$V$18)&amp;IF(Checks!$AC$18="","",IF(Checks!$V$18="","",CHAR(10))&amp;"N/A just.: "&amp;Checks!$AC$18)&amp;IF(Checks!$W$18="","",CHAR(10)&amp;"Batch: "&amp;Checks!$W$18)&amp;IF(AND(Checks!$X$18="",Checks!$Y$18=""),"",CHAR(10)&amp;"Exp: "&amp;Checks!$X$18&amp;"  /  Act: "&amp;Checks!$Y$18)</f>
        <v/>
      </c>
      <c r="F38" s="124">
        <f>IF(Checks!$Z$18="","","Evidence: "&amp;Checks!$Z$18)&amp;IF(Checks!$AA$18="","",IF(Checks!$Z$18="","",CHAR(10))&amp;"CA: "&amp;Checks!$AA$18)</f>
        <v/>
      </c>
      <c r="G38" s="124">
        <f>IF(ISNUMBER(Checks!$AD$18),TEXT(Checks!$AD$18,"DD-MMM-YY HH:MM")&amp;" "&amp;Checks!$P$18,"")&amp;IF(Checks!$AE$18="","",CHAR(10)&amp;Checks!$AE$18)</f>
        <v/>
      </c>
      <c r="H38" s="125">
        <f>IF(Checks!$AH$18="","",Checks!$AH$18)</f>
        <v/>
      </c>
    </row>
    <row r="39" ht="81" customHeight="1">
      <c r="A39" s="124">
        <f>Checks!$A$19&amp;CHAR(10)&amp;IF(Checks!$I$19="","",Checks!$I$19&amp;": ")&amp;Checks!$J$19</f>
        <v/>
      </c>
      <c r="B39" s="124">
        <f>Checks!$K$19&amp;IF(Checks!$O$19="","",IF(Checks!$K$19="","",CHAR(10))&amp;"Note: "&amp;Checks!$O$19)</f>
        <v/>
      </c>
      <c r="C39" s="124">
        <f>Checks!$N$19&amp;CHAR(10)&amp;IF(ISNUMBER(Checks!$R$19),TEXT(Checks!$R$19,"DD-MMM-YY HH:MM"),"")&amp;" "&amp;Checks!$P$19</f>
        <v/>
      </c>
      <c r="D39" s="124">
        <f>IF(Checks!$U$19="","",Checks!$U$19)&amp;IF(Checks!$AB$19="","",CHAR(10)&amp;"CA: "&amp;Checks!$AB$19)</f>
        <v/>
      </c>
      <c r="E39" s="124">
        <f>IF(Checks!$V$19="","",Checks!$V$19)&amp;IF(Checks!$AC$19="","",IF(Checks!$V$19="","",CHAR(10))&amp;"N/A just.: "&amp;Checks!$AC$19)&amp;IF(Checks!$W$19="","",CHAR(10)&amp;"Batch: "&amp;Checks!$W$19)&amp;IF(AND(Checks!$X$19="",Checks!$Y$19=""),"",CHAR(10)&amp;"Exp: "&amp;Checks!$X$19&amp;"  /  Act: "&amp;Checks!$Y$19)</f>
        <v/>
      </c>
      <c r="F39" s="124">
        <f>IF(Checks!$Z$19="","","Evidence: "&amp;Checks!$Z$19)&amp;IF(Checks!$AA$19="","",IF(Checks!$Z$19="","",CHAR(10))&amp;"CA: "&amp;Checks!$AA$19)</f>
        <v/>
      </c>
      <c r="G39" s="124">
        <f>IF(ISNUMBER(Checks!$AD$19),TEXT(Checks!$AD$19,"DD-MMM-YY HH:MM")&amp;" "&amp;Checks!$P$19,"")&amp;IF(Checks!$AE$19="","",CHAR(10)&amp;Checks!$AE$19)</f>
        <v/>
      </c>
      <c r="H39" s="125">
        <f>IF(Checks!$AH$19="","",Checks!$AH$19)</f>
        <v/>
      </c>
    </row>
    <row r="40" ht="279" customHeight="1">
      <c r="A40" s="124">
        <f>Checks!$A$20&amp;CHAR(10)&amp;IF(Checks!$I$20="","",Checks!$I$20&amp;": ")&amp;Checks!$J$20</f>
        <v/>
      </c>
      <c r="B40" s="124">
        <f>SUBSTITUTE(Checks!$K$20&amp;IF(Checks!$O$20="","",IF(Checks!$K$20="","",CHAR(10))&amp;"Note: "&amp;Checks!$O$20),"AIRCRAFT TYPE!","Ref: AIRCRAFT TYPE!")</f>
        <v/>
      </c>
      <c r="C40" s="124">
        <f>Checks!$N$20&amp;CHAR(10)&amp;IF(ISNUMBER(Checks!$R$20),TEXT(Checks!$R$20,"DD-MMM-YY HH:MM"),"")&amp;" "&amp;Checks!$P$20</f>
        <v/>
      </c>
      <c r="D40" s="124">
        <f>IF(Checks!$U$20="","",Checks!$U$20)&amp;IF(Checks!$AB$20="","",CHAR(10)&amp;"CA: "&amp;Checks!$AB$20)</f>
        <v/>
      </c>
      <c r="E40" s="124">
        <f>IF(Checks!$V$20="","",Checks!$V$20)&amp;IF(Checks!$AC$20="","",IF(Checks!$V$20="","",CHAR(10))&amp;"N/A just.: "&amp;Checks!$AC$20)&amp;IF(Checks!$W$20="","",CHAR(10)&amp;"Batch: "&amp;Checks!$W$20)&amp;IF(AND(Checks!$X$20="",Checks!$Y$20=""),"",CHAR(10)&amp;"Exp: "&amp;Checks!$X$20&amp;"  /  Act: "&amp;Checks!$Y$20)</f>
        <v/>
      </c>
      <c r="F40" s="124">
        <f>IF(Checks!$Z$20="","","Evidence: "&amp;Checks!$Z$20)&amp;IF(Checks!$AA$20="","",IF(Checks!$Z$20="","",CHAR(10))&amp;"CA: "&amp;Checks!$AA$20)</f>
        <v/>
      </c>
      <c r="G40" s="124">
        <f>IF(ISNUMBER(Checks!$AD$20),TEXT(Checks!$AD$20,"DD-MMM-YY HH:MM")&amp;" "&amp;Checks!$P$20,"")&amp;IF(Checks!$AE$20="","",CHAR(10)&amp;Checks!$AE$20)</f>
        <v/>
      </c>
      <c r="H40" s="125">
        <f>IF(Checks!$AH$20="","",Checks!$AH$20)</f>
        <v/>
      </c>
    </row>
    <row r="41" ht="81" customHeight="1">
      <c r="A41" s="124">
        <f>Checks!$A$21&amp;CHAR(10)&amp;IF(Checks!$I$21="","",Checks!$I$21&amp;": ")&amp;Checks!$J$21</f>
        <v/>
      </c>
      <c r="B41" s="124">
        <f>Checks!$K$21&amp;IF(Checks!$O$21="","",IF(Checks!$K$21="","",CHAR(10))&amp;"Note: "&amp;Checks!$O$21)</f>
        <v/>
      </c>
      <c r="C41" s="124">
        <f>Checks!$N$21&amp;CHAR(10)&amp;IF(ISNUMBER(Checks!$R$21),TEXT(Checks!$R$21,"DD-MMM-YY HH:MM"),"")&amp;" "&amp;Checks!$P$21</f>
        <v/>
      </c>
      <c r="D41" s="124">
        <f>IF(Checks!$U$21="","",Checks!$U$21)&amp;IF(Checks!$AB$21="","",CHAR(10)&amp;"CA: "&amp;Checks!$AB$21)</f>
        <v/>
      </c>
      <c r="E41" s="124">
        <f>IF(Checks!$V$21="","",Checks!$V$21)&amp;IF(Checks!$AC$21="","",IF(Checks!$V$21="","",CHAR(10))&amp;"N/A just.: "&amp;Checks!$AC$21)&amp;IF(Checks!$W$21="","",CHAR(10)&amp;"Batch: "&amp;Checks!$W$21)&amp;IF(AND(Checks!$X$21="",Checks!$Y$21=""),"",CHAR(10)&amp;"Exp: "&amp;Checks!$X$21&amp;"  /  Act: "&amp;Checks!$Y$21)</f>
        <v/>
      </c>
      <c r="F41" s="124">
        <f>IF(Checks!$Z$21="","","Evidence: "&amp;Checks!$Z$21)&amp;IF(Checks!$AA$21="","",IF(Checks!$Z$21="","",CHAR(10))&amp;"CA: "&amp;Checks!$AA$21)</f>
        <v/>
      </c>
      <c r="G41" s="124">
        <f>IF(ISNUMBER(Checks!$AD$21),TEXT(Checks!$AD$21,"DD-MMM-YY HH:MM")&amp;" "&amp;Checks!$P$21,"")&amp;IF(Checks!$AE$21="","",CHAR(10)&amp;Checks!$AE$21)</f>
        <v/>
      </c>
      <c r="H41" s="125">
        <f>IF(Checks!$AH$21="","",Checks!$AH$21)</f>
        <v/>
      </c>
    </row>
    <row r="42" ht="114" customHeight="1">
      <c r="A42" s="124">
        <f>Checks!$A$22&amp;CHAR(10)&amp;IF(Checks!$I$22="","",Checks!$I$22&amp;": ")&amp;Checks!$J$22</f>
        <v/>
      </c>
      <c r="B42" s="124">
        <f>Checks!$K$22&amp;IF(Checks!$O$22="","",IF(Checks!$K$22="","",CHAR(10))&amp;"Note: "&amp;Checks!$O$22)</f>
        <v/>
      </c>
      <c r="C42" s="124">
        <f>Checks!$N$22&amp;CHAR(10)&amp;IF(ISNUMBER(Checks!$R$22),TEXT(Checks!$R$22,"DD-MMM-YY HH:MM"),"")&amp;" "&amp;Checks!$P$22</f>
        <v/>
      </c>
      <c r="D42" s="124">
        <f>IF(Checks!$U$22="","",Checks!$U$22)&amp;IF(Checks!$AB$22="","",CHAR(10)&amp;"CA: "&amp;Checks!$AB$22)</f>
        <v/>
      </c>
      <c r="E42" s="124">
        <f>IF(Checks!$V$22="","",Checks!$V$22)&amp;IF(Checks!$AC$22="","",IF(Checks!$V$22="","",CHAR(10))&amp;"N/A just.: "&amp;Checks!$AC$22)&amp;IF(Checks!$W$22="","",CHAR(10)&amp;"Batch: "&amp;Checks!$W$22)&amp;IF(AND(Checks!$X$22="",Checks!$Y$22=""),"",CHAR(10)&amp;"Exp: "&amp;Checks!$X$22&amp;"  /  Act: "&amp;Checks!$Y$22)</f>
        <v/>
      </c>
      <c r="F42" s="124">
        <f>IF(Checks!$Z$22="","","Evidence: "&amp;Checks!$Z$22)&amp;IF(Checks!$AA$22="","",IF(Checks!$Z$22="","",CHAR(10))&amp;"CA: "&amp;Checks!$AA$22)</f>
        <v/>
      </c>
      <c r="G42" s="124">
        <f>IF(ISNUMBER(Checks!$AD$22),TEXT(Checks!$AD$22,"DD-MMM-YY HH:MM")&amp;" "&amp;Checks!$P$22,"")&amp;IF(Checks!$AE$22="","",CHAR(10)&amp;Checks!$AE$22)</f>
        <v/>
      </c>
      <c r="H42" s="125">
        <f>IF(Checks!$AH$22="","",Checks!$AH$22)</f>
        <v/>
      </c>
    </row>
    <row r="43" ht="92" customHeight="1">
      <c r="A43" s="124">
        <f>Checks!$A$23&amp;CHAR(10)&amp;IF(Checks!$I$23="","",Checks!$I$23&amp;": ")&amp;Checks!$J$23</f>
        <v/>
      </c>
      <c r="B43" s="124">
        <f>Checks!$K$23&amp;IF(Checks!$O$23="","",IF(Checks!$K$23="","",CHAR(10))&amp;"Note: "&amp;Checks!$O$23)</f>
        <v/>
      </c>
      <c r="C43" s="124">
        <f>Checks!$N$23&amp;CHAR(10)&amp;IF(ISNUMBER(Checks!$R$23),TEXT(Checks!$R$23,"DD-MMM-YY HH:MM"),"")&amp;" "&amp;Checks!$P$23</f>
        <v/>
      </c>
      <c r="D43" s="124">
        <f>IF(Checks!$U$23="","",Checks!$U$23)&amp;IF(Checks!$AB$23="","",CHAR(10)&amp;"CA: "&amp;Checks!$AB$23)</f>
        <v/>
      </c>
      <c r="E43" s="124">
        <f>IF(Checks!$V$23="","",Checks!$V$23)&amp;IF(Checks!$AC$23="","",IF(Checks!$V$23="","",CHAR(10))&amp;"N/A just.: "&amp;Checks!$AC$23)&amp;IF(Checks!$W$23="","",CHAR(10)&amp;"Batch: "&amp;Checks!$W$23)&amp;IF(AND(Checks!$X$23="",Checks!$Y$23=""),"",CHAR(10)&amp;"Exp: "&amp;Checks!$X$23&amp;"  /  Act: "&amp;Checks!$Y$23)</f>
        <v/>
      </c>
      <c r="F43" s="124">
        <f>IF(Checks!$Z$23="","","Evidence: "&amp;Checks!$Z$23)&amp;IF(Checks!$AA$23="","",IF(Checks!$Z$23="","",CHAR(10))&amp;"CA: "&amp;Checks!$AA$23)</f>
        <v/>
      </c>
      <c r="G43" s="124">
        <f>IF(ISNUMBER(Checks!$AD$23),TEXT(Checks!$AD$23,"DD-MMM-YY HH:MM")&amp;" "&amp;Checks!$P$23,"")&amp;IF(Checks!$AE$23="","",CHAR(10)&amp;Checks!$AE$23)</f>
        <v/>
      </c>
      <c r="H43" s="125">
        <f>IF(Checks!$AH$23="","",Checks!$AH$23)</f>
        <v/>
      </c>
    </row>
    <row r="44" ht="224" customHeight="1">
      <c r="A44" s="124">
        <f>Checks!$A$24&amp;CHAR(10)&amp;IF(Checks!$I$24="","",Checks!$I$24&amp;": ")&amp;Checks!$J$24</f>
        <v/>
      </c>
      <c r="B44" s="124">
        <f>SUBSTITUTE(Checks!$K$24&amp;IF(Checks!$O$24="","",IF(Checks!$K$24="","",CHAR(10))&amp;"Note: "&amp;Checks!$O$24),"SEAT LINEN!","Ref: SEAT LINEN!")</f>
        <v/>
      </c>
      <c r="C44" s="124">
        <f>Checks!$N$24&amp;CHAR(10)&amp;IF(ISNUMBER(Checks!$R$24),TEXT(Checks!$R$24,"DD-MMM-YY HH:MM"),"")&amp;" "&amp;Checks!$P$24</f>
        <v/>
      </c>
      <c r="D44" s="124">
        <f>IF(Checks!$U$24="","",Checks!$U$24)&amp;IF(Checks!$AB$24="","",CHAR(10)&amp;"CA: "&amp;Checks!$AB$24)</f>
        <v/>
      </c>
      <c r="E44" s="124">
        <f>IF(Checks!$V$24="","",Checks!$V$24)&amp;IF(Checks!$AC$24="","",IF(Checks!$V$24="","",CHAR(10))&amp;"N/A just.: "&amp;Checks!$AC$24)&amp;IF(Checks!$W$24="","",CHAR(10)&amp;"Batch: "&amp;Checks!$W$24)&amp;IF(AND(Checks!$X$24="",Checks!$Y$24=""),"",CHAR(10)&amp;"Exp: "&amp;Checks!$X$24&amp;"  /  Act: "&amp;Checks!$Y$24)</f>
        <v/>
      </c>
      <c r="F44" s="124">
        <f>IF(Checks!$Z$24="","","Evidence: "&amp;Checks!$Z$24)&amp;IF(Checks!$AA$24="","",IF(Checks!$Z$24="","",CHAR(10))&amp;"CA: "&amp;Checks!$AA$24)</f>
        <v/>
      </c>
      <c r="G44" s="124">
        <f>IF(ISNUMBER(Checks!$AD$24),TEXT(Checks!$AD$24,"DD-MMM-YY HH:MM")&amp;" "&amp;Checks!$P$24,"")&amp;IF(Checks!$AE$24="","",CHAR(10)&amp;Checks!$AE$24)</f>
        <v/>
      </c>
      <c r="H44" s="125">
        <f>IF(Checks!$AH$24="","",Checks!$AH$24)</f>
        <v/>
      </c>
    </row>
    <row r="45" ht="26" customHeight="1">
      <c r="A45" s="123">
        <f>"UPLIFT — Physical uplift – on-board confirmation before departure  |  Due "&amp;"STD "&amp;IF(ISNUMBER(Flights!$I$5),TEXT(Flights!$I$5,"DD-MMM-YY HH:MM"),"")&amp;" "&amp;Flights!$G$5&amp;" (departure stn)"&amp;" (rows with another due show their own)  |  Complete "&amp;IF(ISNUMBER(Flights!$AM$5),TEXT(Flights!$AM$5,"0%"),Flights!$AM$5)&amp;"  |  5 lines"</f>
        <v/>
      </c>
      <c r="B45" s="97" t="n"/>
      <c r="C45" s="97" t="n"/>
      <c r="D45" s="97" t="n"/>
      <c r="E45" s="97" t="n"/>
      <c r="F45" s="97" t="n"/>
      <c r="G45" s="97" t="n"/>
      <c r="H45" s="98" t="n"/>
    </row>
    <row r="46" ht="81" customHeight="1">
      <c r="A46" s="124">
        <f>Checks!$A$25&amp;CHAR(10)&amp;IF(Checks!$I$25="","",Checks!$I$25&amp;": ")&amp;Checks!$J$25</f>
        <v/>
      </c>
      <c r="B46" s="124">
        <f>Checks!$K$25&amp;IF(Checks!$O$25="","",IF(Checks!$K$25="","",CHAR(10))&amp;"Note: "&amp;Checks!$O$25)</f>
        <v/>
      </c>
      <c r="C46" s="124">
        <f>Checks!$N$25&amp;CHAR(10)&amp;IF(ISNUMBER(Checks!$R$25),TEXT(Checks!$R$25,"DD-MMM-YY HH:MM"),"")&amp;" "&amp;Checks!$P$25</f>
        <v/>
      </c>
      <c r="D46" s="124">
        <f>IF(Checks!$U$25="","",Checks!$U$25)&amp;IF(Checks!$AB$25="","",CHAR(10)&amp;"CA: "&amp;Checks!$AB$25)</f>
        <v/>
      </c>
      <c r="E46" s="124">
        <f>IF(Checks!$V$25="","",Checks!$V$25)&amp;IF(Checks!$AC$25="","",IF(Checks!$V$25="","",CHAR(10))&amp;"N/A just.: "&amp;Checks!$AC$25)&amp;IF(Checks!$W$25="","",CHAR(10)&amp;"Batch: "&amp;Checks!$W$25)&amp;IF(AND(Checks!$X$25="",Checks!$Y$25=""),"",CHAR(10)&amp;"Exp: "&amp;Checks!$X$25&amp;"  /  Act: "&amp;Checks!$Y$25)</f>
        <v/>
      </c>
      <c r="F46" s="124">
        <f>IF(Checks!$Z$25="","","Evidence: "&amp;Checks!$Z$25)&amp;IF(Checks!$AA$25="","",IF(Checks!$Z$25="","",CHAR(10))&amp;"CA: "&amp;Checks!$AA$25)</f>
        <v/>
      </c>
      <c r="G46" s="124">
        <f>IF(ISNUMBER(Checks!$AD$25),TEXT(Checks!$AD$25,"DD-MMM-YY HH:MM")&amp;" "&amp;Checks!$P$25,"")&amp;IF(Checks!$AE$25="","",CHAR(10)&amp;Checks!$AE$25)</f>
        <v/>
      </c>
      <c r="H46" s="125">
        <f>IF(Checks!$AH$25="","",Checks!$AH$25)</f>
        <v/>
      </c>
    </row>
    <row r="47" ht="81" customHeight="1">
      <c r="A47" s="124">
        <f>Checks!$A$26&amp;CHAR(10)&amp;IF(Checks!$I$26="","",Checks!$I$26&amp;": ")&amp;Checks!$J$26</f>
        <v/>
      </c>
      <c r="B47" s="124">
        <f>Checks!$K$26&amp;IF(Checks!$O$26="","",IF(Checks!$K$26="","",CHAR(10))&amp;"Note: "&amp;Checks!$O$26)</f>
        <v/>
      </c>
      <c r="C47" s="124">
        <f>Checks!$N$26&amp;CHAR(10)&amp;IF(ISNUMBER(Checks!$R$26),TEXT(Checks!$R$26,"DD-MMM-YY HH:MM"),"")&amp;" "&amp;Checks!$P$26</f>
        <v/>
      </c>
      <c r="D47" s="124">
        <f>IF(Checks!$U$26="","",Checks!$U$26)&amp;IF(Checks!$AB$26="","",CHAR(10)&amp;"CA: "&amp;Checks!$AB$26)</f>
        <v/>
      </c>
      <c r="E47" s="124">
        <f>IF(Checks!$V$26="","",Checks!$V$26)&amp;IF(Checks!$AC$26="","",IF(Checks!$V$26="","",CHAR(10))&amp;"N/A just.: "&amp;Checks!$AC$26)&amp;IF(Checks!$W$26="","",CHAR(10)&amp;"Batch: "&amp;Checks!$W$26)&amp;IF(AND(Checks!$X$26="",Checks!$Y$26=""),"",CHAR(10)&amp;"Exp: "&amp;Checks!$X$26&amp;"  /  Act: "&amp;Checks!$Y$26)</f>
        <v/>
      </c>
      <c r="F47" s="124">
        <f>IF(Checks!$Z$26="","","Evidence: "&amp;Checks!$Z$26)&amp;IF(Checks!$AA$26="","",IF(Checks!$Z$26="","",CHAR(10))&amp;"CA: "&amp;Checks!$AA$26)</f>
        <v/>
      </c>
      <c r="G47" s="124">
        <f>IF(ISNUMBER(Checks!$AD$26),TEXT(Checks!$AD$26,"DD-MMM-YY HH:MM")&amp;" "&amp;Checks!$P$26,"")&amp;IF(Checks!$AE$26="","",CHAR(10)&amp;Checks!$AE$26)</f>
        <v/>
      </c>
      <c r="H47" s="125">
        <f>IF(Checks!$AH$26="","",Checks!$AH$26)</f>
        <v/>
      </c>
    </row>
    <row r="48" ht="114" customHeight="1">
      <c r="A48" s="124">
        <f>Checks!$A$27&amp;CHAR(10)&amp;IF(Checks!$I$27="","",Checks!$I$27&amp;": ")&amp;Checks!$J$27</f>
        <v/>
      </c>
      <c r="B48" s="124">
        <f>Checks!$K$27&amp;IF(Checks!$O$27="","",IF(Checks!$K$27="","",CHAR(10))&amp;"Note: "&amp;Checks!$O$27)</f>
        <v/>
      </c>
      <c r="C48" s="124">
        <f>Checks!$N$27&amp;CHAR(10)&amp;IF(ISNUMBER(Checks!$R$27),TEXT(Checks!$R$27,"DD-MMM-YY HH:MM"),"")&amp;" "&amp;Checks!$P$27</f>
        <v/>
      </c>
      <c r="D48" s="124">
        <f>IF(Checks!$U$27="","",Checks!$U$27)&amp;IF(Checks!$AB$27="","",CHAR(10)&amp;"CA: "&amp;Checks!$AB$27)</f>
        <v/>
      </c>
      <c r="E48" s="124">
        <f>IF(Checks!$V$27="","",Checks!$V$27)&amp;IF(Checks!$AC$27="","",IF(Checks!$V$27="","",CHAR(10))&amp;"N/A just.: "&amp;Checks!$AC$27)&amp;IF(Checks!$W$27="","",CHAR(10)&amp;"Batch: "&amp;Checks!$W$27)&amp;IF(AND(Checks!$X$27="",Checks!$Y$27=""),"",CHAR(10)&amp;"Exp: "&amp;Checks!$X$27&amp;"  /  Act: "&amp;Checks!$Y$27)</f>
        <v/>
      </c>
      <c r="F48" s="124">
        <f>IF(Checks!$Z$27="","","Evidence: "&amp;Checks!$Z$27)&amp;IF(Checks!$AA$27="","",IF(Checks!$Z$27="","",CHAR(10))&amp;"CA: "&amp;Checks!$AA$27)</f>
        <v/>
      </c>
      <c r="G48" s="124">
        <f>IF(ISNUMBER(Checks!$AD$27),TEXT(Checks!$AD$27,"DD-MMM-YY HH:MM")&amp;" "&amp;Checks!$P$27,"")&amp;IF(Checks!$AE$27="","",CHAR(10)&amp;Checks!$AE$27)</f>
        <v/>
      </c>
      <c r="H48" s="125">
        <f>IF(Checks!$AH$27="","",Checks!$AH$27)</f>
        <v/>
      </c>
    </row>
    <row r="49" ht="81" customHeight="1">
      <c r="A49" s="124">
        <f>Checks!$A$28&amp;CHAR(10)&amp;IF(Checks!$I$28="","",Checks!$I$28&amp;": ")&amp;Checks!$J$28</f>
        <v/>
      </c>
      <c r="B49" s="124">
        <f>Checks!$K$28&amp;IF(Checks!$O$28="","",IF(Checks!$K$28="","",CHAR(10))&amp;"Note: "&amp;Checks!$O$28)</f>
        <v/>
      </c>
      <c r="C49" s="124">
        <f>Checks!$N$28&amp;CHAR(10)&amp;IF(ISNUMBER(Checks!$R$28),TEXT(Checks!$R$28,"DD-MMM-YY HH:MM"),"")&amp;" "&amp;Checks!$P$28</f>
        <v/>
      </c>
      <c r="D49" s="124">
        <f>IF(Checks!$U$28="","",Checks!$U$28)&amp;IF(Checks!$AB$28="","",CHAR(10)&amp;"CA: "&amp;Checks!$AB$28)</f>
        <v/>
      </c>
      <c r="E49" s="124">
        <f>IF(Checks!$V$28="","",Checks!$V$28)&amp;IF(Checks!$AC$28="","",IF(Checks!$V$28="","",CHAR(10))&amp;"N/A just.: "&amp;Checks!$AC$28)&amp;IF(Checks!$W$28="","",CHAR(10)&amp;"Batch: "&amp;Checks!$W$28)&amp;IF(AND(Checks!$X$28="",Checks!$Y$28=""),"",CHAR(10)&amp;"Exp: "&amp;Checks!$X$28&amp;"  /  Act: "&amp;Checks!$Y$28)</f>
        <v/>
      </c>
      <c r="F49" s="124">
        <f>IF(Checks!$Z$28="","","Evidence: "&amp;Checks!$Z$28)&amp;IF(Checks!$AA$28="","",IF(Checks!$Z$28="","",CHAR(10))&amp;"CA: "&amp;Checks!$AA$28)</f>
        <v/>
      </c>
      <c r="G49" s="124">
        <f>IF(ISNUMBER(Checks!$AD$28),TEXT(Checks!$AD$28,"DD-MMM-YY HH:MM")&amp;" "&amp;Checks!$P$28,"")&amp;IF(Checks!$AE$28="","",CHAR(10)&amp;Checks!$AE$28)</f>
        <v/>
      </c>
      <c r="H49" s="125">
        <f>IF(Checks!$AH$28="","",Checks!$AH$28)</f>
        <v/>
      </c>
    </row>
    <row r="50" ht="158" customHeight="1">
      <c r="A50" s="124">
        <f>Checks!$A$29&amp;CHAR(10)&amp;IF(Checks!$I$29="","",Checks!$I$29&amp;": ")&amp;Checks!$J$29</f>
        <v/>
      </c>
      <c r="B50" s="124">
        <f>SUBSTITUTE(Checks!$K$29&amp;IF(Checks!$O$29="","",IF(Checks!$K$29="","",CHAR(10))&amp;"Note: "&amp;Checks!$O$29),"SEAT LINEN!","Ref: SEAT LINEN!")</f>
        <v/>
      </c>
      <c r="C50" s="124">
        <f>Checks!$N$29&amp;CHAR(10)&amp;IF(ISNUMBER(Checks!$R$29),TEXT(Checks!$R$29,"DD-MMM-YY HH:MM"),"")&amp;" "&amp;Checks!$P$29</f>
        <v/>
      </c>
      <c r="D50" s="124">
        <f>IF(Checks!$U$29="","",Checks!$U$29)&amp;IF(Checks!$AB$29="","",CHAR(10)&amp;"CA: "&amp;Checks!$AB$29)</f>
        <v/>
      </c>
      <c r="E50" s="124">
        <f>IF(Checks!$V$29="","",Checks!$V$29)&amp;IF(Checks!$AC$29="","",IF(Checks!$V$29="","",CHAR(10))&amp;"N/A just.: "&amp;Checks!$AC$29)&amp;IF(Checks!$W$29="","",CHAR(10)&amp;"Batch: "&amp;Checks!$W$29)&amp;IF(AND(Checks!$X$29="",Checks!$Y$29=""),"",CHAR(10)&amp;"Exp: "&amp;Checks!$X$29&amp;"  /  Act: "&amp;Checks!$Y$29)</f>
        <v/>
      </c>
      <c r="F50" s="124">
        <f>IF(Checks!$Z$29="","","Evidence: "&amp;Checks!$Z$29)&amp;IF(Checks!$AA$29="","",IF(Checks!$Z$29="","",CHAR(10))&amp;"CA: "&amp;Checks!$AA$29)</f>
        <v/>
      </c>
      <c r="G50" s="124">
        <f>IF(ISNUMBER(Checks!$AD$29),TEXT(Checks!$AD$29,"DD-MMM-YY HH:MM")&amp;" "&amp;Checks!$P$29,"")&amp;IF(Checks!$AE$29="","",CHAR(10)&amp;Checks!$AE$29)</f>
        <v/>
      </c>
      <c r="H50" s="125">
        <f>IF(Checks!$AH$29="","",Checks!$AH$29)</f>
        <v/>
      </c>
    </row>
    <row r="52" ht="24" customHeight="1">
      <c r="A52" s="126" t="inlineStr">
        <is>
          <t>EXCEL INSERTION AREA (on-screen only, not printed) – A1 Galley Loading Diagram: Insert &gt; Picture here. On paper: staple behind this sheet as page A1.</t>
        </is>
      </c>
      <c r="B52" s="127" t="n"/>
      <c r="C52" s="127" t="n"/>
      <c r="D52" s="128" t="n"/>
      <c r="E52" s="126" t="inlineStr">
        <is>
          <t>EXCEL INSERTION AREA (on-screen only, not printed) – A2 Menu Checklist: Insert &gt; Picture here. On paper: staple behind this sheet as page A2.</t>
        </is>
      </c>
      <c r="F52" s="127" t="n"/>
      <c r="G52" s="127" t="n"/>
      <c r="H52" s="128" t="n"/>
    </row>
    <row r="53" ht="22" customHeight="1">
      <c r="A53" s="129" t="n"/>
      <c r="B53" s="130" t="n"/>
      <c r="C53" s="130" t="n"/>
      <c r="D53" s="131" t="n"/>
      <c r="E53" s="129"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3" t="n"/>
      <c r="B62" s="134" t="n"/>
      <c r="C62" s="134" t="n"/>
      <c r="D62" s="135" t="n"/>
      <c r="E62" s="133" t="n"/>
      <c r="F62" s="134" t="n"/>
      <c r="G62" s="134" t="n"/>
      <c r="H62" s="135" t="n"/>
    </row>
  </sheetData>
  <mergeCells count="46">
    <mergeCell ref="B11:D11"/>
    <mergeCell ref="A53:D62"/>
    <mergeCell ref="F18:H18"/>
    <mergeCell ref="C15:D15"/>
    <mergeCell ref="E53:H62"/>
    <mergeCell ref="B8:D8"/>
    <mergeCell ref="G11:H11"/>
    <mergeCell ref="A52:D52"/>
    <mergeCell ref="C14:D14"/>
    <mergeCell ref="F2:H2"/>
    <mergeCell ref="F17:H17"/>
    <mergeCell ref="A1:H1"/>
    <mergeCell ref="G8:H8"/>
    <mergeCell ref="A45:H45"/>
    <mergeCell ref="B10:D10"/>
    <mergeCell ref="G7:H7"/>
    <mergeCell ref="F13:H13"/>
    <mergeCell ref="B16:E16"/>
    <mergeCell ref="B9:D9"/>
    <mergeCell ref="C17:E17"/>
    <mergeCell ref="G6:H6"/>
    <mergeCell ref="A18:B18"/>
    <mergeCell ref="B6:D6"/>
    <mergeCell ref="G3:H3"/>
    <mergeCell ref="E52:H52"/>
    <mergeCell ref="B5:D5"/>
    <mergeCell ref="F14:H14"/>
    <mergeCell ref="C19:E19"/>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0">
    <cfRule type="expression" priority="16" dxfId="20">
      <formula>LEFT($H23,3)="N/A"</formula>
    </cfRule>
  </conditionalFormatting>
  <conditionalFormatting sqref="D23:D5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F01 MH0001 08-Oct-26 LHR-KUL Class EY</oddHeader>
    <oddFooter>&amp;L&amp;"Arial,Bold"&amp;8 F01 MH0001 08-Oct-26 LHR-KUL Class EY&amp;C&amp;"Arial"&amp;8 Printed: ____________________&amp;R&amp;"Arial"&amp;8 F01  Page &amp;P of &amp;N</oddFooter>
    <evenHeader/>
    <evenFooter/>
    <firstHeader/>
    <firstFooter/>
  </headerFooter>
  <rowBreaks count="2" manualBreakCount="2">
    <brk id="20" min="0" max="16383" man="1"/>
    <brk id="33" min="0" max="16383" man="1"/>
  </rowBreaks>
</worksheet>
</file>

<file path=xl/worksheets/sheet10.xml><?xml version="1.0" encoding="utf-8"?>
<worksheet xmlns="http://schemas.openxmlformats.org/spreadsheetml/2006/main">
  <sheetPr>
    <tabColor rgb="001F3864"/>
    <outlinePr summaryBelow="1" summaryRight="1"/>
    <pageSetUpPr fitToPage="1"/>
  </sheetPr>
  <dimension ref="A1:H76"/>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F02  "&amp;Flights!$F$6&amp;"  "&amp;TEXT(Flights!$D$6,"DD-MMM-YY")&amp;" ("&amp;Flights!$E$6&amp;")  "&amp;Flights!$G$6&amp;" → "&amp;Flights!$H$6&amp;"  |  Class "&amp;Flights!$K$6</f>
        <v/>
      </c>
      <c r="B1" s="97" t="n"/>
      <c r="C1" s="97" t="n"/>
      <c r="D1" s="97" t="n"/>
      <c r="E1" s="97" t="n"/>
      <c r="F1" s="97" t="n"/>
      <c r="G1" s="97" t="n"/>
      <c r="H1" s="98" t="n"/>
    </row>
    <row r="2" ht="13" customHeight="1">
      <c r="A2" s="99" t="inlineStr">
        <is>
          <t>Flight / date</t>
        </is>
      </c>
      <c r="B2" s="100">
        <f>Flights!$F$6&amp;"   "&amp;TEXT(Flights!$D$6,"DD-MMM-YY")&amp;" ("&amp;Flights!$E$6&amp;")"</f>
        <v/>
      </c>
      <c r="C2" s="97" t="n"/>
      <c r="D2" s="98" t="n"/>
      <c r="E2" s="101" t="inlineStr">
        <is>
          <t>READINESS STATUS</t>
        </is>
      </c>
      <c r="F2" s="102">
        <f>Flights!$AT$6</f>
        <v/>
      </c>
      <c r="G2" s="97" t="n"/>
      <c r="H2" s="98" t="n"/>
    </row>
    <row r="3" ht="24" customHeight="1">
      <c r="A3" s="99" t="inlineStr">
        <is>
          <t>Sector / class / seat</t>
        </is>
      </c>
      <c r="B3" s="100">
        <f>Flights!$G$6&amp;" → "&amp;Flights!$H$6&amp;"   Class "&amp;Flights!$K$6&amp;"   Seat "&amp;Flights!$O$6</f>
        <v/>
      </c>
      <c r="C3" s="97" t="n"/>
      <c r="D3" s="98" t="n"/>
      <c r="E3" s="101" t="inlineStr">
        <is>
          <t>Checkpoint</t>
        </is>
      </c>
      <c r="F3" s="101" t="inlineStr">
        <is>
          <t>Due (local)</t>
        </is>
      </c>
      <c r="G3" s="103" t="inlineStr">
        <is>
          <t>% complete</t>
        </is>
      </c>
      <c r="H3" s="98" t="n"/>
    </row>
    <row r="4" ht="13" customHeight="1">
      <c r="A4" s="99" t="inlineStr">
        <is>
          <t>STD → STA (local)</t>
        </is>
      </c>
      <c r="B4" s="100">
        <f>IF(ISNUMBER(Flights!$I$6),TEXT(Flights!$I$6,"DD-MMM-YY HH:MM"),"")&amp;" "&amp;Flights!$G$6&amp;"  →  "&amp;IF(ISNUMBER(Flights!$J$6),TEXT(Flights!$J$6,"DD-MMM-YY HH:MM"),"")&amp;" "&amp;Flights!$H$6</f>
        <v/>
      </c>
      <c r="C4" s="97" t="n"/>
      <c r="D4" s="98" t="n"/>
      <c r="E4" s="99" t="inlineStr">
        <is>
          <t>T-7D – 7 days before departure</t>
        </is>
      </c>
      <c r="F4" s="104">
        <f>IF(ISNUMBER(Flights!$AG$6),TEXT(Flights!$AG$6,"DD-MMM-YY HH:MM"),"")&amp;" "&amp;Flights!$V$6</f>
        <v/>
      </c>
      <c r="G4" s="105">
        <f>Flights!$AJ$6</f>
        <v/>
      </c>
      <c r="H4" s="98" t="n"/>
    </row>
    <row r="5" ht="24" customHeight="1">
      <c r="A5" s="99" t="inlineStr">
        <is>
          <t>Fleet / aircraft ref</t>
        </is>
      </c>
      <c r="B5" s="100">
        <f>Flights!$L$6&amp;" – "&amp;Flights!$M$6</f>
        <v/>
      </c>
      <c r="C5" s="97" t="n"/>
      <c r="D5" s="98" t="n"/>
      <c r="E5" s="99" t="inlineStr">
        <is>
          <t>T-24H – production batch sensory</t>
        </is>
      </c>
      <c r="F5" s="104">
        <f>IF(ISNUMBER(Flights!$AH$6),TEXT(Flights!$AH$6,"DD-MMM-YY HH:MM"),"")&amp;" "&amp;Flights!$V$6</f>
        <v/>
      </c>
      <c r="G5" s="105">
        <f>Flights!$AK$6</f>
        <v/>
      </c>
      <c r="H5" s="98" t="n"/>
    </row>
    <row r="6" ht="13" customHeight="1">
      <c r="A6" s="99" t="inlineStr">
        <is>
          <t>Tail / Reg</t>
        </is>
      </c>
      <c r="B6" s="100">
        <f>IF(TRIM(Flights!$N$6)="","__________________",Flights!$N$6)</f>
        <v/>
      </c>
      <c r="C6" s="97" t="n"/>
      <c r="D6" s="98" t="n"/>
      <c r="E6" s="99" t="inlineStr">
        <is>
          <t>T-12H PREP – caterer prep only</t>
        </is>
      </c>
      <c r="F6" s="104">
        <f>IF(ISNUMBER(Flights!$AI$6),TEXT(Flights!$AI$6,"DD-MMM-YY HH:MM"),"")&amp;" "&amp;Flights!$V$6&amp;IF(Flights!$AI$6=Flights!$AH$6,"  (= T-24H due)","")</f>
        <v/>
      </c>
      <c r="G6" s="105">
        <f>Flights!$AL$6</f>
        <v/>
      </c>
      <c r="H6" s="98" t="n"/>
    </row>
    <row r="7" ht="13" customHeight="1">
      <c r="A7" s="99" t="inlineStr">
        <is>
          <t>Service type</t>
        </is>
      </c>
      <c r="B7" s="100">
        <f>Flights!$T$6</f>
        <v/>
      </c>
      <c r="C7" s="97" t="n"/>
      <c r="D7" s="98" t="n"/>
      <c r="E7" s="99" t="inlineStr">
        <is>
          <t>UPLIFT – on-board confirmation</t>
        </is>
      </c>
      <c r="F7" s="104">
        <f>"STD "&amp;IF(ISNUMBER(Flights!$I$6),TEXT(Flights!$I$6,"DD-MMM-YY HH:MM"),"")&amp;" "&amp;Flights!$G$6&amp;" (dep stn)"</f>
        <v/>
      </c>
      <c r="G7" s="105">
        <f>Flights!$AM$6</f>
        <v/>
      </c>
      <c r="H7" s="98" t="n"/>
    </row>
    <row r="8" ht="13" customHeight="1">
      <c r="A8" s="99" t="inlineStr">
        <is>
          <t>Meal uplift stn</t>
        </is>
      </c>
      <c r="B8" s="100">
        <f>Flights!$V$6&amp;"   (reference uplift stns: "&amp;Flights!$U$6&amp;")"</f>
        <v/>
      </c>
      <c r="C8" s="97" t="n"/>
      <c r="D8" s="98" t="n"/>
      <c r="E8" s="99" t="inlineStr">
        <is>
          <t>OVERALL (all checkpoints)</t>
        </is>
      </c>
      <c r="F8" s="106" t="inlineStr">
        <is>
          <t>–</t>
        </is>
      </c>
      <c r="G8" s="105">
        <f>Flights!$AN$6</f>
        <v/>
      </c>
      <c r="H8" s="98" t="n"/>
    </row>
    <row r="9" ht="13" customHeight="1">
      <c r="A9" s="99" t="inlineStr">
        <is>
          <t>Transit / remark</t>
        </is>
      </c>
      <c r="B9" s="100">
        <f>TRIM(Flights!$P$6&amp;"  "&amp;Flights!$Q$6)</f>
        <v/>
      </c>
      <c r="C9" s="97" t="n"/>
      <c r="D9" s="98" t="n"/>
      <c r="E9" s="99" t="inlineStr">
        <is>
          <t>Overdue / discrep. / invalid</t>
        </is>
      </c>
      <c r="F9" s="107">
        <f>Flights!$AP$6</f>
        <v/>
      </c>
      <c r="G9" s="107">
        <f>Flights!$AQ$6</f>
        <v/>
      </c>
      <c r="H9" s="107">
        <f>Flights!$AU$6</f>
        <v/>
      </c>
    </row>
    <row r="10" ht="13" customHeight="1">
      <c r="A10" s="99" t="inlineStr">
        <is>
          <t>Caterer</t>
        </is>
      </c>
      <c r="B10" s="100">
        <f>IF(TRIM(Flights!$X$6)="","__________________",Flights!$X$6)</f>
        <v/>
      </c>
      <c r="C10" s="97" t="n"/>
      <c r="D10" s="98" t="n"/>
      <c r="E10" s="99" t="inlineStr">
        <is>
          <t>Open reqd / clarif. / docs out</t>
        </is>
      </c>
      <c r="F10" s="107">
        <f>Flights!$AO$6</f>
        <v/>
      </c>
      <c r="G10" s="107">
        <f>Flights!$AS$6</f>
        <v/>
      </c>
      <c r="H10" s="107">
        <f>Flights!$AR$6</f>
        <v/>
      </c>
    </row>
    <row r="11" ht="13" customHeight="1">
      <c r="A11" s="99" t="inlineStr">
        <is>
          <t>Flight PIC</t>
        </is>
      </c>
      <c r="B11" s="100">
        <f>IF(TRIM(Flights!$Y$6)="","__________________",Flights!$Y$6)</f>
        <v/>
      </c>
      <c r="C11" s="97" t="n"/>
      <c r="D11" s="98" t="n"/>
      <c r="E11" s="99" t="inlineStr">
        <is>
          <t>Done / in scope | as of UTC</t>
        </is>
      </c>
      <c r="F11" s="107">
        <f>Flights!$AV$6&amp;" / "&amp;Flights!$AW$6</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IF(Documents!$F$6="","",Documents!$F$6)</f>
        <v/>
      </c>
      <c r="C14" s="115">
        <f>IF(Documents!$G$6="","",Documents!$G$6)&amp;IF(ISNUMBER(Documents!$H$6),"  "&amp;TEXT(Documents!$H$6,"DD-MMM-YY"),"")</f>
        <v/>
      </c>
      <c r="D14" s="98" t="n"/>
      <c r="E14" s="116">
        <f>IF(Documents!$J$6="OUTSTANDING","OUTSTANDING – attach before T-7D (due "&amp;IF(ISNUMBER(Flights!$AG$6),TEXT(Flights!$AG$6,"DD-MMM-YY HH:MM"),"")&amp;" "&amp;Flights!$V$6&amp;")",IF(Documents!$J$6="","Status not recorded",Documents!$J$6))</f>
        <v/>
      </c>
      <c r="F14" s="117">
        <f>"Staple behind this sheet as page A1."&amp;IF(Documents!$I$6="",""," Location: "&amp;Documents!$I$6)</f>
        <v/>
      </c>
      <c r="G14" s="97" t="n"/>
      <c r="H14" s="98" t="n"/>
    </row>
    <row r="15" ht="25" customHeight="1">
      <c r="A15" s="99" t="inlineStr">
        <is>
          <t>A2  Menu Checklist</t>
        </is>
      </c>
      <c r="B15" s="114">
        <f>IF(Documents!$K$6="","",Documents!$K$6)</f>
        <v/>
      </c>
      <c r="C15" s="115">
        <f>IF(Documents!$L$6="","",Documents!$L$6)&amp;IF(ISNUMBER(Documents!$M$6),"  "&amp;TEXT(Documents!$M$6,"DD-MMM-YY"),"")</f>
        <v/>
      </c>
      <c r="D15" s="98" t="n"/>
      <c r="E15" s="116">
        <f>IF(Documents!$O$6="OUTSTANDING","OUTSTANDING – attach before T-7D (due "&amp;IF(ISNUMBER(Flights!$AG$6),TEXT(Flights!$AG$6,"DD-MMM-YY HH:MM"),"")&amp;" "&amp;Flights!$V$6&amp;")",IF(Documents!$O$6="","Status not recorded",Documents!$O$6))</f>
        <v/>
      </c>
      <c r="F15" s="117">
        <f>"Staple behind this sheet as page A2."&amp;IF(Documents!$N$6="",""," Location: "&amp;Documents!$N$6)</f>
        <v/>
      </c>
      <c r="G15" s="97" t="n"/>
      <c r="H15" s="98" t="n"/>
    </row>
    <row r="16" ht="33" customHeight="1">
      <c r="A16" s="99" t="inlineStr">
        <is>
          <t>Document notes</t>
        </is>
      </c>
      <c r="B16" s="118">
        <f>IF(Documents!$Q$6="","",Documents!$Q$6)</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"&amp;IF(TRIM(Flights!$Y$6)="","__________________",Flights!$Y$6)</f>
        <v/>
      </c>
      <c r="B18" s="98" t="n"/>
      <c r="C18" s="100">
        <f>"Name: __________________"</f>
        <v/>
      </c>
      <c r="D18" s="97" t="n"/>
      <c r="E18" s="98" t="n"/>
      <c r="F18" s="100">
        <f>"Name: __________________"&amp;"   Station: "&amp;Flights!$V$6</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"&amp;IF(ISNUMBER(Flights!$AG$6),TEXT(Flights!$AG$6,"DD-MMM-YY HH:MM"),"")&amp;" "&amp;Flights!$V$6&amp;" (meal uplift stn)"&amp;" (rows with another due show their own)  |  Complete "&amp;IF(ISNUMBER(Flights!$AJ$6),TEXT(Flights!$AJ$6,"0%"),Flights!$AJ$6)&amp;"  |  9 lines"</f>
        <v/>
      </c>
      <c r="B22" s="97" t="n"/>
      <c r="C22" s="97" t="n"/>
      <c r="D22" s="97" t="n"/>
      <c r="E22" s="97" t="n"/>
      <c r="F22" s="97" t="n"/>
      <c r="G22" s="97" t="n"/>
      <c r="H22" s="98" t="n"/>
    </row>
    <row r="23" ht="81" customHeight="1">
      <c r="A23" s="124">
        <f>Checks!$A$30&amp;CHAR(10)&amp;IF(Checks!$I$30="","",Checks!$I$30&amp;": ")&amp;Checks!$J$30</f>
        <v/>
      </c>
      <c r="B23" s="124">
        <f>Checks!$K$30&amp;IF(Checks!$O$30="","",IF(Checks!$K$30="","",CHAR(10))&amp;"Note: "&amp;Checks!$O$30)</f>
        <v/>
      </c>
      <c r="C23" s="124">
        <f>Checks!$N$30&amp;CHAR(10)&amp;IF(ISNUMBER(Checks!$R$30),TEXT(Checks!$R$30,"DD-MMM-YY HH:MM"),"")&amp;" "&amp;Checks!$P$30</f>
        <v/>
      </c>
      <c r="D23" s="124">
        <f>IF(Checks!$U$30="","",Checks!$U$30)&amp;IF(Checks!$AB$30="","",CHAR(10)&amp;"CA: "&amp;Checks!$AB$30)</f>
        <v/>
      </c>
      <c r="E23" s="124">
        <f>IF(Checks!$V$30="","",Checks!$V$30)&amp;IF(Checks!$AC$30="","",IF(Checks!$V$30="","",CHAR(10))&amp;"N/A just.: "&amp;Checks!$AC$30)&amp;IF(Checks!$W$30="","",CHAR(10)&amp;"Batch: "&amp;Checks!$W$30)&amp;IF(AND(Checks!$X$30="",Checks!$Y$30=""),"",CHAR(10)&amp;"Exp: "&amp;Checks!$X$30&amp;"  /  Act: "&amp;Checks!$Y$30)</f>
        <v/>
      </c>
      <c r="F23" s="124">
        <f>IF(Checks!$Z$30="","","Evidence: "&amp;Checks!$Z$30)&amp;IF(Checks!$AA$30="","",IF(Checks!$Z$30="","",CHAR(10))&amp;"CA: "&amp;Checks!$AA$30)</f>
        <v/>
      </c>
      <c r="G23" s="124">
        <f>IF(ISNUMBER(Checks!$AD$30),TEXT(Checks!$AD$30,"DD-MMM-YY HH:MM")&amp;" "&amp;Checks!$P$30,"")&amp;IF(Checks!$AE$30="","",CHAR(10)&amp;Checks!$AE$30)</f>
        <v/>
      </c>
      <c r="H23" s="125">
        <f>IF(Checks!$AH$30="","",Checks!$AH$30)</f>
        <v/>
      </c>
    </row>
    <row r="24" ht="81" customHeight="1">
      <c r="A24" s="124">
        <f>Checks!$A$31&amp;CHAR(10)&amp;IF(Checks!$I$31="","",Checks!$I$31&amp;": ")&amp;Checks!$J$31</f>
        <v/>
      </c>
      <c r="B24" s="124">
        <f>Checks!$K$31&amp;IF(Checks!$O$31="","",IF(Checks!$K$31="","",CHAR(10))&amp;"Note: "&amp;Checks!$O$31)</f>
        <v/>
      </c>
      <c r="C24" s="124">
        <f>Checks!$N$31&amp;CHAR(10)&amp;IF(ISNUMBER(Checks!$R$31),TEXT(Checks!$R$31,"DD-MMM-YY HH:MM"),"")&amp;" "&amp;Checks!$P$31</f>
        <v/>
      </c>
      <c r="D24" s="124">
        <f>IF(Checks!$U$31="","",Checks!$U$31)&amp;IF(Checks!$AB$31="","",CHAR(10)&amp;"CA: "&amp;Checks!$AB$31)</f>
        <v/>
      </c>
      <c r="E24" s="124">
        <f>IF(Checks!$V$31="","",Checks!$V$31)&amp;IF(Checks!$AC$31="","",IF(Checks!$V$31="","",CHAR(10))&amp;"N/A just.: "&amp;Checks!$AC$31)&amp;IF(Checks!$W$31="","",CHAR(10)&amp;"Batch: "&amp;Checks!$W$31)&amp;IF(AND(Checks!$X$31="",Checks!$Y$31=""),"",CHAR(10)&amp;"Exp: "&amp;Checks!$X$31&amp;"  /  Act: "&amp;Checks!$Y$31)</f>
        <v/>
      </c>
      <c r="F24" s="124">
        <f>IF(Checks!$Z$31="","","Evidence: "&amp;Checks!$Z$31)&amp;IF(Checks!$AA$31="","",IF(Checks!$Z$31="","",CHAR(10))&amp;"CA: "&amp;Checks!$AA$31)</f>
        <v/>
      </c>
      <c r="G24" s="124">
        <f>IF(ISNUMBER(Checks!$AD$31),TEXT(Checks!$AD$31,"DD-MMM-YY HH:MM")&amp;" "&amp;Checks!$P$31,"")&amp;IF(Checks!$AE$31="","",CHAR(10)&amp;Checks!$AE$31)</f>
        <v/>
      </c>
      <c r="H24" s="125">
        <f>IF(Checks!$AH$31="","",Checks!$AH$31)</f>
        <v/>
      </c>
    </row>
    <row r="25" ht="92" customHeight="1">
      <c r="A25" s="124">
        <f>Checks!$A$32&amp;CHAR(10)&amp;IF(Checks!$I$32="","",Checks!$I$32&amp;": ")&amp;Checks!$J$32</f>
        <v/>
      </c>
      <c r="B25" s="124">
        <f>Checks!$K$32&amp;IF(Checks!$O$32="","",IF(Checks!$K$32="","",CHAR(10))&amp;"Note: "&amp;Checks!$O$32)</f>
        <v/>
      </c>
      <c r="C25" s="124">
        <f>Checks!$N$32&amp;CHAR(10)&amp;IF(ISNUMBER(Checks!$R$32),TEXT(Checks!$R$32,"DD-MMM-YY HH:MM"),"")&amp;" "&amp;Checks!$P$32</f>
        <v/>
      </c>
      <c r="D25" s="124">
        <f>IF(Checks!$U$32="","",Checks!$U$32)&amp;IF(Checks!$AB$32="","",CHAR(10)&amp;"CA: "&amp;Checks!$AB$32)</f>
        <v/>
      </c>
      <c r="E25" s="124">
        <f>IF(Checks!$V$32="","",Checks!$V$32)&amp;IF(Checks!$AC$32="","",IF(Checks!$V$32="","",CHAR(10))&amp;"N/A just.: "&amp;Checks!$AC$32)&amp;IF(Checks!$W$32="","",CHAR(10)&amp;"Batch: "&amp;Checks!$W$32)&amp;IF(AND(Checks!$X$32="",Checks!$Y$32=""),"",CHAR(10)&amp;"Exp: "&amp;Checks!$X$32&amp;"  /  Act: "&amp;Checks!$Y$32)</f>
        <v/>
      </c>
      <c r="F25" s="124">
        <f>IF(Checks!$Z$32="","","Evidence: "&amp;Checks!$Z$32)&amp;IF(Checks!$AA$32="","",IF(Checks!$Z$32="","",CHAR(10))&amp;"CA: "&amp;Checks!$AA$32)</f>
        <v/>
      </c>
      <c r="G25" s="124">
        <f>IF(ISNUMBER(Checks!$AD$32),TEXT(Checks!$AD$32,"DD-MMM-YY HH:MM")&amp;" "&amp;Checks!$P$32,"")&amp;IF(Checks!$AE$32="","",CHAR(10)&amp;Checks!$AE$32)</f>
        <v/>
      </c>
      <c r="H25" s="125">
        <f>IF(Checks!$AH$32="","",Checks!$AH$32)</f>
        <v/>
      </c>
    </row>
    <row r="26" ht="81" customHeight="1">
      <c r="A26" s="124">
        <f>Checks!$A$33&amp;CHAR(10)&amp;IF(Checks!$I$33="","",Checks!$I$33&amp;": ")&amp;Checks!$J$33</f>
        <v/>
      </c>
      <c r="B26" s="124">
        <f>Checks!$K$33&amp;IF(Checks!$O$33="","",IF(Checks!$K$33="","",CHAR(10))&amp;"Note: "&amp;Checks!$O$33)</f>
        <v/>
      </c>
      <c r="C26" s="124">
        <f>Checks!$N$33&amp;CHAR(10)&amp;IF(ISNUMBER(Checks!$R$33),TEXT(Checks!$R$33,"DD-MMM-YY HH:MM"),"")&amp;" "&amp;Checks!$P$33</f>
        <v/>
      </c>
      <c r="D26" s="124">
        <f>IF(Checks!$U$33="","",Checks!$U$33)&amp;IF(Checks!$AB$33="","",CHAR(10)&amp;"CA: "&amp;Checks!$AB$33)</f>
        <v/>
      </c>
      <c r="E26" s="124">
        <f>IF(Checks!$V$33="","",Checks!$V$33)&amp;IF(Checks!$AC$33="","",IF(Checks!$V$33="","",CHAR(10))&amp;"N/A just.: "&amp;Checks!$AC$33)&amp;IF(Checks!$W$33="","",CHAR(10)&amp;"Batch: "&amp;Checks!$W$33)&amp;IF(AND(Checks!$X$33="",Checks!$Y$33=""),"",CHAR(10)&amp;"Exp: "&amp;Checks!$X$33&amp;"  /  Act: "&amp;Checks!$Y$33)</f>
        <v/>
      </c>
      <c r="F26" s="124">
        <f>IF(Checks!$Z$33="","","Evidence: "&amp;Checks!$Z$33)&amp;IF(Checks!$AA$33="","",IF(Checks!$Z$33="","",CHAR(10))&amp;"CA: "&amp;Checks!$AA$33)</f>
        <v/>
      </c>
      <c r="G26" s="124">
        <f>IF(ISNUMBER(Checks!$AD$33),TEXT(Checks!$AD$33,"DD-MMM-YY HH:MM")&amp;" "&amp;Checks!$P$33,"")&amp;IF(Checks!$AE$33="","",CHAR(10)&amp;Checks!$AE$33)</f>
        <v/>
      </c>
      <c r="H26" s="125">
        <f>IF(Checks!$AH$33="","",Checks!$AH$33)</f>
        <v/>
      </c>
    </row>
    <row r="27" ht="81" customHeight="1">
      <c r="A27" s="124">
        <f>Checks!$A$34&amp;CHAR(10)&amp;IF(Checks!$I$34="","",Checks!$I$34&amp;": ")&amp;Checks!$J$34</f>
        <v/>
      </c>
      <c r="B27" s="124">
        <f>Checks!$K$34&amp;IF(Checks!$O$34="","",IF(Checks!$K$34="","",CHAR(10))&amp;"Note: "&amp;Checks!$O$34)</f>
        <v/>
      </c>
      <c r="C27" s="124">
        <f>Checks!$N$34&amp;CHAR(10)&amp;IF(ISNUMBER(Checks!$R$34),TEXT(Checks!$R$34,"DD-MMM-YY HH:MM"),"")&amp;" "&amp;Checks!$P$34</f>
        <v/>
      </c>
      <c r="D27" s="124">
        <f>IF(Checks!$U$34="","",Checks!$U$34)&amp;IF(Checks!$AB$34="","",CHAR(10)&amp;"CA: "&amp;Checks!$AB$34)</f>
        <v/>
      </c>
      <c r="E27" s="124">
        <f>IF(Checks!$V$34="","",Checks!$V$34)&amp;IF(Checks!$AC$34="","",IF(Checks!$V$34="","",CHAR(10))&amp;"N/A just.: "&amp;Checks!$AC$34)&amp;IF(Checks!$W$34="","",CHAR(10)&amp;"Batch: "&amp;Checks!$W$34)&amp;IF(AND(Checks!$X$34="",Checks!$Y$34=""),"",CHAR(10)&amp;"Exp: "&amp;Checks!$X$34&amp;"  /  Act: "&amp;Checks!$Y$34)</f>
        <v/>
      </c>
      <c r="F27" s="124">
        <f>IF(Checks!$Z$34="","","Evidence: "&amp;Checks!$Z$34)&amp;IF(Checks!$AA$34="","",IF(Checks!$Z$34="","",CHAR(10))&amp;"CA: "&amp;Checks!$AA$34)</f>
        <v/>
      </c>
      <c r="G27" s="124">
        <f>IF(ISNUMBER(Checks!$AD$34),TEXT(Checks!$AD$34,"DD-MMM-YY HH:MM")&amp;" "&amp;Checks!$P$34,"")&amp;IF(Checks!$AE$34="","",CHAR(10)&amp;Checks!$AE$34)</f>
        <v/>
      </c>
      <c r="H27" s="125">
        <f>IF(Checks!$AH$34="","",Checks!$AH$34)</f>
        <v/>
      </c>
    </row>
    <row r="28" ht="81" customHeight="1">
      <c r="A28" s="124">
        <f>Checks!$A$35&amp;CHAR(10)&amp;IF(Checks!$I$35="","",Checks!$I$35&amp;": ")&amp;Checks!$J$35</f>
        <v/>
      </c>
      <c r="B28" s="124">
        <f>Checks!$K$35&amp;IF(Checks!$O$35="","",IF(Checks!$K$35="","",CHAR(10))&amp;"Note: "&amp;Checks!$O$35)</f>
        <v/>
      </c>
      <c r="C28" s="124">
        <f>Checks!$N$35&amp;CHAR(10)&amp;IF(ISNUMBER(Checks!$R$35),TEXT(Checks!$R$35,"DD-MMM-YY HH:MM"),"")&amp;" "&amp;Checks!$P$35</f>
        <v/>
      </c>
      <c r="D28" s="124">
        <f>IF(Checks!$U$35="","",Checks!$U$35)&amp;IF(Checks!$AB$35="","",CHAR(10)&amp;"CA: "&amp;Checks!$AB$35)</f>
        <v/>
      </c>
      <c r="E28" s="124">
        <f>IF(Checks!$V$35="","",Checks!$V$35)&amp;IF(Checks!$AC$35="","",IF(Checks!$V$35="","",CHAR(10))&amp;"N/A just.: "&amp;Checks!$AC$35)&amp;IF(Checks!$W$35="","",CHAR(10)&amp;"Batch: "&amp;Checks!$W$35)&amp;IF(AND(Checks!$X$35="",Checks!$Y$35=""),"",CHAR(10)&amp;"Exp: "&amp;Checks!$X$35&amp;"  /  Act: "&amp;Checks!$Y$35)</f>
        <v/>
      </c>
      <c r="F28" s="124">
        <f>IF(Checks!$Z$35="","","Evidence: "&amp;Checks!$Z$35)&amp;IF(Checks!$AA$35="","",IF(Checks!$Z$35="","",CHAR(10))&amp;"CA: "&amp;Checks!$AA$35)</f>
        <v/>
      </c>
      <c r="G28" s="124">
        <f>IF(ISNUMBER(Checks!$AD$35),TEXT(Checks!$AD$35,"DD-MMM-YY HH:MM")&amp;" "&amp;Checks!$P$35,"")&amp;IF(Checks!$AE$35="","",CHAR(10)&amp;Checks!$AE$35)</f>
        <v/>
      </c>
      <c r="H28" s="125">
        <f>IF(Checks!$AH$35="","",Checks!$AH$35)</f>
        <v/>
      </c>
    </row>
    <row r="29" ht="81" customHeight="1">
      <c r="A29" s="124">
        <f>Checks!$A$36&amp;CHAR(10)&amp;IF(Checks!$I$36="","",Checks!$I$36&amp;": ")&amp;Checks!$J$36</f>
        <v/>
      </c>
      <c r="B29" s="124">
        <f>Checks!$K$36&amp;IF(Checks!$O$36="","",IF(Checks!$K$36="","",CHAR(10))&amp;"Note: "&amp;Checks!$O$36)</f>
        <v/>
      </c>
      <c r="C29" s="124">
        <f>Checks!$N$36&amp;CHAR(10)&amp;IF(ISNUMBER(Checks!$R$36),TEXT(Checks!$R$36,"DD-MMM-YY HH:MM"),"")&amp;" "&amp;Checks!$P$36</f>
        <v/>
      </c>
      <c r="D29" s="124">
        <f>IF(Checks!$U$36="","",Checks!$U$36)&amp;IF(Checks!$AB$36="","",CHAR(10)&amp;"CA: "&amp;Checks!$AB$36)</f>
        <v/>
      </c>
      <c r="E29" s="124">
        <f>IF(Checks!$V$36="","",Checks!$V$36)&amp;IF(Checks!$AC$36="","",IF(Checks!$V$36="","",CHAR(10))&amp;"N/A just.: "&amp;Checks!$AC$36)&amp;IF(Checks!$W$36="","",CHAR(10)&amp;"Batch: "&amp;Checks!$W$36)&amp;IF(AND(Checks!$X$36="",Checks!$Y$36=""),"",CHAR(10)&amp;"Exp: "&amp;Checks!$X$36&amp;"  /  Act: "&amp;Checks!$Y$36)</f>
        <v/>
      </c>
      <c r="F29" s="124">
        <f>IF(Checks!$Z$36="","","Evidence: "&amp;Checks!$Z$36)&amp;IF(Checks!$AA$36="","",IF(Checks!$Z$36="","",CHAR(10))&amp;"CA: "&amp;Checks!$AA$36)</f>
        <v/>
      </c>
      <c r="G29" s="124">
        <f>IF(ISNUMBER(Checks!$AD$36),TEXT(Checks!$AD$36,"DD-MMM-YY HH:MM")&amp;" "&amp;Checks!$P$36,"")&amp;IF(Checks!$AE$36="","",CHAR(10)&amp;Checks!$AE$36)</f>
        <v/>
      </c>
      <c r="H29" s="125">
        <f>IF(Checks!$AH$36="","",Checks!$AH$36)</f>
        <v/>
      </c>
    </row>
    <row r="30" ht="81" customHeight="1">
      <c r="A30" s="124">
        <f>Checks!$A$37&amp;CHAR(10)&amp;IF(Checks!$I$37="","",Checks!$I$37&amp;": ")&amp;Checks!$J$37</f>
        <v/>
      </c>
      <c r="B30" s="124">
        <f>Checks!$K$37&amp;IF(Checks!$O$37="","",IF(Checks!$K$37="","",CHAR(10))&amp;"Note: "&amp;Checks!$O$37)</f>
        <v/>
      </c>
      <c r="C30" s="124">
        <f>Checks!$N$37&amp;CHAR(10)&amp;IF(ISNUMBER(Checks!$R$37),TEXT(Checks!$R$37,"DD-MMM-YY HH:MM"),"")&amp;" "&amp;Checks!$P$37</f>
        <v/>
      </c>
      <c r="D30" s="124">
        <f>IF(Checks!$U$37="","",Checks!$U$37)&amp;IF(Checks!$AB$37="","",CHAR(10)&amp;"CA: "&amp;Checks!$AB$37)</f>
        <v/>
      </c>
      <c r="E30" s="124">
        <f>IF(Checks!$V$37="","",Checks!$V$37)&amp;IF(Checks!$AC$37="","",IF(Checks!$V$37="","",CHAR(10))&amp;"N/A just.: "&amp;Checks!$AC$37)&amp;IF(Checks!$W$37="","",CHAR(10)&amp;"Batch: "&amp;Checks!$W$37)&amp;IF(AND(Checks!$X$37="",Checks!$Y$37=""),"",CHAR(10)&amp;"Exp: "&amp;Checks!$X$37&amp;"  /  Act: "&amp;Checks!$Y$37)</f>
        <v/>
      </c>
      <c r="F30" s="124">
        <f>IF(Checks!$Z$37="","","Evidence: "&amp;Checks!$Z$37)&amp;IF(Checks!$AA$37="","",IF(Checks!$Z$37="","",CHAR(10))&amp;"CA: "&amp;Checks!$AA$37)</f>
        <v/>
      </c>
      <c r="G30" s="124">
        <f>IF(ISNUMBER(Checks!$AD$37),TEXT(Checks!$AD$37,"DD-MMM-YY HH:MM")&amp;" "&amp;Checks!$P$37,"")&amp;IF(Checks!$AE$37="","",CHAR(10)&amp;Checks!$AE$37)</f>
        <v/>
      </c>
      <c r="H30" s="125">
        <f>IF(Checks!$AH$37="","",Checks!$AH$37)</f>
        <v/>
      </c>
    </row>
    <row r="31" ht="81" customHeight="1">
      <c r="A31" s="124">
        <f>Checks!$A$38&amp;CHAR(10)&amp;IF(Checks!$I$38="","",Checks!$I$38&amp;": ")&amp;Checks!$J$38</f>
        <v/>
      </c>
      <c r="B31" s="124">
        <f>Checks!$K$38&amp;IF(Checks!$O$38="","",IF(Checks!$K$38="","",CHAR(10))&amp;"Note: "&amp;Checks!$O$38)</f>
        <v/>
      </c>
      <c r="C31" s="124">
        <f>Checks!$N$38&amp;CHAR(10)&amp;IF(ISNUMBER(Checks!$R$38),TEXT(Checks!$R$38,"DD-MMM-YY HH:MM"),"")&amp;" "&amp;Checks!$P$38</f>
        <v/>
      </c>
      <c r="D31" s="124">
        <f>IF(Checks!$U$38="","",Checks!$U$38)&amp;IF(Checks!$AB$38="","",CHAR(10)&amp;"CA: "&amp;Checks!$AB$38)</f>
        <v/>
      </c>
      <c r="E31" s="124">
        <f>IF(Checks!$V$38="","",Checks!$V$38)&amp;IF(Checks!$AC$38="","",IF(Checks!$V$38="","",CHAR(10))&amp;"N/A just.: "&amp;Checks!$AC$38)&amp;IF(Checks!$W$38="","",CHAR(10)&amp;"Batch: "&amp;Checks!$W$38)&amp;IF(AND(Checks!$X$38="",Checks!$Y$38=""),"",CHAR(10)&amp;"Exp: "&amp;Checks!$X$38&amp;"  /  Act: "&amp;Checks!$Y$38)</f>
        <v/>
      </c>
      <c r="F31" s="124">
        <f>IF(Checks!$Z$38="","","Evidence: "&amp;Checks!$Z$38)&amp;IF(Checks!$AA$38="","",IF(Checks!$Z$38="","",CHAR(10))&amp;"CA: "&amp;Checks!$AA$38)</f>
        <v/>
      </c>
      <c r="G31" s="124">
        <f>IF(ISNUMBER(Checks!$AD$38),TEXT(Checks!$AD$38,"DD-MMM-YY HH:MM")&amp;" "&amp;Checks!$P$38,"")&amp;IF(Checks!$AE$38="","",CHAR(10)&amp;Checks!$AE$38)</f>
        <v/>
      </c>
      <c r="H31" s="125">
        <f>IF(Checks!$AH$38="","",Checks!$AH$38)</f>
        <v/>
      </c>
    </row>
    <row r="32" ht="26" customHeight="1">
      <c r="A32" s="123">
        <f>"T-24H — Production batch sensory  |  Due "&amp;IF(ISNUMBER(Flights!$AH$6),TEXT(Flights!$AH$6,"DD-MMM-YY HH:MM"),"")&amp;" "&amp;Flights!$V$6&amp;" (meal uplift stn)"&amp;" (rows with another due show their own)  |  Complete "&amp;IF(ISNUMBER(Flights!$AK$6),TEXT(Flights!$AK$6,"0%"),Flights!$AK$6)&amp;"  |  1 lines"</f>
        <v/>
      </c>
      <c r="B32" s="97" t="n"/>
      <c r="C32" s="97" t="n"/>
      <c r="D32" s="97" t="n"/>
      <c r="E32" s="97" t="n"/>
      <c r="F32" s="97" t="n"/>
      <c r="G32" s="97" t="n"/>
      <c r="H32" s="98" t="n"/>
    </row>
    <row r="33" ht="81" customHeight="1">
      <c r="A33" s="124">
        <f>Checks!$A$39&amp;CHAR(10)&amp;IF(Checks!$I$39="","",Checks!$I$39&amp;": ")&amp;Checks!$J$39</f>
        <v/>
      </c>
      <c r="B33" s="124">
        <f>Checks!$K$39&amp;IF(Checks!$O$39="","",IF(Checks!$K$39="","",CHAR(10))&amp;"Note: "&amp;Checks!$O$39)</f>
        <v/>
      </c>
      <c r="C33" s="124">
        <f>Checks!$N$39&amp;CHAR(10)&amp;IF(ISNUMBER(Checks!$R$39),TEXT(Checks!$R$39,"DD-MMM-YY HH:MM"),"")&amp;" "&amp;Checks!$P$39</f>
        <v/>
      </c>
      <c r="D33" s="124">
        <f>IF(Checks!$U$39="","",Checks!$U$39)&amp;IF(Checks!$AB$39="","",CHAR(10)&amp;"CA: "&amp;Checks!$AB$39)</f>
        <v/>
      </c>
      <c r="E33" s="124">
        <f>IF(Checks!$V$39="","",Checks!$V$39)&amp;IF(Checks!$AC$39="","",IF(Checks!$V$39="","",CHAR(10))&amp;"N/A just.: "&amp;Checks!$AC$39)&amp;IF(Checks!$W$39="","",CHAR(10)&amp;"Batch: "&amp;Checks!$W$39)&amp;IF(AND(Checks!$X$39="",Checks!$Y$39=""),"",CHAR(10)&amp;"Exp: "&amp;Checks!$X$39&amp;"  /  Act: "&amp;Checks!$Y$39)</f>
        <v/>
      </c>
      <c r="F33" s="124">
        <f>IF(Checks!$Z$39="","","Evidence: "&amp;Checks!$Z$39)&amp;IF(Checks!$AA$39="","",IF(Checks!$Z$39="","",CHAR(10))&amp;"CA: "&amp;Checks!$AA$39)</f>
        <v/>
      </c>
      <c r="G33" s="124">
        <f>IF(ISNUMBER(Checks!$AD$39),TEXT(Checks!$AD$39,"DD-MMM-YY HH:MM")&amp;" "&amp;Checks!$P$39,"")&amp;IF(Checks!$AE$39="","",CHAR(10)&amp;Checks!$AE$39)</f>
        <v/>
      </c>
      <c r="H33" s="125">
        <f>IF(Checks!$AH$39="","",Checks!$AH$39)</f>
        <v/>
      </c>
    </row>
    <row r="34" ht="26" customHeight="1">
      <c r="A34" s="123">
        <f>"T-12H PREP — Preparation check at caterer (does NOT confirm loading)  |  Due "&amp;IF(ISNUMBER(Flights!$AI$6),TEXT(Flights!$AI$6,"DD-MMM-YY HH:MM"),"")&amp;" "&amp;Flights!$V$6&amp;" (meal uplift stn)"&amp;" (rows with another due show their own)  |  Complete "&amp;IF(ISNUMBER(Flights!$AL$6),TEXT(Flights!$AL$6,"0%"),Flights!$AL$6)&amp;"  |  17 lines"</f>
        <v/>
      </c>
      <c r="B34" s="97" t="n"/>
      <c r="C34" s="97" t="n"/>
      <c r="D34" s="97" t="n"/>
      <c r="E34" s="97" t="n"/>
      <c r="F34" s="97" t="n"/>
      <c r="G34" s="97" t="n"/>
      <c r="H34" s="98" t="n"/>
    </row>
    <row r="35" ht="81" customHeight="1">
      <c r="A35" s="124">
        <f>Checks!$A$40&amp;CHAR(10)&amp;IF(Checks!$I$40="","",Checks!$I$40&amp;": ")&amp;Checks!$J$40</f>
        <v/>
      </c>
      <c r="B35" s="124">
        <f>Checks!$K$40&amp;IF(Checks!$O$40="","",IF(Checks!$K$40="","",CHAR(10))&amp;"Note: "&amp;Checks!$O$40)</f>
        <v/>
      </c>
      <c r="C35" s="124">
        <f>Checks!$N$40&amp;CHAR(10)&amp;IF(ISNUMBER(Checks!$R$40),TEXT(Checks!$R$40,"DD-MMM-YY HH:MM"),"")&amp;" "&amp;Checks!$P$40</f>
        <v/>
      </c>
      <c r="D35" s="124">
        <f>IF(Checks!$U$40="","",Checks!$U$40)&amp;IF(Checks!$AB$40="","",CHAR(10)&amp;"CA: "&amp;Checks!$AB$40)</f>
        <v/>
      </c>
      <c r="E35" s="124">
        <f>IF(Checks!$V$40="","",Checks!$V$40)&amp;IF(Checks!$AC$40="","",IF(Checks!$V$40="","",CHAR(10))&amp;"N/A just.: "&amp;Checks!$AC$40)&amp;IF(Checks!$W$40="","",CHAR(10)&amp;"Batch: "&amp;Checks!$W$40)&amp;IF(AND(Checks!$X$40="",Checks!$Y$40=""),"",CHAR(10)&amp;"Exp: "&amp;Checks!$X$40&amp;"  /  Act: "&amp;Checks!$Y$40)</f>
        <v/>
      </c>
      <c r="F35" s="124">
        <f>IF(Checks!$Z$40="","","Evidence: "&amp;Checks!$Z$40)&amp;IF(Checks!$AA$40="","",IF(Checks!$Z$40="","",CHAR(10))&amp;"CA: "&amp;Checks!$AA$40)</f>
        <v/>
      </c>
      <c r="G35" s="124">
        <f>IF(ISNUMBER(Checks!$AD$40),TEXT(Checks!$AD$40,"DD-MMM-YY HH:MM")&amp;" "&amp;Checks!$P$40,"")&amp;IF(Checks!$AE$40="","",CHAR(10)&amp;Checks!$AE$40)</f>
        <v/>
      </c>
      <c r="H35" s="125">
        <f>IF(Checks!$AH$40="","",Checks!$AH$40)</f>
        <v/>
      </c>
    </row>
    <row r="36" ht="81" customHeight="1">
      <c r="A36" s="124">
        <f>Checks!$A$41&amp;CHAR(10)&amp;IF(Checks!$I$41="","",Checks!$I$41&amp;": ")&amp;Checks!$J$41</f>
        <v/>
      </c>
      <c r="B36" s="124">
        <f>Checks!$K$41&amp;IF(Checks!$O$41="","",IF(Checks!$K$41="","",CHAR(10))&amp;"Note: "&amp;Checks!$O$41)</f>
        <v/>
      </c>
      <c r="C36" s="124">
        <f>Checks!$N$41&amp;CHAR(10)&amp;IF(ISNUMBER(Checks!$R$41),TEXT(Checks!$R$41,"DD-MMM-YY HH:MM"),"")&amp;" "&amp;Checks!$P$41</f>
        <v/>
      </c>
      <c r="D36" s="124">
        <f>IF(Checks!$U$41="","",Checks!$U$41)&amp;IF(Checks!$AB$41="","",CHAR(10)&amp;"CA: "&amp;Checks!$AB$41)</f>
        <v/>
      </c>
      <c r="E36" s="124">
        <f>IF(Checks!$V$41="","",Checks!$V$41)&amp;IF(Checks!$AC$41="","",IF(Checks!$V$41="","",CHAR(10))&amp;"N/A just.: "&amp;Checks!$AC$41)&amp;IF(Checks!$W$41="","",CHAR(10)&amp;"Batch: "&amp;Checks!$W$41)&amp;IF(AND(Checks!$X$41="",Checks!$Y$41=""),"",CHAR(10)&amp;"Exp: "&amp;Checks!$X$41&amp;"  /  Act: "&amp;Checks!$Y$41)</f>
        <v/>
      </c>
      <c r="F36" s="124">
        <f>IF(Checks!$Z$41="","","Evidence: "&amp;Checks!$Z$41)&amp;IF(Checks!$AA$41="","",IF(Checks!$Z$41="","",CHAR(10))&amp;"CA: "&amp;Checks!$AA$41)</f>
        <v/>
      </c>
      <c r="G36" s="124">
        <f>IF(ISNUMBER(Checks!$AD$41),TEXT(Checks!$AD$41,"DD-MMM-YY HH:MM")&amp;" "&amp;Checks!$P$41,"")&amp;IF(Checks!$AE$41="","",CHAR(10)&amp;Checks!$AE$41)</f>
        <v/>
      </c>
      <c r="H36" s="125">
        <f>IF(Checks!$AH$41="","",Checks!$AH$41)</f>
        <v/>
      </c>
    </row>
    <row r="37" ht="81" customHeight="1">
      <c r="A37" s="124">
        <f>Checks!$A$42&amp;CHAR(10)&amp;IF(Checks!$I$42="","",Checks!$I$42&amp;": ")&amp;Checks!$J$42</f>
        <v/>
      </c>
      <c r="B37" s="124">
        <f>Checks!$K$42&amp;IF(Checks!$O$42="","",IF(Checks!$K$42="","",CHAR(10))&amp;"Note: "&amp;Checks!$O$42)</f>
        <v/>
      </c>
      <c r="C37" s="124">
        <f>Checks!$N$42&amp;CHAR(10)&amp;IF(ISNUMBER(Checks!$R$42),TEXT(Checks!$R$42,"DD-MMM-YY HH:MM"),"")&amp;" "&amp;Checks!$P$42</f>
        <v/>
      </c>
      <c r="D37" s="124">
        <f>IF(Checks!$U$42="","",Checks!$U$42)&amp;IF(Checks!$AB$42="","",CHAR(10)&amp;"CA: "&amp;Checks!$AB$42)</f>
        <v/>
      </c>
      <c r="E37" s="124">
        <f>IF(Checks!$V$42="","",Checks!$V$42)&amp;IF(Checks!$AC$42="","",IF(Checks!$V$42="","",CHAR(10))&amp;"N/A just.: "&amp;Checks!$AC$42)&amp;IF(Checks!$W$42="","",CHAR(10)&amp;"Batch: "&amp;Checks!$W$42)&amp;IF(AND(Checks!$X$42="",Checks!$Y$42=""),"",CHAR(10)&amp;"Exp: "&amp;Checks!$X$42&amp;"  /  Act: "&amp;Checks!$Y$42)</f>
        <v/>
      </c>
      <c r="F37" s="124">
        <f>IF(Checks!$Z$42="","","Evidence: "&amp;Checks!$Z$42)&amp;IF(Checks!$AA$42="","",IF(Checks!$Z$42="","",CHAR(10))&amp;"CA: "&amp;Checks!$AA$42)</f>
        <v/>
      </c>
      <c r="G37" s="124">
        <f>IF(ISNUMBER(Checks!$AD$42),TEXT(Checks!$AD$42,"DD-MMM-YY HH:MM")&amp;" "&amp;Checks!$P$42,"")&amp;IF(Checks!$AE$42="","",CHAR(10)&amp;Checks!$AE$42)</f>
        <v/>
      </c>
      <c r="H37" s="125">
        <f>IF(Checks!$AH$42="","",Checks!$AH$42)</f>
        <v/>
      </c>
    </row>
    <row r="38" ht="81" customHeight="1">
      <c r="A38" s="124">
        <f>Checks!$A$43&amp;CHAR(10)&amp;IF(Checks!$I$43="","",Checks!$I$43&amp;": ")&amp;Checks!$J$43</f>
        <v/>
      </c>
      <c r="B38" s="124">
        <f>Checks!$K$43&amp;IF(Checks!$O$43="","",IF(Checks!$K$43="","",CHAR(10))&amp;"Note: "&amp;Checks!$O$43)</f>
        <v/>
      </c>
      <c r="C38" s="124">
        <f>Checks!$N$43&amp;CHAR(10)&amp;IF(ISNUMBER(Checks!$R$43),TEXT(Checks!$R$43,"DD-MMM-YY HH:MM"),"")&amp;" "&amp;Checks!$P$43</f>
        <v/>
      </c>
      <c r="D38" s="124">
        <f>IF(Checks!$U$43="","",Checks!$U$43)&amp;IF(Checks!$AB$43="","",CHAR(10)&amp;"CA: "&amp;Checks!$AB$43)</f>
        <v/>
      </c>
      <c r="E38" s="124">
        <f>IF(Checks!$V$43="","",Checks!$V$43)&amp;IF(Checks!$AC$43="","",IF(Checks!$V$43="","",CHAR(10))&amp;"N/A just.: "&amp;Checks!$AC$43)&amp;IF(Checks!$W$43="","",CHAR(10)&amp;"Batch: "&amp;Checks!$W$43)&amp;IF(AND(Checks!$X$43="",Checks!$Y$43=""),"",CHAR(10)&amp;"Exp: "&amp;Checks!$X$43&amp;"  /  Act: "&amp;Checks!$Y$43)</f>
        <v/>
      </c>
      <c r="F38" s="124">
        <f>IF(Checks!$Z$43="","","Evidence: "&amp;Checks!$Z$43)&amp;IF(Checks!$AA$43="","",IF(Checks!$Z$43="","",CHAR(10))&amp;"CA: "&amp;Checks!$AA$43)</f>
        <v/>
      </c>
      <c r="G38" s="124">
        <f>IF(ISNUMBER(Checks!$AD$43),TEXT(Checks!$AD$43,"DD-MMM-YY HH:MM")&amp;" "&amp;Checks!$P$43,"")&amp;IF(Checks!$AE$43="","",CHAR(10)&amp;Checks!$AE$43)</f>
        <v/>
      </c>
      <c r="H38" s="125">
        <f>IF(Checks!$AH$43="","",Checks!$AH$43)</f>
        <v/>
      </c>
    </row>
    <row r="39" ht="81" customHeight="1">
      <c r="A39" s="124">
        <f>Checks!$A$44&amp;CHAR(10)&amp;IF(Checks!$I$44="","",Checks!$I$44&amp;": ")&amp;Checks!$J$44</f>
        <v/>
      </c>
      <c r="B39" s="124">
        <f>Checks!$K$44&amp;IF(Checks!$O$44="","",IF(Checks!$K$44="","",CHAR(10))&amp;"Note: "&amp;Checks!$O$44)</f>
        <v/>
      </c>
      <c r="C39" s="124">
        <f>Checks!$N$44&amp;CHAR(10)&amp;IF(ISNUMBER(Checks!$R$44),TEXT(Checks!$R$44,"DD-MMM-YY HH:MM"),"")&amp;" "&amp;Checks!$P$44</f>
        <v/>
      </c>
      <c r="D39" s="124">
        <f>IF(Checks!$U$44="","",Checks!$U$44)&amp;IF(Checks!$AB$44="","",CHAR(10)&amp;"CA: "&amp;Checks!$AB$44)</f>
        <v/>
      </c>
      <c r="E39" s="124">
        <f>IF(Checks!$V$44="","",Checks!$V$44)&amp;IF(Checks!$AC$44="","",IF(Checks!$V$44="","",CHAR(10))&amp;"N/A just.: "&amp;Checks!$AC$44)&amp;IF(Checks!$W$44="","",CHAR(10)&amp;"Batch: "&amp;Checks!$W$44)&amp;IF(AND(Checks!$X$44="",Checks!$Y$44=""),"",CHAR(10)&amp;"Exp: "&amp;Checks!$X$44&amp;"  /  Act: "&amp;Checks!$Y$44)</f>
        <v/>
      </c>
      <c r="F39" s="124">
        <f>IF(Checks!$Z$44="","","Evidence: "&amp;Checks!$Z$44)&amp;IF(Checks!$AA$44="","",IF(Checks!$Z$44="","",CHAR(10))&amp;"CA: "&amp;Checks!$AA$44)</f>
        <v/>
      </c>
      <c r="G39" s="124">
        <f>IF(ISNUMBER(Checks!$AD$44),TEXT(Checks!$AD$44,"DD-MMM-YY HH:MM")&amp;" "&amp;Checks!$P$44,"")&amp;IF(Checks!$AE$44="","",CHAR(10)&amp;Checks!$AE$44)</f>
        <v/>
      </c>
      <c r="H39" s="125">
        <f>IF(Checks!$AH$44="","",Checks!$AH$44)</f>
        <v/>
      </c>
    </row>
    <row r="40" ht="158" customHeight="1">
      <c r="A40" s="124">
        <f>Checks!$A$45&amp;CHAR(10)&amp;IF(Checks!$I$45="","",Checks!$I$45&amp;": ")&amp;Checks!$J$45</f>
        <v/>
      </c>
      <c r="B40" s="124">
        <f>SUBSTITUTE(Checks!$K$45&amp;IF(Checks!$O$45="","",IF(Checks!$K$45="","",CHAR(10))&amp;"Note: "&amp;Checks!$O$45),"AIRCRAFT TYPE!","Ref: AIRCRAFT TYPE!")</f>
        <v/>
      </c>
      <c r="C40" s="124">
        <f>Checks!$N$45&amp;CHAR(10)&amp;IF(ISNUMBER(Checks!$R$45),TEXT(Checks!$R$45,"DD-MMM-YY HH:MM"),"")&amp;" "&amp;Checks!$P$45</f>
        <v/>
      </c>
      <c r="D40" s="124">
        <f>IF(Checks!$U$45="","",Checks!$U$45)&amp;IF(Checks!$AB$45="","",CHAR(10)&amp;"CA: "&amp;Checks!$AB$45)</f>
        <v/>
      </c>
      <c r="E40" s="124">
        <f>IF(Checks!$V$45="","",Checks!$V$45)&amp;IF(Checks!$AC$45="","",IF(Checks!$V$45="","",CHAR(10))&amp;"N/A just.: "&amp;Checks!$AC$45)&amp;IF(Checks!$W$45="","",CHAR(10)&amp;"Batch: "&amp;Checks!$W$45)&amp;IF(AND(Checks!$X$45="",Checks!$Y$45=""),"",CHAR(10)&amp;"Exp: "&amp;Checks!$X$45&amp;"  /  Act: "&amp;Checks!$Y$45)</f>
        <v/>
      </c>
      <c r="F40" s="124">
        <f>IF(Checks!$Z$45="","","Evidence: "&amp;Checks!$Z$45)&amp;IF(Checks!$AA$45="","",IF(Checks!$Z$45="","",CHAR(10))&amp;"CA: "&amp;Checks!$AA$45)</f>
        <v/>
      </c>
      <c r="G40" s="124">
        <f>IF(ISNUMBER(Checks!$AD$45),TEXT(Checks!$AD$45,"DD-MMM-YY HH:MM")&amp;" "&amp;Checks!$P$45,"")&amp;IF(Checks!$AE$45="","",CHAR(10)&amp;Checks!$AE$45)</f>
        <v/>
      </c>
      <c r="H40" s="125">
        <f>IF(Checks!$AH$45="","",Checks!$AH$45)</f>
        <v/>
      </c>
    </row>
    <row r="41" ht="81" customHeight="1">
      <c r="A41" s="124">
        <f>Checks!$A$46&amp;CHAR(10)&amp;IF(Checks!$I$46="","",Checks!$I$46&amp;": ")&amp;Checks!$J$46</f>
        <v/>
      </c>
      <c r="B41" s="124">
        <f>Checks!$K$46&amp;IF(Checks!$O$46="","",IF(Checks!$K$46="","",CHAR(10))&amp;"Note: "&amp;Checks!$O$46)</f>
        <v/>
      </c>
      <c r="C41" s="124">
        <f>Checks!$N$46&amp;CHAR(10)&amp;IF(ISNUMBER(Checks!$R$46),TEXT(Checks!$R$46,"DD-MMM-YY HH:MM"),"")&amp;" "&amp;Checks!$P$46</f>
        <v/>
      </c>
      <c r="D41" s="124">
        <f>IF(Checks!$U$46="","",Checks!$U$46)&amp;IF(Checks!$AB$46="","",CHAR(10)&amp;"CA: "&amp;Checks!$AB$46)</f>
        <v/>
      </c>
      <c r="E41" s="124">
        <f>IF(Checks!$V$46="","",Checks!$V$46)&amp;IF(Checks!$AC$46="","",IF(Checks!$V$46="","",CHAR(10))&amp;"N/A just.: "&amp;Checks!$AC$46)&amp;IF(Checks!$W$46="","",CHAR(10)&amp;"Batch: "&amp;Checks!$W$46)&amp;IF(AND(Checks!$X$46="",Checks!$Y$46=""),"",CHAR(10)&amp;"Exp: "&amp;Checks!$X$46&amp;"  /  Act: "&amp;Checks!$Y$46)</f>
        <v/>
      </c>
      <c r="F41" s="124">
        <f>IF(Checks!$Z$46="","","Evidence: "&amp;Checks!$Z$46)&amp;IF(Checks!$AA$46="","",IF(Checks!$Z$46="","",CHAR(10))&amp;"CA: "&amp;Checks!$AA$46)</f>
        <v/>
      </c>
      <c r="G41" s="124">
        <f>IF(ISNUMBER(Checks!$AD$46),TEXT(Checks!$AD$46,"DD-MMM-YY HH:MM")&amp;" "&amp;Checks!$P$46,"")&amp;IF(Checks!$AE$46="","",CHAR(10)&amp;Checks!$AE$46)</f>
        <v/>
      </c>
      <c r="H41" s="125">
        <f>IF(Checks!$AH$46="","",Checks!$AH$46)</f>
        <v/>
      </c>
    </row>
    <row r="42" ht="147" customHeight="1">
      <c r="A42" s="124">
        <f>Checks!$A$47&amp;CHAR(10)&amp;IF(Checks!$I$47="","",Checks!$I$47&amp;": ")&amp;Checks!$J$47</f>
        <v/>
      </c>
      <c r="B42" s="124">
        <f>Checks!$K$47&amp;IF(Checks!$O$47="","",IF(Checks!$K$47="","",CHAR(10))&amp;"Note: "&amp;Checks!$O$47)</f>
        <v/>
      </c>
      <c r="C42" s="124">
        <f>Checks!$N$47&amp;CHAR(10)&amp;IF(ISNUMBER(Checks!$R$47),TEXT(Checks!$R$47,"DD-MMM-YY HH:MM"),"")&amp;" "&amp;Checks!$P$47</f>
        <v/>
      </c>
      <c r="D42" s="124">
        <f>IF(Checks!$U$47="","",Checks!$U$47)&amp;IF(Checks!$AB$47="","",CHAR(10)&amp;"CA: "&amp;Checks!$AB$47)</f>
        <v/>
      </c>
      <c r="E42" s="124">
        <f>IF(Checks!$V$47="","",Checks!$V$47)&amp;IF(Checks!$AC$47="","",IF(Checks!$V$47="","",CHAR(10))&amp;"N/A just.: "&amp;Checks!$AC$47)&amp;IF(Checks!$W$47="","",CHAR(10)&amp;"Batch: "&amp;Checks!$W$47)&amp;IF(AND(Checks!$X$47="",Checks!$Y$47=""),"",CHAR(10)&amp;"Exp: "&amp;Checks!$X$47&amp;"  /  Act: "&amp;Checks!$Y$47)</f>
        <v/>
      </c>
      <c r="F42" s="124">
        <f>IF(Checks!$Z$47="","","Evidence: "&amp;Checks!$Z$47)&amp;IF(Checks!$AA$47="","",IF(Checks!$Z$47="","",CHAR(10))&amp;"CA: "&amp;Checks!$AA$47)</f>
        <v/>
      </c>
      <c r="G42" s="124">
        <f>IF(ISNUMBER(Checks!$AD$47),TEXT(Checks!$AD$47,"DD-MMM-YY HH:MM")&amp;" "&amp;Checks!$P$47,"")&amp;IF(Checks!$AE$47="","",CHAR(10)&amp;Checks!$AE$47)</f>
        <v/>
      </c>
      <c r="H42" s="125">
        <f>IF(Checks!$AH$47="","",Checks!$AH$47)</f>
        <v/>
      </c>
    </row>
    <row r="43" ht="92" customHeight="1">
      <c r="A43" s="124">
        <f>Checks!$A$48&amp;CHAR(10)&amp;IF(Checks!$I$48="","",Checks!$I$48&amp;": ")&amp;Checks!$J$48</f>
        <v/>
      </c>
      <c r="B43" s="124">
        <f>Checks!$K$48&amp;IF(Checks!$O$48="","",IF(Checks!$K$48="","",CHAR(10))&amp;"Note: "&amp;Checks!$O$48)</f>
        <v/>
      </c>
      <c r="C43" s="124">
        <f>Checks!$N$48&amp;CHAR(10)&amp;IF(ISNUMBER(Checks!$R$48),TEXT(Checks!$R$48,"DD-MMM-YY HH:MM"),"")&amp;" "&amp;Checks!$P$48</f>
        <v/>
      </c>
      <c r="D43" s="124">
        <f>IF(Checks!$U$48="","",Checks!$U$48)&amp;IF(Checks!$AB$48="","",CHAR(10)&amp;"CA: "&amp;Checks!$AB$48)</f>
        <v/>
      </c>
      <c r="E43" s="124">
        <f>IF(Checks!$V$48="","",Checks!$V$48)&amp;IF(Checks!$AC$48="","",IF(Checks!$V$48="","",CHAR(10))&amp;"N/A just.: "&amp;Checks!$AC$48)&amp;IF(Checks!$W$48="","",CHAR(10)&amp;"Batch: "&amp;Checks!$W$48)&amp;IF(AND(Checks!$X$48="",Checks!$Y$48=""),"",CHAR(10)&amp;"Exp: "&amp;Checks!$X$48&amp;"  /  Act: "&amp;Checks!$Y$48)</f>
        <v/>
      </c>
      <c r="F43" s="124">
        <f>IF(Checks!$Z$48="","","Evidence: "&amp;Checks!$Z$48)&amp;IF(Checks!$AA$48="","",IF(Checks!$Z$48="","",CHAR(10))&amp;"CA: "&amp;Checks!$AA$48)</f>
        <v/>
      </c>
      <c r="G43" s="124">
        <f>IF(ISNUMBER(Checks!$AD$48),TEXT(Checks!$AD$48,"DD-MMM-YY HH:MM")&amp;" "&amp;Checks!$P$48,"")&amp;IF(Checks!$AE$48="","",CHAR(10)&amp;Checks!$AE$48)</f>
        <v/>
      </c>
      <c r="H43" s="125">
        <f>IF(Checks!$AH$48="","",Checks!$AH$48)</f>
        <v/>
      </c>
    </row>
    <row r="44" ht="92" customHeight="1">
      <c r="A44" s="124">
        <f>Checks!$A$49&amp;CHAR(10)&amp;IF(Checks!$I$49="","",Checks!$I$49&amp;": ")&amp;Checks!$J$49</f>
        <v/>
      </c>
      <c r="B44" s="124">
        <f>Checks!$K$49&amp;IF(Checks!$O$49="","",IF(Checks!$K$49="","",CHAR(10))&amp;"Note: "&amp;Checks!$O$49)</f>
        <v/>
      </c>
      <c r="C44" s="124">
        <f>Checks!$N$49&amp;CHAR(10)&amp;IF(ISNUMBER(Checks!$R$49),TEXT(Checks!$R$49,"DD-MMM-YY HH:MM"),"")&amp;" "&amp;Checks!$P$49</f>
        <v/>
      </c>
      <c r="D44" s="124">
        <f>IF(Checks!$U$49="","",Checks!$U$49)&amp;IF(Checks!$AB$49="","",CHAR(10)&amp;"CA: "&amp;Checks!$AB$49)</f>
        <v/>
      </c>
      <c r="E44" s="124">
        <f>IF(Checks!$V$49="","",Checks!$V$49)&amp;IF(Checks!$AC$49="","",IF(Checks!$V$49="","",CHAR(10))&amp;"N/A just.: "&amp;Checks!$AC$49)&amp;IF(Checks!$W$49="","",CHAR(10)&amp;"Batch: "&amp;Checks!$W$49)&amp;IF(AND(Checks!$X$49="",Checks!$Y$49=""),"",CHAR(10)&amp;"Exp: "&amp;Checks!$X$49&amp;"  /  Act: "&amp;Checks!$Y$49)</f>
        <v/>
      </c>
      <c r="F44" s="124">
        <f>IF(Checks!$Z$49="","","Evidence: "&amp;Checks!$Z$49)&amp;IF(Checks!$AA$49="","",IF(Checks!$Z$49="","",CHAR(10))&amp;"CA: "&amp;Checks!$AA$49)</f>
        <v/>
      </c>
      <c r="G44" s="124">
        <f>IF(ISNUMBER(Checks!$AD$49),TEXT(Checks!$AD$49,"DD-MMM-YY HH:MM")&amp;" "&amp;Checks!$P$49,"")&amp;IF(Checks!$AE$49="","",CHAR(10)&amp;Checks!$AE$49)</f>
        <v/>
      </c>
      <c r="H44" s="125">
        <f>IF(Checks!$AH$49="","",Checks!$AH$49)</f>
        <v/>
      </c>
    </row>
    <row r="45" ht="92" customHeight="1">
      <c r="A45" s="124">
        <f>Checks!$A$50&amp;CHAR(10)&amp;IF(Checks!$I$50="","",Checks!$I$50&amp;": ")&amp;Checks!$J$50</f>
        <v/>
      </c>
      <c r="B45" s="124">
        <f>Checks!$K$50&amp;IF(Checks!$O$50="","",IF(Checks!$K$50="","",CHAR(10))&amp;"Note: "&amp;Checks!$O$50)</f>
        <v/>
      </c>
      <c r="C45" s="124">
        <f>Checks!$N$50&amp;CHAR(10)&amp;IF(ISNUMBER(Checks!$R$50),TEXT(Checks!$R$50,"DD-MMM-YY HH:MM"),"")&amp;" "&amp;Checks!$P$50</f>
        <v/>
      </c>
      <c r="D45" s="124">
        <f>IF(Checks!$U$50="","",Checks!$U$50)&amp;IF(Checks!$AB$50="","",CHAR(10)&amp;"CA: "&amp;Checks!$AB$50)</f>
        <v/>
      </c>
      <c r="E45" s="124">
        <f>IF(Checks!$V$50="","",Checks!$V$50)&amp;IF(Checks!$AC$50="","",IF(Checks!$V$50="","",CHAR(10))&amp;"N/A just.: "&amp;Checks!$AC$50)&amp;IF(Checks!$W$50="","",CHAR(10)&amp;"Batch: "&amp;Checks!$W$50)&amp;IF(AND(Checks!$X$50="",Checks!$Y$50=""),"",CHAR(10)&amp;"Exp: "&amp;Checks!$X$50&amp;"  /  Act: "&amp;Checks!$Y$50)</f>
        <v/>
      </c>
      <c r="F45" s="124">
        <f>IF(Checks!$Z$50="","","Evidence: "&amp;Checks!$Z$50)&amp;IF(Checks!$AA$50="","",IF(Checks!$Z$50="","",CHAR(10))&amp;"CA: "&amp;Checks!$AA$50)</f>
        <v/>
      </c>
      <c r="G45" s="124">
        <f>IF(ISNUMBER(Checks!$AD$50),TEXT(Checks!$AD$50,"DD-MMM-YY HH:MM")&amp;" "&amp;Checks!$P$50,"")&amp;IF(Checks!$AE$50="","",CHAR(10)&amp;Checks!$AE$50)</f>
        <v/>
      </c>
      <c r="H45" s="125">
        <f>IF(Checks!$AH$50="","",Checks!$AH$50)</f>
        <v/>
      </c>
    </row>
    <row r="46" ht="246" customHeight="1">
      <c r="A46" s="124">
        <f>Checks!$A$51&amp;CHAR(10)&amp;IF(Checks!$I$51="","",Checks!$I$51&amp;": ")&amp;Checks!$J$51</f>
        <v/>
      </c>
      <c r="B46" s="124">
        <f>SUBSTITUTE(Checks!$K$51&amp;IF(Checks!$O$51="","",IF(Checks!$K$51="","",CHAR(10))&amp;"Note: "&amp;Checks!$O$51),"F&amp;B LINEN!","Ref: F&amp;B LINEN!")</f>
        <v/>
      </c>
      <c r="C46" s="124">
        <f>Checks!$N$51&amp;CHAR(10)&amp;IF(ISNUMBER(Checks!$R$51),TEXT(Checks!$R$51,"DD-MMM-YY HH:MM"),"")&amp;" "&amp;Checks!$P$51</f>
        <v/>
      </c>
      <c r="D46" s="124">
        <f>IF(Checks!$U$51="","",Checks!$U$51)&amp;IF(Checks!$AB$51="","",CHAR(10)&amp;"CA: "&amp;Checks!$AB$51)</f>
        <v/>
      </c>
      <c r="E46" s="124">
        <f>IF(Checks!$V$51="","",Checks!$V$51)&amp;IF(Checks!$AC$51="","",IF(Checks!$V$51="","",CHAR(10))&amp;"N/A just.: "&amp;Checks!$AC$51)&amp;IF(Checks!$W$51="","",CHAR(10)&amp;"Batch: "&amp;Checks!$W$51)&amp;IF(AND(Checks!$X$51="",Checks!$Y$51=""),"",CHAR(10)&amp;"Exp: "&amp;Checks!$X$51&amp;"  /  Act: "&amp;Checks!$Y$51)</f>
        <v/>
      </c>
      <c r="F46" s="124">
        <f>IF(Checks!$Z$51="","","Evidence: "&amp;Checks!$Z$51)&amp;IF(Checks!$AA$51="","",IF(Checks!$Z$51="","",CHAR(10))&amp;"CA: "&amp;Checks!$AA$51)</f>
        <v/>
      </c>
      <c r="G46" s="124">
        <f>IF(ISNUMBER(Checks!$AD$51),TEXT(Checks!$AD$51,"DD-MMM-YY HH:MM")&amp;" "&amp;Checks!$P$51,"")&amp;IF(Checks!$AE$51="","",CHAR(10)&amp;Checks!$AE$51)</f>
        <v/>
      </c>
      <c r="H46" s="125">
        <f>IF(Checks!$AH$51="","",Checks!$AH$51)</f>
        <v/>
      </c>
    </row>
    <row r="47" ht="246" customHeight="1">
      <c r="A47" s="124">
        <f>Checks!$A$52&amp;CHAR(10)&amp;IF(Checks!$I$52="","",Checks!$I$52&amp;": ")&amp;Checks!$J$52</f>
        <v/>
      </c>
      <c r="B47" s="124">
        <f>SUBSTITUTE(Checks!$K$52&amp;IF(Checks!$O$52="","",IF(Checks!$K$52="","",CHAR(10))&amp;"Note: "&amp;Checks!$O$52),"F&amp;B LINEN!","Ref: F&amp;B LINEN!")</f>
        <v/>
      </c>
      <c r="C47" s="124">
        <f>Checks!$N$52&amp;CHAR(10)&amp;IF(ISNUMBER(Checks!$R$52),TEXT(Checks!$R$52,"DD-MMM-YY HH:MM"),"")&amp;" "&amp;Checks!$P$52</f>
        <v/>
      </c>
      <c r="D47" s="124">
        <f>IF(Checks!$U$52="","",Checks!$U$52)&amp;IF(Checks!$AB$52="","",CHAR(10)&amp;"CA: "&amp;Checks!$AB$52)</f>
        <v/>
      </c>
      <c r="E47" s="124">
        <f>IF(Checks!$V$52="","",Checks!$V$52)&amp;IF(Checks!$AC$52="","",IF(Checks!$V$52="","",CHAR(10))&amp;"N/A just.: "&amp;Checks!$AC$52)&amp;IF(Checks!$W$52="","",CHAR(10)&amp;"Batch: "&amp;Checks!$W$52)&amp;IF(AND(Checks!$X$52="",Checks!$Y$52=""),"",CHAR(10)&amp;"Exp: "&amp;Checks!$X$52&amp;"  /  Act: "&amp;Checks!$Y$52)</f>
        <v/>
      </c>
      <c r="F47" s="124">
        <f>IF(Checks!$Z$52="","","Evidence: "&amp;Checks!$Z$52)&amp;IF(Checks!$AA$52="","",IF(Checks!$Z$52="","",CHAR(10))&amp;"CA: "&amp;Checks!$AA$52)</f>
        <v/>
      </c>
      <c r="G47" s="124">
        <f>IF(ISNUMBER(Checks!$AD$52),TEXT(Checks!$AD$52,"DD-MMM-YY HH:MM")&amp;" "&amp;Checks!$P$52,"")&amp;IF(Checks!$AE$52="","",CHAR(10)&amp;Checks!$AE$52)</f>
        <v/>
      </c>
      <c r="H47" s="125">
        <f>IF(Checks!$AH$52="","",Checks!$AH$52)</f>
        <v/>
      </c>
    </row>
    <row r="48" ht="103" customHeight="1">
      <c r="A48" s="124">
        <f>Checks!$A$53&amp;CHAR(10)&amp;IF(Checks!$I$53="","",Checks!$I$53&amp;": ")&amp;Checks!$J$53</f>
        <v/>
      </c>
      <c r="B48" s="124">
        <f>SUBSTITUTE(Checks!$K$53&amp;IF(Checks!$O$53="","",IF(Checks!$K$53="","",CHAR(10))&amp;"Note: "&amp;Checks!$O$53),"F&amp;B LINEN!","Ref: F&amp;B LINEN!")</f>
        <v/>
      </c>
      <c r="C48" s="124">
        <f>Checks!$N$53&amp;CHAR(10)&amp;IF(ISNUMBER(Checks!$R$53),TEXT(Checks!$R$53,"DD-MMM-YY HH:MM"),"")&amp;" "&amp;Checks!$P$53</f>
        <v/>
      </c>
      <c r="D48" s="124">
        <f>IF(Checks!$U$53="","",Checks!$U$53)&amp;IF(Checks!$AB$53="","",CHAR(10)&amp;"CA: "&amp;Checks!$AB$53)</f>
        <v/>
      </c>
      <c r="E48" s="124">
        <f>IF(Checks!$V$53="","",Checks!$V$53)&amp;IF(Checks!$AC$53="","",IF(Checks!$V$53="","",CHAR(10))&amp;"N/A just.: "&amp;Checks!$AC$53)&amp;IF(Checks!$W$53="","",CHAR(10)&amp;"Batch: "&amp;Checks!$W$53)&amp;IF(AND(Checks!$X$53="",Checks!$Y$53=""),"",CHAR(10)&amp;"Exp: "&amp;Checks!$X$53&amp;"  /  Act: "&amp;Checks!$Y$53)</f>
        <v/>
      </c>
      <c r="F48" s="124">
        <f>IF(Checks!$Z$53="","","Evidence: "&amp;Checks!$Z$53)&amp;IF(Checks!$AA$53="","",IF(Checks!$Z$53="","",CHAR(10))&amp;"CA: "&amp;Checks!$AA$53)</f>
        <v/>
      </c>
      <c r="G48" s="124">
        <f>IF(ISNUMBER(Checks!$AD$53),TEXT(Checks!$AD$53,"DD-MMM-YY HH:MM")&amp;" "&amp;Checks!$P$53,"")&amp;IF(Checks!$AE$53="","",CHAR(10)&amp;Checks!$AE$53)</f>
        <v/>
      </c>
      <c r="H48" s="125">
        <f>IF(Checks!$AH$53="","",Checks!$AH$53)</f>
        <v/>
      </c>
    </row>
    <row r="49" ht="92" customHeight="1">
      <c r="A49" s="124">
        <f>Checks!$A$54&amp;CHAR(10)&amp;IF(Checks!$I$54="","",Checks!$I$54&amp;": ")&amp;Checks!$J$54</f>
        <v/>
      </c>
      <c r="B49" s="124">
        <f>Checks!$K$54&amp;IF(Checks!$O$54="","",IF(Checks!$K$54="","",CHAR(10))&amp;"Note: "&amp;Checks!$O$54)</f>
        <v/>
      </c>
      <c r="C49" s="124">
        <f>Checks!$N$54&amp;CHAR(10)&amp;IF(ISNUMBER(Checks!$R$54),TEXT(Checks!$R$54,"DD-MMM-YY HH:MM"),"")&amp;" "&amp;Checks!$P$54</f>
        <v/>
      </c>
      <c r="D49" s="124">
        <f>IF(Checks!$U$54="","",Checks!$U$54)&amp;IF(Checks!$AB$54="","",CHAR(10)&amp;"CA: "&amp;Checks!$AB$54)</f>
        <v/>
      </c>
      <c r="E49" s="124">
        <f>IF(Checks!$V$54="","",Checks!$V$54)&amp;IF(Checks!$AC$54="","",IF(Checks!$V$54="","",CHAR(10))&amp;"N/A just.: "&amp;Checks!$AC$54)&amp;IF(Checks!$W$54="","",CHAR(10)&amp;"Batch: "&amp;Checks!$W$54)&amp;IF(AND(Checks!$X$54="",Checks!$Y$54=""),"",CHAR(10)&amp;"Exp: "&amp;Checks!$X$54&amp;"  /  Act: "&amp;Checks!$Y$54)</f>
        <v/>
      </c>
      <c r="F49" s="124">
        <f>IF(Checks!$Z$54="","","Evidence: "&amp;Checks!$Z$54)&amp;IF(Checks!$AA$54="","",IF(Checks!$Z$54="","",CHAR(10))&amp;"CA: "&amp;Checks!$AA$54)</f>
        <v/>
      </c>
      <c r="G49" s="124">
        <f>IF(ISNUMBER(Checks!$AD$54),TEXT(Checks!$AD$54,"DD-MMM-YY HH:MM")&amp;" "&amp;Checks!$P$54,"")&amp;IF(Checks!$AE$54="","",CHAR(10)&amp;Checks!$AE$54)</f>
        <v/>
      </c>
      <c r="H49" s="125">
        <f>IF(Checks!$AH$54="","",Checks!$AH$54)</f>
        <v/>
      </c>
    </row>
    <row r="50" ht="92" customHeight="1">
      <c r="A50" s="124">
        <f>Checks!$A$55&amp;CHAR(10)&amp;IF(Checks!$I$55="","",Checks!$I$55&amp;": ")&amp;Checks!$J$55</f>
        <v/>
      </c>
      <c r="B50" s="124">
        <f>Checks!$K$55&amp;IF(Checks!$O$55="","",IF(Checks!$K$55="","",CHAR(10))&amp;"Note: "&amp;Checks!$O$55)</f>
        <v/>
      </c>
      <c r="C50" s="124">
        <f>Checks!$N$55&amp;CHAR(10)&amp;IF(ISNUMBER(Checks!$R$55),TEXT(Checks!$R$55,"DD-MMM-YY HH:MM"),"")&amp;" "&amp;Checks!$P$55</f>
        <v/>
      </c>
      <c r="D50" s="124">
        <f>IF(Checks!$U$55="","",Checks!$U$55)&amp;IF(Checks!$AB$55="","",CHAR(10)&amp;"CA: "&amp;Checks!$AB$55)</f>
        <v/>
      </c>
      <c r="E50" s="124">
        <f>IF(Checks!$V$55="","",Checks!$V$55)&amp;IF(Checks!$AC$55="","",IF(Checks!$V$55="","",CHAR(10))&amp;"N/A just.: "&amp;Checks!$AC$55)&amp;IF(Checks!$W$55="","",CHAR(10)&amp;"Batch: "&amp;Checks!$W$55)&amp;IF(AND(Checks!$X$55="",Checks!$Y$55=""),"",CHAR(10)&amp;"Exp: "&amp;Checks!$X$55&amp;"  /  Act: "&amp;Checks!$Y$55)</f>
        <v/>
      </c>
      <c r="F50" s="124">
        <f>IF(Checks!$Z$55="","","Evidence: "&amp;Checks!$Z$55)&amp;IF(Checks!$AA$55="","",IF(Checks!$Z$55="","",CHAR(10))&amp;"CA: "&amp;Checks!$AA$55)</f>
        <v/>
      </c>
      <c r="G50" s="124">
        <f>IF(ISNUMBER(Checks!$AD$55),TEXT(Checks!$AD$55,"DD-MMM-YY HH:MM")&amp;" "&amp;Checks!$P$55,"")&amp;IF(Checks!$AE$55="","",CHAR(10)&amp;Checks!$AE$55)</f>
        <v/>
      </c>
      <c r="H50" s="125">
        <f>IF(Checks!$AH$55="","",Checks!$AH$55)</f>
        <v/>
      </c>
    </row>
    <row r="51" ht="92" customHeight="1">
      <c r="A51" s="124">
        <f>Checks!$A$56&amp;CHAR(10)&amp;IF(Checks!$I$56="","",Checks!$I$56&amp;": ")&amp;Checks!$J$56</f>
        <v/>
      </c>
      <c r="B51" s="124">
        <f>Checks!$K$56&amp;IF(Checks!$O$56="","",IF(Checks!$K$56="","",CHAR(10))&amp;"Note: "&amp;Checks!$O$56)</f>
        <v/>
      </c>
      <c r="C51" s="124">
        <f>Checks!$N$56&amp;CHAR(10)&amp;IF(ISNUMBER(Checks!$R$56),TEXT(Checks!$R$56,"DD-MMM-YY HH:MM"),"")&amp;" "&amp;Checks!$P$56</f>
        <v/>
      </c>
      <c r="D51" s="124">
        <f>IF(Checks!$U$56="","",Checks!$U$56)&amp;IF(Checks!$AB$56="","",CHAR(10)&amp;"CA: "&amp;Checks!$AB$56)</f>
        <v/>
      </c>
      <c r="E51" s="124">
        <f>IF(Checks!$V$56="","",Checks!$V$56)&amp;IF(Checks!$AC$56="","",IF(Checks!$V$56="","",CHAR(10))&amp;"N/A just.: "&amp;Checks!$AC$56)&amp;IF(Checks!$W$56="","",CHAR(10)&amp;"Batch: "&amp;Checks!$W$56)&amp;IF(AND(Checks!$X$56="",Checks!$Y$56=""),"",CHAR(10)&amp;"Exp: "&amp;Checks!$X$56&amp;"  /  Act: "&amp;Checks!$Y$56)</f>
        <v/>
      </c>
      <c r="F51" s="124">
        <f>IF(Checks!$Z$56="","","Evidence: "&amp;Checks!$Z$56)&amp;IF(Checks!$AA$56="","",IF(Checks!$Z$56="","",CHAR(10))&amp;"CA: "&amp;Checks!$AA$56)</f>
        <v/>
      </c>
      <c r="G51" s="124">
        <f>IF(ISNUMBER(Checks!$AD$56),TEXT(Checks!$AD$56,"DD-MMM-YY HH:MM")&amp;" "&amp;Checks!$P$56,"")&amp;IF(Checks!$AE$56="","",CHAR(10)&amp;Checks!$AE$56)</f>
        <v/>
      </c>
      <c r="H51" s="125">
        <f>IF(Checks!$AH$56="","",Checks!$AH$56)</f>
        <v/>
      </c>
    </row>
    <row r="52" ht="26" customHeight="1">
      <c r="A52" s="123">
        <f>"UPLIFT — Physical uplift – on-board confirmation before departure  |  Due "&amp;"STD "&amp;IF(ISNUMBER(Flights!$I$6),TEXT(Flights!$I$6,"DD-MMM-YY HH:MM"),"")&amp;" "&amp;Flights!$G$6&amp;" (departure stn)"&amp;" (rows with another due show their own)  |  Complete "&amp;IF(ISNUMBER(Flights!$AM$6),TEXT(Flights!$AM$6,"0%"),Flights!$AM$6)&amp;"  |  12 lines"</f>
        <v/>
      </c>
      <c r="B52" s="97" t="n"/>
      <c r="C52" s="97" t="n"/>
      <c r="D52" s="97" t="n"/>
      <c r="E52" s="97" t="n"/>
      <c r="F52" s="97" t="n"/>
      <c r="G52" s="97" t="n"/>
      <c r="H52" s="98" t="n"/>
    </row>
    <row r="53" ht="81" customHeight="1">
      <c r="A53" s="124">
        <f>Checks!$A$57&amp;CHAR(10)&amp;IF(Checks!$I$57="","",Checks!$I$57&amp;": ")&amp;Checks!$J$57</f>
        <v/>
      </c>
      <c r="B53" s="124">
        <f>Checks!$K$57&amp;IF(Checks!$O$57="","",IF(Checks!$K$57="","",CHAR(10))&amp;"Note: "&amp;Checks!$O$57)</f>
        <v/>
      </c>
      <c r="C53" s="124">
        <f>Checks!$N$57&amp;CHAR(10)&amp;IF(ISNUMBER(Checks!$R$57),TEXT(Checks!$R$57,"DD-MMM-YY HH:MM"),"")&amp;" "&amp;Checks!$P$57</f>
        <v/>
      </c>
      <c r="D53" s="124">
        <f>IF(Checks!$U$57="","",Checks!$U$57)&amp;IF(Checks!$AB$57="","",CHAR(10)&amp;"CA: "&amp;Checks!$AB$57)</f>
        <v/>
      </c>
      <c r="E53" s="124">
        <f>IF(Checks!$V$57="","",Checks!$V$57)&amp;IF(Checks!$AC$57="","",IF(Checks!$V$57="","",CHAR(10))&amp;"N/A just.: "&amp;Checks!$AC$57)&amp;IF(Checks!$W$57="","",CHAR(10)&amp;"Batch: "&amp;Checks!$W$57)&amp;IF(AND(Checks!$X$57="",Checks!$Y$57=""),"",CHAR(10)&amp;"Exp: "&amp;Checks!$X$57&amp;"  /  Act: "&amp;Checks!$Y$57)</f>
        <v/>
      </c>
      <c r="F53" s="124">
        <f>IF(Checks!$Z$57="","","Evidence: "&amp;Checks!$Z$57)&amp;IF(Checks!$AA$57="","",IF(Checks!$Z$57="","",CHAR(10))&amp;"CA: "&amp;Checks!$AA$57)</f>
        <v/>
      </c>
      <c r="G53" s="124">
        <f>IF(ISNUMBER(Checks!$AD$57),TEXT(Checks!$AD$57,"DD-MMM-YY HH:MM")&amp;" "&amp;Checks!$P$57,"")&amp;IF(Checks!$AE$57="","",CHAR(10)&amp;Checks!$AE$57)</f>
        <v/>
      </c>
      <c r="H53" s="125">
        <f>IF(Checks!$AH$57="","",Checks!$AH$57)</f>
        <v/>
      </c>
    </row>
    <row r="54" ht="81" customHeight="1">
      <c r="A54" s="124">
        <f>Checks!$A$58&amp;CHAR(10)&amp;IF(Checks!$I$58="","",Checks!$I$58&amp;": ")&amp;Checks!$J$58</f>
        <v/>
      </c>
      <c r="B54" s="124">
        <f>Checks!$K$58&amp;IF(Checks!$O$58="","",IF(Checks!$K$58="","",CHAR(10))&amp;"Note: "&amp;Checks!$O$58)</f>
        <v/>
      </c>
      <c r="C54" s="124">
        <f>Checks!$N$58&amp;CHAR(10)&amp;IF(ISNUMBER(Checks!$R$58),TEXT(Checks!$R$58,"DD-MMM-YY HH:MM"),"")&amp;" "&amp;Checks!$P$58</f>
        <v/>
      </c>
      <c r="D54" s="124">
        <f>IF(Checks!$U$58="","",Checks!$U$58)&amp;IF(Checks!$AB$58="","",CHAR(10)&amp;"CA: "&amp;Checks!$AB$58)</f>
        <v/>
      </c>
      <c r="E54" s="124">
        <f>IF(Checks!$V$58="","",Checks!$V$58)&amp;IF(Checks!$AC$58="","",IF(Checks!$V$58="","",CHAR(10))&amp;"N/A just.: "&amp;Checks!$AC$58)&amp;IF(Checks!$W$58="","",CHAR(10)&amp;"Batch: "&amp;Checks!$W$58)&amp;IF(AND(Checks!$X$58="",Checks!$Y$58=""),"",CHAR(10)&amp;"Exp: "&amp;Checks!$X$58&amp;"  /  Act: "&amp;Checks!$Y$58)</f>
        <v/>
      </c>
      <c r="F54" s="124">
        <f>IF(Checks!$Z$58="","","Evidence: "&amp;Checks!$Z$58)&amp;IF(Checks!$AA$58="","",IF(Checks!$Z$58="","",CHAR(10))&amp;"CA: "&amp;Checks!$AA$58)</f>
        <v/>
      </c>
      <c r="G54" s="124">
        <f>IF(ISNUMBER(Checks!$AD$58),TEXT(Checks!$AD$58,"DD-MMM-YY HH:MM")&amp;" "&amp;Checks!$P$58,"")&amp;IF(Checks!$AE$58="","",CHAR(10)&amp;Checks!$AE$58)</f>
        <v/>
      </c>
      <c r="H54" s="125">
        <f>IF(Checks!$AH$58="","",Checks!$AH$58)</f>
        <v/>
      </c>
    </row>
    <row r="55" ht="81" customHeight="1">
      <c r="A55" s="124">
        <f>Checks!$A$59&amp;CHAR(10)&amp;IF(Checks!$I$59="","",Checks!$I$59&amp;": ")&amp;Checks!$J$59</f>
        <v/>
      </c>
      <c r="B55" s="124">
        <f>Checks!$K$59&amp;IF(Checks!$O$59="","",IF(Checks!$K$59="","",CHAR(10))&amp;"Note: "&amp;Checks!$O$59)</f>
        <v/>
      </c>
      <c r="C55" s="124">
        <f>Checks!$N$59&amp;CHAR(10)&amp;IF(ISNUMBER(Checks!$R$59),TEXT(Checks!$R$59,"DD-MMM-YY HH:MM"),"")&amp;" "&amp;Checks!$P$59</f>
        <v/>
      </c>
      <c r="D55" s="124">
        <f>IF(Checks!$U$59="","",Checks!$U$59)&amp;IF(Checks!$AB$59="","",CHAR(10)&amp;"CA: "&amp;Checks!$AB$59)</f>
        <v/>
      </c>
      <c r="E55" s="124">
        <f>IF(Checks!$V$59="","",Checks!$V$59)&amp;IF(Checks!$AC$59="","",IF(Checks!$V$59="","",CHAR(10))&amp;"N/A just.: "&amp;Checks!$AC$59)&amp;IF(Checks!$W$59="","",CHAR(10)&amp;"Batch: "&amp;Checks!$W$59)&amp;IF(AND(Checks!$X$59="",Checks!$Y$59=""),"",CHAR(10)&amp;"Exp: "&amp;Checks!$X$59&amp;"  /  Act: "&amp;Checks!$Y$59)</f>
        <v/>
      </c>
      <c r="F55" s="124">
        <f>IF(Checks!$Z$59="","","Evidence: "&amp;Checks!$Z$59)&amp;IF(Checks!$AA$59="","",IF(Checks!$Z$59="","",CHAR(10))&amp;"CA: "&amp;Checks!$AA$59)</f>
        <v/>
      </c>
      <c r="G55" s="124">
        <f>IF(ISNUMBER(Checks!$AD$59),TEXT(Checks!$AD$59,"DD-MMM-YY HH:MM")&amp;" "&amp;Checks!$P$59,"")&amp;IF(Checks!$AE$59="","",CHAR(10)&amp;Checks!$AE$59)</f>
        <v/>
      </c>
      <c r="H55" s="125">
        <f>IF(Checks!$AH$59="","",Checks!$AH$59)</f>
        <v/>
      </c>
    </row>
    <row r="56" ht="81" customHeight="1">
      <c r="A56" s="124">
        <f>Checks!$A$60&amp;CHAR(10)&amp;IF(Checks!$I$60="","",Checks!$I$60&amp;": ")&amp;Checks!$J$60</f>
        <v/>
      </c>
      <c r="B56" s="124">
        <f>Checks!$K$60&amp;IF(Checks!$O$60="","",IF(Checks!$K$60="","",CHAR(10))&amp;"Note: "&amp;Checks!$O$60)</f>
        <v/>
      </c>
      <c r="C56" s="124">
        <f>Checks!$N$60&amp;CHAR(10)&amp;IF(ISNUMBER(Checks!$R$60),TEXT(Checks!$R$60,"DD-MMM-YY HH:MM"),"")&amp;" "&amp;Checks!$P$60</f>
        <v/>
      </c>
      <c r="D56" s="124">
        <f>IF(Checks!$U$60="","",Checks!$U$60)&amp;IF(Checks!$AB$60="","",CHAR(10)&amp;"CA: "&amp;Checks!$AB$60)</f>
        <v/>
      </c>
      <c r="E56" s="124">
        <f>IF(Checks!$V$60="","",Checks!$V$60)&amp;IF(Checks!$AC$60="","",IF(Checks!$V$60="","",CHAR(10))&amp;"N/A just.: "&amp;Checks!$AC$60)&amp;IF(Checks!$W$60="","",CHAR(10)&amp;"Batch: "&amp;Checks!$W$60)&amp;IF(AND(Checks!$X$60="",Checks!$Y$60=""),"",CHAR(10)&amp;"Exp: "&amp;Checks!$X$60&amp;"  /  Act: "&amp;Checks!$Y$60)</f>
        <v/>
      </c>
      <c r="F56" s="124">
        <f>IF(Checks!$Z$60="","","Evidence: "&amp;Checks!$Z$60)&amp;IF(Checks!$AA$60="","",IF(Checks!$Z$60="","",CHAR(10))&amp;"CA: "&amp;Checks!$AA$60)</f>
        <v/>
      </c>
      <c r="G56" s="124">
        <f>IF(ISNUMBER(Checks!$AD$60),TEXT(Checks!$AD$60,"DD-MMM-YY HH:MM")&amp;" "&amp;Checks!$P$60,"")&amp;IF(Checks!$AE$60="","",CHAR(10)&amp;Checks!$AE$60)</f>
        <v/>
      </c>
      <c r="H56" s="125">
        <f>IF(Checks!$AH$60="","",Checks!$AH$60)</f>
        <v/>
      </c>
    </row>
    <row r="57" ht="81" customHeight="1">
      <c r="A57" s="124">
        <f>Checks!$A$61&amp;CHAR(10)&amp;IF(Checks!$I$61="","",Checks!$I$61&amp;": ")&amp;Checks!$J$61</f>
        <v/>
      </c>
      <c r="B57" s="124">
        <f>Checks!$K$61&amp;IF(Checks!$O$61="","",IF(Checks!$K$61="","",CHAR(10))&amp;"Note: "&amp;Checks!$O$61)</f>
        <v/>
      </c>
      <c r="C57" s="124">
        <f>Checks!$N$61&amp;CHAR(10)&amp;IF(ISNUMBER(Checks!$R$61),TEXT(Checks!$R$61,"DD-MMM-YY HH:MM"),"")&amp;" "&amp;Checks!$P$61</f>
        <v/>
      </c>
      <c r="D57" s="124">
        <f>IF(Checks!$U$61="","",Checks!$U$61)&amp;IF(Checks!$AB$61="","",CHAR(10)&amp;"CA: "&amp;Checks!$AB$61)</f>
        <v/>
      </c>
      <c r="E57" s="124">
        <f>IF(Checks!$V$61="","",Checks!$V$61)&amp;IF(Checks!$AC$61="","",IF(Checks!$V$61="","",CHAR(10))&amp;"N/A just.: "&amp;Checks!$AC$61)&amp;IF(Checks!$W$61="","",CHAR(10)&amp;"Batch: "&amp;Checks!$W$61)&amp;IF(AND(Checks!$X$61="",Checks!$Y$61=""),"",CHAR(10)&amp;"Exp: "&amp;Checks!$X$61&amp;"  /  Act: "&amp;Checks!$Y$61)</f>
        <v/>
      </c>
      <c r="F57" s="124">
        <f>IF(Checks!$Z$61="","","Evidence: "&amp;Checks!$Z$61)&amp;IF(Checks!$AA$61="","",IF(Checks!$Z$61="","",CHAR(10))&amp;"CA: "&amp;Checks!$AA$61)</f>
        <v/>
      </c>
      <c r="G57" s="124">
        <f>IF(ISNUMBER(Checks!$AD$61),TEXT(Checks!$AD$61,"DD-MMM-YY HH:MM")&amp;" "&amp;Checks!$P$61,"")&amp;IF(Checks!$AE$61="","",CHAR(10)&amp;Checks!$AE$61)</f>
        <v/>
      </c>
      <c r="H57" s="125">
        <f>IF(Checks!$AH$61="","",Checks!$AH$61)</f>
        <v/>
      </c>
    </row>
    <row r="58" ht="81" customHeight="1">
      <c r="A58" s="124">
        <f>Checks!$A$62&amp;CHAR(10)&amp;IF(Checks!$I$62="","",Checks!$I$62&amp;": ")&amp;Checks!$J$62</f>
        <v/>
      </c>
      <c r="B58" s="124">
        <f>Checks!$K$62&amp;IF(Checks!$O$62="","",IF(Checks!$K$62="","",CHAR(10))&amp;"Note: "&amp;Checks!$O$62)</f>
        <v/>
      </c>
      <c r="C58" s="124">
        <f>Checks!$N$62&amp;CHAR(10)&amp;IF(ISNUMBER(Checks!$R$62),TEXT(Checks!$R$62,"DD-MMM-YY HH:MM"),"")&amp;" "&amp;Checks!$P$62</f>
        <v/>
      </c>
      <c r="D58" s="124">
        <f>IF(Checks!$U$62="","",Checks!$U$62)&amp;IF(Checks!$AB$62="","",CHAR(10)&amp;"CA: "&amp;Checks!$AB$62)</f>
        <v/>
      </c>
      <c r="E58" s="124">
        <f>IF(Checks!$V$62="","",Checks!$V$62)&amp;IF(Checks!$AC$62="","",IF(Checks!$V$62="","",CHAR(10))&amp;"N/A just.: "&amp;Checks!$AC$62)&amp;IF(Checks!$W$62="","",CHAR(10)&amp;"Batch: "&amp;Checks!$W$62)&amp;IF(AND(Checks!$X$62="",Checks!$Y$62=""),"",CHAR(10)&amp;"Exp: "&amp;Checks!$X$62&amp;"  /  Act: "&amp;Checks!$Y$62)</f>
        <v/>
      </c>
      <c r="F58" s="124">
        <f>IF(Checks!$Z$62="","","Evidence: "&amp;Checks!$Z$62)&amp;IF(Checks!$AA$62="","",IF(Checks!$Z$62="","",CHAR(10))&amp;"CA: "&amp;Checks!$AA$62)</f>
        <v/>
      </c>
      <c r="G58" s="124">
        <f>IF(ISNUMBER(Checks!$AD$62),TEXT(Checks!$AD$62,"DD-MMM-YY HH:MM")&amp;" "&amp;Checks!$P$62,"")&amp;IF(Checks!$AE$62="","",CHAR(10)&amp;Checks!$AE$62)</f>
        <v/>
      </c>
      <c r="H58" s="125">
        <f>IF(Checks!$AH$62="","",Checks!$AH$62)</f>
        <v/>
      </c>
    </row>
    <row r="59" ht="180" customHeight="1">
      <c r="A59" s="124">
        <f>Checks!$A$63&amp;CHAR(10)&amp;IF(Checks!$I$63="","",Checks!$I$63&amp;": ")&amp;Checks!$J$63</f>
        <v/>
      </c>
      <c r="B59" s="124">
        <f>SUBSTITUTE(Checks!$K$63&amp;IF(Checks!$O$63="","",IF(Checks!$K$63="","",CHAR(10))&amp;"Note: "&amp;Checks!$O$63),"F&amp;B LINEN!","Ref: F&amp;B LINEN!")</f>
        <v/>
      </c>
      <c r="C59" s="124">
        <f>Checks!$N$63&amp;CHAR(10)&amp;IF(ISNUMBER(Checks!$R$63),TEXT(Checks!$R$63,"DD-MMM-YY HH:MM"),"")&amp;" "&amp;Checks!$P$63</f>
        <v/>
      </c>
      <c r="D59" s="124">
        <f>IF(Checks!$U$63="","",Checks!$U$63)&amp;IF(Checks!$AB$63="","",CHAR(10)&amp;"CA: "&amp;Checks!$AB$63)</f>
        <v/>
      </c>
      <c r="E59" s="124">
        <f>IF(Checks!$V$63="","",Checks!$V$63)&amp;IF(Checks!$AC$63="","",IF(Checks!$V$63="","",CHAR(10))&amp;"N/A just.: "&amp;Checks!$AC$63)&amp;IF(Checks!$W$63="","",CHAR(10)&amp;"Batch: "&amp;Checks!$W$63)&amp;IF(AND(Checks!$X$63="",Checks!$Y$63=""),"",CHAR(10)&amp;"Exp: "&amp;Checks!$X$63&amp;"  /  Act: "&amp;Checks!$Y$63)</f>
        <v/>
      </c>
      <c r="F59" s="124">
        <f>IF(Checks!$Z$63="","","Evidence: "&amp;Checks!$Z$63)&amp;IF(Checks!$AA$63="","",IF(Checks!$Z$63="","",CHAR(10))&amp;"CA: "&amp;Checks!$AA$63)</f>
        <v/>
      </c>
      <c r="G59" s="124">
        <f>IF(ISNUMBER(Checks!$AD$63),TEXT(Checks!$AD$63,"DD-MMM-YY HH:MM")&amp;" "&amp;Checks!$P$63,"")&amp;IF(Checks!$AE$63="","",CHAR(10)&amp;Checks!$AE$63)</f>
        <v/>
      </c>
      <c r="H59" s="125">
        <f>IF(Checks!$AH$63="","",Checks!$AH$63)</f>
        <v/>
      </c>
    </row>
    <row r="60" ht="180" customHeight="1">
      <c r="A60" s="124">
        <f>Checks!$A$64&amp;CHAR(10)&amp;IF(Checks!$I$64="","",Checks!$I$64&amp;": ")&amp;Checks!$J$64</f>
        <v/>
      </c>
      <c r="B60" s="124">
        <f>SUBSTITUTE(Checks!$K$64&amp;IF(Checks!$O$64="","",IF(Checks!$K$64="","",CHAR(10))&amp;"Note: "&amp;Checks!$O$64),"F&amp;B LINEN!","Ref: F&amp;B LINEN!")</f>
        <v/>
      </c>
      <c r="C60" s="124">
        <f>Checks!$N$64&amp;CHAR(10)&amp;IF(ISNUMBER(Checks!$R$64),TEXT(Checks!$R$64,"DD-MMM-YY HH:MM"),"")&amp;" "&amp;Checks!$P$64</f>
        <v/>
      </c>
      <c r="D60" s="124">
        <f>IF(Checks!$U$64="","",Checks!$U$64)&amp;IF(Checks!$AB$64="","",CHAR(10)&amp;"CA: "&amp;Checks!$AB$64)</f>
        <v/>
      </c>
      <c r="E60" s="124">
        <f>IF(Checks!$V$64="","",Checks!$V$64)&amp;IF(Checks!$AC$64="","",IF(Checks!$V$64="","",CHAR(10))&amp;"N/A just.: "&amp;Checks!$AC$64)&amp;IF(Checks!$W$64="","",CHAR(10)&amp;"Batch: "&amp;Checks!$W$64)&amp;IF(AND(Checks!$X$64="",Checks!$Y$64=""),"",CHAR(10)&amp;"Exp: "&amp;Checks!$X$64&amp;"  /  Act: "&amp;Checks!$Y$64)</f>
        <v/>
      </c>
      <c r="F60" s="124">
        <f>IF(Checks!$Z$64="","","Evidence: "&amp;Checks!$Z$64)&amp;IF(Checks!$AA$64="","",IF(Checks!$Z$64="","",CHAR(10))&amp;"CA: "&amp;Checks!$AA$64)</f>
        <v/>
      </c>
      <c r="G60" s="124">
        <f>IF(ISNUMBER(Checks!$AD$64),TEXT(Checks!$AD$64,"DD-MMM-YY HH:MM")&amp;" "&amp;Checks!$P$64,"")&amp;IF(Checks!$AE$64="","",CHAR(10)&amp;Checks!$AE$64)</f>
        <v/>
      </c>
      <c r="H60" s="125">
        <f>IF(Checks!$AH$64="","",Checks!$AH$64)</f>
        <v/>
      </c>
    </row>
    <row r="61" ht="81" customHeight="1">
      <c r="A61" s="124">
        <f>Checks!$A$65&amp;CHAR(10)&amp;IF(Checks!$I$65="","",Checks!$I$65&amp;": ")&amp;Checks!$J$65</f>
        <v/>
      </c>
      <c r="B61" s="124">
        <f>SUBSTITUTE(Checks!$K$65&amp;IF(Checks!$O$65="","",IF(Checks!$K$65="","",CHAR(10))&amp;"Note: "&amp;Checks!$O$65),"F&amp;B LINEN!","Ref: F&amp;B LINEN!")</f>
        <v/>
      </c>
      <c r="C61" s="124">
        <f>Checks!$N$65&amp;CHAR(10)&amp;IF(ISNUMBER(Checks!$R$65),TEXT(Checks!$R$65,"DD-MMM-YY HH:MM"),"")&amp;" "&amp;Checks!$P$65</f>
        <v/>
      </c>
      <c r="D61" s="124">
        <f>IF(Checks!$U$65="","",Checks!$U$65)&amp;IF(Checks!$AB$65="","",CHAR(10)&amp;"CA: "&amp;Checks!$AB$65)</f>
        <v/>
      </c>
      <c r="E61" s="124">
        <f>IF(Checks!$V$65="","",Checks!$V$65)&amp;IF(Checks!$AC$65="","",IF(Checks!$V$65="","",CHAR(10))&amp;"N/A just.: "&amp;Checks!$AC$65)&amp;IF(Checks!$W$65="","",CHAR(10)&amp;"Batch: "&amp;Checks!$W$65)&amp;IF(AND(Checks!$X$65="",Checks!$Y$65=""),"",CHAR(10)&amp;"Exp: "&amp;Checks!$X$65&amp;"  /  Act: "&amp;Checks!$Y$65)</f>
        <v/>
      </c>
      <c r="F61" s="124">
        <f>IF(Checks!$Z$65="","","Evidence: "&amp;Checks!$Z$65)&amp;IF(Checks!$AA$65="","",IF(Checks!$Z$65="","",CHAR(10))&amp;"CA: "&amp;Checks!$AA$65)</f>
        <v/>
      </c>
      <c r="G61" s="124">
        <f>IF(ISNUMBER(Checks!$AD$65),TEXT(Checks!$AD$65,"DD-MMM-YY HH:MM")&amp;" "&amp;Checks!$P$65,"")&amp;IF(Checks!$AE$65="","",CHAR(10)&amp;Checks!$AE$65)</f>
        <v/>
      </c>
      <c r="H61" s="125">
        <f>IF(Checks!$AH$65="","",Checks!$AH$65)</f>
        <v/>
      </c>
    </row>
    <row r="62" ht="81" customHeight="1">
      <c r="A62" s="124">
        <f>Checks!$A$66&amp;CHAR(10)&amp;IF(Checks!$I$66="","",Checks!$I$66&amp;": ")&amp;Checks!$J$66</f>
        <v/>
      </c>
      <c r="B62" s="124">
        <f>Checks!$K$66&amp;IF(Checks!$O$66="","",IF(Checks!$K$66="","",CHAR(10))&amp;"Note: "&amp;Checks!$O$66)</f>
        <v/>
      </c>
      <c r="C62" s="124">
        <f>Checks!$N$66&amp;CHAR(10)&amp;IF(ISNUMBER(Checks!$R$66),TEXT(Checks!$R$66,"DD-MMM-YY HH:MM"),"")&amp;" "&amp;Checks!$P$66</f>
        <v/>
      </c>
      <c r="D62" s="124">
        <f>IF(Checks!$U$66="","",Checks!$U$66)&amp;IF(Checks!$AB$66="","",CHAR(10)&amp;"CA: "&amp;Checks!$AB$66)</f>
        <v/>
      </c>
      <c r="E62" s="124">
        <f>IF(Checks!$V$66="","",Checks!$V$66)&amp;IF(Checks!$AC$66="","",IF(Checks!$V$66="","",CHAR(10))&amp;"N/A just.: "&amp;Checks!$AC$66)&amp;IF(Checks!$W$66="","",CHAR(10)&amp;"Batch: "&amp;Checks!$W$66)&amp;IF(AND(Checks!$X$66="",Checks!$Y$66=""),"",CHAR(10)&amp;"Exp: "&amp;Checks!$X$66&amp;"  /  Act: "&amp;Checks!$Y$66)</f>
        <v/>
      </c>
      <c r="F62" s="124">
        <f>IF(Checks!$Z$66="","","Evidence: "&amp;Checks!$Z$66)&amp;IF(Checks!$AA$66="","",IF(Checks!$Z$66="","",CHAR(10))&amp;"CA: "&amp;Checks!$AA$66)</f>
        <v/>
      </c>
      <c r="G62" s="124">
        <f>IF(ISNUMBER(Checks!$AD$66),TEXT(Checks!$AD$66,"DD-MMM-YY HH:MM")&amp;" "&amp;Checks!$P$66,"")&amp;IF(Checks!$AE$66="","",CHAR(10)&amp;Checks!$AE$66)</f>
        <v/>
      </c>
      <c r="H62" s="125">
        <f>IF(Checks!$AH$66="","",Checks!$AH$66)</f>
        <v/>
      </c>
    </row>
    <row r="63" ht="81" customHeight="1">
      <c r="A63" s="124">
        <f>Checks!$A$67&amp;CHAR(10)&amp;IF(Checks!$I$67="","",Checks!$I$67&amp;": ")&amp;Checks!$J$67</f>
        <v/>
      </c>
      <c r="B63" s="124">
        <f>Checks!$K$67&amp;IF(Checks!$O$67="","",IF(Checks!$K$67="","",CHAR(10))&amp;"Note: "&amp;Checks!$O$67)</f>
        <v/>
      </c>
      <c r="C63" s="124">
        <f>Checks!$N$67&amp;CHAR(10)&amp;IF(ISNUMBER(Checks!$R$67),TEXT(Checks!$R$67,"DD-MMM-YY HH:MM"),"")&amp;" "&amp;Checks!$P$67</f>
        <v/>
      </c>
      <c r="D63" s="124">
        <f>IF(Checks!$U$67="","",Checks!$U$67)&amp;IF(Checks!$AB$67="","",CHAR(10)&amp;"CA: "&amp;Checks!$AB$67)</f>
        <v/>
      </c>
      <c r="E63" s="124">
        <f>IF(Checks!$V$67="","",Checks!$V$67)&amp;IF(Checks!$AC$67="","",IF(Checks!$V$67="","",CHAR(10))&amp;"N/A just.: "&amp;Checks!$AC$67)&amp;IF(Checks!$W$67="","",CHAR(10)&amp;"Batch: "&amp;Checks!$W$67)&amp;IF(AND(Checks!$X$67="",Checks!$Y$67=""),"",CHAR(10)&amp;"Exp: "&amp;Checks!$X$67&amp;"  /  Act: "&amp;Checks!$Y$67)</f>
        <v/>
      </c>
      <c r="F63" s="124">
        <f>IF(Checks!$Z$67="","","Evidence: "&amp;Checks!$Z$67)&amp;IF(Checks!$AA$67="","",IF(Checks!$Z$67="","",CHAR(10))&amp;"CA: "&amp;Checks!$AA$67)</f>
        <v/>
      </c>
      <c r="G63" s="124">
        <f>IF(ISNUMBER(Checks!$AD$67),TEXT(Checks!$AD$67,"DD-MMM-YY HH:MM")&amp;" "&amp;Checks!$P$67,"")&amp;IF(Checks!$AE$67="","",CHAR(10)&amp;Checks!$AE$67)</f>
        <v/>
      </c>
      <c r="H63" s="125">
        <f>IF(Checks!$AH$67="","",Checks!$AH$67)</f>
        <v/>
      </c>
    </row>
    <row r="64" ht="81" customHeight="1">
      <c r="A64" s="124">
        <f>Checks!$A$68&amp;CHAR(10)&amp;IF(Checks!$I$68="","",Checks!$I$68&amp;": ")&amp;Checks!$J$68</f>
        <v/>
      </c>
      <c r="B64" s="124">
        <f>Checks!$K$68&amp;IF(Checks!$O$68="","",IF(Checks!$K$68="","",CHAR(10))&amp;"Note: "&amp;Checks!$O$68)</f>
        <v/>
      </c>
      <c r="C64" s="124">
        <f>Checks!$N$68&amp;CHAR(10)&amp;IF(ISNUMBER(Checks!$R$68),TEXT(Checks!$R$68,"DD-MMM-YY HH:MM"),"")&amp;" "&amp;Checks!$P$68</f>
        <v/>
      </c>
      <c r="D64" s="124">
        <f>IF(Checks!$U$68="","",Checks!$U$68)&amp;IF(Checks!$AB$68="","",CHAR(10)&amp;"CA: "&amp;Checks!$AB$68)</f>
        <v/>
      </c>
      <c r="E64" s="124">
        <f>IF(Checks!$V$68="","",Checks!$V$68)&amp;IF(Checks!$AC$68="","",IF(Checks!$V$68="","",CHAR(10))&amp;"N/A just.: "&amp;Checks!$AC$68)&amp;IF(Checks!$W$68="","",CHAR(10)&amp;"Batch: "&amp;Checks!$W$68)&amp;IF(AND(Checks!$X$68="",Checks!$Y$68=""),"",CHAR(10)&amp;"Exp: "&amp;Checks!$X$68&amp;"  /  Act: "&amp;Checks!$Y$68)</f>
        <v/>
      </c>
      <c r="F64" s="124">
        <f>IF(Checks!$Z$68="","","Evidence: "&amp;Checks!$Z$68)&amp;IF(Checks!$AA$68="","",IF(Checks!$Z$68="","",CHAR(10))&amp;"CA: "&amp;Checks!$AA$68)</f>
        <v/>
      </c>
      <c r="G64" s="124">
        <f>IF(ISNUMBER(Checks!$AD$68),TEXT(Checks!$AD$68,"DD-MMM-YY HH:MM")&amp;" "&amp;Checks!$P$68,"")&amp;IF(Checks!$AE$68="","",CHAR(10)&amp;Checks!$AE$68)</f>
        <v/>
      </c>
      <c r="H64" s="125">
        <f>IF(Checks!$AH$68="","",Checks!$AH$68)</f>
        <v/>
      </c>
    </row>
    <row r="66" ht="24" customHeight="1">
      <c r="A66" s="126" t="inlineStr">
        <is>
          <t>EXCEL INSERTION AREA (on-screen only, not printed) – A1 Galley Loading Diagram: Insert &gt; Picture here. On paper: staple behind this sheet as page A1.</t>
        </is>
      </c>
      <c r="B66" s="127" t="n"/>
      <c r="C66" s="127" t="n"/>
      <c r="D66" s="128" t="n"/>
      <c r="E66" s="126" t="inlineStr">
        <is>
          <t>EXCEL INSERTION AREA (on-screen only, not printed) – A2 Menu Checklist: Insert &gt; Picture here. On paper: staple behind this sheet as page A2.</t>
        </is>
      </c>
      <c r="F66" s="127" t="n"/>
      <c r="G66" s="127" t="n"/>
      <c r="H66" s="128" t="n"/>
    </row>
    <row r="67" ht="22" customHeight="1">
      <c r="A67" s="129" t="n"/>
      <c r="B67" s="130" t="n"/>
      <c r="C67" s="130" t="n"/>
      <c r="D67" s="131" t="n"/>
      <c r="E67" s="129" t="n"/>
      <c r="F67" s="130" t="n"/>
      <c r="G67" s="130" t="n"/>
      <c r="H67" s="131" t="n"/>
    </row>
    <row r="68" ht="22" customHeight="1">
      <c r="A68" s="132" t="n"/>
      <c r="B68" s="130" t="n"/>
      <c r="C68" s="130" t="n"/>
      <c r="D68" s="131" t="n"/>
      <c r="E68" s="132" t="n"/>
      <c r="F68" s="130" t="n"/>
      <c r="G68" s="130" t="n"/>
      <c r="H68" s="131" t="n"/>
    </row>
    <row r="69" ht="22" customHeight="1">
      <c r="A69" s="132" t="n"/>
      <c r="B69" s="130" t="n"/>
      <c r="C69" s="130" t="n"/>
      <c r="D69" s="131" t="n"/>
      <c r="E69" s="132" t="n"/>
      <c r="F69" s="130" t="n"/>
      <c r="G69" s="130" t="n"/>
      <c r="H69" s="131" t="n"/>
    </row>
    <row r="70" ht="22" customHeight="1">
      <c r="A70" s="132" t="n"/>
      <c r="B70" s="130" t="n"/>
      <c r="C70" s="130" t="n"/>
      <c r="D70" s="131" t="n"/>
      <c r="E70" s="132" t="n"/>
      <c r="F70" s="130" t="n"/>
      <c r="G70" s="130" t="n"/>
      <c r="H70" s="131" t="n"/>
    </row>
    <row r="71" ht="22" customHeight="1">
      <c r="A71" s="132" t="n"/>
      <c r="B71" s="130" t="n"/>
      <c r="C71" s="130" t="n"/>
      <c r="D71" s="131" t="n"/>
      <c r="E71" s="132" t="n"/>
      <c r="F71" s="130" t="n"/>
      <c r="G71" s="130" t="n"/>
      <c r="H71" s="131" t="n"/>
    </row>
    <row r="72" ht="22" customHeight="1">
      <c r="A72" s="132" t="n"/>
      <c r="B72" s="130" t="n"/>
      <c r="C72" s="130" t="n"/>
      <c r="D72" s="131" t="n"/>
      <c r="E72" s="132" t="n"/>
      <c r="F72" s="130" t="n"/>
      <c r="G72" s="130" t="n"/>
      <c r="H72" s="131" t="n"/>
    </row>
    <row r="73" ht="22" customHeight="1">
      <c r="A73" s="132" t="n"/>
      <c r="B73" s="130" t="n"/>
      <c r="C73" s="130" t="n"/>
      <c r="D73" s="131" t="n"/>
      <c r="E73" s="132" t="n"/>
      <c r="F73" s="130" t="n"/>
      <c r="G73" s="130" t="n"/>
      <c r="H73" s="131" t="n"/>
    </row>
    <row r="74" ht="22" customHeight="1">
      <c r="A74" s="132" t="n"/>
      <c r="B74" s="130" t="n"/>
      <c r="C74" s="130" t="n"/>
      <c r="D74" s="131" t="n"/>
      <c r="E74" s="132" t="n"/>
      <c r="F74" s="130" t="n"/>
      <c r="G74" s="130" t="n"/>
      <c r="H74" s="131" t="n"/>
    </row>
    <row r="75" ht="22" customHeight="1">
      <c r="A75" s="132" t="n"/>
      <c r="B75" s="130" t="n"/>
      <c r="C75" s="130" t="n"/>
      <c r="D75" s="131" t="n"/>
      <c r="E75" s="132" t="n"/>
      <c r="F75" s="130" t="n"/>
      <c r="G75" s="130" t="n"/>
      <c r="H75" s="131" t="n"/>
    </row>
    <row r="76" ht="22" customHeight="1">
      <c r="A76" s="133" t="n"/>
      <c r="B76" s="134" t="n"/>
      <c r="C76" s="134" t="n"/>
      <c r="D76" s="135" t="n"/>
      <c r="E76" s="133" t="n"/>
      <c r="F76" s="134" t="n"/>
      <c r="G76" s="134" t="n"/>
      <c r="H76" s="135" t="n"/>
    </row>
  </sheetData>
  <mergeCells count="46">
    <mergeCell ref="B11:D11"/>
    <mergeCell ref="F18:H18"/>
    <mergeCell ref="C15:D15"/>
    <mergeCell ref="B8:D8"/>
    <mergeCell ref="G11:H11"/>
    <mergeCell ref="C14:D14"/>
    <mergeCell ref="F2:H2"/>
    <mergeCell ref="F17:H17"/>
    <mergeCell ref="A1:H1"/>
    <mergeCell ref="G8:H8"/>
    <mergeCell ref="A67:D76"/>
    <mergeCell ref="B10:D10"/>
    <mergeCell ref="E66:H66"/>
    <mergeCell ref="E67:H76"/>
    <mergeCell ref="G7:H7"/>
    <mergeCell ref="F13:H13"/>
    <mergeCell ref="B16:E16"/>
    <mergeCell ref="B9:D9"/>
    <mergeCell ref="C17:E17"/>
    <mergeCell ref="G6:H6"/>
    <mergeCell ref="A18:B18"/>
    <mergeCell ref="B6:D6"/>
    <mergeCell ref="G3:H3"/>
    <mergeCell ref="B5:D5"/>
    <mergeCell ref="F14:H14"/>
    <mergeCell ref="C19:E19"/>
    <mergeCell ref="B4:D4"/>
    <mergeCell ref="G5:H5"/>
    <mergeCell ref="C18:E18"/>
    <mergeCell ref="A17:B17"/>
    <mergeCell ref="B7:D7"/>
    <mergeCell ref="A32:H32"/>
    <mergeCell ref="A22:H22"/>
    <mergeCell ref="A66:D66"/>
    <mergeCell ref="G4:H4"/>
    <mergeCell ref="F16:H16"/>
    <mergeCell ref="B3:D3"/>
    <mergeCell ref="F19:H19"/>
    <mergeCell ref="A12:D12"/>
    <mergeCell ref="A19:B19"/>
    <mergeCell ref="A20:H20"/>
    <mergeCell ref="A52:H52"/>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64">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64">
    <cfRule type="expression" priority="16" dxfId="20">
      <formula>LEFT($H23,3)="N/A"</formula>
    </cfRule>
  </conditionalFormatting>
  <conditionalFormatting sqref="D23:D64">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F02 MH0727 09-Oct-26 KUL-CGK Class BC</oddHeader>
    <oddFooter>&amp;L&amp;"Arial,Bold"&amp;8 F02 MH0727 09-Oct-26 KUL-CGK Class BC&amp;C&amp;"Arial"&amp;8 Printed: ____________________&amp;R&amp;"Arial"&amp;8 F02  Page &amp;P of &amp;N</oddFooter>
    <evenHeader/>
    <evenFooter/>
    <firstHeader/>
    <firstFooter/>
  </headerFooter>
  <rowBreaks count="2" manualBreakCount="2">
    <brk id="20" min="0" max="16383" man="1"/>
    <brk id="33" min="0" max="16383" man="1"/>
  </rowBreaks>
</worksheet>
</file>

<file path=xl/worksheets/sheet11.xml><?xml version="1.0" encoding="utf-8"?>
<worksheet xmlns="http://schemas.openxmlformats.org/spreadsheetml/2006/main">
  <sheetPr>
    <tabColor rgb="001F3864"/>
    <outlinePr summaryBelow="1" summaryRight="1"/>
    <pageSetUpPr fitToPage="1"/>
  </sheetPr>
  <dimension ref="A1:H58"/>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F03  "&amp;Flights!$F$7&amp;"  "&amp;TEXT(Flights!$D$7,"DD-MMM-YY")&amp;" ("&amp;Flights!$E$7&amp;")  "&amp;Flights!$G$7&amp;" → "&amp;Flights!$H$7&amp;"  |  Class "&amp;Flights!$K$7</f>
        <v/>
      </c>
      <c r="B1" s="97" t="n"/>
      <c r="C1" s="97" t="n"/>
      <c r="D1" s="97" t="n"/>
      <c r="E1" s="97" t="n"/>
      <c r="F1" s="97" t="n"/>
      <c r="G1" s="97" t="n"/>
      <c r="H1" s="98" t="n"/>
    </row>
    <row r="2" ht="13" customHeight="1">
      <c r="A2" s="99" t="inlineStr">
        <is>
          <t>Flight / date</t>
        </is>
      </c>
      <c r="B2" s="100">
        <f>Flights!$F$7&amp;"   "&amp;TEXT(Flights!$D$7,"DD-MMM-YY")&amp;" ("&amp;Flights!$E$7&amp;")"</f>
        <v/>
      </c>
      <c r="C2" s="97" t="n"/>
      <c r="D2" s="98" t="n"/>
      <c r="E2" s="101" t="inlineStr">
        <is>
          <t>READINESS STATUS</t>
        </is>
      </c>
      <c r="F2" s="102">
        <f>Flights!$AT$7</f>
        <v/>
      </c>
      <c r="G2" s="97" t="n"/>
      <c r="H2" s="98" t="n"/>
    </row>
    <row r="3" ht="24" customHeight="1">
      <c r="A3" s="99" t="inlineStr">
        <is>
          <t>Sector / class / seat</t>
        </is>
      </c>
      <c r="B3" s="100">
        <f>Flights!$G$7&amp;" → "&amp;Flights!$H$7&amp;"   Class "&amp;Flights!$K$7&amp;"   Seat "&amp;Flights!$O$7</f>
        <v/>
      </c>
      <c r="C3" s="97" t="n"/>
      <c r="D3" s="98" t="n"/>
      <c r="E3" s="101" t="inlineStr">
        <is>
          <t>Checkpoint</t>
        </is>
      </c>
      <c r="F3" s="101" t="inlineStr">
        <is>
          <t>Due (local)</t>
        </is>
      </c>
      <c r="G3" s="103" t="inlineStr">
        <is>
          <t>% complete</t>
        </is>
      </c>
      <c r="H3" s="98" t="n"/>
    </row>
    <row r="4" ht="13" customHeight="1">
      <c r="A4" s="99" t="inlineStr">
        <is>
          <t>STD → STA (local)</t>
        </is>
      </c>
      <c r="B4" s="100">
        <f>IF(ISNUMBER(Flights!$I$7),TEXT(Flights!$I$7,"DD-MMM-YY HH:MM"),"")&amp;" "&amp;Flights!$G$7&amp;"  →  "&amp;IF(ISNUMBER(Flights!$J$7),TEXT(Flights!$J$7,"DD-MMM-YY HH:MM"),"")&amp;" "&amp;Flights!$H$7</f>
        <v/>
      </c>
      <c r="C4" s="97" t="n"/>
      <c r="D4" s="98" t="n"/>
      <c r="E4" s="99" t="inlineStr">
        <is>
          <t>T-7D – 7 days before departure</t>
        </is>
      </c>
      <c r="F4" s="104">
        <f>IF(ISNUMBER(Flights!$AG$7),TEXT(Flights!$AG$7,"DD-MMM-YY HH:MM"),"")&amp;" "&amp;Flights!$V$7</f>
        <v/>
      </c>
      <c r="G4" s="105">
        <f>Flights!$AJ$7</f>
        <v/>
      </c>
      <c r="H4" s="98" t="n"/>
    </row>
    <row r="5" ht="24" customHeight="1">
      <c r="A5" s="99" t="inlineStr">
        <is>
          <t>Fleet / aircraft ref</t>
        </is>
      </c>
      <c r="B5" s="100">
        <f>Flights!$L$7&amp;" – "&amp;Flights!$M$7</f>
        <v/>
      </c>
      <c r="C5" s="97" t="n"/>
      <c r="D5" s="98" t="n"/>
      <c r="E5" s="99" t="inlineStr">
        <is>
          <t>T-24H – production batch sensory</t>
        </is>
      </c>
      <c r="F5" s="104">
        <f>IF(ISNUMBER(Flights!$AH$7),TEXT(Flights!$AH$7,"DD-MMM-YY HH:MM"),"")&amp;" "&amp;Flights!$V$7</f>
        <v/>
      </c>
      <c r="G5" s="105">
        <f>Flights!$AK$7</f>
        <v/>
      </c>
      <c r="H5" s="98" t="n"/>
    </row>
    <row r="6" ht="13" customHeight="1">
      <c r="A6" s="99" t="inlineStr">
        <is>
          <t>Tail / Reg</t>
        </is>
      </c>
      <c r="B6" s="100">
        <f>IF(TRIM(Flights!$N$7)="","__________________",Flights!$N$7)</f>
        <v/>
      </c>
      <c r="C6" s="97" t="n"/>
      <c r="D6" s="98" t="n"/>
      <c r="E6" s="99" t="inlineStr">
        <is>
          <t>T-12H PREP – caterer prep only</t>
        </is>
      </c>
      <c r="F6" s="104">
        <f>IF(ISNUMBER(Flights!$AI$7),TEXT(Flights!$AI$7,"DD-MMM-YY HH:MM"),"")&amp;" "&amp;Flights!$V$7&amp;IF(Flights!$AI$7=Flights!$AH$7,"  (= T-24H due)","")</f>
        <v/>
      </c>
      <c r="G6" s="105">
        <f>Flights!$AL$7</f>
        <v/>
      </c>
      <c r="H6" s="98" t="n"/>
    </row>
    <row r="7" ht="13" customHeight="1">
      <c r="A7" s="99" t="inlineStr">
        <is>
          <t>Service type</t>
        </is>
      </c>
      <c r="B7" s="100">
        <f>Flights!$T$7</f>
        <v/>
      </c>
      <c r="C7" s="97" t="n"/>
      <c r="D7" s="98" t="n"/>
      <c r="E7" s="99" t="inlineStr">
        <is>
          <t>UPLIFT – on-board confirmation</t>
        </is>
      </c>
      <c r="F7" s="104">
        <f>"STD "&amp;IF(ISNUMBER(Flights!$I$7),TEXT(Flights!$I$7,"DD-MMM-YY HH:MM"),"")&amp;" "&amp;Flights!$G$7&amp;" (dep stn)"</f>
        <v/>
      </c>
      <c r="G7" s="105">
        <f>Flights!$AM$7</f>
        <v/>
      </c>
      <c r="H7" s="98" t="n"/>
    </row>
    <row r="8" ht="13" customHeight="1">
      <c r="A8" s="99" t="inlineStr">
        <is>
          <t>Meal uplift stn</t>
        </is>
      </c>
      <c r="B8" s="100">
        <f>Flights!$V$7&amp;"   (reference uplift stns: "&amp;Flights!$U$7&amp;")"</f>
        <v/>
      </c>
      <c r="C8" s="97" t="n"/>
      <c r="D8" s="98" t="n"/>
      <c r="E8" s="99" t="inlineStr">
        <is>
          <t>OVERALL (all checkpoints)</t>
        </is>
      </c>
      <c r="F8" s="106" t="inlineStr">
        <is>
          <t>–</t>
        </is>
      </c>
      <c r="G8" s="105">
        <f>Flights!$AN$7</f>
        <v/>
      </c>
      <c r="H8" s="98" t="n"/>
    </row>
    <row r="9" ht="13" customHeight="1">
      <c r="A9" s="99" t="inlineStr">
        <is>
          <t>Transit / remark</t>
        </is>
      </c>
      <c r="B9" s="100">
        <f>TRIM(Flights!$P$7&amp;"  "&amp;Flights!$Q$7)</f>
        <v/>
      </c>
      <c r="C9" s="97" t="n"/>
      <c r="D9" s="98" t="n"/>
      <c r="E9" s="99" t="inlineStr">
        <is>
          <t>Overdue / discrep. / invalid</t>
        </is>
      </c>
      <c r="F9" s="107">
        <f>Flights!$AP$7</f>
        <v/>
      </c>
      <c r="G9" s="107">
        <f>Flights!$AQ$7</f>
        <v/>
      </c>
      <c r="H9" s="107">
        <f>Flights!$AU$7</f>
        <v/>
      </c>
    </row>
    <row r="10" ht="13" customHeight="1">
      <c r="A10" s="99" t="inlineStr">
        <is>
          <t>Caterer</t>
        </is>
      </c>
      <c r="B10" s="100">
        <f>IF(TRIM(Flights!$X$7)="","__________________",Flights!$X$7)</f>
        <v/>
      </c>
      <c r="C10" s="97" t="n"/>
      <c r="D10" s="98" t="n"/>
      <c r="E10" s="99" t="inlineStr">
        <is>
          <t>Open reqd / clarif. / docs out</t>
        </is>
      </c>
      <c r="F10" s="107">
        <f>Flights!$AO$7</f>
        <v/>
      </c>
      <c r="G10" s="107">
        <f>Flights!$AS$7</f>
        <v/>
      </c>
      <c r="H10" s="107">
        <f>Flights!$AR$7</f>
        <v/>
      </c>
    </row>
    <row r="11" ht="13" customHeight="1">
      <c r="A11" s="99" t="inlineStr">
        <is>
          <t>Flight PIC</t>
        </is>
      </c>
      <c r="B11" s="100">
        <f>IF(TRIM(Flights!$Y$7)="","__________________",Flights!$Y$7)</f>
        <v/>
      </c>
      <c r="C11" s="97" t="n"/>
      <c r="D11" s="98" t="n"/>
      <c r="E11" s="99" t="inlineStr">
        <is>
          <t>Done / in scope | as of UTC</t>
        </is>
      </c>
      <c r="F11" s="107">
        <f>Flights!$AV$7&amp;" / "&amp;Flights!$AW$7</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IF(Documents!$F$7="","",Documents!$F$7)</f>
        <v/>
      </c>
      <c r="C14" s="115">
        <f>IF(Documents!$G$7="","",Documents!$G$7)&amp;IF(ISNUMBER(Documents!$H$7),"  "&amp;TEXT(Documents!$H$7,"DD-MMM-YY"),"")</f>
        <v/>
      </c>
      <c r="D14" s="98" t="n"/>
      <c r="E14" s="116">
        <f>IF(Documents!$J$7="OUTSTANDING","OUTSTANDING – attach before T-7D (due "&amp;IF(ISNUMBER(Flights!$AG$7),TEXT(Flights!$AG$7,"DD-MMM-YY HH:MM"),"")&amp;" "&amp;Flights!$V$7&amp;")",IF(Documents!$J$7="","Status not recorded",Documents!$J$7))</f>
        <v/>
      </c>
      <c r="F14" s="117">
        <f>"Staple behind this sheet as page A1."&amp;IF(Documents!$I$7="",""," Location: "&amp;Documents!$I$7)</f>
        <v/>
      </c>
      <c r="G14" s="97" t="n"/>
      <c r="H14" s="98" t="n"/>
    </row>
    <row r="15" ht="25" customHeight="1">
      <c r="A15" s="99" t="inlineStr">
        <is>
          <t>A2  Menu Checklist</t>
        </is>
      </c>
      <c r="B15" s="114">
        <f>IF(Documents!$K$7="","",Documents!$K$7)</f>
        <v/>
      </c>
      <c r="C15" s="115">
        <f>IF(Documents!$L$7="","",Documents!$L$7)&amp;IF(ISNUMBER(Documents!$M$7),"  "&amp;TEXT(Documents!$M$7,"DD-MMM-YY"),"")</f>
        <v/>
      </c>
      <c r="D15" s="98" t="n"/>
      <c r="E15" s="116">
        <f>IF(Documents!$O$7="OUTSTANDING","OUTSTANDING – attach before T-7D (due "&amp;IF(ISNUMBER(Flights!$AG$7),TEXT(Flights!$AG$7,"DD-MMM-YY HH:MM"),"")&amp;" "&amp;Flights!$V$7&amp;")",IF(Documents!$O$7="","Status not recorded",Documents!$O$7))</f>
        <v/>
      </c>
      <c r="F15" s="117">
        <f>"Staple behind this sheet as page A2."&amp;IF(Documents!$N$7="",""," Location: "&amp;Documents!$N$7)</f>
        <v/>
      </c>
      <c r="G15" s="97" t="n"/>
      <c r="H15" s="98" t="n"/>
    </row>
    <row r="16" ht="33" customHeight="1">
      <c r="A16" s="99" t="inlineStr">
        <is>
          <t>Document notes</t>
        </is>
      </c>
      <c r="B16" s="118">
        <f>IF(Documents!$Q$7="","",Documents!$Q$7)</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"&amp;IF(TRIM(Flights!$Y$7)="","__________________",Flights!$Y$7)</f>
        <v/>
      </c>
      <c r="B18" s="98" t="n"/>
      <c r="C18" s="100">
        <f>"Name: __________________"</f>
        <v/>
      </c>
      <c r="D18" s="97" t="n"/>
      <c r="E18" s="98" t="n"/>
      <c r="F18" s="100">
        <f>"Name: __________________"&amp;"   Station: "&amp;Flights!$V$7</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"&amp;IF(ISNUMBER(Flights!$AG$7),TEXT(Flights!$AG$7,"DD-MMM-YY HH:MM"),"")&amp;" "&amp;Flights!$V$7&amp;" (meal uplift stn)"&amp;" (rows with another due show their own)  |  Complete "&amp;IF(ISNUMBER(Flights!$AJ$7),TEXT(Flights!$AJ$7,"0%"),Flights!$AJ$7)&amp;"  |  9 lines"</f>
        <v/>
      </c>
      <c r="B22" s="97" t="n"/>
      <c r="C22" s="97" t="n"/>
      <c r="D22" s="97" t="n"/>
      <c r="E22" s="97" t="n"/>
      <c r="F22" s="97" t="n"/>
      <c r="G22" s="97" t="n"/>
      <c r="H22" s="98" t="n"/>
    </row>
    <row r="23" ht="81" customHeight="1">
      <c r="A23" s="124">
        <f>Checks!$A$69&amp;CHAR(10)&amp;IF(Checks!$I$69="","",Checks!$I$69&amp;": ")&amp;Checks!$J$69</f>
        <v/>
      </c>
      <c r="B23" s="124">
        <f>Checks!$K$69&amp;IF(Checks!$O$69="","",IF(Checks!$K$69="","",CHAR(10))&amp;"Note: "&amp;Checks!$O$69)</f>
        <v/>
      </c>
      <c r="C23" s="124">
        <f>Checks!$N$69&amp;CHAR(10)&amp;IF(ISNUMBER(Checks!$R$69),TEXT(Checks!$R$69,"DD-MMM-YY HH:MM"),"")&amp;" "&amp;Checks!$P$69</f>
        <v/>
      </c>
      <c r="D23" s="124">
        <f>IF(Checks!$U$69="","",Checks!$U$69)&amp;IF(Checks!$AB$69="","",CHAR(10)&amp;"CA: "&amp;Checks!$AB$69)</f>
        <v/>
      </c>
      <c r="E23" s="124">
        <f>IF(Checks!$V$69="","",Checks!$V$69)&amp;IF(Checks!$AC$69="","",IF(Checks!$V$69="","",CHAR(10))&amp;"N/A just.: "&amp;Checks!$AC$69)&amp;IF(Checks!$W$69="","",CHAR(10)&amp;"Batch: "&amp;Checks!$W$69)&amp;IF(AND(Checks!$X$69="",Checks!$Y$69=""),"",CHAR(10)&amp;"Exp: "&amp;Checks!$X$69&amp;"  /  Act: "&amp;Checks!$Y$69)</f>
        <v/>
      </c>
      <c r="F23" s="124">
        <f>IF(Checks!$Z$69="","","Evidence: "&amp;Checks!$Z$69)&amp;IF(Checks!$AA$69="","",IF(Checks!$Z$69="","",CHAR(10))&amp;"CA: "&amp;Checks!$AA$69)</f>
        <v/>
      </c>
      <c r="G23" s="124">
        <f>IF(ISNUMBER(Checks!$AD$69),TEXT(Checks!$AD$69,"DD-MMM-YY HH:MM")&amp;" "&amp;Checks!$P$69,"")&amp;IF(Checks!$AE$69="","",CHAR(10)&amp;Checks!$AE$69)</f>
        <v/>
      </c>
      <c r="H23" s="125">
        <f>IF(Checks!$AH$69="","",Checks!$AH$69)</f>
        <v/>
      </c>
    </row>
    <row r="24" ht="81" customHeight="1">
      <c r="A24" s="124">
        <f>Checks!$A$70&amp;CHAR(10)&amp;IF(Checks!$I$70="","",Checks!$I$70&amp;": ")&amp;Checks!$J$70</f>
        <v/>
      </c>
      <c r="B24" s="124">
        <f>Checks!$K$70&amp;IF(Checks!$O$70="","",IF(Checks!$K$70="","",CHAR(10))&amp;"Note: "&amp;Checks!$O$70)</f>
        <v/>
      </c>
      <c r="C24" s="124">
        <f>Checks!$N$70&amp;CHAR(10)&amp;IF(ISNUMBER(Checks!$R$70),TEXT(Checks!$R$70,"DD-MMM-YY HH:MM"),"")&amp;" "&amp;Checks!$P$70</f>
        <v/>
      </c>
      <c r="D24" s="124">
        <f>IF(Checks!$U$70="","",Checks!$U$70)&amp;IF(Checks!$AB$70="","",CHAR(10)&amp;"CA: "&amp;Checks!$AB$70)</f>
        <v/>
      </c>
      <c r="E24" s="124">
        <f>IF(Checks!$V$70="","",Checks!$V$70)&amp;IF(Checks!$AC$70="","",IF(Checks!$V$70="","",CHAR(10))&amp;"N/A just.: "&amp;Checks!$AC$70)&amp;IF(Checks!$W$70="","",CHAR(10)&amp;"Batch: "&amp;Checks!$W$70)&amp;IF(AND(Checks!$X$70="",Checks!$Y$70=""),"",CHAR(10)&amp;"Exp: "&amp;Checks!$X$70&amp;"  /  Act: "&amp;Checks!$Y$70)</f>
        <v/>
      </c>
      <c r="F24" s="124">
        <f>IF(Checks!$Z$70="","","Evidence: "&amp;Checks!$Z$70)&amp;IF(Checks!$AA$70="","",IF(Checks!$Z$70="","",CHAR(10))&amp;"CA: "&amp;Checks!$AA$70)</f>
        <v/>
      </c>
      <c r="G24" s="124">
        <f>IF(ISNUMBER(Checks!$AD$70),TEXT(Checks!$AD$70,"DD-MMM-YY HH:MM")&amp;" "&amp;Checks!$P$70,"")&amp;IF(Checks!$AE$70="","",CHAR(10)&amp;Checks!$AE$70)</f>
        <v/>
      </c>
      <c r="H24" s="125">
        <f>IF(Checks!$AH$70="","",Checks!$AH$70)</f>
        <v/>
      </c>
    </row>
    <row r="25" ht="92" customHeight="1">
      <c r="A25" s="124">
        <f>Checks!$A$71&amp;CHAR(10)&amp;IF(Checks!$I$71="","",Checks!$I$71&amp;": ")&amp;Checks!$J$71</f>
        <v/>
      </c>
      <c r="B25" s="124">
        <f>Checks!$K$71&amp;IF(Checks!$O$71="","",IF(Checks!$K$71="","",CHAR(10))&amp;"Note: "&amp;Checks!$O$71)</f>
        <v/>
      </c>
      <c r="C25" s="124">
        <f>Checks!$N$71&amp;CHAR(10)&amp;IF(ISNUMBER(Checks!$R$71),TEXT(Checks!$R$71,"DD-MMM-YY HH:MM"),"")&amp;" "&amp;Checks!$P$71</f>
        <v/>
      </c>
      <c r="D25" s="124">
        <f>IF(Checks!$U$71="","",Checks!$U$71)&amp;IF(Checks!$AB$71="","",CHAR(10)&amp;"CA: "&amp;Checks!$AB$71)</f>
        <v/>
      </c>
      <c r="E25" s="124">
        <f>IF(Checks!$V$71="","",Checks!$V$71)&amp;IF(Checks!$AC$71="","",IF(Checks!$V$71="","",CHAR(10))&amp;"N/A just.: "&amp;Checks!$AC$71)&amp;IF(Checks!$W$71="","",CHAR(10)&amp;"Batch: "&amp;Checks!$W$71)&amp;IF(AND(Checks!$X$71="",Checks!$Y$71=""),"",CHAR(10)&amp;"Exp: "&amp;Checks!$X$71&amp;"  /  Act: "&amp;Checks!$Y$71)</f>
        <v/>
      </c>
      <c r="F25" s="124">
        <f>IF(Checks!$Z$71="","","Evidence: "&amp;Checks!$Z$71)&amp;IF(Checks!$AA$71="","",IF(Checks!$Z$71="","",CHAR(10))&amp;"CA: "&amp;Checks!$AA$71)</f>
        <v/>
      </c>
      <c r="G25" s="124">
        <f>IF(ISNUMBER(Checks!$AD$71),TEXT(Checks!$AD$71,"DD-MMM-YY HH:MM")&amp;" "&amp;Checks!$P$71,"")&amp;IF(Checks!$AE$71="","",CHAR(10)&amp;Checks!$AE$71)</f>
        <v/>
      </c>
      <c r="H25" s="125">
        <f>IF(Checks!$AH$71="","",Checks!$AH$71)</f>
        <v/>
      </c>
    </row>
    <row r="26" ht="81" customHeight="1">
      <c r="A26" s="124">
        <f>Checks!$A$72&amp;CHAR(10)&amp;IF(Checks!$I$72="","",Checks!$I$72&amp;": ")&amp;Checks!$J$72</f>
        <v/>
      </c>
      <c r="B26" s="124">
        <f>Checks!$K$72&amp;IF(Checks!$O$72="","",IF(Checks!$K$72="","",CHAR(10))&amp;"Note: "&amp;Checks!$O$72)</f>
        <v/>
      </c>
      <c r="C26" s="124">
        <f>Checks!$N$72&amp;CHAR(10)&amp;IF(ISNUMBER(Checks!$R$72),TEXT(Checks!$R$72,"DD-MMM-YY HH:MM"),"")&amp;" "&amp;Checks!$P$72</f>
        <v/>
      </c>
      <c r="D26" s="124">
        <f>IF(Checks!$U$72="","",Checks!$U$72)&amp;IF(Checks!$AB$72="","",CHAR(10)&amp;"CA: "&amp;Checks!$AB$72)</f>
        <v/>
      </c>
      <c r="E26" s="124">
        <f>IF(Checks!$V$72="","",Checks!$V$72)&amp;IF(Checks!$AC$72="","",IF(Checks!$V$72="","",CHAR(10))&amp;"N/A just.: "&amp;Checks!$AC$72)&amp;IF(Checks!$W$72="","",CHAR(10)&amp;"Batch: "&amp;Checks!$W$72)&amp;IF(AND(Checks!$X$72="",Checks!$Y$72=""),"",CHAR(10)&amp;"Exp: "&amp;Checks!$X$72&amp;"  /  Act: "&amp;Checks!$Y$72)</f>
        <v/>
      </c>
      <c r="F26" s="124">
        <f>IF(Checks!$Z$72="","","Evidence: "&amp;Checks!$Z$72)&amp;IF(Checks!$AA$72="","",IF(Checks!$Z$72="","",CHAR(10))&amp;"CA: "&amp;Checks!$AA$72)</f>
        <v/>
      </c>
      <c r="G26" s="124">
        <f>IF(ISNUMBER(Checks!$AD$72),TEXT(Checks!$AD$72,"DD-MMM-YY HH:MM")&amp;" "&amp;Checks!$P$72,"")&amp;IF(Checks!$AE$72="","",CHAR(10)&amp;Checks!$AE$72)</f>
        <v/>
      </c>
      <c r="H26" s="125">
        <f>IF(Checks!$AH$72="","",Checks!$AH$72)</f>
        <v/>
      </c>
    </row>
    <row r="27" ht="81" customHeight="1">
      <c r="A27" s="124">
        <f>Checks!$A$73&amp;CHAR(10)&amp;IF(Checks!$I$73="","",Checks!$I$73&amp;": ")&amp;Checks!$J$73</f>
        <v/>
      </c>
      <c r="B27" s="124">
        <f>Checks!$K$73&amp;IF(Checks!$O$73="","",IF(Checks!$K$73="","",CHAR(10))&amp;"Note: "&amp;Checks!$O$73)</f>
        <v/>
      </c>
      <c r="C27" s="124">
        <f>Checks!$N$73&amp;CHAR(10)&amp;IF(ISNUMBER(Checks!$R$73),TEXT(Checks!$R$73,"DD-MMM-YY HH:MM"),"")&amp;" "&amp;Checks!$P$73</f>
        <v/>
      </c>
      <c r="D27" s="124">
        <f>IF(Checks!$U$73="","",Checks!$U$73)&amp;IF(Checks!$AB$73="","",CHAR(10)&amp;"CA: "&amp;Checks!$AB$73)</f>
        <v/>
      </c>
      <c r="E27" s="124">
        <f>IF(Checks!$V$73="","",Checks!$V$73)&amp;IF(Checks!$AC$73="","",IF(Checks!$V$73="","",CHAR(10))&amp;"N/A just.: "&amp;Checks!$AC$73)&amp;IF(Checks!$W$73="","",CHAR(10)&amp;"Batch: "&amp;Checks!$W$73)&amp;IF(AND(Checks!$X$73="",Checks!$Y$73=""),"",CHAR(10)&amp;"Exp: "&amp;Checks!$X$73&amp;"  /  Act: "&amp;Checks!$Y$73)</f>
        <v/>
      </c>
      <c r="F27" s="124">
        <f>IF(Checks!$Z$73="","","Evidence: "&amp;Checks!$Z$73)&amp;IF(Checks!$AA$73="","",IF(Checks!$Z$73="","",CHAR(10))&amp;"CA: "&amp;Checks!$AA$73)</f>
        <v/>
      </c>
      <c r="G27" s="124">
        <f>IF(ISNUMBER(Checks!$AD$73),TEXT(Checks!$AD$73,"DD-MMM-YY HH:MM")&amp;" "&amp;Checks!$P$73,"")&amp;IF(Checks!$AE$73="","",CHAR(10)&amp;Checks!$AE$73)</f>
        <v/>
      </c>
      <c r="H27" s="125">
        <f>IF(Checks!$AH$73="","",Checks!$AH$73)</f>
        <v/>
      </c>
    </row>
    <row r="28" ht="81" customHeight="1">
      <c r="A28" s="124">
        <f>Checks!$A$74&amp;CHAR(10)&amp;IF(Checks!$I$74="","",Checks!$I$74&amp;": ")&amp;Checks!$J$74</f>
        <v/>
      </c>
      <c r="B28" s="124">
        <f>Checks!$K$74&amp;IF(Checks!$O$74="","",IF(Checks!$K$74="","",CHAR(10))&amp;"Note: "&amp;Checks!$O$74)</f>
        <v/>
      </c>
      <c r="C28" s="124">
        <f>Checks!$N$74&amp;CHAR(10)&amp;IF(ISNUMBER(Checks!$R$74),TEXT(Checks!$R$74,"DD-MMM-YY HH:MM"),"")&amp;" "&amp;Checks!$P$74</f>
        <v/>
      </c>
      <c r="D28" s="124">
        <f>IF(Checks!$U$74="","",Checks!$U$74)&amp;IF(Checks!$AB$74="","",CHAR(10)&amp;"CA: "&amp;Checks!$AB$74)</f>
        <v/>
      </c>
      <c r="E28" s="124">
        <f>IF(Checks!$V$74="","",Checks!$V$74)&amp;IF(Checks!$AC$74="","",IF(Checks!$V$74="","",CHAR(10))&amp;"N/A just.: "&amp;Checks!$AC$74)&amp;IF(Checks!$W$74="","",CHAR(10)&amp;"Batch: "&amp;Checks!$W$74)&amp;IF(AND(Checks!$X$74="",Checks!$Y$74=""),"",CHAR(10)&amp;"Exp: "&amp;Checks!$X$74&amp;"  /  Act: "&amp;Checks!$Y$74)</f>
        <v/>
      </c>
      <c r="F28" s="124">
        <f>IF(Checks!$Z$74="","","Evidence: "&amp;Checks!$Z$74)&amp;IF(Checks!$AA$74="","",IF(Checks!$Z$74="","",CHAR(10))&amp;"CA: "&amp;Checks!$AA$74)</f>
        <v/>
      </c>
      <c r="G28" s="124">
        <f>IF(ISNUMBER(Checks!$AD$74),TEXT(Checks!$AD$74,"DD-MMM-YY HH:MM")&amp;" "&amp;Checks!$P$74,"")&amp;IF(Checks!$AE$74="","",CHAR(10)&amp;Checks!$AE$74)</f>
        <v/>
      </c>
      <c r="H28" s="125">
        <f>IF(Checks!$AH$74="","",Checks!$AH$74)</f>
        <v/>
      </c>
    </row>
    <row r="29" ht="81" customHeight="1">
      <c r="A29" s="124">
        <f>Checks!$A$75&amp;CHAR(10)&amp;IF(Checks!$I$75="","",Checks!$I$75&amp;": ")&amp;Checks!$J$75</f>
        <v/>
      </c>
      <c r="B29" s="124">
        <f>Checks!$K$75&amp;IF(Checks!$O$75="","",IF(Checks!$K$75="","",CHAR(10))&amp;"Note: "&amp;Checks!$O$75)</f>
        <v/>
      </c>
      <c r="C29" s="124">
        <f>Checks!$N$75&amp;CHAR(10)&amp;IF(ISNUMBER(Checks!$R$75),TEXT(Checks!$R$75,"DD-MMM-YY HH:MM"),"")&amp;" "&amp;Checks!$P$75</f>
        <v/>
      </c>
      <c r="D29" s="124">
        <f>IF(Checks!$U$75="","",Checks!$U$75)&amp;IF(Checks!$AB$75="","",CHAR(10)&amp;"CA: "&amp;Checks!$AB$75)</f>
        <v/>
      </c>
      <c r="E29" s="124">
        <f>IF(Checks!$V$75="","",Checks!$V$75)&amp;IF(Checks!$AC$75="","",IF(Checks!$V$75="","",CHAR(10))&amp;"N/A just.: "&amp;Checks!$AC$75)&amp;IF(Checks!$W$75="","",CHAR(10)&amp;"Batch: "&amp;Checks!$W$75)&amp;IF(AND(Checks!$X$75="",Checks!$Y$75=""),"",CHAR(10)&amp;"Exp: "&amp;Checks!$X$75&amp;"  /  Act: "&amp;Checks!$Y$75)</f>
        <v/>
      </c>
      <c r="F29" s="124">
        <f>IF(Checks!$Z$75="","","Evidence: "&amp;Checks!$Z$75)&amp;IF(Checks!$AA$75="","",IF(Checks!$Z$75="","",CHAR(10))&amp;"CA: "&amp;Checks!$AA$75)</f>
        <v/>
      </c>
      <c r="G29" s="124">
        <f>IF(ISNUMBER(Checks!$AD$75),TEXT(Checks!$AD$75,"DD-MMM-YY HH:MM")&amp;" "&amp;Checks!$P$75,"")&amp;IF(Checks!$AE$75="","",CHAR(10)&amp;Checks!$AE$75)</f>
        <v/>
      </c>
      <c r="H29" s="125">
        <f>IF(Checks!$AH$75="","",Checks!$AH$75)</f>
        <v/>
      </c>
    </row>
    <row r="30" ht="81" customHeight="1">
      <c r="A30" s="124">
        <f>Checks!$A$76&amp;CHAR(10)&amp;IF(Checks!$I$76="","",Checks!$I$76&amp;": ")&amp;Checks!$J$76</f>
        <v/>
      </c>
      <c r="B30" s="124">
        <f>Checks!$K$76&amp;IF(Checks!$O$76="","",IF(Checks!$K$76="","",CHAR(10))&amp;"Note: "&amp;Checks!$O$76)</f>
        <v/>
      </c>
      <c r="C30" s="124">
        <f>Checks!$N$76&amp;CHAR(10)&amp;IF(ISNUMBER(Checks!$R$76),TEXT(Checks!$R$76,"DD-MMM-YY HH:MM"),"")&amp;" "&amp;Checks!$P$76</f>
        <v/>
      </c>
      <c r="D30" s="124">
        <f>IF(Checks!$U$76="","",Checks!$U$76)&amp;IF(Checks!$AB$76="","",CHAR(10)&amp;"CA: "&amp;Checks!$AB$76)</f>
        <v/>
      </c>
      <c r="E30" s="124">
        <f>IF(Checks!$V$76="","",Checks!$V$76)&amp;IF(Checks!$AC$76="","",IF(Checks!$V$76="","",CHAR(10))&amp;"N/A just.: "&amp;Checks!$AC$76)&amp;IF(Checks!$W$76="","",CHAR(10)&amp;"Batch: "&amp;Checks!$W$76)&amp;IF(AND(Checks!$X$76="",Checks!$Y$76=""),"",CHAR(10)&amp;"Exp: "&amp;Checks!$X$76&amp;"  /  Act: "&amp;Checks!$Y$76)</f>
        <v/>
      </c>
      <c r="F30" s="124">
        <f>IF(Checks!$Z$76="","","Evidence: "&amp;Checks!$Z$76)&amp;IF(Checks!$AA$76="","",IF(Checks!$Z$76="","",CHAR(10))&amp;"CA: "&amp;Checks!$AA$76)</f>
        <v/>
      </c>
      <c r="G30" s="124">
        <f>IF(ISNUMBER(Checks!$AD$76),TEXT(Checks!$AD$76,"DD-MMM-YY HH:MM")&amp;" "&amp;Checks!$P$76,"")&amp;IF(Checks!$AE$76="","",CHAR(10)&amp;Checks!$AE$76)</f>
        <v/>
      </c>
      <c r="H30" s="125">
        <f>IF(Checks!$AH$76="","",Checks!$AH$76)</f>
        <v/>
      </c>
    </row>
    <row r="31" ht="81" customHeight="1">
      <c r="A31" s="124">
        <f>Checks!$A$77&amp;CHAR(10)&amp;IF(Checks!$I$77="","",Checks!$I$77&amp;": ")&amp;Checks!$J$77</f>
        <v/>
      </c>
      <c r="B31" s="124">
        <f>Checks!$K$77&amp;IF(Checks!$O$77="","",IF(Checks!$K$77="","",CHAR(10))&amp;"Note: "&amp;Checks!$O$77)</f>
        <v/>
      </c>
      <c r="C31" s="124">
        <f>Checks!$N$77&amp;CHAR(10)&amp;IF(ISNUMBER(Checks!$R$77),TEXT(Checks!$R$77,"DD-MMM-YY HH:MM"),"")&amp;" "&amp;Checks!$P$77</f>
        <v/>
      </c>
      <c r="D31" s="124">
        <f>IF(Checks!$U$77="","",Checks!$U$77)&amp;IF(Checks!$AB$77="","",CHAR(10)&amp;"CA: "&amp;Checks!$AB$77)</f>
        <v/>
      </c>
      <c r="E31" s="124">
        <f>IF(Checks!$V$77="","",Checks!$V$77)&amp;IF(Checks!$AC$77="","",IF(Checks!$V$77="","",CHAR(10))&amp;"N/A just.: "&amp;Checks!$AC$77)&amp;IF(Checks!$W$77="","",CHAR(10)&amp;"Batch: "&amp;Checks!$W$77)&amp;IF(AND(Checks!$X$77="",Checks!$Y$77=""),"",CHAR(10)&amp;"Exp: "&amp;Checks!$X$77&amp;"  /  Act: "&amp;Checks!$Y$77)</f>
        <v/>
      </c>
      <c r="F31" s="124">
        <f>IF(Checks!$Z$77="","","Evidence: "&amp;Checks!$Z$77)&amp;IF(Checks!$AA$77="","",IF(Checks!$Z$77="","",CHAR(10))&amp;"CA: "&amp;Checks!$AA$77)</f>
        <v/>
      </c>
      <c r="G31" s="124">
        <f>IF(ISNUMBER(Checks!$AD$77),TEXT(Checks!$AD$77,"DD-MMM-YY HH:MM")&amp;" "&amp;Checks!$P$77,"")&amp;IF(Checks!$AE$77="","",CHAR(10)&amp;Checks!$AE$77)</f>
        <v/>
      </c>
      <c r="H31" s="125">
        <f>IF(Checks!$AH$77="","",Checks!$AH$77)</f>
        <v/>
      </c>
    </row>
    <row r="32" ht="26" customHeight="1">
      <c r="A32" s="123">
        <f>"T-24H — Production batch sensory  |  Due "&amp;IF(ISNUMBER(Flights!$AH$7),TEXT(Flights!$AH$7,"DD-MMM-YY HH:MM"),"")&amp;" "&amp;Flights!$V$7&amp;" (meal uplift stn)"&amp;" (rows with another due show their own)  |  Complete "&amp;IF(ISNUMBER(Flights!$AK$7),TEXT(Flights!$AK$7,"0%"),Flights!$AK$7)&amp;"  |  1 lines"</f>
        <v/>
      </c>
      <c r="B32" s="97" t="n"/>
      <c r="C32" s="97" t="n"/>
      <c r="D32" s="97" t="n"/>
      <c r="E32" s="97" t="n"/>
      <c r="F32" s="97" t="n"/>
      <c r="G32" s="97" t="n"/>
      <c r="H32" s="98" t="n"/>
    </row>
    <row r="33" ht="81" customHeight="1">
      <c r="A33" s="124">
        <f>Checks!$A$78&amp;CHAR(10)&amp;IF(Checks!$I$78="","",Checks!$I$78&amp;": ")&amp;Checks!$J$78</f>
        <v/>
      </c>
      <c r="B33" s="124">
        <f>Checks!$K$78&amp;IF(Checks!$O$78="","",IF(Checks!$K$78="","",CHAR(10))&amp;"Note: "&amp;Checks!$O$78)</f>
        <v/>
      </c>
      <c r="C33" s="124">
        <f>Checks!$N$78&amp;CHAR(10)&amp;IF(ISNUMBER(Checks!$R$78),TEXT(Checks!$R$78,"DD-MMM-YY HH:MM"),"")&amp;" "&amp;Checks!$P$78</f>
        <v/>
      </c>
      <c r="D33" s="124">
        <f>IF(Checks!$U$78="","",Checks!$U$78)&amp;IF(Checks!$AB$78="","",CHAR(10)&amp;"CA: "&amp;Checks!$AB$78)</f>
        <v/>
      </c>
      <c r="E33" s="124">
        <f>IF(Checks!$V$78="","",Checks!$V$78)&amp;IF(Checks!$AC$78="","",IF(Checks!$V$78="","",CHAR(10))&amp;"N/A just.: "&amp;Checks!$AC$78)&amp;IF(Checks!$W$78="","",CHAR(10)&amp;"Batch: "&amp;Checks!$W$78)&amp;IF(AND(Checks!$X$78="",Checks!$Y$78=""),"",CHAR(10)&amp;"Exp: "&amp;Checks!$X$78&amp;"  /  Act: "&amp;Checks!$Y$78)</f>
        <v/>
      </c>
      <c r="F33" s="124">
        <f>IF(Checks!$Z$78="","","Evidence: "&amp;Checks!$Z$78)&amp;IF(Checks!$AA$78="","",IF(Checks!$Z$78="","",CHAR(10))&amp;"CA: "&amp;Checks!$AA$78)</f>
        <v/>
      </c>
      <c r="G33" s="124">
        <f>IF(ISNUMBER(Checks!$AD$78),TEXT(Checks!$AD$78,"DD-MMM-YY HH:MM")&amp;" "&amp;Checks!$P$78,"")&amp;IF(Checks!$AE$78="","",CHAR(10)&amp;Checks!$AE$78)</f>
        <v/>
      </c>
      <c r="H33" s="125">
        <f>IF(Checks!$AH$78="","",Checks!$AH$78)</f>
        <v/>
      </c>
    </row>
    <row r="34" ht="26" customHeight="1">
      <c r="A34" s="123">
        <f>"T-12H PREP — Preparation check at caterer (does NOT confirm loading)  |  Due "&amp;IF(ISNUMBER(Flights!$AI$7),TEXT(Flights!$AI$7,"DD-MMM-YY HH:MM"),"")&amp;" "&amp;Flights!$V$7&amp;" (meal uplift stn)"&amp;" (rows with another due show their own)  |  Complete "&amp;IF(ISNUMBER(Flights!$AL$7),TEXT(Flights!$AL$7,"0%"),Flights!$AL$7)&amp;"  |  8 lines"</f>
        <v/>
      </c>
      <c r="B34" s="97" t="n"/>
      <c r="C34" s="97" t="n"/>
      <c r="D34" s="97" t="n"/>
      <c r="E34" s="97" t="n"/>
      <c r="F34" s="97" t="n"/>
      <c r="G34" s="97" t="n"/>
      <c r="H34" s="98" t="n"/>
    </row>
    <row r="35" ht="81" customHeight="1">
      <c r="A35" s="124">
        <f>Checks!$A$79&amp;CHAR(10)&amp;IF(Checks!$I$79="","",Checks!$I$79&amp;": ")&amp;Checks!$J$79</f>
        <v/>
      </c>
      <c r="B35" s="124">
        <f>Checks!$K$79&amp;IF(Checks!$O$79="","",IF(Checks!$K$79="","",CHAR(10))&amp;"Note: "&amp;Checks!$O$79)</f>
        <v/>
      </c>
      <c r="C35" s="124">
        <f>Checks!$N$79&amp;CHAR(10)&amp;IF(ISNUMBER(Checks!$R$79),TEXT(Checks!$R$79,"DD-MMM-YY HH:MM"),"")&amp;" "&amp;Checks!$P$79</f>
        <v/>
      </c>
      <c r="D35" s="124">
        <f>IF(Checks!$U$79="","",Checks!$U$79)&amp;IF(Checks!$AB$79="","",CHAR(10)&amp;"CA: "&amp;Checks!$AB$79)</f>
        <v/>
      </c>
      <c r="E35" s="124">
        <f>IF(Checks!$V$79="","",Checks!$V$79)&amp;IF(Checks!$AC$79="","",IF(Checks!$V$79="","",CHAR(10))&amp;"N/A just.: "&amp;Checks!$AC$79)&amp;IF(Checks!$W$79="","",CHAR(10)&amp;"Batch: "&amp;Checks!$W$79)&amp;IF(AND(Checks!$X$79="",Checks!$Y$79=""),"",CHAR(10)&amp;"Exp: "&amp;Checks!$X$79&amp;"  /  Act: "&amp;Checks!$Y$79)</f>
        <v/>
      </c>
      <c r="F35" s="124">
        <f>IF(Checks!$Z$79="","","Evidence: "&amp;Checks!$Z$79)&amp;IF(Checks!$AA$79="","",IF(Checks!$Z$79="","",CHAR(10))&amp;"CA: "&amp;Checks!$AA$79)</f>
        <v/>
      </c>
      <c r="G35" s="124">
        <f>IF(ISNUMBER(Checks!$AD$79),TEXT(Checks!$AD$79,"DD-MMM-YY HH:MM")&amp;" "&amp;Checks!$P$79,"")&amp;IF(Checks!$AE$79="","",CHAR(10)&amp;Checks!$AE$79)</f>
        <v/>
      </c>
      <c r="H35" s="125">
        <f>IF(Checks!$AH$79="","",Checks!$AH$79)</f>
        <v/>
      </c>
    </row>
    <row r="36" ht="81" customHeight="1">
      <c r="A36" s="124">
        <f>Checks!$A$80&amp;CHAR(10)&amp;IF(Checks!$I$80="","",Checks!$I$80&amp;": ")&amp;Checks!$J$80</f>
        <v/>
      </c>
      <c r="B36" s="124">
        <f>Checks!$K$80&amp;IF(Checks!$O$80="","",IF(Checks!$K$80="","",CHAR(10))&amp;"Note: "&amp;Checks!$O$80)</f>
        <v/>
      </c>
      <c r="C36" s="124">
        <f>Checks!$N$80&amp;CHAR(10)&amp;IF(ISNUMBER(Checks!$R$80),TEXT(Checks!$R$80,"DD-MMM-YY HH:MM"),"")&amp;" "&amp;Checks!$P$80</f>
        <v/>
      </c>
      <c r="D36" s="124">
        <f>IF(Checks!$U$80="","",Checks!$U$80)&amp;IF(Checks!$AB$80="","",CHAR(10)&amp;"CA: "&amp;Checks!$AB$80)</f>
        <v/>
      </c>
      <c r="E36" s="124">
        <f>IF(Checks!$V$80="","",Checks!$V$80)&amp;IF(Checks!$AC$80="","",IF(Checks!$V$80="","",CHAR(10))&amp;"N/A just.: "&amp;Checks!$AC$80)&amp;IF(Checks!$W$80="","",CHAR(10)&amp;"Batch: "&amp;Checks!$W$80)&amp;IF(AND(Checks!$X$80="",Checks!$Y$80=""),"",CHAR(10)&amp;"Exp: "&amp;Checks!$X$80&amp;"  /  Act: "&amp;Checks!$Y$80)</f>
        <v/>
      </c>
      <c r="F36" s="124">
        <f>IF(Checks!$Z$80="","","Evidence: "&amp;Checks!$Z$80)&amp;IF(Checks!$AA$80="","",IF(Checks!$Z$80="","",CHAR(10))&amp;"CA: "&amp;Checks!$AA$80)</f>
        <v/>
      </c>
      <c r="G36" s="124">
        <f>IF(ISNUMBER(Checks!$AD$80),TEXT(Checks!$AD$80,"DD-MMM-YY HH:MM")&amp;" "&amp;Checks!$P$80,"")&amp;IF(Checks!$AE$80="","",CHAR(10)&amp;Checks!$AE$80)</f>
        <v/>
      </c>
      <c r="H36" s="125">
        <f>IF(Checks!$AH$80="","",Checks!$AH$80)</f>
        <v/>
      </c>
    </row>
    <row r="37" ht="81" customHeight="1">
      <c r="A37" s="124">
        <f>Checks!$A$81&amp;CHAR(10)&amp;IF(Checks!$I$81="","",Checks!$I$81&amp;": ")&amp;Checks!$J$81</f>
        <v/>
      </c>
      <c r="B37" s="124">
        <f>Checks!$K$81&amp;IF(Checks!$O$81="","",IF(Checks!$K$81="","",CHAR(10))&amp;"Note: "&amp;Checks!$O$81)</f>
        <v/>
      </c>
      <c r="C37" s="124">
        <f>Checks!$N$81&amp;CHAR(10)&amp;IF(ISNUMBER(Checks!$R$81),TEXT(Checks!$R$81,"DD-MMM-YY HH:MM"),"")&amp;" "&amp;Checks!$P$81</f>
        <v/>
      </c>
      <c r="D37" s="124">
        <f>IF(Checks!$U$81="","",Checks!$U$81)&amp;IF(Checks!$AB$81="","",CHAR(10)&amp;"CA: "&amp;Checks!$AB$81)</f>
        <v/>
      </c>
      <c r="E37" s="124">
        <f>IF(Checks!$V$81="","",Checks!$V$81)&amp;IF(Checks!$AC$81="","",IF(Checks!$V$81="","",CHAR(10))&amp;"N/A just.: "&amp;Checks!$AC$81)&amp;IF(Checks!$W$81="","",CHAR(10)&amp;"Batch: "&amp;Checks!$W$81)&amp;IF(AND(Checks!$X$81="",Checks!$Y$81=""),"",CHAR(10)&amp;"Exp: "&amp;Checks!$X$81&amp;"  /  Act: "&amp;Checks!$Y$81)</f>
        <v/>
      </c>
      <c r="F37" s="124">
        <f>IF(Checks!$Z$81="","","Evidence: "&amp;Checks!$Z$81)&amp;IF(Checks!$AA$81="","",IF(Checks!$Z$81="","",CHAR(10))&amp;"CA: "&amp;Checks!$AA$81)</f>
        <v/>
      </c>
      <c r="G37" s="124">
        <f>IF(ISNUMBER(Checks!$AD$81),TEXT(Checks!$AD$81,"DD-MMM-YY HH:MM")&amp;" "&amp;Checks!$P$81,"")&amp;IF(Checks!$AE$81="","",CHAR(10)&amp;Checks!$AE$81)</f>
        <v/>
      </c>
      <c r="H37" s="125">
        <f>IF(Checks!$AH$81="","",Checks!$AH$81)</f>
        <v/>
      </c>
    </row>
    <row r="38" ht="81" customHeight="1">
      <c r="A38" s="124">
        <f>Checks!$A$82&amp;CHAR(10)&amp;IF(Checks!$I$82="","",Checks!$I$82&amp;": ")&amp;Checks!$J$82</f>
        <v/>
      </c>
      <c r="B38" s="124">
        <f>Checks!$K$82&amp;IF(Checks!$O$82="","",IF(Checks!$K$82="","",CHAR(10))&amp;"Note: "&amp;Checks!$O$82)</f>
        <v/>
      </c>
      <c r="C38" s="124">
        <f>Checks!$N$82&amp;CHAR(10)&amp;IF(ISNUMBER(Checks!$R$82),TEXT(Checks!$R$82,"DD-MMM-YY HH:MM"),"")&amp;" "&amp;Checks!$P$82</f>
        <v/>
      </c>
      <c r="D38" s="124">
        <f>IF(Checks!$U$82="","",Checks!$U$82)&amp;IF(Checks!$AB$82="","",CHAR(10)&amp;"CA: "&amp;Checks!$AB$82)</f>
        <v/>
      </c>
      <c r="E38" s="124">
        <f>IF(Checks!$V$82="","",Checks!$V$82)&amp;IF(Checks!$AC$82="","",IF(Checks!$V$82="","",CHAR(10))&amp;"N/A just.: "&amp;Checks!$AC$82)&amp;IF(Checks!$W$82="","",CHAR(10)&amp;"Batch: "&amp;Checks!$W$82)&amp;IF(AND(Checks!$X$82="",Checks!$Y$82=""),"",CHAR(10)&amp;"Exp: "&amp;Checks!$X$82&amp;"  /  Act: "&amp;Checks!$Y$82)</f>
        <v/>
      </c>
      <c r="F38" s="124">
        <f>IF(Checks!$Z$82="","","Evidence: "&amp;Checks!$Z$82)&amp;IF(Checks!$AA$82="","",IF(Checks!$Z$82="","",CHAR(10))&amp;"CA: "&amp;Checks!$AA$82)</f>
        <v/>
      </c>
      <c r="G38" s="124">
        <f>IF(ISNUMBER(Checks!$AD$82),TEXT(Checks!$AD$82,"DD-MMM-YY HH:MM")&amp;" "&amp;Checks!$P$82,"")&amp;IF(Checks!$AE$82="","",CHAR(10)&amp;Checks!$AE$82)</f>
        <v/>
      </c>
      <c r="H38" s="125">
        <f>IF(Checks!$AH$82="","",Checks!$AH$82)</f>
        <v/>
      </c>
    </row>
    <row r="39" ht="81" customHeight="1">
      <c r="A39" s="124">
        <f>Checks!$A$83&amp;CHAR(10)&amp;IF(Checks!$I$83="","",Checks!$I$83&amp;": ")&amp;Checks!$J$83</f>
        <v/>
      </c>
      <c r="B39" s="124">
        <f>Checks!$K$83&amp;IF(Checks!$O$83="","",IF(Checks!$K$83="","",CHAR(10))&amp;"Note: "&amp;Checks!$O$83)</f>
        <v/>
      </c>
      <c r="C39" s="124">
        <f>Checks!$N$83&amp;CHAR(10)&amp;IF(ISNUMBER(Checks!$R$83),TEXT(Checks!$R$83,"DD-MMM-YY HH:MM"),"")&amp;" "&amp;Checks!$P$83</f>
        <v/>
      </c>
      <c r="D39" s="124">
        <f>IF(Checks!$U$83="","",Checks!$U$83)&amp;IF(Checks!$AB$83="","",CHAR(10)&amp;"CA: "&amp;Checks!$AB$83)</f>
        <v/>
      </c>
      <c r="E39" s="124">
        <f>IF(Checks!$V$83="","",Checks!$V$83)&amp;IF(Checks!$AC$83="","",IF(Checks!$V$83="","",CHAR(10))&amp;"N/A just.: "&amp;Checks!$AC$83)&amp;IF(Checks!$W$83="","",CHAR(10)&amp;"Batch: "&amp;Checks!$W$83)&amp;IF(AND(Checks!$X$83="",Checks!$Y$83=""),"",CHAR(10)&amp;"Exp: "&amp;Checks!$X$83&amp;"  /  Act: "&amp;Checks!$Y$83)</f>
        <v/>
      </c>
      <c r="F39" s="124">
        <f>IF(Checks!$Z$83="","","Evidence: "&amp;Checks!$Z$83)&amp;IF(Checks!$AA$83="","",IF(Checks!$Z$83="","",CHAR(10))&amp;"CA: "&amp;Checks!$AA$83)</f>
        <v/>
      </c>
      <c r="G39" s="124">
        <f>IF(ISNUMBER(Checks!$AD$83),TEXT(Checks!$AD$83,"DD-MMM-YY HH:MM")&amp;" "&amp;Checks!$P$83,"")&amp;IF(Checks!$AE$83="","",CHAR(10)&amp;Checks!$AE$83)</f>
        <v/>
      </c>
      <c r="H39" s="125">
        <f>IF(Checks!$AH$83="","",Checks!$AH$83)</f>
        <v/>
      </c>
    </row>
    <row r="40" ht="169" customHeight="1">
      <c r="A40" s="124">
        <f>Checks!$A$84&amp;CHAR(10)&amp;IF(Checks!$I$84="","",Checks!$I$84&amp;": ")&amp;Checks!$J$84</f>
        <v/>
      </c>
      <c r="B40" s="124">
        <f>SUBSTITUTE(Checks!$K$84&amp;IF(Checks!$O$84="","",IF(Checks!$K$84="","",CHAR(10))&amp;"Note: "&amp;Checks!$O$84),"AIRCRAFT TYPE!","Ref: AIRCRAFT TYPE!")</f>
        <v/>
      </c>
      <c r="C40" s="124">
        <f>Checks!$N$84&amp;CHAR(10)&amp;IF(ISNUMBER(Checks!$R$84),TEXT(Checks!$R$84,"DD-MMM-YY HH:MM"),"")&amp;" "&amp;Checks!$P$84</f>
        <v/>
      </c>
      <c r="D40" s="124">
        <f>IF(Checks!$U$84="","",Checks!$U$84)&amp;IF(Checks!$AB$84="","",CHAR(10)&amp;"CA: "&amp;Checks!$AB$84)</f>
        <v/>
      </c>
      <c r="E40" s="124">
        <f>IF(Checks!$V$84="","",Checks!$V$84)&amp;IF(Checks!$AC$84="","",IF(Checks!$V$84="","",CHAR(10))&amp;"N/A just.: "&amp;Checks!$AC$84)&amp;IF(Checks!$W$84="","",CHAR(10)&amp;"Batch: "&amp;Checks!$W$84)&amp;IF(AND(Checks!$X$84="",Checks!$Y$84=""),"",CHAR(10)&amp;"Exp: "&amp;Checks!$X$84&amp;"  /  Act: "&amp;Checks!$Y$84)</f>
        <v/>
      </c>
      <c r="F40" s="124">
        <f>IF(Checks!$Z$84="","","Evidence: "&amp;Checks!$Z$84)&amp;IF(Checks!$AA$84="","",IF(Checks!$Z$84="","",CHAR(10))&amp;"CA: "&amp;Checks!$AA$84)</f>
        <v/>
      </c>
      <c r="G40" s="124">
        <f>IF(ISNUMBER(Checks!$AD$84),TEXT(Checks!$AD$84,"DD-MMM-YY HH:MM")&amp;" "&amp;Checks!$P$84,"")&amp;IF(Checks!$AE$84="","",CHAR(10)&amp;Checks!$AE$84)</f>
        <v/>
      </c>
      <c r="H40" s="125">
        <f>IF(Checks!$AH$84="","",Checks!$AH$84)</f>
        <v/>
      </c>
    </row>
    <row r="41" ht="81" customHeight="1">
      <c r="A41" s="124">
        <f>Checks!$A$85&amp;CHAR(10)&amp;IF(Checks!$I$85="","",Checks!$I$85&amp;": ")&amp;Checks!$J$85</f>
        <v/>
      </c>
      <c r="B41" s="124">
        <f>Checks!$K$85&amp;IF(Checks!$O$85="","",IF(Checks!$K$85="","",CHAR(10))&amp;"Note: "&amp;Checks!$O$85)</f>
        <v/>
      </c>
      <c r="C41" s="124">
        <f>Checks!$N$85&amp;CHAR(10)&amp;IF(ISNUMBER(Checks!$R$85),TEXT(Checks!$R$85,"DD-MMM-YY HH:MM"),"")&amp;" "&amp;Checks!$P$85</f>
        <v/>
      </c>
      <c r="D41" s="124">
        <f>IF(Checks!$U$85="","",Checks!$U$85)&amp;IF(Checks!$AB$85="","",CHAR(10)&amp;"CA: "&amp;Checks!$AB$85)</f>
        <v/>
      </c>
      <c r="E41" s="124">
        <f>IF(Checks!$V$85="","",Checks!$V$85)&amp;IF(Checks!$AC$85="","",IF(Checks!$V$85="","",CHAR(10))&amp;"N/A just.: "&amp;Checks!$AC$85)&amp;IF(Checks!$W$85="","",CHAR(10)&amp;"Batch: "&amp;Checks!$W$85)&amp;IF(AND(Checks!$X$85="",Checks!$Y$85=""),"",CHAR(10)&amp;"Exp: "&amp;Checks!$X$85&amp;"  /  Act: "&amp;Checks!$Y$85)</f>
        <v/>
      </c>
      <c r="F41" s="124">
        <f>IF(Checks!$Z$85="","","Evidence: "&amp;Checks!$Z$85)&amp;IF(Checks!$AA$85="","",IF(Checks!$Z$85="","",CHAR(10))&amp;"CA: "&amp;Checks!$AA$85)</f>
        <v/>
      </c>
      <c r="G41" s="124">
        <f>IF(ISNUMBER(Checks!$AD$85),TEXT(Checks!$AD$85,"DD-MMM-YY HH:MM")&amp;" "&amp;Checks!$P$85,"")&amp;IF(Checks!$AE$85="","",CHAR(10)&amp;Checks!$AE$85)</f>
        <v/>
      </c>
      <c r="H41" s="125">
        <f>IF(Checks!$AH$85="","",Checks!$AH$85)</f>
        <v/>
      </c>
    </row>
    <row r="42" ht="92" customHeight="1">
      <c r="A42" s="124">
        <f>Checks!$A$86&amp;CHAR(10)&amp;IF(Checks!$I$86="","",Checks!$I$86&amp;": ")&amp;Checks!$J$86</f>
        <v/>
      </c>
      <c r="B42" s="124">
        <f>Checks!$K$86&amp;IF(Checks!$O$86="","",IF(Checks!$K$86="","",CHAR(10))&amp;"Note: "&amp;Checks!$O$86)</f>
        <v/>
      </c>
      <c r="C42" s="124">
        <f>Checks!$N$86&amp;CHAR(10)&amp;IF(ISNUMBER(Checks!$R$86),TEXT(Checks!$R$86,"DD-MMM-YY HH:MM"),"")&amp;" "&amp;Checks!$P$86</f>
        <v/>
      </c>
      <c r="D42" s="124">
        <f>IF(Checks!$U$86="","",Checks!$U$86)&amp;IF(Checks!$AB$86="","",CHAR(10)&amp;"CA: "&amp;Checks!$AB$86)</f>
        <v/>
      </c>
      <c r="E42" s="124">
        <f>IF(Checks!$V$86="","",Checks!$V$86)&amp;IF(Checks!$AC$86="","",IF(Checks!$V$86="","",CHAR(10))&amp;"N/A just.: "&amp;Checks!$AC$86)&amp;IF(Checks!$W$86="","",CHAR(10)&amp;"Batch: "&amp;Checks!$W$86)&amp;IF(AND(Checks!$X$86="",Checks!$Y$86=""),"",CHAR(10)&amp;"Exp: "&amp;Checks!$X$86&amp;"  /  Act: "&amp;Checks!$Y$86)</f>
        <v/>
      </c>
      <c r="F42" s="124">
        <f>IF(Checks!$Z$86="","","Evidence: "&amp;Checks!$Z$86)&amp;IF(Checks!$AA$86="","",IF(Checks!$Z$86="","",CHAR(10))&amp;"CA: "&amp;Checks!$AA$86)</f>
        <v/>
      </c>
      <c r="G42" s="124">
        <f>IF(ISNUMBER(Checks!$AD$86),TEXT(Checks!$AD$86,"DD-MMM-YY HH:MM")&amp;" "&amp;Checks!$P$86,"")&amp;IF(Checks!$AE$86="","",CHAR(10)&amp;Checks!$AE$86)</f>
        <v/>
      </c>
      <c r="H42" s="125">
        <f>IF(Checks!$AH$86="","",Checks!$AH$86)</f>
        <v/>
      </c>
    </row>
    <row r="43" ht="26" customHeight="1">
      <c r="A43" s="123">
        <f>"UPLIFT — Physical uplift – on-board confirmation before departure  |  Due "&amp;"STD "&amp;IF(ISNUMBER(Flights!$I$7),TEXT(Flights!$I$7,"DD-MMM-YY HH:MM"),"")&amp;" "&amp;Flights!$G$7&amp;" (departure stn)"&amp;" (rows with another due show their own)  |  Complete "&amp;IF(ISNUMBER(Flights!$AM$7),TEXT(Flights!$AM$7,"0%"),Flights!$AM$7)&amp;"  |  3 lines"</f>
        <v/>
      </c>
      <c r="B43" s="97" t="n"/>
      <c r="C43" s="97" t="n"/>
      <c r="D43" s="97" t="n"/>
      <c r="E43" s="97" t="n"/>
      <c r="F43" s="97" t="n"/>
      <c r="G43" s="97" t="n"/>
      <c r="H43" s="98" t="n"/>
    </row>
    <row r="44" ht="81" customHeight="1">
      <c r="A44" s="124">
        <f>Checks!$A$87&amp;CHAR(10)&amp;IF(Checks!$I$87="","",Checks!$I$87&amp;": ")&amp;Checks!$J$87</f>
        <v/>
      </c>
      <c r="B44" s="124">
        <f>Checks!$K$87&amp;IF(Checks!$O$87="","",IF(Checks!$K$87="","",CHAR(10))&amp;"Note: "&amp;Checks!$O$87)</f>
        <v/>
      </c>
      <c r="C44" s="124">
        <f>Checks!$N$87&amp;CHAR(10)&amp;IF(ISNUMBER(Checks!$R$87),TEXT(Checks!$R$87,"DD-MMM-YY HH:MM"),"")&amp;" "&amp;Checks!$P$87</f>
        <v/>
      </c>
      <c r="D44" s="124">
        <f>IF(Checks!$U$87="","",Checks!$U$87)&amp;IF(Checks!$AB$87="","",CHAR(10)&amp;"CA: "&amp;Checks!$AB$87)</f>
        <v/>
      </c>
      <c r="E44" s="124">
        <f>IF(Checks!$V$87="","",Checks!$V$87)&amp;IF(Checks!$AC$87="","",IF(Checks!$V$87="","",CHAR(10))&amp;"N/A just.: "&amp;Checks!$AC$87)&amp;IF(Checks!$W$87="","",CHAR(10)&amp;"Batch: "&amp;Checks!$W$87)&amp;IF(AND(Checks!$X$87="",Checks!$Y$87=""),"",CHAR(10)&amp;"Exp: "&amp;Checks!$X$87&amp;"  /  Act: "&amp;Checks!$Y$87)</f>
        <v/>
      </c>
      <c r="F44" s="124">
        <f>IF(Checks!$Z$87="","","Evidence: "&amp;Checks!$Z$87)&amp;IF(Checks!$AA$87="","",IF(Checks!$Z$87="","",CHAR(10))&amp;"CA: "&amp;Checks!$AA$87)</f>
        <v/>
      </c>
      <c r="G44" s="124">
        <f>IF(ISNUMBER(Checks!$AD$87),TEXT(Checks!$AD$87,"DD-MMM-YY HH:MM")&amp;" "&amp;Checks!$P$87,"")&amp;IF(Checks!$AE$87="","",CHAR(10)&amp;Checks!$AE$87)</f>
        <v/>
      </c>
      <c r="H44" s="125">
        <f>IF(Checks!$AH$87="","",Checks!$AH$87)</f>
        <v/>
      </c>
    </row>
    <row r="45" ht="81" customHeight="1">
      <c r="A45" s="124">
        <f>Checks!$A$88&amp;CHAR(10)&amp;IF(Checks!$I$88="","",Checks!$I$88&amp;": ")&amp;Checks!$J$88</f>
        <v/>
      </c>
      <c r="B45" s="124">
        <f>Checks!$K$88&amp;IF(Checks!$O$88="","",IF(Checks!$K$88="","",CHAR(10))&amp;"Note: "&amp;Checks!$O$88)</f>
        <v/>
      </c>
      <c r="C45" s="124">
        <f>Checks!$N$88&amp;CHAR(10)&amp;IF(ISNUMBER(Checks!$R$88),TEXT(Checks!$R$88,"DD-MMM-YY HH:MM"),"")&amp;" "&amp;Checks!$P$88</f>
        <v/>
      </c>
      <c r="D45" s="124">
        <f>IF(Checks!$U$88="","",Checks!$U$88)&amp;IF(Checks!$AB$88="","",CHAR(10)&amp;"CA: "&amp;Checks!$AB$88)</f>
        <v/>
      </c>
      <c r="E45" s="124">
        <f>IF(Checks!$V$88="","",Checks!$V$88)&amp;IF(Checks!$AC$88="","",IF(Checks!$V$88="","",CHAR(10))&amp;"N/A just.: "&amp;Checks!$AC$88)&amp;IF(Checks!$W$88="","",CHAR(10)&amp;"Batch: "&amp;Checks!$W$88)&amp;IF(AND(Checks!$X$88="",Checks!$Y$88=""),"",CHAR(10)&amp;"Exp: "&amp;Checks!$X$88&amp;"  /  Act: "&amp;Checks!$Y$88)</f>
        <v/>
      </c>
      <c r="F45" s="124">
        <f>IF(Checks!$Z$88="","","Evidence: "&amp;Checks!$Z$88)&amp;IF(Checks!$AA$88="","",IF(Checks!$Z$88="","",CHAR(10))&amp;"CA: "&amp;Checks!$AA$88)</f>
        <v/>
      </c>
      <c r="G45" s="124">
        <f>IF(ISNUMBER(Checks!$AD$88),TEXT(Checks!$AD$88,"DD-MMM-YY HH:MM")&amp;" "&amp;Checks!$P$88,"")&amp;IF(Checks!$AE$88="","",CHAR(10)&amp;Checks!$AE$88)</f>
        <v/>
      </c>
      <c r="H45" s="125">
        <f>IF(Checks!$AH$88="","",Checks!$AH$88)</f>
        <v/>
      </c>
    </row>
    <row r="46" ht="81" customHeight="1">
      <c r="A46" s="124">
        <f>Checks!$A$89&amp;CHAR(10)&amp;IF(Checks!$I$89="","",Checks!$I$89&amp;": ")&amp;Checks!$J$89</f>
        <v/>
      </c>
      <c r="B46" s="124">
        <f>Checks!$K$89&amp;IF(Checks!$O$89="","",IF(Checks!$K$89="","",CHAR(10))&amp;"Note: "&amp;Checks!$O$89)</f>
        <v/>
      </c>
      <c r="C46" s="124">
        <f>Checks!$N$89&amp;CHAR(10)&amp;IF(ISNUMBER(Checks!$R$89),TEXT(Checks!$R$89,"DD-MMM-YY HH:MM"),"")&amp;" "&amp;Checks!$P$89</f>
        <v/>
      </c>
      <c r="D46" s="124">
        <f>IF(Checks!$U$89="","",Checks!$U$89)&amp;IF(Checks!$AB$89="","",CHAR(10)&amp;"CA: "&amp;Checks!$AB$89)</f>
        <v/>
      </c>
      <c r="E46" s="124">
        <f>IF(Checks!$V$89="","",Checks!$V$89)&amp;IF(Checks!$AC$89="","",IF(Checks!$V$89="","",CHAR(10))&amp;"N/A just.: "&amp;Checks!$AC$89)&amp;IF(Checks!$W$89="","",CHAR(10)&amp;"Batch: "&amp;Checks!$W$89)&amp;IF(AND(Checks!$X$89="",Checks!$Y$89=""),"",CHAR(10)&amp;"Exp: "&amp;Checks!$X$89&amp;"  /  Act: "&amp;Checks!$Y$89)</f>
        <v/>
      </c>
      <c r="F46" s="124">
        <f>IF(Checks!$Z$89="","","Evidence: "&amp;Checks!$Z$89)&amp;IF(Checks!$AA$89="","",IF(Checks!$Z$89="","",CHAR(10))&amp;"CA: "&amp;Checks!$AA$89)</f>
        <v/>
      </c>
      <c r="G46" s="124">
        <f>IF(ISNUMBER(Checks!$AD$89),TEXT(Checks!$AD$89,"DD-MMM-YY HH:MM")&amp;" "&amp;Checks!$P$89,"")&amp;IF(Checks!$AE$89="","",CHAR(10)&amp;Checks!$AE$89)</f>
        <v/>
      </c>
      <c r="H46" s="125">
        <f>IF(Checks!$AH$89="","",Checks!$AH$89)</f>
        <v/>
      </c>
    </row>
    <row r="48" ht="24" customHeight="1">
      <c r="A48" s="126" t="inlineStr">
        <is>
          <t>EXCEL INSERTION AREA (on-screen only, not printed) – A1 Galley Loading Diagram: Insert &gt; Picture here. On paper: staple behind this sheet as page A1.</t>
        </is>
      </c>
      <c r="B48" s="127" t="n"/>
      <c r="C48" s="127" t="n"/>
      <c r="D48" s="128" t="n"/>
      <c r="E48" s="126" t="inlineStr">
        <is>
          <t>EXCEL INSERTION AREA (on-screen only, not printed) – A2 Menu Checklist: Insert &gt; Picture here. On paper: staple behind this sheet as page A2.</t>
        </is>
      </c>
      <c r="F48" s="127" t="n"/>
      <c r="G48" s="127" t="n"/>
      <c r="H48" s="128" t="n"/>
    </row>
    <row r="49" ht="22" customHeight="1">
      <c r="A49" s="129" t="n"/>
      <c r="B49" s="130" t="n"/>
      <c r="C49" s="130" t="n"/>
      <c r="D49" s="131" t="n"/>
      <c r="E49" s="129" t="n"/>
      <c r="F49" s="130" t="n"/>
      <c r="G49" s="130" t="n"/>
      <c r="H49" s="131" t="n"/>
    </row>
    <row r="50" ht="22" customHeight="1">
      <c r="A50" s="132" t="n"/>
      <c r="B50" s="130" t="n"/>
      <c r="C50" s="130" t="n"/>
      <c r="D50" s="131" t="n"/>
      <c r="E50" s="132" t="n"/>
      <c r="F50" s="130" t="n"/>
      <c r="G50" s="130" t="n"/>
      <c r="H50" s="131" t="n"/>
    </row>
    <row r="51" ht="22" customHeight="1">
      <c r="A51" s="132" t="n"/>
      <c r="B51" s="130" t="n"/>
      <c r="C51" s="130" t="n"/>
      <c r="D51" s="131" t="n"/>
      <c r="E51" s="132" t="n"/>
      <c r="F51" s="130" t="n"/>
      <c r="G51" s="130" t="n"/>
      <c r="H51" s="131" t="n"/>
    </row>
    <row r="52" ht="22" customHeight="1">
      <c r="A52" s="132" t="n"/>
      <c r="B52" s="130" t="n"/>
      <c r="C52" s="130" t="n"/>
      <c r="D52" s="131" t="n"/>
      <c r="E52" s="132" t="n"/>
      <c r="F52" s="130" t="n"/>
      <c r="G52" s="130" t="n"/>
      <c r="H52" s="131" t="n"/>
    </row>
    <row r="53" ht="22" customHeight="1">
      <c r="A53" s="132" t="n"/>
      <c r="B53" s="130" t="n"/>
      <c r="C53" s="130" t="n"/>
      <c r="D53" s="131" t="n"/>
      <c r="E53" s="132"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3" t="n"/>
      <c r="B58" s="134" t="n"/>
      <c r="C58" s="134" t="n"/>
      <c r="D58" s="135" t="n"/>
      <c r="E58" s="133" t="n"/>
      <c r="F58" s="134" t="n"/>
      <c r="G58" s="134" t="n"/>
      <c r="H58" s="135" t="n"/>
    </row>
  </sheetData>
  <mergeCells count="46">
    <mergeCell ref="B11:D11"/>
    <mergeCell ref="F18:H18"/>
    <mergeCell ref="C15:D15"/>
    <mergeCell ref="B8:D8"/>
    <mergeCell ref="G11:H11"/>
    <mergeCell ref="C14:D14"/>
    <mergeCell ref="F2:H2"/>
    <mergeCell ref="F17:H17"/>
    <mergeCell ref="A1:H1"/>
    <mergeCell ref="G8:H8"/>
    <mergeCell ref="B10:D10"/>
    <mergeCell ref="A49:D58"/>
    <mergeCell ref="G7:H7"/>
    <mergeCell ref="F13:H13"/>
    <mergeCell ref="A48:D48"/>
    <mergeCell ref="B16:E16"/>
    <mergeCell ref="B9:D9"/>
    <mergeCell ref="C17:E17"/>
    <mergeCell ref="G6:H6"/>
    <mergeCell ref="A18:B18"/>
    <mergeCell ref="B6:D6"/>
    <mergeCell ref="G3:H3"/>
    <mergeCell ref="E48:H48"/>
    <mergeCell ref="B5:D5"/>
    <mergeCell ref="F14:H14"/>
    <mergeCell ref="C19:E19"/>
    <mergeCell ref="B4:D4"/>
    <mergeCell ref="G5:H5"/>
    <mergeCell ref="C18:E18"/>
    <mergeCell ref="A17:B17"/>
    <mergeCell ref="B7:D7"/>
    <mergeCell ref="A32:H32"/>
    <mergeCell ref="A22:H22"/>
    <mergeCell ref="G4:H4"/>
    <mergeCell ref="F16:H16"/>
    <mergeCell ref="B3:D3"/>
    <mergeCell ref="E49:H58"/>
    <mergeCell ref="F19:H19"/>
    <mergeCell ref="A12:D12"/>
    <mergeCell ref="A19:B19"/>
    <mergeCell ref="A20:H20"/>
    <mergeCell ref="A43:H43"/>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46">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46">
    <cfRule type="expression" priority="16" dxfId="20">
      <formula>LEFT($H23,3)="N/A"</formula>
    </cfRule>
  </conditionalFormatting>
  <conditionalFormatting sqref="D23:D46">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F03 MH0720 10-Oct-26 CGK-KUL Class EY</oddHeader>
    <oddFooter>&amp;L&amp;"Arial,Bold"&amp;8 F03 MH0720 10-Oct-26 CGK-KUL Class EY&amp;C&amp;"Arial"&amp;8 Printed: ____________________&amp;R&amp;"Arial"&amp;8 F03  Page &amp;P of &amp;N</oddFooter>
    <evenHeader/>
    <evenFooter/>
    <firstHeader/>
    <firstFooter/>
  </headerFooter>
  <rowBreaks count="2" manualBreakCount="2">
    <brk id="20" min="0" max="16383" man="1"/>
    <brk id="33" min="0" max="16383" man="1"/>
  </rowBreaks>
</worksheet>
</file>

<file path=xl/worksheets/sheet12.xml><?xml version="1.0" encoding="utf-8"?>
<worksheet xmlns="http://schemas.openxmlformats.org/spreadsheetml/2006/main">
  <sheetPr>
    <tabColor rgb="001F3864"/>
    <outlinePr summaryBelow="1" summaryRight="1"/>
    <pageSetUpPr fitToPage="1"/>
  </sheetPr>
  <dimension ref="A1:H84"/>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F04  "&amp;Flights!$F$8&amp;"  "&amp;TEXT(Flights!$D$8,"DD-MMM-YY")&amp;" ("&amp;Flights!$E$8&amp;")  "&amp;Flights!$G$8&amp;" → "&amp;Flights!$H$8&amp;"  |  Class "&amp;Flights!$K$8</f>
        <v/>
      </c>
      <c r="B1" s="97" t="n"/>
      <c r="C1" s="97" t="n"/>
      <c r="D1" s="97" t="n"/>
      <c r="E1" s="97" t="n"/>
      <c r="F1" s="97" t="n"/>
      <c r="G1" s="97" t="n"/>
      <c r="H1" s="98" t="n"/>
    </row>
    <row r="2" ht="13" customHeight="1">
      <c r="A2" s="99" t="inlineStr">
        <is>
          <t>Flight / date</t>
        </is>
      </c>
      <c r="B2" s="100">
        <f>Flights!$F$8&amp;"   "&amp;TEXT(Flights!$D$8,"DD-MMM-YY")&amp;" ("&amp;Flights!$E$8&amp;")"</f>
        <v/>
      </c>
      <c r="C2" s="97" t="n"/>
      <c r="D2" s="98" t="n"/>
      <c r="E2" s="101" t="inlineStr">
        <is>
          <t>READINESS STATUS</t>
        </is>
      </c>
      <c r="F2" s="102">
        <f>Flights!$AT$8</f>
        <v/>
      </c>
      <c r="G2" s="97" t="n"/>
      <c r="H2" s="98" t="n"/>
    </row>
    <row r="3" ht="24" customHeight="1">
      <c r="A3" s="99" t="inlineStr">
        <is>
          <t>Sector / class / seat</t>
        </is>
      </c>
      <c r="B3" s="100">
        <f>Flights!$G$8&amp;" → "&amp;Flights!$H$8&amp;"   Class "&amp;Flights!$K$8&amp;"   Seat "&amp;Flights!$O$8</f>
        <v/>
      </c>
      <c r="C3" s="97" t="n"/>
      <c r="D3" s="98" t="n"/>
      <c r="E3" s="101" t="inlineStr">
        <is>
          <t>Checkpoint</t>
        </is>
      </c>
      <c r="F3" s="101" t="inlineStr">
        <is>
          <t>Due (local)</t>
        </is>
      </c>
      <c r="G3" s="103" t="inlineStr">
        <is>
          <t>% complete</t>
        </is>
      </c>
      <c r="H3" s="98" t="n"/>
    </row>
    <row r="4" ht="13" customHeight="1">
      <c r="A4" s="99" t="inlineStr">
        <is>
          <t>STD → STA (local)</t>
        </is>
      </c>
      <c r="B4" s="100">
        <f>IF(ISNUMBER(Flights!$I$8),TEXT(Flights!$I$8,"DD-MMM-YY HH:MM"),"")&amp;" "&amp;Flights!$G$8&amp;"  →  "&amp;IF(ISNUMBER(Flights!$J$8),TEXT(Flights!$J$8,"DD-MMM-YY HH:MM"),"")&amp;" "&amp;Flights!$H$8</f>
        <v/>
      </c>
      <c r="C4" s="97" t="n"/>
      <c r="D4" s="98" t="n"/>
      <c r="E4" s="99" t="inlineStr">
        <is>
          <t>T-7D – 7 days before departure</t>
        </is>
      </c>
      <c r="F4" s="104">
        <f>IF(ISNUMBER(Flights!$AG$8),TEXT(Flights!$AG$8,"DD-MMM-YY HH:MM"),"")&amp;" "&amp;Flights!$V$8</f>
        <v/>
      </c>
      <c r="G4" s="105">
        <f>Flights!$AJ$8</f>
        <v/>
      </c>
      <c r="H4" s="98" t="n"/>
    </row>
    <row r="5" ht="24" customHeight="1">
      <c r="A5" s="99" t="inlineStr">
        <is>
          <t>Fleet / aircraft ref</t>
        </is>
      </c>
      <c r="B5" s="100">
        <f>Flights!$L$8&amp;" – "&amp;Flights!$M$8</f>
        <v/>
      </c>
      <c r="C5" s="97" t="n"/>
      <c r="D5" s="98" t="n"/>
      <c r="E5" s="99" t="inlineStr">
        <is>
          <t>T-24H – production batch sensory</t>
        </is>
      </c>
      <c r="F5" s="104">
        <f>IF(ISNUMBER(Flights!$AH$8),TEXT(Flights!$AH$8,"DD-MMM-YY HH:MM"),"")&amp;" "&amp;Flights!$V$8</f>
        <v/>
      </c>
      <c r="G5" s="105">
        <f>Flights!$AK$8</f>
        <v/>
      </c>
      <c r="H5" s="98" t="n"/>
    </row>
    <row r="6" ht="13" customHeight="1">
      <c r="A6" s="99" t="inlineStr">
        <is>
          <t>Tail / Reg</t>
        </is>
      </c>
      <c r="B6" s="100">
        <f>IF(TRIM(Flights!$N$8)="","__________________",Flights!$N$8)</f>
        <v/>
      </c>
      <c r="C6" s="97" t="n"/>
      <c r="D6" s="98" t="n"/>
      <c r="E6" s="99" t="inlineStr">
        <is>
          <t>T-12H PREP – caterer prep only</t>
        </is>
      </c>
      <c r="F6" s="104">
        <f>IF(ISNUMBER(Flights!$AI$8),TEXT(Flights!$AI$8,"DD-MMM-YY HH:MM"),"")&amp;" "&amp;Flights!$V$8&amp;IF(Flights!$AI$8=Flights!$AH$8,"  (= T-24H due)","")</f>
        <v/>
      </c>
      <c r="G6" s="105">
        <f>Flights!$AL$8</f>
        <v/>
      </c>
      <c r="H6" s="98" t="n"/>
    </row>
    <row r="7" ht="13" customHeight="1">
      <c r="A7" s="99" t="inlineStr">
        <is>
          <t>Service type</t>
        </is>
      </c>
      <c r="B7" s="100">
        <f>Flights!$T$8</f>
        <v/>
      </c>
      <c r="C7" s="97" t="n"/>
      <c r="D7" s="98" t="n"/>
      <c r="E7" s="99" t="inlineStr">
        <is>
          <t>UPLIFT – on-board confirmation</t>
        </is>
      </c>
      <c r="F7" s="104">
        <f>"STD "&amp;IF(ISNUMBER(Flights!$I$8),TEXT(Flights!$I$8,"DD-MMM-YY HH:MM"),"")&amp;" "&amp;Flights!$G$8&amp;" (dep stn)"</f>
        <v/>
      </c>
      <c r="G7" s="105">
        <f>Flights!$AM$8</f>
        <v/>
      </c>
      <c r="H7" s="98" t="n"/>
    </row>
    <row r="8" ht="13" customHeight="1">
      <c r="A8" s="99" t="inlineStr">
        <is>
          <t>Meal uplift stn</t>
        </is>
      </c>
      <c r="B8" s="100">
        <f>Flights!$V$8&amp;"   (reference uplift stns: "&amp;Flights!$U$8&amp;")"</f>
        <v/>
      </c>
      <c r="C8" s="97" t="n"/>
      <c r="D8" s="98" t="n"/>
      <c r="E8" s="99" t="inlineStr">
        <is>
          <t>OVERALL (all checkpoints)</t>
        </is>
      </c>
      <c r="F8" s="106" t="inlineStr">
        <is>
          <t>–</t>
        </is>
      </c>
      <c r="G8" s="105">
        <f>Flights!$AN$8</f>
        <v/>
      </c>
      <c r="H8" s="98" t="n"/>
    </row>
    <row r="9" ht="13" customHeight="1">
      <c r="A9" s="99" t="inlineStr">
        <is>
          <t>Transit / remark</t>
        </is>
      </c>
      <c r="B9" s="100">
        <f>TRIM(Flights!$P$8&amp;"  "&amp;Flights!$Q$8)</f>
        <v/>
      </c>
      <c r="C9" s="97" t="n"/>
      <c r="D9" s="98" t="n"/>
      <c r="E9" s="99" t="inlineStr">
        <is>
          <t>Overdue / discrep. / invalid</t>
        </is>
      </c>
      <c r="F9" s="107">
        <f>Flights!$AP$8</f>
        <v/>
      </c>
      <c r="G9" s="107">
        <f>Flights!$AQ$8</f>
        <v/>
      </c>
      <c r="H9" s="107">
        <f>Flights!$AU$8</f>
        <v/>
      </c>
    </row>
    <row r="10" ht="13" customHeight="1">
      <c r="A10" s="99" t="inlineStr">
        <is>
          <t>Caterer</t>
        </is>
      </c>
      <c r="B10" s="100">
        <f>IF(TRIM(Flights!$X$8)="","__________________",Flights!$X$8)</f>
        <v/>
      </c>
      <c r="C10" s="97" t="n"/>
      <c r="D10" s="98" t="n"/>
      <c r="E10" s="99" t="inlineStr">
        <is>
          <t>Open reqd / clarif. / docs out</t>
        </is>
      </c>
      <c r="F10" s="107">
        <f>Flights!$AO$8</f>
        <v/>
      </c>
      <c r="G10" s="107">
        <f>Flights!$AS$8</f>
        <v/>
      </c>
      <c r="H10" s="107">
        <f>Flights!$AR$8</f>
        <v/>
      </c>
    </row>
    <row r="11" ht="13" customHeight="1">
      <c r="A11" s="99" t="inlineStr">
        <is>
          <t>Flight PIC</t>
        </is>
      </c>
      <c r="B11" s="100">
        <f>IF(TRIM(Flights!$Y$8)="","__________________",Flights!$Y$8)</f>
        <v/>
      </c>
      <c r="C11" s="97" t="n"/>
      <c r="D11" s="98" t="n"/>
      <c r="E11" s="99" t="inlineStr">
        <is>
          <t>Done / in scope | as of UTC</t>
        </is>
      </c>
      <c r="F11" s="107">
        <f>Flights!$AV$8&amp;" / "&amp;Flights!$AW$8</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IF(Documents!$F$8="","",Documents!$F$8)</f>
        <v/>
      </c>
      <c r="C14" s="115">
        <f>IF(Documents!$G$8="","",Documents!$G$8)&amp;IF(ISNUMBER(Documents!$H$8),"  "&amp;TEXT(Documents!$H$8,"DD-MMM-YY"),"")</f>
        <v/>
      </c>
      <c r="D14" s="98" t="n"/>
      <c r="E14" s="116">
        <f>IF(Documents!$J$8="OUTSTANDING","OUTSTANDING – attach before T-7D (due "&amp;IF(ISNUMBER(Flights!$AG$8),TEXT(Flights!$AG$8,"DD-MMM-YY HH:MM"),"")&amp;" "&amp;Flights!$V$8&amp;")",IF(Documents!$J$8="","Status not recorded",Documents!$J$8))</f>
        <v/>
      </c>
      <c r="F14" s="117">
        <f>"Staple behind this sheet as page A1."&amp;IF(Documents!$I$8="",""," Location: "&amp;Documents!$I$8)</f>
        <v/>
      </c>
      <c r="G14" s="97" t="n"/>
      <c r="H14" s="98" t="n"/>
    </row>
    <row r="15" ht="25" customHeight="1">
      <c r="A15" s="99" t="inlineStr">
        <is>
          <t>A2  Menu Checklist</t>
        </is>
      </c>
      <c r="B15" s="114">
        <f>IF(Documents!$K$8="","",Documents!$K$8)</f>
        <v/>
      </c>
      <c r="C15" s="115">
        <f>IF(Documents!$L$8="","",Documents!$L$8)&amp;IF(ISNUMBER(Documents!$M$8),"  "&amp;TEXT(Documents!$M$8,"DD-MMM-YY"),"")</f>
        <v/>
      </c>
      <c r="D15" s="98" t="n"/>
      <c r="E15" s="116">
        <f>IF(Documents!$O$8="OUTSTANDING","OUTSTANDING – attach before T-7D (due "&amp;IF(ISNUMBER(Flights!$AG$8),TEXT(Flights!$AG$8,"DD-MMM-YY HH:MM"),"")&amp;" "&amp;Flights!$V$8&amp;")",IF(Documents!$O$8="","Status not recorded",Documents!$O$8))</f>
        <v/>
      </c>
      <c r="F15" s="117">
        <f>"Staple behind this sheet as page A2."&amp;IF(Documents!$N$8="",""," Location: "&amp;Documents!$N$8)</f>
        <v/>
      </c>
      <c r="G15" s="97" t="n"/>
      <c r="H15" s="98" t="n"/>
    </row>
    <row r="16" ht="33" customHeight="1">
      <c r="A16" s="99" t="inlineStr">
        <is>
          <t>Document notes</t>
        </is>
      </c>
      <c r="B16" s="118">
        <f>IF(Documents!$Q$8="","",Documents!$Q$8)</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"&amp;IF(TRIM(Flights!$Y$8)="","__________________",Flights!$Y$8)</f>
        <v/>
      </c>
      <c r="B18" s="98" t="n"/>
      <c r="C18" s="100">
        <f>"Name: __________________"</f>
        <v/>
      </c>
      <c r="D18" s="97" t="n"/>
      <c r="E18" s="98" t="n"/>
      <c r="F18" s="100">
        <f>"Name: __________________"&amp;"   Station: "&amp;Flights!$V$8</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"&amp;IF(ISNUMBER(Flights!$AG$8),TEXT(Flights!$AG$8,"DD-MMM-YY HH:MM"),"")&amp;" "&amp;Flights!$V$8&amp;" (meal uplift stn)"&amp;" (rows with another due show their own)  |  Complete "&amp;IF(ISNUMBER(Flights!$AJ$8),TEXT(Flights!$AJ$8,"0%"),Flights!$AJ$8)&amp;"  |  9 lines"</f>
        <v/>
      </c>
      <c r="B22" s="97" t="n"/>
      <c r="C22" s="97" t="n"/>
      <c r="D22" s="97" t="n"/>
      <c r="E22" s="97" t="n"/>
      <c r="F22" s="97" t="n"/>
      <c r="G22" s="97" t="n"/>
      <c r="H22" s="98" t="n"/>
    </row>
    <row r="23" ht="81" customHeight="1">
      <c r="A23" s="124">
        <f>Checks!$A$90&amp;CHAR(10)&amp;IF(Checks!$I$90="","",Checks!$I$90&amp;": ")&amp;Checks!$J$90</f>
        <v/>
      </c>
      <c r="B23" s="124">
        <f>Checks!$K$90&amp;IF(Checks!$O$90="","",IF(Checks!$K$90="","",CHAR(10))&amp;"Note: "&amp;Checks!$O$90)</f>
        <v/>
      </c>
      <c r="C23" s="124">
        <f>Checks!$N$90&amp;CHAR(10)&amp;IF(ISNUMBER(Checks!$R$90),TEXT(Checks!$R$90,"DD-MMM-YY HH:MM"),"")&amp;" "&amp;Checks!$P$90</f>
        <v/>
      </c>
      <c r="D23" s="124">
        <f>IF(Checks!$U$90="","",Checks!$U$90)&amp;IF(Checks!$AB$90="","",CHAR(10)&amp;"CA: "&amp;Checks!$AB$90)</f>
        <v/>
      </c>
      <c r="E23" s="124">
        <f>IF(Checks!$V$90="","",Checks!$V$90)&amp;IF(Checks!$AC$90="","",IF(Checks!$V$90="","",CHAR(10))&amp;"N/A just.: "&amp;Checks!$AC$90)&amp;IF(Checks!$W$90="","",CHAR(10)&amp;"Batch: "&amp;Checks!$W$90)&amp;IF(AND(Checks!$X$90="",Checks!$Y$90=""),"",CHAR(10)&amp;"Exp: "&amp;Checks!$X$90&amp;"  /  Act: "&amp;Checks!$Y$90)</f>
        <v/>
      </c>
      <c r="F23" s="124">
        <f>IF(Checks!$Z$90="","","Evidence: "&amp;Checks!$Z$90)&amp;IF(Checks!$AA$90="","",IF(Checks!$Z$90="","",CHAR(10))&amp;"CA: "&amp;Checks!$AA$90)</f>
        <v/>
      </c>
      <c r="G23" s="124">
        <f>IF(ISNUMBER(Checks!$AD$90),TEXT(Checks!$AD$90,"DD-MMM-YY HH:MM")&amp;" "&amp;Checks!$P$90,"")&amp;IF(Checks!$AE$90="","",CHAR(10)&amp;Checks!$AE$90)</f>
        <v/>
      </c>
      <c r="H23" s="125">
        <f>IF(Checks!$AH$90="","",Checks!$AH$90)</f>
        <v/>
      </c>
    </row>
    <row r="24" ht="81" customHeight="1">
      <c r="A24" s="124">
        <f>Checks!$A$91&amp;CHAR(10)&amp;IF(Checks!$I$91="","",Checks!$I$91&amp;": ")&amp;Checks!$J$91</f>
        <v/>
      </c>
      <c r="B24" s="124">
        <f>Checks!$K$91&amp;IF(Checks!$O$91="","",IF(Checks!$K$91="","",CHAR(10))&amp;"Note: "&amp;Checks!$O$91)</f>
        <v/>
      </c>
      <c r="C24" s="124">
        <f>Checks!$N$91&amp;CHAR(10)&amp;IF(ISNUMBER(Checks!$R$91),TEXT(Checks!$R$91,"DD-MMM-YY HH:MM"),"")&amp;" "&amp;Checks!$P$91</f>
        <v/>
      </c>
      <c r="D24" s="124">
        <f>IF(Checks!$U$91="","",Checks!$U$91)&amp;IF(Checks!$AB$91="","",CHAR(10)&amp;"CA: "&amp;Checks!$AB$91)</f>
        <v/>
      </c>
      <c r="E24" s="124">
        <f>IF(Checks!$V$91="","",Checks!$V$91)&amp;IF(Checks!$AC$91="","",IF(Checks!$V$91="","",CHAR(10))&amp;"N/A just.: "&amp;Checks!$AC$91)&amp;IF(Checks!$W$91="","",CHAR(10)&amp;"Batch: "&amp;Checks!$W$91)&amp;IF(AND(Checks!$X$91="",Checks!$Y$91=""),"",CHAR(10)&amp;"Exp: "&amp;Checks!$X$91&amp;"  /  Act: "&amp;Checks!$Y$91)</f>
        <v/>
      </c>
      <c r="F24" s="124">
        <f>IF(Checks!$Z$91="","","Evidence: "&amp;Checks!$Z$91)&amp;IF(Checks!$AA$91="","",IF(Checks!$Z$91="","",CHAR(10))&amp;"CA: "&amp;Checks!$AA$91)</f>
        <v/>
      </c>
      <c r="G24" s="124">
        <f>IF(ISNUMBER(Checks!$AD$91),TEXT(Checks!$AD$91,"DD-MMM-YY HH:MM")&amp;" "&amp;Checks!$P$91,"")&amp;IF(Checks!$AE$91="","",CHAR(10)&amp;Checks!$AE$91)</f>
        <v/>
      </c>
      <c r="H24" s="125">
        <f>IF(Checks!$AH$91="","",Checks!$AH$91)</f>
        <v/>
      </c>
    </row>
    <row r="25" ht="92" customHeight="1">
      <c r="A25" s="124">
        <f>Checks!$A$92&amp;CHAR(10)&amp;IF(Checks!$I$92="","",Checks!$I$92&amp;": ")&amp;Checks!$J$92</f>
        <v/>
      </c>
      <c r="B25" s="124">
        <f>Checks!$K$92&amp;IF(Checks!$O$92="","",IF(Checks!$K$92="","",CHAR(10))&amp;"Note: "&amp;Checks!$O$92)</f>
        <v/>
      </c>
      <c r="C25" s="124">
        <f>Checks!$N$92&amp;CHAR(10)&amp;IF(ISNUMBER(Checks!$R$92),TEXT(Checks!$R$92,"DD-MMM-YY HH:MM"),"")&amp;" "&amp;Checks!$P$92</f>
        <v/>
      </c>
      <c r="D25" s="124">
        <f>IF(Checks!$U$92="","",Checks!$U$92)&amp;IF(Checks!$AB$92="","",CHAR(10)&amp;"CA: "&amp;Checks!$AB$92)</f>
        <v/>
      </c>
      <c r="E25" s="124">
        <f>IF(Checks!$V$92="","",Checks!$V$92)&amp;IF(Checks!$AC$92="","",IF(Checks!$V$92="","",CHAR(10))&amp;"N/A just.: "&amp;Checks!$AC$92)&amp;IF(Checks!$W$92="","",CHAR(10)&amp;"Batch: "&amp;Checks!$W$92)&amp;IF(AND(Checks!$X$92="",Checks!$Y$92=""),"",CHAR(10)&amp;"Exp: "&amp;Checks!$X$92&amp;"  /  Act: "&amp;Checks!$Y$92)</f>
        <v/>
      </c>
      <c r="F25" s="124">
        <f>IF(Checks!$Z$92="","","Evidence: "&amp;Checks!$Z$92)&amp;IF(Checks!$AA$92="","",IF(Checks!$Z$92="","",CHAR(10))&amp;"CA: "&amp;Checks!$AA$92)</f>
        <v/>
      </c>
      <c r="G25" s="124">
        <f>IF(ISNUMBER(Checks!$AD$92),TEXT(Checks!$AD$92,"DD-MMM-YY HH:MM")&amp;" "&amp;Checks!$P$92,"")&amp;IF(Checks!$AE$92="","",CHAR(10)&amp;Checks!$AE$92)</f>
        <v/>
      </c>
      <c r="H25" s="125">
        <f>IF(Checks!$AH$92="","",Checks!$AH$92)</f>
        <v/>
      </c>
    </row>
    <row r="26" ht="81" customHeight="1">
      <c r="A26" s="124">
        <f>Checks!$A$93&amp;CHAR(10)&amp;IF(Checks!$I$93="","",Checks!$I$93&amp;": ")&amp;Checks!$J$93</f>
        <v/>
      </c>
      <c r="B26" s="124">
        <f>Checks!$K$93&amp;IF(Checks!$O$93="","",IF(Checks!$K$93="","",CHAR(10))&amp;"Note: "&amp;Checks!$O$93)</f>
        <v/>
      </c>
      <c r="C26" s="124">
        <f>Checks!$N$93&amp;CHAR(10)&amp;IF(ISNUMBER(Checks!$R$93),TEXT(Checks!$R$93,"DD-MMM-YY HH:MM"),"")&amp;" "&amp;Checks!$P$93</f>
        <v/>
      </c>
      <c r="D26" s="124">
        <f>IF(Checks!$U$93="","",Checks!$U$93)&amp;IF(Checks!$AB$93="","",CHAR(10)&amp;"CA: "&amp;Checks!$AB$93)</f>
        <v/>
      </c>
      <c r="E26" s="124">
        <f>IF(Checks!$V$93="","",Checks!$V$93)&amp;IF(Checks!$AC$93="","",IF(Checks!$V$93="","",CHAR(10))&amp;"N/A just.: "&amp;Checks!$AC$93)&amp;IF(Checks!$W$93="","",CHAR(10)&amp;"Batch: "&amp;Checks!$W$93)&amp;IF(AND(Checks!$X$93="",Checks!$Y$93=""),"",CHAR(10)&amp;"Exp: "&amp;Checks!$X$93&amp;"  /  Act: "&amp;Checks!$Y$93)</f>
        <v/>
      </c>
      <c r="F26" s="124">
        <f>IF(Checks!$Z$93="","","Evidence: "&amp;Checks!$Z$93)&amp;IF(Checks!$AA$93="","",IF(Checks!$Z$93="","",CHAR(10))&amp;"CA: "&amp;Checks!$AA$93)</f>
        <v/>
      </c>
      <c r="G26" s="124">
        <f>IF(ISNUMBER(Checks!$AD$93),TEXT(Checks!$AD$93,"DD-MMM-YY HH:MM")&amp;" "&amp;Checks!$P$93,"")&amp;IF(Checks!$AE$93="","",CHAR(10)&amp;Checks!$AE$93)</f>
        <v/>
      </c>
      <c r="H26" s="125">
        <f>IF(Checks!$AH$93="","",Checks!$AH$93)</f>
        <v/>
      </c>
    </row>
    <row r="27" ht="81" customHeight="1">
      <c r="A27" s="124">
        <f>Checks!$A$94&amp;CHAR(10)&amp;IF(Checks!$I$94="","",Checks!$I$94&amp;": ")&amp;Checks!$J$94</f>
        <v/>
      </c>
      <c r="B27" s="124">
        <f>Checks!$K$94&amp;IF(Checks!$O$94="","",IF(Checks!$K$94="","",CHAR(10))&amp;"Note: "&amp;Checks!$O$94)</f>
        <v/>
      </c>
      <c r="C27" s="124">
        <f>Checks!$N$94&amp;CHAR(10)&amp;IF(ISNUMBER(Checks!$R$94),TEXT(Checks!$R$94,"DD-MMM-YY HH:MM"),"")&amp;" "&amp;Checks!$P$94</f>
        <v/>
      </c>
      <c r="D27" s="124">
        <f>IF(Checks!$U$94="","",Checks!$U$94)&amp;IF(Checks!$AB$94="","",CHAR(10)&amp;"CA: "&amp;Checks!$AB$94)</f>
        <v/>
      </c>
      <c r="E27" s="124">
        <f>IF(Checks!$V$94="","",Checks!$V$94)&amp;IF(Checks!$AC$94="","",IF(Checks!$V$94="","",CHAR(10))&amp;"N/A just.: "&amp;Checks!$AC$94)&amp;IF(Checks!$W$94="","",CHAR(10)&amp;"Batch: "&amp;Checks!$W$94)&amp;IF(AND(Checks!$X$94="",Checks!$Y$94=""),"",CHAR(10)&amp;"Exp: "&amp;Checks!$X$94&amp;"  /  Act: "&amp;Checks!$Y$94)</f>
        <v/>
      </c>
      <c r="F27" s="124">
        <f>IF(Checks!$Z$94="","","Evidence: "&amp;Checks!$Z$94)&amp;IF(Checks!$AA$94="","",IF(Checks!$Z$94="","",CHAR(10))&amp;"CA: "&amp;Checks!$AA$94)</f>
        <v/>
      </c>
      <c r="G27" s="124">
        <f>IF(ISNUMBER(Checks!$AD$94),TEXT(Checks!$AD$94,"DD-MMM-YY HH:MM")&amp;" "&amp;Checks!$P$94,"")&amp;IF(Checks!$AE$94="","",CHAR(10)&amp;Checks!$AE$94)</f>
        <v/>
      </c>
      <c r="H27" s="125">
        <f>IF(Checks!$AH$94="","",Checks!$AH$94)</f>
        <v/>
      </c>
    </row>
    <row r="28" ht="81" customHeight="1">
      <c r="A28" s="124">
        <f>Checks!$A$95&amp;CHAR(10)&amp;IF(Checks!$I$95="","",Checks!$I$95&amp;": ")&amp;Checks!$J$95</f>
        <v/>
      </c>
      <c r="B28" s="124">
        <f>Checks!$K$95&amp;IF(Checks!$O$95="","",IF(Checks!$K$95="","",CHAR(10))&amp;"Note: "&amp;Checks!$O$95)</f>
        <v/>
      </c>
      <c r="C28" s="124">
        <f>Checks!$N$95&amp;CHAR(10)&amp;IF(ISNUMBER(Checks!$R$95),TEXT(Checks!$R$95,"DD-MMM-YY HH:MM"),"")&amp;" "&amp;Checks!$P$95</f>
        <v/>
      </c>
      <c r="D28" s="124">
        <f>IF(Checks!$U$95="","",Checks!$U$95)&amp;IF(Checks!$AB$95="","",CHAR(10)&amp;"CA: "&amp;Checks!$AB$95)</f>
        <v/>
      </c>
      <c r="E28" s="124">
        <f>IF(Checks!$V$95="","",Checks!$V$95)&amp;IF(Checks!$AC$95="","",IF(Checks!$V$95="","",CHAR(10))&amp;"N/A just.: "&amp;Checks!$AC$95)&amp;IF(Checks!$W$95="","",CHAR(10)&amp;"Batch: "&amp;Checks!$W$95)&amp;IF(AND(Checks!$X$95="",Checks!$Y$95=""),"",CHAR(10)&amp;"Exp: "&amp;Checks!$X$95&amp;"  /  Act: "&amp;Checks!$Y$95)</f>
        <v/>
      </c>
      <c r="F28" s="124">
        <f>IF(Checks!$Z$95="","","Evidence: "&amp;Checks!$Z$95)&amp;IF(Checks!$AA$95="","",IF(Checks!$Z$95="","",CHAR(10))&amp;"CA: "&amp;Checks!$AA$95)</f>
        <v/>
      </c>
      <c r="G28" s="124">
        <f>IF(ISNUMBER(Checks!$AD$95),TEXT(Checks!$AD$95,"DD-MMM-YY HH:MM")&amp;" "&amp;Checks!$P$95,"")&amp;IF(Checks!$AE$95="","",CHAR(10)&amp;Checks!$AE$95)</f>
        <v/>
      </c>
      <c r="H28" s="125">
        <f>IF(Checks!$AH$95="","",Checks!$AH$95)</f>
        <v/>
      </c>
    </row>
    <row r="29" ht="81" customHeight="1">
      <c r="A29" s="124">
        <f>Checks!$A$96&amp;CHAR(10)&amp;IF(Checks!$I$96="","",Checks!$I$96&amp;": ")&amp;Checks!$J$96</f>
        <v/>
      </c>
      <c r="B29" s="124">
        <f>Checks!$K$96&amp;IF(Checks!$O$96="","",IF(Checks!$K$96="","",CHAR(10))&amp;"Note: "&amp;Checks!$O$96)</f>
        <v/>
      </c>
      <c r="C29" s="124">
        <f>Checks!$N$96&amp;CHAR(10)&amp;IF(ISNUMBER(Checks!$R$96),TEXT(Checks!$R$96,"DD-MMM-YY HH:MM"),"")&amp;" "&amp;Checks!$P$96</f>
        <v/>
      </c>
      <c r="D29" s="124">
        <f>IF(Checks!$U$96="","",Checks!$U$96)&amp;IF(Checks!$AB$96="","",CHAR(10)&amp;"CA: "&amp;Checks!$AB$96)</f>
        <v/>
      </c>
      <c r="E29" s="124">
        <f>IF(Checks!$V$96="","",Checks!$V$96)&amp;IF(Checks!$AC$96="","",IF(Checks!$V$96="","",CHAR(10))&amp;"N/A just.: "&amp;Checks!$AC$96)&amp;IF(Checks!$W$96="","",CHAR(10)&amp;"Batch: "&amp;Checks!$W$96)&amp;IF(AND(Checks!$X$96="",Checks!$Y$96=""),"",CHAR(10)&amp;"Exp: "&amp;Checks!$X$96&amp;"  /  Act: "&amp;Checks!$Y$96)</f>
        <v/>
      </c>
      <c r="F29" s="124">
        <f>IF(Checks!$Z$96="","","Evidence: "&amp;Checks!$Z$96)&amp;IF(Checks!$AA$96="","",IF(Checks!$Z$96="","",CHAR(10))&amp;"CA: "&amp;Checks!$AA$96)</f>
        <v/>
      </c>
      <c r="G29" s="124">
        <f>IF(ISNUMBER(Checks!$AD$96),TEXT(Checks!$AD$96,"DD-MMM-YY HH:MM")&amp;" "&amp;Checks!$P$96,"")&amp;IF(Checks!$AE$96="","",CHAR(10)&amp;Checks!$AE$96)</f>
        <v/>
      </c>
      <c r="H29" s="125">
        <f>IF(Checks!$AH$96="","",Checks!$AH$96)</f>
        <v/>
      </c>
    </row>
    <row r="30" ht="81" customHeight="1">
      <c r="A30" s="124">
        <f>Checks!$A$97&amp;CHAR(10)&amp;IF(Checks!$I$97="","",Checks!$I$97&amp;": ")&amp;Checks!$J$97</f>
        <v/>
      </c>
      <c r="B30" s="124">
        <f>Checks!$K$97&amp;IF(Checks!$O$97="","",IF(Checks!$K$97="","",CHAR(10))&amp;"Note: "&amp;Checks!$O$97)</f>
        <v/>
      </c>
      <c r="C30" s="124">
        <f>Checks!$N$97&amp;CHAR(10)&amp;IF(ISNUMBER(Checks!$R$97),TEXT(Checks!$R$97,"DD-MMM-YY HH:MM"),"")&amp;" "&amp;Checks!$P$97</f>
        <v/>
      </c>
      <c r="D30" s="124">
        <f>IF(Checks!$U$97="","",Checks!$U$97)&amp;IF(Checks!$AB$97="","",CHAR(10)&amp;"CA: "&amp;Checks!$AB$97)</f>
        <v/>
      </c>
      <c r="E30" s="124">
        <f>IF(Checks!$V$97="","",Checks!$V$97)&amp;IF(Checks!$AC$97="","",IF(Checks!$V$97="","",CHAR(10))&amp;"N/A just.: "&amp;Checks!$AC$97)&amp;IF(Checks!$W$97="","",CHAR(10)&amp;"Batch: "&amp;Checks!$W$97)&amp;IF(AND(Checks!$X$97="",Checks!$Y$97=""),"",CHAR(10)&amp;"Exp: "&amp;Checks!$X$97&amp;"  /  Act: "&amp;Checks!$Y$97)</f>
        <v/>
      </c>
      <c r="F30" s="124">
        <f>IF(Checks!$Z$97="","","Evidence: "&amp;Checks!$Z$97)&amp;IF(Checks!$AA$97="","",IF(Checks!$Z$97="","",CHAR(10))&amp;"CA: "&amp;Checks!$AA$97)</f>
        <v/>
      </c>
      <c r="G30" s="124">
        <f>IF(ISNUMBER(Checks!$AD$97),TEXT(Checks!$AD$97,"DD-MMM-YY HH:MM")&amp;" "&amp;Checks!$P$97,"")&amp;IF(Checks!$AE$97="","",CHAR(10)&amp;Checks!$AE$97)</f>
        <v/>
      </c>
      <c r="H30" s="125">
        <f>IF(Checks!$AH$97="","",Checks!$AH$97)</f>
        <v/>
      </c>
    </row>
    <row r="31" ht="81" customHeight="1">
      <c r="A31" s="124">
        <f>Checks!$A$98&amp;CHAR(10)&amp;IF(Checks!$I$98="","",Checks!$I$98&amp;": ")&amp;Checks!$J$98</f>
        <v/>
      </c>
      <c r="B31" s="124">
        <f>Checks!$K$98&amp;IF(Checks!$O$98="","",IF(Checks!$K$98="","",CHAR(10))&amp;"Note: "&amp;Checks!$O$98)</f>
        <v/>
      </c>
      <c r="C31" s="124">
        <f>Checks!$N$98&amp;CHAR(10)&amp;IF(ISNUMBER(Checks!$R$98),TEXT(Checks!$R$98,"DD-MMM-YY HH:MM"),"")&amp;" "&amp;Checks!$P$98</f>
        <v/>
      </c>
      <c r="D31" s="124">
        <f>IF(Checks!$U$98="","",Checks!$U$98)&amp;IF(Checks!$AB$98="","",CHAR(10)&amp;"CA: "&amp;Checks!$AB$98)</f>
        <v/>
      </c>
      <c r="E31" s="124">
        <f>IF(Checks!$V$98="","",Checks!$V$98)&amp;IF(Checks!$AC$98="","",IF(Checks!$V$98="","",CHAR(10))&amp;"N/A just.: "&amp;Checks!$AC$98)&amp;IF(Checks!$W$98="","",CHAR(10)&amp;"Batch: "&amp;Checks!$W$98)&amp;IF(AND(Checks!$X$98="",Checks!$Y$98=""),"",CHAR(10)&amp;"Exp: "&amp;Checks!$X$98&amp;"  /  Act: "&amp;Checks!$Y$98)</f>
        <v/>
      </c>
      <c r="F31" s="124">
        <f>IF(Checks!$Z$98="","","Evidence: "&amp;Checks!$Z$98)&amp;IF(Checks!$AA$98="","",IF(Checks!$Z$98="","",CHAR(10))&amp;"CA: "&amp;Checks!$AA$98)</f>
        <v/>
      </c>
      <c r="G31" s="124">
        <f>IF(ISNUMBER(Checks!$AD$98),TEXT(Checks!$AD$98,"DD-MMM-YY HH:MM")&amp;" "&amp;Checks!$P$98,"")&amp;IF(Checks!$AE$98="","",CHAR(10)&amp;Checks!$AE$98)</f>
        <v/>
      </c>
      <c r="H31" s="125">
        <f>IF(Checks!$AH$98="","",Checks!$AH$98)</f>
        <v/>
      </c>
    </row>
    <row r="32" ht="26" customHeight="1">
      <c r="A32" s="123">
        <f>"T-24H — Production batch sensory  |  Due "&amp;IF(ISNUMBER(Flights!$AH$8),TEXT(Flights!$AH$8,"DD-MMM-YY HH:MM"),"")&amp;" "&amp;Flights!$V$8&amp;" (meal uplift stn)"&amp;" (rows with another due show their own)  |  Complete "&amp;IF(ISNUMBER(Flights!$AK$8),TEXT(Flights!$AK$8,"0%"),Flights!$AK$8)&amp;"  |  1 lines"</f>
        <v/>
      </c>
      <c r="B32" s="97" t="n"/>
      <c r="C32" s="97" t="n"/>
      <c r="D32" s="97" t="n"/>
      <c r="E32" s="97" t="n"/>
      <c r="F32" s="97" t="n"/>
      <c r="G32" s="97" t="n"/>
      <c r="H32" s="98" t="n"/>
    </row>
    <row r="33" ht="81" customHeight="1">
      <c r="A33" s="124">
        <f>Checks!$A$99&amp;CHAR(10)&amp;IF(Checks!$I$99="","",Checks!$I$99&amp;": ")&amp;Checks!$J$99</f>
        <v/>
      </c>
      <c r="B33" s="124">
        <f>Checks!$K$99&amp;IF(Checks!$O$99="","",IF(Checks!$K$99="","",CHAR(10))&amp;"Note: "&amp;Checks!$O$99)</f>
        <v/>
      </c>
      <c r="C33" s="124">
        <f>Checks!$N$99&amp;CHAR(10)&amp;IF(ISNUMBER(Checks!$R$99),TEXT(Checks!$R$99,"DD-MMM-YY HH:MM"),"")&amp;" "&amp;Checks!$P$99</f>
        <v/>
      </c>
      <c r="D33" s="124">
        <f>IF(Checks!$U$99="","",Checks!$U$99)&amp;IF(Checks!$AB$99="","",CHAR(10)&amp;"CA: "&amp;Checks!$AB$99)</f>
        <v/>
      </c>
      <c r="E33" s="124">
        <f>IF(Checks!$V$99="","",Checks!$V$99)&amp;IF(Checks!$AC$99="","",IF(Checks!$V$99="","",CHAR(10))&amp;"N/A just.: "&amp;Checks!$AC$99)&amp;IF(Checks!$W$99="","",CHAR(10)&amp;"Batch: "&amp;Checks!$W$99)&amp;IF(AND(Checks!$X$99="",Checks!$Y$99=""),"",CHAR(10)&amp;"Exp: "&amp;Checks!$X$99&amp;"  /  Act: "&amp;Checks!$Y$99)</f>
        <v/>
      </c>
      <c r="F33" s="124">
        <f>IF(Checks!$Z$99="","","Evidence: "&amp;Checks!$Z$99)&amp;IF(Checks!$AA$99="","",IF(Checks!$Z$99="","",CHAR(10))&amp;"CA: "&amp;Checks!$AA$99)</f>
        <v/>
      </c>
      <c r="G33" s="124">
        <f>IF(ISNUMBER(Checks!$AD$99),TEXT(Checks!$AD$99,"DD-MMM-YY HH:MM")&amp;" "&amp;Checks!$P$99,"")&amp;IF(Checks!$AE$99="","",CHAR(10)&amp;Checks!$AE$99)</f>
        <v/>
      </c>
      <c r="H33" s="125">
        <f>IF(Checks!$AH$99="","",Checks!$AH$99)</f>
        <v/>
      </c>
    </row>
    <row r="34" ht="26" customHeight="1">
      <c r="A34" s="123">
        <f>"T-12H PREP — Preparation check at caterer (does NOT confirm loading)  |  Due "&amp;IF(ISNUMBER(Flights!$AI$8),TEXT(Flights!$AI$8,"DD-MMM-YY HH:MM"),"")&amp;" "&amp;Flights!$V$8&amp;" (meal uplift stn)"&amp;" (rows with another due show their own)  |  Complete "&amp;IF(ISNUMBER(Flights!$AL$8),TEXT(Flights!$AL$8,"0%"),Flights!$AL$8)&amp;"  |  21 lines"</f>
        <v/>
      </c>
      <c r="B34" s="97" t="n"/>
      <c r="C34" s="97" t="n"/>
      <c r="D34" s="97" t="n"/>
      <c r="E34" s="97" t="n"/>
      <c r="F34" s="97" t="n"/>
      <c r="G34" s="97" t="n"/>
      <c r="H34" s="98" t="n"/>
    </row>
    <row r="35" ht="81" customHeight="1">
      <c r="A35" s="124">
        <f>Checks!$A$100&amp;CHAR(10)&amp;IF(Checks!$I$100="","",Checks!$I$100&amp;": ")&amp;Checks!$J$100</f>
        <v/>
      </c>
      <c r="B35" s="124">
        <f>Checks!$K$100&amp;IF(Checks!$O$100="","",IF(Checks!$K$100="","",CHAR(10))&amp;"Note: "&amp;Checks!$O$100)</f>
        <v/>
      </c>
      <c r="C35" s="124">
        <f>Checks!$N$100&amp;CHAR(10)&amp;IF(ISNUMBER(Checks!$R$100),TEXT(Checks!$R$100,"DD-MMM-YY HH:MM"),"")&amp;" "&amp;Checks!$P$100</f>
        <v/>
      </c>
      <c r="D35" s="124">
        <f>IF(Checks!$U$100="","",Checks!$U$100)&amp;IF(Checks!$AB$100="","",CHAR(10)&amp;"CA: "&amp;Checks!$AB$100)</f>
        <v/>
      </c>
      <c r="E35" s="124">
        <f>IF(Checks!$V$100="","",Checks!$V$100)&amp;IF(Checks!$AC$100="","",IF(Checks!$V$100="","",CHAR(10))&amp;"N/A just.: "&amp;Checks!$AC$100)&amp;IF(Checks!$W$100="","",CHAR(10)&amp;"Batch: "&amp;Checks!$W$100)&amp;IF(AND(Checks!$X$100="",Checks!$Y$100=""),"",CHAR(10)&amp;"Exp: "&amp;Checks!$X$100&amp;"  /  Act: "&amp;Checks!$Y$100)</f>
        <v/>
      </c>
      <c r="F35" s="124">
        <f>IF(Checks!$Z$100="","","Evidence: "&amp;Checks!$Z$100)&amp;IF(Checks!$AA$100="","",IF(Checks!$Z$100="","",CHAR(10))&amp;"CA: "&amp;Checks!$AA$100)</f>
        <v/>
      </c>
      <c r="G35" s="124">
        <f>IF(ISNUMBER(Checks!$AD$100),TEXT(Checks!$AD$100,"DD-MMM-YY HH:MM")&amp;" "&amp;Checks!$P$100,"")&amp;IF(Checks!$AE$100="","",CHAR(10)&amp;Checks!$AE$100)</f>
        <v/>
      </c>
      <c r="H35" s="125">
        <f>IF(Checks!$AH$100="","",Checks!$AH$100)</f>
        <v/>
      </c>
    </row>
    <row r="36" ht="81" customHeight="1">
      <c r="A36" s="124">
        <f>Checks!$A$101&amp;CHAR(10)&amp;IF(Checks!$I$101="","",Checks!$I$101&amp;": ")&amp;Checks!$J$101</f>
        <v/>
      </c>
      <c r="B36" s="124">
        <f>Checks!$K$101&amp;IF(Checks!$O$101="","",IF(Checks!$K$101="","",CHAR(10))&amp;"Note: "&amp;Checks!$O$101)</f>
        <v/>
      </c>
      <c r="C36" s="124">
        <f>Checks!$N$101&amp;CHAR(10)&amp;IF(ISNUMBER(Checks!$R$101),TEXT(Checks!$R$101,"DD-MMM-YY HH:MM"),"")&amp;" "&amp;Checks!$P$101</f>
        <v/>
      </c>
      <c r="D36" s="124">
        <f>IF(Checks!$U$101="","",Checks!$U$101)&amp;IF(Checks!$AB$101="","",CHAR(10)&amp;"CA: "&amp;Checks!$AB$101)</f>
        <v/>
      </c>
      <c r="E36" s="124">
        <f>IF(Checks!$V$101="","",Checks!$V$101)&amp;IF(Checks!$AC$101="","",IF(Checks!$V$101="","",CHAR(10))&amp;"N/A just.: "&amp;Checks!$AC$101)&amp;IF(Checks!$W$101="","",CHAR(10)&amp;"Batch: "&amp;Checks!$W$101)&amp;IF(AND(Checks!$X$101="",Checks!$Y$101=""),"",CHAR(10)&amp;"Exp: "&amp;Checks!$X$101&amp;"  /  Act: "&amp;Checks!$Y$101)</f>
        <v/>
      </c>
      <c r="F36" s="124">
        <f>IF(Checks!$Z$101="","","Evidence: "&amp;Checks!$Z$101)&amp;IF(Checks!$AA$101="","",IF(Checks!$Z$101="","",CHAR(10))&amp;"CA: "&amp;Checks!$AA$101)</f>
        <v/>
      </c>
      <c r="G36" s="124">
        <f>IF(ISNUMBER(Checks!$AD$101),TEXT(Checks!$AD$101,"DD-MMM-YY HH:MM")&amp;" "&amp;Checks!$P$101,"")&amp;IF(Checks!$AE$101="","",CHAR(10)&amp;Checks!$AE$101)</f>
        <v/>
      </c>
      <c r="H36" s="125">
        <f>IF(Checks!$AH$101="","",Checks!$AH$101)</f>
        <v/>
      </c>
    </row>
    <row r="37" ht="81" customHeight="1">
      <c r="A37" s="124">
        <f>Checks!$A$102&amp;CHAR(10)&amp;IF(Checks!$I$102="","",Checks!$I$102&amp;": ")&amp;Checks!$J$102</f>
        <v/>
      </c>
      <c r="B37" s="124">
        <f>Checks!$K$102&amp;IF(Checks!$O$102="","",IF(Checks!$K$102="","",CHAR(10))&amp;"Note: "&amp;Checks!$O$102)</f>
        <v/>
      </c>
      <c r="C37" s="124">
        <f>Checks!$N$102&amp;CHAR(10)&amp;IF(ISNUMBER(Checks!$R$102),TEXT(Checks!$R$102,"DD-MMM-YY HH:MM"),"")&amp;" "&amp;Checks!$P$102</f>
        <v/>
      </c>
      <c r="D37" s="124">
        <f>IF(Checks!$U$102="","",Checks!$U$102)&amp;IF(Checks!$AB$102="","",CHAR(10)&amp;"CA: "&amp;Checks!$AB$102)</f>
        <v/>
      </c>
      <c r="E37" s="124">
        <f>IF(Checks!$V$102="","",Checks!$V$102)&amp;IF(Checks!$AC$102="","",IF(Checks!$V$102="","",CHAR(10))&amp;"N/A just.: "&amp;Checks!$AC$102)&amp;IF(Checks!$W$102="","",CHAR(10)&amp;"Batch: "&amp;Checks!$W$102)&amp;IF(AND(Checks!$X$102="",Checks!$Y$102=""),"",CHAR(10)&amp;"Exp: "&amp;Checks!$X$102&amp;"  /  Act: "&amp;Checks!$Y$102)</f>
        <v/>
      </c>
      <c r="F37" s="124">
        <f>IF(Checks!$Z$102="","","Evidence: "&amp;Checks!$Z$102)&amp;IF(Checks!$AA$102="","",IF(Checks!$Z$102="","",CHAR(10))&amp;"CA: "&amp;Checks!$AA$102)</f>
        <v/>
      </c>
      <c r="G37" s="124">
        <f>IF(ISNUMBER(Checks!$AD$102),TEXT(Checks!$AD$102,"DD-MMM-YY HH:MM")&amp;" "&amp;Checks!$P$102,"")&amp;IF(Checks!$AE$102="","",CHAR(10)&amp;Checks!$AE$102)</f>
        <v/>
      </c>
      <c r="H37" s="125">
        <f>IF(Checks!$AH$102="","",Checks!$AH$102)</f>
        <v/>
      </c>
    </row>
    <row r="38" ht="81" customHeight="1">
      <c r="A38" s="124">
        <f>Checks!$A$103&amp;CHAR(10)&amp;IF(Checks!$I$103="","",Checks!$I$103&amp;": ")&amp;Checks!$J$103</f>
        <v/>
      </c>
      <c r="B38" s="124">
        <f>Checks!$K$103&amp;IF(Checks!$O$103="","",IF(Checks!$K$103="","",CHAR(10))&amp;"Note: "&amp;Checks!$O$103)</f>
        <v/>
      </c>
      <c r="C38" s="124">
        <f>Checks!$N$103&amp;CHAR(10)&amp;IF(ISNUMBER(Checks!$R$103),TEXT(Checks!$R$103,"DD-MMM-YY HH:MM"),"")&amp;" "&amp;Checks!$P$103</f>
        <v/>
      </c>
      <c r="D38" s="124">
        <f>IF(Checks!$U$103="","",Checks!$U$103)&amp;IF(Checks!$AB$103="","",CHAR(10)&amp;"CA: "&amp;Checks!$AB$103)</f>
        <v/>
      </c>
      <c r="E38" s="124">
        <f>IF(Checks!$V$103="","",Checks!$V$103)&amp;IF(Checks!$AC$103="","",IF(Checks!$V$103="","",CHAR(10))&amp;"N/A just.: "&amp;Checks!$AC$103)&amp;IF(Checks!$W$103="","",CHAR(10)&amp;"Batch: "&amp;Checks!$W$103)&amp;IF(AND(Checks!$X$103="",Checks!$Y$103=""),"",CHAR(10)&amp;"Exp: "&amp;Checks!$X$103&amp;"  /  Act: "&amp;Checks!$Y$103)</f>
        <v/>
      </c>
      <c r="F38" s="124">
        <f>IF(Checks!$Z$103="","","Evidence: "&amp;Checks!$Z$103)&amp;IF(Checks!$AA$103="","",IF(Checks!$Z$103="","",CHAR(10))&amp;"CA: "&amp;Checks!$AA$103)</f>
        <v/>
      </c>
      <c r="G38" s="124">
        <f>IF(ISNUMBER(Checks!$AD$103),TEXT(Checks!$AD$103,"DD-MMM-YY HH:MM")&amp;" "&amp;Checks!$P$103,"")&amp;IF(Checks!$AE$103="","",CHAR(10)&amp;Checks!$AE$103)</f>
        <v/>
      </c>
      <c r="H38" s="125">
        <f>IF(Checks!$AH$103="","",Checks!$AH$103)</f>
        <v/>
      </c>
    </row>
    <row r="39" ht="81" customHeight="1">
      <c r="A39" s="124">
        <f>Checks!$A$104&amp;CHAR(10)&amp;IF(Checks!$I$104="","",Checks!$I$104&amp;": ")&amp;Checks!$J$104</f>
        <v/>
      </c>
      <c r="B39" s="124">
        <f>Checks!$K$104&amp;IF(Checks!$O$104="","",IF(Checks!$K$104="","",CHAR(10))&amp;"Note: "&amp;Checks!$O$104)</f>
        <v/>
      </c>
      <c r="C39" s="124">
        <f>Checks!$N$104&amp;CHAR(10)&amp;IF(ISNUMBER(Checks!$R$104),TEXT(Checks!$R$104,"DD-MMM-YY HH:MM"),"")&amp;" "&amp;Checks!$P$104</f>
        <v/>
      </c>
      <c r="D39" s="124">
        <f>IF(Checks!$U$104="","",Checks!$U$104)&amp;IF(Checks!$AB$104="","",CHAR(10)&amp;"CA: "&amp;Checks!$AB$104)</f>
        <v/>
      </c>
      <c r="E39" s="124">
        <f>IF(Checks!$V$104="","",Checks!$V$104)&amp;IF(Checks!$AC$104="","",IF(Checks!$V$104="","",CHAR(10))&amp;"N/A just.: "&amp;Checks!$AC$104)&amp;IF(Checks!$W$104="","",CHAR(10)&amp;"Batch: "&amp;Checks!$W$104)&amp;IF(AND(Checks!$X$104="",Checks!$Y$104=""),"",CHAR(10)&amp;"Exp: "&amp;Checks!$X$104&amp;"  /  Act: "&amp;Checks!$Y$104)</f>
        <v/>
      </c>
      <c r="F39" s="124">
        <f>IF(Checks!$Z$104="","","Evidence: "&amp;Checks!$Z$104)&amp;IF(Checks!$AA$104="","",IF(Checks!$Z$104="","",CHAR(10))&amp;"CA: "&amp;Checks!$AA$104)</f>
        <v/>
      </c>
      <c r="G39" s="124">
        <f>IF(ISNUMBER(Checks!$AD$104),TEXT(Checks!$AD$104,"DD-MMM-YY HH:MM")&amp;" "&amp;Checks!$P$104,"")&amp;IF(Checks!$AE$104="","",CHAR(10)&amp;Checks!$AE$104)</f>
        <v/>
      </c>
      <c r="H39" s="125">
        <f>IF(Checks!$AH$104="","",Checks!$AH$104)</f>
        <v/>
      </c>
    </row>
    <row r="40" ht="279" customHeight="1">
      <c r="A40" s="124">
        <f>Checks!$A$105&amp;CHAR(10)&amp;IF(Checks!$I$105="","",Checks!$I$105&amp;": ")&amp;Checks!$J$105</f>
        <v/>
      </c>
      <c r="B40" s="124">
        <f>SUBSTITUTE(Checks!$K$105&amp;IF(Checks!$O$105="","",IF(Checks!$K$105="","",CHAR(10))&amp;"Note: "&amp;Checks!$O$105),"AIRCRAFT TYPE!","Ref: AIRCRAFT TYPE!")</f>
        <v/>
      </c>
      <c r="C40" s="124">
        <f>Checks!$N$105&amp;CHAR(10)&amp;IF(ISNUMBER(Checks!$R$105),TEXT(Checks!$R$105,"DD-MMM-YY HH:MM"),"")&amp;" "&amp;Checks!$P$105</f>
        <v/>
      </c>
      <c r="D40" s="124">
        <f>IF(Checks!$U$105="","",Checks!$U$105)&amp;IF(Checks!$AB$105="","",CHAR(10)&amp;"CA: "&amp;Checks!$AB$105)</f>
        <v/>
      </c>
      <c r="E40" s="124">
        <f>IF(Checks!$V$105="","",Checks!$V$105)&amp;IF(Checks!$AC$105="","",IF(Checks!$V$105="","",CHAR(10))&amp;"N/A just.: "&amp;Checks!$AC$105)&amp;IF(Checks!$W$105="","",CHAR(10)&amp;"Batch: "&amp;Checks!$W$105)&amp;IF(AND(Checks!$X$105="",Checks!$Y$105=""),"",CHAR(10)&amp;"Exp: "&amp;Checks!$X$105&amp;"  /  Act: "&amp;Checks!$Y$105)</f>
        <v/>
      </c>
      <c r="F40" s="124">
        <f>IF(Checks!$Z$105="","","Evidence: "&amp;Checks!$Z$105)&amp;IF(Checks!$AA$105="","",IF(Checks!$Z$105="","",CHAR(10))&amp;"CA: "&amp;Checks!$AA$105)</f>
        <v/>
      </c>
      <c r="G40" s="124">
        <f>IF(ISNUMBER(Checks!$AD$105),TEXT(Checks!$AD$105,"DD-MMM-YY HH:MM")&amp;" "&amp;Checks!$P$105,"")&amp;IF(Checks!$AE$105="","",CHAR(10)&amp;Checks!$AE$105)</f>
        <v/>
      </c>
      <c r="H40" s="125">
        <f>IF(Checks!$AH$105="","",Checks!$AH$105)</f>
        <v/>
      </c>
    </row>
    <row r="41" ht="81" customHeight="1">
      <c r="A41" s="124">
        <f>Checks!$A$106&amp;CHAR(10)&amp;IF(Checks!$I$106="","",Checks!$I$106&amp;": ")&amp;Checks!$J$106</f>
        <v/>
      </c>
      <c r="B41" s="124">
        <f>Checks!$K$106&amp;IF(Checks!$O$106="","",IF(Checks!$K$106="","",CHAR(10))&amp;"Note: "&amp;Checks!$O$106)</f>
        <v/>
      </c>
      <c r="C41" s="124">
        <f>Checks!$N$106&amp;CHAR(10)&amp;IF(ISNUMBER(Checks!$R$106),TEXT(Checks!$R$106,"DD-MMM-YY HH:MM"),"")&amp;" "&amp;Checks!$P$106</f>
        <v/>
      </c>
      <c r="D41" s="124">
        <f>IF(Checks!$U$106="","",Checks!$U$106)&amp;IF(Checks!$AB$106="","",CHAR(10)&amp;"CA: "&amp;Checks!$AB$106)</f>
        <v/>
      </c>
      <c r="E41" s="124">
        <f>IF(Checks!$V$106="","",Checks!$V$106)&amp;IF(Checks!$AC$106="","",IF(Checks!$V$106="","",CHAR(10))&amp;"N/A just.: "&amp;Checks!$AC$106)&amp;IF(Checks!$W$106="","",CHAR(10)&amp;"Batch: "&amp;Checks!$W$106)&amp;IF(AND(Checks!$X$106="",Checks!$Y$106=""),"",CHAR(10)&amp;"Exp: "&amp;Checks!$X$106&amp;"  /  Act: "&amp;Checks!$Y$106)</f>
        <v/>
      </c>
      <c r="F41" s="124">
        <f>IF(Checks!$Z$106="","","Evidence: "&amp;Checks!$Z$106)&amp;IF(Checks!$AA$106="","",IF(Checks!$Z$106="","",CHAR(10))&amp;"CA: "&amp;Checks!$AA$106)</f>
        <v/>
      </c>
      <c r="G41" s="124">
        <f>IF(ISNUMBER(Checks!$AD$106),TEXT(Checks!$AD$106,"DD-MMM-YY HH:MM")&amp;" "&amp;Checks!$P$106,"")&amp;IF(Checks!$AE$106="","",CHAR(10)&amp;Checks!$AE$106)</f>
        <v/>
      </c>
      <c r="H41" s="125">
        <f>IF(Checks!$AH$106="","",Checks!$AH$106)</f>
        <v/>
      </c>
    </row>
    <row r="42" ht="81" customHeight="1">
      <c r="A42" s="124">
        <f>Checks!$A$107&amp;CHAR(10)&amp;IF(Checks!$I$107="","",Checks!$I$107&amp;": ")&amp;Checks!$J$107</f>
        <v/>
      </c>
      <c r="B42" s="124">
        <f>Checks!$K$107&amp;IF(Checks!$O$107="","",IF(Checks!$K$107="","",CHAR(10))&amp;"Note: "&amp;Checks!$O$107)</f>
        <v/>
      </c>
      <c r="C42" s="124">
        <f>Checks!$N$107&amp;CHAR(10)&amp;IF(ISNUMBER(Checks!$R$107),TEXT(Checks!$R$107,"DD-MMM-YY HH:MM"),"")&amp;" "&amp;Checks!$P$107</f>
        <v/>
      </c>
      <c r="D42" s="124">
        <f>IF(Checks!$U$107="","",Checks!$U$107)&amp;IF(Checks!$AB$107="","",CHAR(10)&amp;"CA: "&amp;Checks!$AB$107)</f>
        <v/>
      </c>
      <c r="E42" s="124">
        <f>IF(Checks!$V$107="","",Checks!$V$107)&amp;IF(Checks!$AC$107="","",IF(Checks!$V$107="","",CHAR(10))&amp;"N/A just.: "&amp;Checks!$AC$107)&amp;IF(Checks!$W$107="","",CHAR(10)&amp;"Batch: "&amp;Checks!$W$107)&amp;IF(AND(Checks!$X$107="",Checks!$Y$107=""),"",CHAR(10)&amp;"Exp: "&amp;Checks!$X$107&amp;"  /  Act: "&amp;Checks!$Y$107)</f>
        <v/>
      </c>
      <c r="F42" s="124">
        <f>IF(Checks!$Z$107="","","Evidence: "&amp;Checks!$Z$107)&amp;IF(Checks!$AA$107="","",IF(Checks!$Z$107="","",CHAR(10))&amp;"CA: "&amp;Checks!$AA$107)</f>
        <v/>
      </c>
      <c r="G42" s="124">
        <f>IF(ISNUMBER(Checks!$AD$107),TEXT(Checks!$AD$107,"DD-MMM-YY HH:MM")&amp;" "&amp;Checks!$P$107,"")&amp;IF(Checks!$AE$107="","",CHAR(10)&amp;Checks!$AE$107)</f>
        <v/>
      </c>
      <c r="H42" s="125">
        <f>IF(Checks!$AH$107="","",Checks!$AH$107)</f>
        <v/>
      </c>
    </row>
    <row r="43" ht="81" customHeight="1">
      <c r="A43" s="124">
        <f>Checks!$A$108&amp;CHAR(10)&amp;IF(Checks!$I$108="","",Checks!$I$108&amp;": ")&amp;Checks!$J$108</f>
        <v/>
      </c>
      <c r="B43" s="124">
        <f>Checks!$K$108&amp;IF(Checks!$O$108="","",IF(Checks!$K$108="","",CHAR(10))&amp;"Note: "&amp;Checks!$O$108)</f>
        <v/>
      </c>
      <c r="C43" s="124">
        <f>Checks!$N$108&amp;CHAR(10)&amp;IF(ISNUMBER(Checks!$R$108),TEXT(Checks!$R$108,"DD-MMM-YY HH:MM"),"")&amp;" "&amp;Checks!$P$108</f>
        <v/>
      </c>
      <c r="D43" s="124">
        <f>IF(Checks!$U$108="","",Checks!$U$108)&amp;IF(Checks!$AB$108="","",CHAR(10)&amp;"CA: "&amp;Checks!$AB$108)</f>
        <v/>
      </c>
      <c r="E43" s="124">
        <f>IF(Checks!$V$108="","",Checks!$V$108)&amp;IF(Checks!$AC$108="","",IF(Checks!$V$108="","",CHAR(10))&amp;"N/A just.: "&amp;Checks!$AC$108)&amp;IF(Checks!$W$108="","",CHAR(10)&amp;"Batch: "&amp;Checks!$W$108)&amp;IF(AND(Checks!$X$108="",Checks!$Y$108=""),"",CHAR(10)&amp;"Exp: "&amp;Checks!$X$108&amp;"  /  Act: "&amp;Checks!$Y$108)</f>
        <v/>
      </c>
      <c r="F43" s="124">
        <f>IF(Checks!$Z$108="","","Evidence: "&amp;Checks!$Z$108)&amp;IF(Checks!$AA$108="","",IF(Checks!$Z$108="","",CHAR(10))&amp;"CA: "&amp;Checks!$AA$108)</f>
        <v/>
      </c>
      <c r="G43" s="124">
        <f>IF(ISNUMBER(Checks!$AD$108),TEXT(Checks!$AD$108,"DD-MMM-YY HH:MM")&amp;" "&amp;Checks!$P$108,"")&amp;IF(Checks!$AE$108="","",CHAR(10)&amp;Checks!$AE$108)</f>
        <v/>
      </c>
      <c r="H43" s="125">
        <f>IF(Checks!$AH$108="","",Checks!$AH$108)</f>
        <v/>
      </c>
    </row>
    <row r="44" ht="92" customHeight="1">
      <c r="A44" s="124">
        <f>Checks!$A$109&amp;CHAR(10)&amp;IF(Checks!$I$109="","",Checks!$I$109&amp;": ")&amp;Checks!$J$109</f>
        <v/>
      </c>
      <c r="B44" s="124">
        <f>Checks!$K$109&amp;IF(Checks!$O$109="","",IF(Checks!$K$109="","",CHAR(10))&amp;"Note: "&amp;Checks!$O$109)</f>
        <v/>
      </c>
      <c r="C44" s="124">
        <f>Checks!$N$109&amp;CHAR(10)&amp;IF(ISNUMBER(Checks!$R$109),TEXT(Checks!$R$109,"DD-MMM-YY HH:MM"),"")&amp;" "&amp;Checks!$P$109</f>
        <v/>
      </c>
      <c r="D44" s="124">
        <f>IF(Checks!$U$109="","",Checks!$U$109)&amp;IF(Checks!$AB$109="","",CHAR(10)&amp;"CA: "&amp;Checks!$AB$109)</f>
        <v/>
      </c>
      <c r="E44" s="124">
        <f>IF(Checks!$V$109="","",Checks!$V$109)&amp;IF(Checks!$AC$109="","",IF(Checks!$V$109="","",CHAR(10))&amp;"N/A just.: "&amp;Checks!$AC$109)&amp;IF(Checks!$W$109="","",CHAR(10)&amp;"Batch: "&amp;Checks!$W$109)&amp;IF(AND(Checks!$X$109="",Checks!$Y$109=""),"",CHAR(10)&amp;"Exp: "&amp;Checks!$X$109&amp;"  /  Act: "&amp;Checks!$Y$109)</f>
        <v/>
      </c>
      <c r="F44" s="124">
        <f>IF(Checks!$Z$109="","","Evidence: "&amp;Checks!$Z$109)&amp;IF(Checks!$AA$109="","",IF(Checks!$Z$109="","",CHAR(10))&amp;"CA: "&amp;Checks!$AA$109)</f>
        <v/>
      </c>
      <c r="G44" s="124">
        <f>IF(ISNUMBER(Checks!$AD$109),TEXT(Checks!$AD$109,"DD-MMM-YY HH:MM")&amp;" "&amp;Checks!$P$109,"")&amp;IF(Checks!$AE$109="","",CHAR(10)&amp;Checks!$AE$109)</f>
        <v/>
      </c>
      <c r="H44" s="125">
        <f>IF(Checks!$AH$109="","",Checks!$AH$109)</f>
        <v/>
      </c>
    </row>
    <row r="45" ht="92" customHeight="1">
      <c r="A45" s="124">
        <f>Checks!$A$110&amp;CHAR(10)&amp;IF(Checks!$I$110="","",Checks!$I$110&amp;": ")&amp;Checks!$J$110</f>
        <v/>
      </c>
      <c r="B45" s="124">
        <f>Checks!$K$110&amp;IF(Checks!$O$110="","",IF(Checks!$K$110="","",CHAR(10))&amp;"Note: "&amp;Checks!$O$110)</f>
        <v/>
      </c>
      <c r="C45" s="124">
        <f>Checks!$N$110&amp;CHAR(10)&amp;IF(ISNUMBER(Checks!$R$110),TEXT(Checks!$R$110,"DD-MMM-YY HH:MM"),"")&amp;" "&amp;Checks!$P$110</f>
        <v/>
      </c>
      <c r="D45" s="124">
        <f>IF(Checks!$U$110="","",Checks!$U$110)&amp;IF(Checks!$AB$110="","",CHAR(10)&amp;"CA: "&amp;Checks!$AB$110)</f>
        <v/>
      </c>
      <c r="E45" s="124">
        <f>IF(Checks!$V$110="","",Checks!$V$110)&amp;IF(Checks!$AC$110="","",IF(Checks!$V$110="","",CHAR(10))&amp;"N/A just.: "&amp;Checks!$AC$110)&amp;IF(Checks!$W$110="","",CHAR(10)&amp;"Batch: "&amp;Checks!$W$110)&amp;IF(AND(Checks!$X$110="",Checks!$Y$110=""),"",CHAR(10)&amp;"Exp: "&amp;Checks!$X$110&amp;"  /  Act: "&amp;Checks!$Y$110)</f>
        <v/>
      </c>
      <c r="F45" s="124">
        <f>IF(Checks!$Z$110="","","Evidence: "&amp;Checks!$Z$110)&amp;IF(Checks!$AA$110="","",IF(Checks!$Z$110="","",CHAR(10))&amp;"CA: "&amp;Checks!$AA$110)</f>
        <v/>
      </c>
      <c r="G45" s="124">
        <f>IF(ISNUMBER(Checks!$AD$110),TEXT(Checks!$AD$110,"DD-MMM-YY HH:MM")&amp;" "&amp;Checks!$P$110,"")&amp;IF(Checks!$AE$110="","",CHAR(10)&amp;Checks!$AE$110)</f>
        <v/>
      </c>
      <c r="H45" s="125">
        <f>IF(Checks!$AH$110="","",Checks!$AH$110)</f>
        <v/>
      </c>
    </row>
    <row r="46" ht="92" customHeight="1">
      <c r="A46" s="124">
        <f>Checks!$A$111&amp;CHAR(10)&amp;IF(Checks!$I$111="","",Checks!$I$111&amp;": ")&amp;Checks!$J$111</f>
        <v/>
      </c>
      <c r="B46" s="124">
        <f>Checks!$K$111&amp;IF(Checks!$O$111="","",IF(Checks!$K$111="","",CHAR(10))&amp;"Note: "&amp;Checks!$O$111)</f>
        <v/>
      </c>
      <c r="C46" s="124">
        <f>Checks!$N$111&amp;CHAR(10)&amp;IF(ISNUMBER(Checks!$R$111),TEXT(Checks!$R$111,"DD-MMM-YY HH:MM"),"")&amp;" "&amp;Checks!$P$111</f>
        <v/>
      </c>
      <c r="D46" s="124">
        <f>IF(Checks!$U$111="","",Checks!$U$111)&amp;IF(Checks!$AB$111="","",CHAR(10)&amp;"CA: "&amp;Checks!$AB$111)</f>
        <v/>
      </c>
      <c r="E46" s="124">
        <f>IF(Checks!$V$111="","",Checks!$V$111)&amp;IF(Checks!$AC$111="","",IF(Checks!$V$111="","",CHAR(10))&amp;"N/A just.: "&amp;Checks!$AC$111)&amp;IF(Checks!$W$111="","",CHAR(10)&amp;"Batch: "&amp;Checks!$W$111)&amp;IF(AND(Checks!$X$111="",Checks!$Y$111=""),"",CHAR(10)&amp;"Exp: "&amp;Checks!$X$111&amp;"  /  Act: "&amp;Checks!$Y$111)</f>
        <v/>
      </c>
      <c r="F46" s="124">
        <f>IF(Checks!$Z$111="","","Evidence: "&amp;Checks!$Z$111)&amp;IF(Checks!$AA$111="","",IF(Checks!$Z$111="","",CHAR(10))&amp;"CA: "&amp;Checks!$AA$111)</f>
        <v/>
      </c>
      <c r="G46" s="124">
        <f>IF(ISNUMBER(Checks!$AD$111),TEXT(Checks!$AD$111,"DD-MMM-YY HH:MM")&amp;" "&amp;Checks!$P$111,"")&amp;IF(Checks!$AE$111="","",CHAR(10)&amp;Checks!$AE$111)</f>
        <v/>
      </c>
      <c r="H46" s="125">
        <f>IF(Checks!$AH$111="","",Checks!$AH$111)</f>
        <v/>
      </c>
    </row>
    <row r="47" ht="92" customHeight="1">
      <c r="A47" s="124">
        <f>Checks!$A$112&amp;CHAR(10)&amp;IF(Checks!$I$112="","",Checks!$I$112&amp;": ")&amp;Checks!$J$112</f>
        <v/>
      </c>
      <c r="B47" s="124">
        <f>Checks!$K$112&amp;IF(Checks!$O$112="","",IF(Checks!$K$112="","",CHAR(10))&amp;"Note: "&amp;Checks!$O$112)</f>
        <v/>
      </c>
      <c r="C47" s="124">
        <f>Checks!$N$112&amp;CHAR(10)&amp;IF(ISNUMBER(Checks!$R$112),TEXT(Checks!$R$112,"DD-MMM-YY HH:MM"),"")&amp;" "&amp;Checks!$P$112</f>
        <v/>
      </c>
      <c r="D47" s="124">
        <f>IF(Checks!$U$112="","",Checks!$U$112)&amp;IF(Checks!$AB$112="","",CHAR(10)&amp;"CA: "&amp;Checks!$AB$112)</f>
        <v/>
      </c>
      <c r="E47" s="124">
        <f>IF(Checks!$V$112="","",Checks!$V$112)&amp;IF(Checks!$AC$112="","",IF(Checks!$V$112="","",CHAR(10))&amp;"N/A just.: "&amp;Checks!$AC$112)&amp;IF(Checks!$W$112="","",CHAR(10)&amp;"Batch: "&amp;Checks!$W$112)&amp;IF(AND(Checks!$X$112="",Checks!$Y$112=""),"",CHAR(10)&amp;"Exp: "&amp;Checks!$X$112&amp;"  /  Act: "&amp;Checks!$Y$112)</f>
        <v/>
      </c>
      <c r="F47" s="124">
        <f>IF(Checks!$Z$112="","","Evidence: "&amp;Checks!$Z$112)&amp;IF(Checks!$AA$112="","",IF(Checks!$Z$112="","",CHAR(10))&amp;"CA: "&amp;Checks!$AA$112)</f>
        <v/>
      </c>
      <c r="G47" s="124">
        <f>IF(ISNUMBER(Checks!$AD$112),TEXT(Checks!$AD$112,"DD-MMM-YY HH:MM")&amp;" "&amp;Checks!$P$112,"")&amp;IF(Checks!$AE$112="","",CHAR(10)&amp;Checks!$AE$112)</f>
        <v/>
      </c>
      <c r="H47" s="125">
        <f>IF(Checks!$AH$112="","",Checks!$AH$112)</f>
        <v/>
      </c>
    </row>
    <row r="48" ht="92" customHeight="1">
      <c r="A48" s="124">
        <f>Checks!$A$113&amp;CHAR(10)&amp;IF(Checks!$I$113="","",Checks!$I$113&amp;": ")&amp;Checks!$J$113</f>
        <v/>
      </c>
      <c r="B48" s="124">
        <f>Checks!$K$113&amp;IF(Checks!$O$113="","",IF(Checks!$K$113="","",CHAR(10))&amp;"Note: "&amp;Checks!$O$113)</f>
        <v/>
      </c>
      <c r="C48" s="124">
        <f>Checks!$N$113&amp;CHAR(10)&amp;IF(ISNUMBER(Checks!$R$113),TEXT(Checks!$R$113,"DD-MMM-YY HH:MM"),"")&amp;" "&amp;Checks!$P$113</f>
        <v/>
      </c>
      <c r="D48" s="124">
        <f>IF(Checks!$U$113="","",Checks!$U$113)&amp;IF(Checks!$AB$113="","",CHAR(10)&amp;"CA: "&amp;Checks!$AB$113)</f>
        <v/>
      </c>
      <c r="E48" s="124">
        <f>IF(Checks!$V$113="","",Checks!$V$113)&amp;IF(Checks!$AC$113="","",IF(Checks!$V$113="","",CHAR(10))&amp;"N/A just.: "&amp;Checks!$AC$113)&amp;IF(Checks!$W$113="","",CHAR(10)&amp;"Batch: "&amp;Checks!$W$113)&amp;IF(AND(Checks!$X$113="",Checks!$Y$113=""),"",CHAR(10)&amp;"Exp: "&amp;Checks!$X$113&amp;"  /  Act: "&amp;Checks!$Y$113)</f>
        <v/>
      </c>
      <c r="F48" s="124">
        <f>IF(Checks!$Z$113="","","Evidence: "&amp;Checks!$Z$113)&amp;IF(Checks!$AA$113="","",IF(Checks!$Z$113="","",CHAR(10))&amp;"CA: "&amp;Checks!$AA$113)</f>
        <v/>
      </c>
      <c r="G48" s="124">
        <f>IF(ISNUMBER(Checks!$AD$113),TEXT(Checks!$AD$113,"DD-MMM-YY HH:MM")&amp;" "&amp;Checks!$P$113,"")&amp;IF(Checks!$AE$113="","",CHAR(10)&amp;Checks!$AE$113)</f>
        <v/>
      </c>
      <c r="H48" s="125">
        <f>IF(Checks!$AH$113="","",Checks!$AH$113)</f>
        <v/>
      </c>
    </row>
    <row r="49" ht="114" customHeight="1">
      <c r="A49" s="124">
        <f>Checks!$A$114&amp;CHAR(10)&amp;IF(Checks!$I$114="","",Checks!$I$114&amp;": ")&amp;Checks!$J$114</f>
        <v/>
      </c>
      <c r="B49" s="124">
        <f>SUBSTITUTE(Checks!$K$114&amp;IF(Checks!$O$114="","",IF(Checks!$K$114="","",CHAR(10))&amp;"Note: "&amp;Checks!$O$114),"F&amp;B LINEN!","Ref: F&amp;B LINEN!")</f>
        <v/>
      </c>
      <c r="C49" s="124">
        <f>Checks!$N$114&amp;CHAR(10)&amp;IF(ISNUMBER(Checks!$R$114),TEXT(Checks!$R$114,"DD-MMM-YY HH:MM"),"")&amp;" "&amp;Checks!$P$114</f>
        <v/>
      </c>
      <c r="D49" s="124">
        <f>IF(Checks!$U$114="","",Checks!$U$114)&amp;IF(Checks!$AB$114="","",CHAR(10)&amp;"CA: "&amp;Checks!$AB$114)</f>
        <v/>
      </c>
      <c r="E49" s="124">
        <f>IF(Checks!$V$114="","",Checks!$V$114)&amp;IF(Checks!$AC$114="","",IF(Checks!$V$114="","",CHAR(10))&amp;"N/A just.: "&amp;Checks!$AC$114)&amp;IF(Checks!$W$114="","",CHAR(10)&amp;"Batch: "&amp;Checks!$W$114)&amp;IF(AND(Checks!$X$114="",Checks!$Y$114=""),"",CHAR(10)&amp;"Exp: "&amp;Checks!$X$114&amp;"  /  Act: "&amp;Checks!$Y$114)</f>
        <v/>
      </c>
      <c r="F49" s="124">
        <f>IF(Checks!$Z$114="","","Evidence: "&amp;Checks!$Z$114)&amp;IF(Checks!$AA$114="","",IF(Checks!$Z$114="","",CHAR(10))&amp;"CA: "&amp;Checks!$AA$114)</f>
        <v/>
      </c>
      <c r="G49" s="124">
        <f>IF(ISNUMBER(Checks!$AD$114),TEXT(Checks!$AD$114,"DD-MMM-YY HH:MM")&amp;" "&amp;Checks!$P$114,"")&amp;IF(Checks!$AE$114="","",CHAR(10)&amp;Checks!$AE$114)</f>
        <v/>
      </c>
      <c r="H49" s="125">
        <f>IF(Checks!$AH$114="","",Checks!$AH$114)</f>
        <v/>
      </c>
    </row>
    <row r="50" ht="92" customHeight="1">
      <c r="A50" s="124">
        <f>Checks!$A$115&amp;CHAR(10)&amp;IF(Checks!$I$115="","",Checks!$I$115&amp;": ")&amp;Checks!$J$115</f>
        <v/>
      </c>
      <c r="B50" s="124">
        <f>Checks!$K$115&amp;IF(Checks!$O$115="","",IF(Checks!$K$115="","",CHAR(10))&amp;"Note: "&amp;Checks!$O$115)</f>
        <v/>
      </c>
      <c r="C50" s="124">
        <f>Checks!$N$115&amp;CHAR(10)&amp;IF(ISNUMBER(Checks!$R$115),TEXT(Checks!$R$115,"DD-MMM-YY HH:MM"),"")&amp;" "&amp;Checks!$P$115</f>
        <v/>
      </c>
      <c r="D50" s="124">
        <f>IF(Checks!$U$115="","",Checks!$U$115)&amp;IF(Checks!$AB$115="","",CHAR(10)&amp;"CA: "&amp;Checks!$AB$115)</f>
        <v/>
      </c>
      <c r="E50" s="124">
        <f>IF(Checks!$V$115="","",Checks!$V$115)&amp;IF(Checks!$AC$115="","",IF(Checks!$V$115="","",CHAR(10))&amp;"N/A just.: "&amp;Checks!$AC$115)&amp;IF(Checks!$W$115="","",CHAR(10)&amp;"Batch: "&amp;Checks!$W$115)&amp;IF(AND(Checks!$X$115="",Checks!$Y$115=""),"",CHAR(10)&amp;"Exp: "&amp;Checks!$X$115&amp;"  /  Act: "&amp;Checks!$Y$115)</f>
        <v/>
      </c>
      <c r="F50" s="124">
        <f>IF(Checks!$Z$115="","","Evidence: "&amp;Checks!$Z$115)&amp;IF(Checks!$AA$115="","",IF(Checks!$Z$115="","",CHAR(10))&amp;"CA: "&amp;Checks!$AA$115)</f>
        <v/>
      </c>
      <c r="G50" s="124">
        <f>IF(ISNUMBER(Checks!$AD$115),TEXT(Checks!$AD$115,"DD-MMM-YY HH:MM")&amp;" "&amp;Checks!$P$115,"")&amp;IF(Checks!$AE$115="","",CHAR(10)&amp;Checks!$AE$115)</f>
        <v/>
      </c>
      <c r="H50" s="125">
        <f>IF(Checks!$AH$115="","",Checks!$AH$115)</f>
        <v/>
      </c>
    </row>
    <row r="51" ht="92" customHeight="1">
      <c r="A51" s="124">
        <f>Checks!$A$116&amp;CHAR(10)&amp;IF(Checks!$I$116="","",Checks!$I$116&amp;": ")&amp;Checks!$J$116</f>
        <v/>
      </c>
      <c r="B51" s="124">
        <f>Checks!$K$116&amp;IF(Checks!$O$116="","",IF(Checks!$K$116="","",CHAR(10))&amp;"Note: "&amp;Checks!$O$116)</f>
        <v/>
      </c>
      <c r="C51" s="124">
        <f>Checks!$N$116&amp;CHAR(10)&amp;IF(ISNUMBER(Checks!$R$116),TEXT(Checks!$R$116,"DD-MMM-YY HH:MM"),"")&amp;" "&amp;Checks!$P$116</f>
        <v/>
      </c>
      <c r="D51" s="124">
        <f>IF(Checks!$U$116="","",Checks!$U$116)&amp;IF(Checks!$AB$116="","",CHAR(10)&amp;"CA: "&amp;Checks!$AB$116)</f>
        <v/>
      </c>
      <c r="E51" s="124">
        <f>IF(Checks!$V$116="","",Checks!$V$116)&amp;IF(Checks!$AC$116="","",IF(Checks!$V$116="","",CHAR(10))&amp;"N/A just.: "&amp;Checks!$AC$116)&amp;IF(Checks!$W$116="","",CHAR(10)&amp;"Batch: "&amp;Checks!$W$116)&amp;IF(AND(Checks!$X$116="",Checks!$Y$116=""),"",CHAR(10)&amp;"Exp: "&amp;Checks!$X$116&amp;"  /  Act: "&amp;Checks!$Y$116)</f>
        <v/>
      </c>
      <c r="F51" s="124">
        <f>IF(Checks!$Z$116="","","Evidence: "&amp;Checks!$Z$116)&amp;IF(Checks!$AA$116="","",IF(Checks!$Z$116="","",CHAR(10))&amp;"CA: "&amp;Checks!$AA$116)</f>
        <v/>
      </c>
      <c r="G51" s="124">
        <f>IF(ISNUMBER(Checks!$AD$116),TEXT(Checks!$AD$116,"DD-MMM-YY HH:MM")&amp;" "&amp;Checks!$P$116,"")&amp;IF(Checks!$AE$116="","",CHAR(10)&amp;Checks!$AE$116)</f>
        <v/>
      </c>
      <c r="H51" s="125">
        <f>IF(Checks!$AH$116="","",Checks!$AH$116)</f>
        <v/>
      </c>
    </row>
    <row r="52" ht="92" customHeight="1">
      <c r="A52" s="124">
        <f>Checks!$A$117&amp;CHAR(10)&amp;IF(Checks!$I$117="","",Checks!$I$117&amp;": ")&amp;Checks!$J$117</f>
        <v/>
      </c>
      <c r="B52" s="124">
        <f>Checks!$K$117&amp;IF(Checks!$O$117="","",IF(Checks!$K$117="","",CHAR(10))&amp;"Note: "&amp;Checks!$O$117)</f>
        <v/>
      </c>
      <c r="C52" s="124">
        <f>Checks!$N$117&amp;CHAR(10)&amp;IF(ISNUMBER(Checks!$R$117),TEXT(Checks!$R$117,"DD-MMM-YY HH:MM"),"")&amp;" "&amp;Checks!$P$117</f>
        <v/>
      </c>
      <c r="D52" s="124">
        <f>IF(Checks!$U$117="","",Checks!$U$117)&amp;IF(Checks!$AB$117="","",CHAR(10)&amp;"CA: "&amp;Checks!$AB$117)</f>
        <v/>
      </c>
      <c r="E52" s="124">
        <f>IF(Checks!$V$117="","",Checks!$V$117)&amp;IF(Checks!$AC$117="","",IF(Checks!$V$117="","",CHAR(10))&amp;"N/A just.: "&amp;Checks!$AC$117)&amp;IF(Checks!$W$117="","",CHAR(10)&amp;"Batch: "&amp;Checks!$W$117)&amp;IF(AND(Checks!$X$117="",Checks!$Y$117=""),"",CHAR(10)&amp;"Exp: "&amp;Checks!$X$117&amp;"  /  Act: "&amp;Checks!$Y$117)</f>
        <v/>
      </c>
      <c r="F52" s="124">
        <f>IF(Checks!$Z$117="","","Evidence: "&amp;Checks!$Z$117)&amp;IF(Checks!$AA$117="","",IF(Checks!$Z$117="","",CHAR(10))&amp;"CA: "&amp;Checks!$AA$117)</f>
        <v/>
      </c>
      <c r="G52" s="124">
        <f>IF(ISNUMBER(Checks!$AD$117),TEXT(Checks!$AD$117,"DD-MMM-YY HH:MM")&amp;" "&amp;Checks!$P$117,"")&amp;IF(Checks!$AE$117="","",CHAR(10)&amp;Checks!$AE$117)</f>
        <v/>
      </c>
      <c r="H52" s="125">
        <f>IF(Checks!$AH$117="","",Checks!$AH$117)</f>
        <v/>
      </c>
    </row>
    <row r="53" ht="92" customHeight="1">
      <c r="A53" s="124">
        <f>Checks!$A$118&amp;CHAR(10)&amp;IF(Checks!$I$118="","",Checks!$I$118&amp;": ")&amp;Checks!$J$118</f>
        <v/>
      </c>
      <c r="B53" s="124">
        <f>Checks!$K$118&amp;IF(Checks!$O$118="","",IF(Checks!$K$118="","",CHAR(10))&amp;"Note: "&amp;Checks!$O$118)</f>
        <v/>
      </c>
      <c r="C53" s="124">
        <f>Checks!$N$118&amp;CHAR(10)&amp;IF(ISNUMBER(Checks!$R$118),TEXT(Checks!$R$118,"DD-MMM-YY HH:MM"),"")&amp;" "&amp;Checks!$P$118</f>
        <v/>
      </c>
      <c r="D53" s="124">
        <f>IF(Checks!$U$118="","",Checks!$U$118)&amp;IF(Checks!$AB$118="","",CHAR(10)&amp;"CA: "&amp;Checks!$AB$118)</f>
        <v/>
      </c>
      <c r="E53" s="124">
        <f>IF(Checks!$V$118="","",Checks!$V$118)&amp;IF(Checks!$AC$118="","",IF(Checks!$V$118="","",CHAR(10))&amp;"N/A just.: "&amp;Checks!$AC$118)&amp;IF(Checks!$W$118="","",CHAR(10)&amp;"Batch: "&amp;Checks!$W$118)&amp;IF(AND(Checks!$X$118="",Checks!$Y$118=""),"",CHAR(10)&amp;"Exp: "&amp;Checks!$X$118&amp;"  /  Act: "&amp;Checks!$Y$118)</f>
        <v/>
      </c>
      <c r="F53" s="124">
        <f>IF(Checks!$Z$118="","","Evidence: "&amp;Checks!$Z$118)&amp;IF(Checks!$AA$118="","",IF(Checks!$Z$118="","",CHAR(10))&amp;"CA: "&amp;Checks!$AA$118)</f>
        <v/>
      </c>
      <c r="G53" s="124">
        <f>IF(ISNUMBER(Checks!$AD$118),TEXT(Checks!$AD$118,"DD-MMM-YY HH:MM")&amp;" "&amp;Checks!$P$118,"")&amp;IF(Checks!$AE$118="","",CHAR(10)&amp;Checks!$AE$118)</f>
        <v/>
      </c>
      <c r="H53" s="125">
        <f>IF(Checks!$AH$118="","",Checks!$AH$118)</f>
        <v/>
      </c>
    </row>
    <row r="54" ht="81" customHeight="1">
      <c r="A54" s="124">
        <f>Checks!$A$119&amp;CHAR(10)&amp;IF(Checks!$I$119="","",Checks!$I$119&amp;": ")&amp;Checks!$J$119</f>
        <v/>
      </c>
      <c r="B54" s="124">
        <f>Checks!$K$119&amp;IF(Checks!$O$119="","",IF(Checks!$K$119="","",CHAR(10))&amp;"Note: "&amp;Checks!$O$119)</f>
        <v/>
      </c>
      <c r="C54" s="124">
        <f>Checks!$N$119&amp;CHAR(10)&amp;IF(ISNUMBER(Checks!$R$119),TEXT(Checks!$R$119,"DD-MMM-YY HH:MM"),"")&amp;" "&amp;Checks!$P$119</f>
        <v/>
      </c>
      <c r="D54" s="124">
        <f>IF(Checks!$U$119="","",Checks!$U$119)&amp;IF(Checks!$AB$119="","",CHAR(10)&amp;"CA: "&amp;Checks!$AB$119)</f>
        <v/>
      </c>
      <c r="E54" s="124">
        <f>IF(Checks!$V$119="","",Checks!$V$119)&amp;IF(Checks!$AC$119="","",IF(Checks!$V$119="","",CHAR(10))&amp;"N/A just.: "&amp;Checks!$AC$119)&amp;IF(Checks!$W$119="","",CHAR(10)&amp;"Batch: "&amp;Checks!$W$119)&amp;IF(AND(Checks!$X$119="",Checks!$Y$119=""),"",CHAR(10)&amp;"Exp: "&amp;Checks!$X$119&amp;"  /  Act: "&amp;Checks!$Y$119)</f>
        <v/>
      </c>
      <c r="F54" s="124">
        <f>IF(Checks!$Z$119="","","Evidence: "&amp;Checks!$Z$119)&amp;IF(Checks!$AA$119="","",IF(Checks!$Z$119="","",CHAR(10))&amp;"CA: "&amp;Checks!$AA$119)</f>
        <v/>
      </c>
      <c r="G54" s="124">
        <f>IF(ISNUMBER(Checks!$AD$119),TEXT(Checks!$AD$119,"DD-MMM-YY HH:MM")&amp;" "&amp;Checks!$P$119,"")&amp;IF(Checks!$AE$119="","",CHAR(10)&amp;Checks!$AE$119)</f>
        <v/>
      </c>
      <c r="H54" s="125">
        <f>IF(Checks!$AH$119="","",Checks!$AH$119)</f>
        <v/>
      </c>
    </row>
    <row r="55" ht="147" customHeight="1">
      <c r="A55" s="124">
        <f>Checks!$A$120&amp;CHAR(10)&amp;IF(Checks!$I$120="","",Checks!$I$120&amp;": ")&amp;Checks!$J$120</f>
        <v/>
      </c>
      <c r="B55" s="124">
        <f>Checks!$K$120&amp;IF(Checks!$O$120="","",IF(Checks!$K$120="","",CHAR(10))&amp;"Note: "&amp;Checks!$O$120)</f>
        <v/>
      </c>
      <c r="C55" s="124">
        <f>Checks!$N$120&amp;CHAR(10)&amp;IF(ISNUMBER(Checks!$R$120),TEXT(Checks!$R$120,"DD-MMM-YY HH:MM"),"")&amp;" "&amp;Checks!$P$120</f>
        <v/>
      </c>
      <c r="D55" s="124">
        <f>IF(Checks!$U$120="","",Checks!$U$120)&amp;IF(Checks!$AB$120="","",CHAR(10)&amp;"CA: "&amp;Checks!$AB$120)</f>
        <v/>
      </c>
      <c r="E55" s="124">
        <f>IF(Checks!$V$120="","",Checks!$V$120)&amp;IF(Checks!$AC$120="","",IF(Checks!$V$120="","",CHAR(10))&amp;"N/A just.: "&amp;Checks!$AC$120)&amp;IF(Checks!$W$120="","",CHAR(10)&amp;"Batch: "&amp;Checks!$W$120)&amp;IF(AND(Checks!$X$120="",Checks!$Y$120=""),"",CHAR(10)&amp;"Exp: "&amp;Checks!$X$120&amp;"  /  Act: "&amp;Checks!$Y$120)</f>
        <v/>
      </c>
      <c r="F55" s="124">
        <f>IF(Checks!$Z$120="","","Evidence: "&amp;Checks!$Z$120)&amp;IF(Checks!$AA$120="","",IF(Checks!$Z$120="","",CHAR(10))&amp;"CA: "&amp;Checks!$AA$120)</f>
        <v/>
      </c>
      <c r="G55" s="124">
        <f>IF(ISNUMBER(Checks!$AD$120),TEXT(Checks!$AD$120,"DD-MMM-YY HH:MM")&amp;" "&amp;Checks!$P$120,"")&amp;IF(Checks!$AE$120="","",CHAR(10)&amp;Checks!$AE$120)</f>
        <v/>
      </c>
      <c r="H55" s="125">
        <f>IF(Checks!$AH$120="","",Checks!$AH$120)</f>
        <v/>
      </c>
    </row>
    <row r="56" ht="26" customHeight="1">
      <c r="A56" s="123">
        <f>"UPLIFT — Physical uplift – on-board confirmation before departure  |  Due "&amp;"STD "&amp;IF(ISNUMBER(Flights!$I$8),TEXT(Flights!$I$8,"DD-MMM-YY HH:MM"),"")&amp;" "&amp;Flights!$G$8&amp;" (departure stn)"&amp;" (rows with another due show their own)  |  Complete "&amp;IF(ISNUMBER(Flights!$AM$8),TEXT(Flights!$AM$8,"0%"),Flights!$AM$8)&amp;"  |  16 lines"</f>
        <v/>
      </c>
      <c r="B56" s="97" t="n"/>
      <c r="C56" s="97" t="n"/>
      <c r="D56" s="97" t="n"/>
      <c r="E56" s="97" t="n"/>
      <c r="F56" s="97" t="n"/>
      <c r="G56" s="97" t="n"/>
      <c r="H56" s="98" t="n"/>
    </row>
    <row r="57" ht="81" customHeight="1">
      <c r="A57" s="124">
        <f>Checks!$A$121&amp;CHAR(10)&amp;IF(Checks!$I$121="","",Checks!$I$121&amp;": ")&amp;Checks!$J$121</f>
        <v/>
      </c>
      <c r="B57" s="124">
        <f>Checks!$K$121&amp;IF(Checks!$O$121="","",IF(Checks!$K$121="","",CHAR(10))&amp;"Note: "&amp;Checks!$O$121)</f>
        <v/>
      </c>
      <c r="C57" s="124">
        <f>Checks!$N$121&amp;CHAR(10)&amp;IF(ISNUMBER(Checks!$R$121),TEXT(Checks!$R$121,"DD-MMM-YY HH:MM"),"")&amp;" "&amp;Checks!$P$121</f>
        <v/>
      </c>
      <c r="D57" s="124">
        <f>IF(Checks!$U$121="","",Checks!$U$121)&amp;IF(Checks!$AB$121="","",CHAR(10)&amp;"CA: "&amp;Checks!$AB$121)</f>
        <v/>
      </c>
      <c r="E57" s="124">
        <f>IF(Checks!$V$121="","",Checks!$V$121)&amp;IF(Checks!$AC$121="","",IF(Checks!$V$121="","",CHAR(10))&amp;"N/A just.: "&amp;Checks!$AC$121)&amp;IF(Checks!$W$121="","",CHAR(10)&amp;"Batch: "&amp;Checks!$W$121)&amp;IF(AND(Checks!$X$121="",Checks!$Y$121=""),"",CHAR(10)&amp;"Exp: "&amp;Checks!$X$121&amp;"  /  Act: "&amp;Checks!$Y$121)</f>
        <v/>
      </c>
      <c r="F57" s="124">
        <f>IF(Checks!$Z$121="","","Evidence: "&amp;Checks!$Z$121)&amp;IF(Checks!$AA$121="","",IF(Checks!$Z$121="","",CHAR(10))&amp;"CA: "&amp;Checks!$AA$121)</f>
        <v/>
      </c>
      <c r="G57" s="124">
        <f>IF(ISNUMBER(Checks!$AD$121),TEXT(Checks!$AD$121,"DD-MMM-YY HH:MM")&amp;" "&amp;Checks!$P$121,"")&amp;IF(Checks!$AE$121="","",CHAR(10)&amp;Checks!$AE$121)</f>
        <v/>
      </c>
      <c r="H57" s="125">
        <f>IF(Checks!$AH$121="","",Checks!$AH$121)</f>
        <v/>
      </c>
    </row>
    <row r="58" ht="81" customHeight="1">
      <c r="A58" s="124">
        <f>Checks!$A$122&amp;CHAR(10)&amp;IF(Checks!$I$122="","",Checks!$I$122&amp;": ")&amp;Checks!$J$122</f>
        <v/>
      </c>
      <c r="B58" s="124">
        <f>Checks!$K$122&amp;IF(Checks!$O$122="","",IF(Checks!$K$122="","",CHAR(10))&amp;"Note: "&amp;Checks!$O$122)</f>
        <v/>
      </c>
      <c r="C58" s="124">
        <f>Checks!$N$122&amp;CHAR(10)&amp;IF(ISNUMBER(Checks!$R$122),TEXT(Checks!$R$122,"DD-MMM-YY HH:MM"),"")&amp;" "&amp;Checks!$P$122</f>
        <v/>
      </c>
      <c r="D58" s="124">
        <f>IF(Checks!$U$122="","",Checks!$U$122)&amp;IF(Checks!$AB$122="","",CHAR(10)&amp;"CA: "&amp;Checks!$AB$122)</f>
        <v/>
      </c>
      <c r="E58" s="124">
        <f>IF(Checks!$V$122="","",Checks!$V$122)&amp;IF(Checks!$AC$122="","",IF(Checks!$V$122="","",CHAR(10))&amp;"N/A just.: "&amp;Checks!$AC$122)&amp;IF(Checks!$W$122="","",CHAR(10)&amp;"Batch: "&amp;Checks!$W$122)&amp;IF(AND(Checks!$X$122="",Checks!$Y$122=""),"",CHAR(10)&amp;"Exp: "&amp;Checks!$X$122&amp;"  /  Act: "&amp;Checks!$Y$122)</f>
        <v/>
      </c>
      <c r="F58" s="124">
        <f>IF(Checks!$Z$122="","","Evidence: "&amp;Checks!$Z$122)&amp;IF(Checks!$AA$122="","",IF(Checks!$Z$122="","",CHAR(10))&amp;"CA: "&amp;Checks!$AA$122)</f>
        <v/>
      </c>
      <c r="G58" s="124">
        <f>IF(ISNUMBER(Checks!$AD$122),TEXT(Checks!$AD$122,"DD-MMM-YY HH:MM")&amp;" "&amp;Checks!$P$122,"")&amp;IF(Checks!$AE$122="","",CHAR(10)&amp;Checks!$AE$122)</f>
        <v/>
      </c>
      <c r="H58" s="125">
        <f>IF(Checks!$AH$122="","",Checks!$AH$122)</f>
        <v/>
      </c>
    </row>
    <row r="59" ht="81" customHeight="1">
      <c r="A59" s="124">
        <f>Checks!$A$123&amp;CHAR(10)&amp;IF(Checks!$I$123="","",Checks!$I$123&amp;": ")&amp;Checks!$J$123</f>
        <v/>
      </c>
      <c r="B59" s="124">
        <f>Checks!$K$123&amp;IF(Checks!$O$123="","",IF(Checks!$K$123="","",CHAR(10))&amp;"Note: "&amp;Checks!$O$123)</f>
        <v/>
      </c>
      <c r="C59" s="124">
        <f>Checks!$N$123&amp;CHAR(10)&amp;IF(ISNUMBER(Checks!$R$123),TEXT(Checks!$R$123,"DD-MMM-YY HH:MM"),"")&amp;" "&amp;Checks!$P$123</f>
        <v/>
      </c>
      <c r="D59" s="124">
        <f>IF(Checks!$U$123="","",Checks!$U$123)&amp;IF(Checks!$AB$123="","",CHAR(10)&amp;"CA: "&amp;Checks!$AB$123)</f>
        <v/>
      </c>
      <c r="E59" s="124">
        <f>IF(Checks!$V$123="","",Checks!$V$123)&amp;IF(Checks!$AC$123="","",IF(Checks!$V$123="","",CHAR(10))&amp;"N/A just.: "&amp;Checks!$AC$123)&amp;IF(Checks!$W$123="","",CHAR(10)&amp;"Batch: "&amp;Checks!$W$123)&amp;IF(AND(Checks!$X$123="",Checks!$Y$123=""),"",CHAR(10)&amp;"Exp: "&amp;Checks!$X$123&amp;"  /  Act: "&amp;Checks!$Y$123)</f>
        <v/>
      </c>
      <c r="F59" s="124">
        <f>IF(Checks!$Z$123="","","Evidence: "&amp;Checks!$Z$123)&amp;IF(Checks!$AA$123="","",IF(Checks!$Z$123="","",CHAR(10))&amp;"CA: "&amp;Checks!$AA$123)</f>
        <v/>
      </c>
      <c r="G59" s="124">
        <f>IF(ISNUMBER(Checks!$AD$123),TEXT(Checks!$AD$123,"DD-MMM-YY HH:MM")&amp;" "&amp;Checks!$P$123,"")&amp;IF(Checks!$AE$123="","",CHAR(10)&amp;Checks!$AE$123)</f>
        <v/>
      </c>
      <c r="H59" s="125">
        <f>IF(Checks!$AH$123="","",Checks!$AH$123)</f>
        <v/>
      </c>
    </row>
    <row r="60" ht="81" customHeight="1">
      <c r="A60" s="124">
        <f>Checks!$A$124&amp;CHAR(10)&amp;IF(Checks!$I$124="","",Checks!$I$124&amp;": ")&amp;Checks!$J$124</f>
        <v/>
      </c>
      <c r="B60" s="124">
        <f>Checks!$K$124&amp;IF(Checks!$O$124="","",IF(Checks!$K$124="","",CHAR(10))&amp;"Note: "&amp;Checks!$O$124)</f>
        <v/>
      </c>
      <c r="C60" s="124">
        <f>Checks!$N$124&amp;CHAR(10)&amp;IF(ISNUMBER(Checks!$R$124),TEXT(Checks!$R$124,"DD-MMM-YY HH:MM"),"")&amp;" "&amp;Checks!$P$124</f>
        <v/>
      </c>
      <c r="D60" s="124">
        <f>IF(Checks!$U$124="","",Checks!$U$124)&amp;IF(Checks!$AB$124="","",CHAR(10)&amp;"CA: "&amp;Checks!$AB$124)</f>
        <v/>
      </c>
      <c r="E60" s="124">
        <f>IF(Checks!$V$124="","",Checks!$V$124)&amp;IF(Checks!$AC$124="","",IF(Checks!$V$124="","",CHAR(10))&amp;"N/A just.: "&amp;Checks!$AC$124)&amp;IF(Checks!$W$124="","",CHAR(10)&amp;"Batch: "&amp;Checks!$W$124)&amp;IF(AND(Checks!$X$124="",Checks!$Y$124=""),"",CHAR(10)&amp;"Exp: "&amp;Checks!$X$124&amp;"  /  Act: "&amp;Checks!$Y$124)</f>
        <v/>
      </c>
      <c r="F60" s="124">
        <f>IF(Checks!$Z$124="","","Evidence: "&amp;Checks!$Z$124)&amp;IF(Checks!$AA$124="","",IF(Checks!$Z$124="","",CHAR(10))&amp;"CA: "&amp;Checks!$AA$124)</f>
        <v/>
      </c>
      <c r="G60" s="124">
        <f>IF(ISNUMBER(Checks!$AD$124),TEXT(Checks!$AD$124,"DD-MMM-YY HH:MM")&amp;" "&amp;Checks!$P$124,"")&amp;IF(Checks!$AE$124="","",CHAR(10)&amp;Checks!$AE$124)</f>
        <v/>
      </c>
      <c r="H60" s="125">
        <f>IF(Checks!$AH$124="","",Checks!$AH$124)</f>
        <v/>
      </c>
    </row>
    <row r="61" ht="81" customHeight="1">
      <c r="A61" s="124">
        <f>Checks!$A$125&amp;CHAR(10)&amp;IF(Checks!$I$125="","",Checks!$I$125&amp;": ")&amp;Checks!$J$125</f>
        <v/>
      </c>
      <c r="B61" s="124">
        <f>Checks!$K$125&amp;IF(Checks!$O$125="","",IF(Checks!$K$125="","",CHAR(10))&amp;"Note: "&amp;Checks!$O$125)</f>
        <v/>
      </c>
      <c r="C61" s="124">
        <f>Checks!$N$125&amp;CHAR(10)&amp;IF(ISNUMBER(Checks!$R$125),TEXT(Checks!$R$125,"DD-MMM-YY HH:MM"),"")&amp;" "&amp;Checks!$P$125</f>
        <v/>
      </c>
      <c r="D61" s="124">
        <f>IF(Checks!$U$125="","",Checks!$U$125)&amp;IF(Checks!$AB$125="","",CHAR(10)&amp;"CA: "&amp;Checks!$AB$125)</f>
        <v/>
      </c>
      <c r="E61" s="124">
        <f>IF(Checks!$V$125="","",Checks!$V$125)&amp;IF(Checks!$AC$125="","",IF(Checks!$V$125="","",CHAR(10))&amp;"N/A just.: "&amp;Checks!$AC$125)&amp;IF(Checks!$W$125="","",CHAR(10)&amp;"Batch: "&amp;Checks!$W$125)&amp;IF(AND(Checks!$X$125="",Checks!$Y$125=""),"",CHAR(10)&amp;"Exp: "&amp;Checks!$X$125&amp;"  /  Act: "&amp;Checks!$Y$125)</f>
        <v/>
      </c>
      <c r="F61" s="124">
        <f>IF(Checks!$Z$125="","","Evidence: "&amp;Checks!$Z$125)&amp;IF(Checks!$AA$125="","",IF(Checks!$Z$125="","",CHAR(10))&amp;"CA: "&amp;Checks!$AA$125)</f>
        <v/>
      </c>
      <c r="G61" s="124">
        <f>IF(ISNUMBER(Checks!$AD$125),TEXT(Checks!$AD$125,"DD-MMM-YY HH:MM")&amp;" "&amp;Checks!$P$125,"")&amp;IF(Checks!$AE$125="","",CHAR(10)&amp;Checks!$AE$125)</f>
        <v/>
      </c>
      <c r="H61" s="125">
        <f>IF(Checks!$AH$125="","",Checks!$AH$125)</f>
        <v/>
      </c>
    </row>
    <row r="62" ht="81" customHeight="1">
      <c r="A62" s="124">
        <f>Checks!$A$126&amp;CHAR(10)&amp;IF(Checks!$I$126="","",Checks!$I$126&amp;": ")&amp;Checks!$J$126</f>
        <v/>
      </c>
      <c r="B62" s="124">
        <f>Checks!$K$126&amp;IF(Checks!$O$126="","",IF(Checks!$K$126="","",CHAR(10))&amp;"Note: "&amp;Checks!$O$126)</f>
        <v/>
      </c>
      <c r="C62" s="124">
        <f>Checks!$N$126&amp;CHAR(10)&amp;IF(ISNUMBER(Checks!$R$126),TEXT(Checks!$R$126,"DD-MMM-YY HH:MM"),"")&amp;" "&amp;Checks!$P$126</f>
        <v/>
      </c>
      <c r="D62" s="124">
        <f>IF(Checks!$U$126="","",Checks!$U$126)&amp;IF(Checks!$AB$126="","",CHAR(10)&amp;"CA: "&amp;Checks!$AB$126)</f>
        <v/>
      </c>
      <c r="E62" s="124">
        <f>IF(Checks!$V$126="","",Checks!$V$126)&amp;IF(Checks!$AC$126="","",IF(Checks!$V$126="","",CHAR(10))&amp;"N/A just.: "&amp;Checks!$AC$126)&amp;IF(Checks!$W$126="","",CHAR(10)&amp;"Batch: "&amp;Checks!$W$126)&amp;IF(AND(Checks!$X$126="",Checks!$Y$126=""),"",CHAR(10)&amp;"Exp: "&amp;Checks!$X$126&amp;"  /  Act: "&amp;Checks!$Y$126)</f>
        <v/>
      </c>
      <c r="F62" s="124">
        <f>IF(Checks!$Z$126="","","Evidence: "&amp;Checks!$Z$126)&amp;IF(Checks!$AA$126="","",IF(Checks!$Z$126="","",CHAR(10))&amp;"CA: "&amp;Checks!$AA$126)</f>
        <v/>
      </c>
      <c r="G62" s="124">
        <f>IF(ISNUMBER(Checks!$AD$126),TEXT(Checks!$AD$126,"DD-MMM-YY HH:MM")&amp;" "&amp;Checks!$P$126,"")&amp;IF(Checks!$AE$126="","",CHAR(10)&amp;Checks!$AE$126)</f>
        <v/>
      </c>
      <c r="H62" s="125">
        <f>IF(Checks!$AH$126="","",Checks!$AH$126)</f>
        <v/>
      </c>
    </row>
    <row r="63" ht="81" customHeight="1">
      <c r="A63" s="124">
        <f>Checks!$A$127&amp;CHAR(10)&amp;IF(Checks!$I$127="","",Checks!$I$127&amp;": ")&amp;Checks!$J$127</f>
        <v/>
      </c>
      <c r="B63" s="124">
        <f>Checks!$K$127&amp;IF(Checks!$O$127="","",IF(Checks!$K$127="","",CHAR(10))&amp;"Note: "&amp;Checks!$O$127)</f>
        <v/>
      </c>
      <c r="C63" s="124">
        <f>Checks!$N$127&amp;CHAR(10)&amp;IF(ISNUMBER(Checks!$R$127),TEXT(Checks!$R$127,"DD-MMM-YY HH:MM"),"")&amp;" "&amp;Checks!$P$127</f>
        <v/>
      </c>
      <c r="D63" s="124">
        <f>IF(Checks!$U$127="","",Checks!$U$127)&amp;IF(Checks!$AB$127="","",CHAR(10)&amp;"CA: "&amp;Checks!$AB$127)</f>
        <v/>
      </c>
      <c r="E63" s="124">
        <f>IF(Checks!$V$127="","",Checks!$V$127)&amp;IF(Checks!$AC$127="","",IF(Checks!$V$127="","",CHAR(10))&amp;"N/A just.: "&amp;Checks!$AC$127)&amp;IF(Checks!$W$127="","",CHAR(10)&amp;"Batch: "&amp;Checks!$W$127)&amp;IF(AND(Checks!$X$127="",Checks!$Y$127=""),"",CHAR(10)&amp;"Exp: "&amp;Checks!$X$127&amp;"  /  Act: "&amp;Checks!$Y$127)</f>
        <v/>
      </c>
      <c r="F63" s="124">
        <f>IF(Checks!$Z$127="","","Evidence: "&amp;Checks!$Z$127)&amp;IF(Checks!$AA$127="","",IF(Checks!$Z$127="","",CHAR(10))&amp;"CA: "&amp;Checks!$AA$127)</f>
        <v/>
      </c>
      <c r="G63" s="124">
        <f>IF(ISNUMBER(Checks!$AD$127),TEXT(Checks!$AD$127,"DD-MMM-YY HH:MM")&amp;" "&amp;Checks!$P$127,"")&amp;IF(Checks!$AE$127="","",CHAR(10)&amp;Checks!$AE$127)</f>
        <v/>
      </c>
      <c r="H63" s="125">
        <f>IF(Checks!$AH$127="","",Checks!$AH$127)</f>
        <v/>
      </c>
    </row>
    <row r="64" ht="81" customHeight="1">
      <c r="A64" s="124">
        <f>Checks!$A$128&amp;CHAR(10)&amp;IF(Checks!$I$128="","",Checks!$I$128&amp;": ")&amp;Checks!$J$128</f>
        <v/>
      </c>
      <c r="B64" s="124">
        <f>Checks!$K$128&amp;IF(Checks!$O$128="","",IF(Checks!$K$128="","",CHAR(10))&amp;"Note: "&amp;Checks!$O$128)</f>
        <v/>
      </c>
      <c r="C64" s="124">
        <f>Checks!$N$128&amp;CHAR(10)&amp;IF(ISNUMBER(Checks!$R$128),TEXT(Checks!$R$128,"DD-MMM-YY HH:MM"),"")&amp;" "&amp;Checks!$P$128</f>
        <v/>
      </c>
      <c r="D64" s="124">
        <f>IF(Checks!$U$128="","",Checks!$U$128)&amp;IF(Checks!$AB$128="","",CHAR(10)&amp;"CA: "&amp;Checks!$AB$128)</f>
        <v/>
      </c>
      <c r="E64" s="124">
        <f>IF(Checks!$V$128="","",Checks!$V$128)&amp;IF(Checks!$AC$128="","",IF(Checks!$V$128="","",CHAR(10))&amp;"N/A just.: "&amp;Checks!$AC$128)&amp;IF(Checks!$W$128="","",CHAR(10)&amp;"Batch: "&amp;Checks!$W$128)&amp;IF(AND(Checks!$X$128="",Checks!$Y$128=""),"",CHAR(10)&amp;"Exp: "&amp;Checks!$X$128&amp;"  /  Act: "&amp;Checks!$Y$128)</f>
        <v/>
      </c>
      <c r="F64" s="124">
        <f>IF(Checks!$Z$128="","","Evidence: "&amp;Checks!$Z$128)&amp;IF(Checks!$AA$128="","",IF(Checks!$Z$128="","",CHAR(10))&amp;"CA: "&amp;Checks!$AA$128)</f>
        <v/>
      </c>
      <c r="G64" s="124">
        <f>IF(ISNUMBER(Checks!$AD$128),TEXT(Checks!$AD$128,"DD-MMM-YY HH:MM")&amp;" "&amp;Checks!$P$128,"")&amp;IF(Checks!$AE$128="","",CHAR(10)&amp;Checks!$AE$128)</f>
        <v/>
      </c>
      <c r="H64" s="125">
        <f>IF(Checks!$AH$128="","",Checks!$AH$128)</f>
        <v/>
      </c>
    </row>
    <row r="65" ht="81" customHeight="1">
      <c r="A65" s="124">
        <f>Checks!$A$129&amp;CHAR(10)&amp;IF(Checks!$I$129="","",Checks!$I$129&amp;": ")&amp;Checks!$J$129</f>
        <v/>
      </c>
      <c r="B65" s="124">
        <f>Checks!$K$129&amp;IF(Checks!$O$129="","",IF(Checks!$K$129="","",CHAR(10))&amp;"Note: "&amp;Checks!$O$129)</f>
        <v/>
      </c>
      <c r="C65" s="124">
        <f>Checks!$N$129&amp;CHAR(10)&amp;IF(ISNUMBER(Checks!$R$129),TEXT(Checks!$R$129,"DD-MMM-YY HH:MM"),"")&amp;" "&amp;Checks!$P$129</f>
        <v/>
      </c>
      <c r="D65" s="124">
        <f>IF(Checks!$U$129="","",Checks!$U$129)&amp;IF(Checks!$AB$129="","",CHAR(10)&amp;"CA: "&amp;Checks!$AB$129)</f>
        <v/>
      </c>
      <c r="E65" s="124">
        <f>IF(Checks!$V$129="","",Checks!$V$129)&amp;IF(Checks!$AC$129="","",IF(Checks!$V$129="","",CHAR(10))&amp;"N/A just.: "&amp;Checks!$AC$129)&amp;IF(Checks!$W$129="","",CHAR(10)&amp;"Batch: "&amp;Checks!$W$129)&amp;IF(AND(Checks!$X$129="",Checks!$Y$129=""),"",CHAR(10)&amp;"Exp: "&amp;Checks!$X$129&amp;"  /  Act: "&amp;Checks!$Y$129)</f>
        <v/>
      </c>
      <c r="F65" s="124">
        <f>IF(Checks!$Z$129="","","Evidence: "&amp;Checks!$Z$129)&amp;IF(Checks!$AA$129="","",IF(Checks!$Z$129="","",CHAR(10))&amp;"CA: "&amp;Checks!$AA$129)</f>
        <v/>
      </c>
      <c r="G65" s="124">
        <f>IF(ISNUMBER(Checks!$AD$129),TEXT(Checks!$AD$129,"DD-MMM-YY HH:MM")&amp;" "&amp;Checks!$P$129,"")&amp;IF(Checks!$AE$129="","",CHAR(10)&amp;Checks!$AE$129)</f>
        <v/>
      </c>
      <c r="H65" s="125">
        <f>IF(Checks!$AH$129="","",Checks!$AH$129)</f>
        <v/>
      </c>
    </row>
    <row r="66" ht="81" customHeight="1">
      <c r="A66" s="124">
        <f>Checks!$A$130&amp;CHAR(10)&amp;IF(Checks!$I$130="","",Checks!$I$130&amp;": ")&amp;Checks!$J$130</f>
        <v/>
      </c>
      <c r="B66" s="124">
        <f>SUBSTITUTE(Checks!$K$130&amp;IF(Checks!$O$130="","",IF(Checks!$K$130="","",CHAR(10))&amp;"Note: "&amp;Checks!$O$130),"F&amp;B LINEN!","Ref: F&amp;B LINEN!")</f>
        <v/>
      </c>
      <c r="C66" s="124">
        <f>Checks!$N$130&amp;CHAR(10)&amp;IF(ISNUMBER(Checks!$R$130),TEXT(Checks!$R$130,"DD-MMM-YY HH:MM"),"")&amp;" "&amp;Checks!$P$130</f>
        <v/>
      </c>
      <c r="D66" s="124">
        <f>IF(Checks!$U$130="","",Checks!$U$130)&amp;IF(Checks!$AB$130="","",CHAR(10)&amp;"CA: "&amp;Checks!$AB$130)</f>
        <v/>
      </c>
      <c r="E66" s="124">
        <f>IF(Checks!$V$130="","",Checks!$V$130)&amp;IF(Checks!$AC$130="","",IF(Checks!$V$130="","",CHAR(10))&amp;"N/A just.: "&amp;Checks!$AC$130)&amp;IF(Checks!$W$130="","",CHAR(10)&amp;"Batch: "&amp;Checks!$W$130)&amp;IF(AND(Checks!$X$130="",Checks!$Y$130=""),"",CHAR(10)&amp;"Exp: "&amp;Checks!$X$130&amp;"  /  Act: "&amp;Checks!$Y$130)</f>
        <v/>
      </c>
      <c r="F66" s="124">
        <f>IF(Checks!$Z$130="","","Evidence: "&amp;Checks!$Z$130)&amp;IF(Checks!$AA$130="","",IF(Checks!$Z$130="","",CHAR(10))&amp;"CA: "&amp;Checks!$AA$130)</f>
        <v/>
      </c>
      <c r="G66" s="124">
        <f>IF(ISNUMBER(Checks!$AD$130),TEXT(Checks!$AD$130,"DD-MMM-YY HH:MM")&amp;" "&amp;Checks!$P$130,"")&amp;IF(Checks!$AE$130="","",CHAR(10)&amp;Checks!$AE$130)</f>
        <v/>
      </c>
      <c r="H66" s="125">
        <f>IF(Checks!$AH$130="","",Checks!$AH$130)</f>
        <v/>
      </c>
    </row>
    <row r="67" ht="81" customHeight="1">
      <c r="A67" s="124">
        <f>Checks!$A$131&amp;CHAR(10)&amp;IF(Checks!$I$131="","",Checks!$I$131&amp;": ")&amp;Checks!$J$131</f>
        <v/>
      </c>
      <c r="B67" s="124">
        <f>Checks!$K$131&amp;IF(Checks!$O$131="","",IF(Checks!$K$131="","",CHAR(10))&amp;"Note: "&amp;Checks!$O$131)</f>
        <v/>
      </c>
      <c r="C67" s="124">
        <f>Checks!$N$131&amp;CHAR(10)&amp;IF(ISNUMBER(Checks!$R$131),TEXT(Checks!$R$131,"DD-MMM-YY HH:MM"),"")&amp;" "&amp;Checks!$P$131</f>
        <v/>
      </c>
      <c r="D67" s="124">
        <f>IF(Checks!$U$131="","",Checks!$U$131)&amp;IF(Checks!$AB$131="","",CHAR(10)&amp;"CA: "&amp;Checks!$AB$131)</f>
        <v/>
      </c>
      <c r="E67" s="124">
        <f>IF(Checks!$V$131="","",Checks!$V$131)&amp;IF(Checks!$AC$131="","",IF(Checks!$V$131="","",CHAR(10))&amp;"N/A just.: "&amp;Checks!$AC$131)&amp;IF(Checks!$W$131="","",CHAR(10)&amp;"Batch: "&amp;Checks!$W$131)&amp;IF(AND(Checks!$X$131="",Checks!$Y$131=""),"",CHAR(10)&amp;"Exp: "&amp;Checks!$X$131&amp;"  /  Act: "&amp;Checks!$Y$131)</f>
        <v/>
      </c>
      <c r="F67" s="124">
        <f>IF(Checks!$Z$131="","","Evidence: "&amp;Checks!$Z$131)&amp;IF(Checks!$AA$131="","",IF(Checks!$Z$131="","",CHAR(10))&amp;"CA: "&amp;Checks!$AA$131)</f>
        <v/>
      </c>
      <c r="G67" s="124">
        <f>IF(ISNUMBER(Checks!$AD$131),TEXT(Checks!$AD$131,"DD-MMM-YY HH:MM")&amp;" "&amp;Checks!$P$131,"")&amp;IF(Checks!$AE$131="","",CHAR(10)&amp;Checks!$AE$131)</f>
        <v/>
      </c>
      <c r="H67" s="125">
        <f>IF(Checks!$AH$131="","",Checks!$AH$131)</f>
        <v/>
      </c>
    </row>
    <row r="68" ht="81" customHeight="1">
      <c r="A68" s="124">
        <f>Checks!$A$132&amp;CHAR(10)&amp;IF(Checks!$I$132="","",Checks!$I$132&amp;": ")&amp;Checks!$J$132</f>
        <v/>
      </c>
      <c r="B68" s="124">
        <f>Checks!$K$132&amp;IF(Checks!$O$132="","",IF(Checks!$K$132="","",CHAR(10))&amp;"Note: "&amp;Checks!$O$132)</f>
        <v/>
      </c>
      <c r="C68" s="124">
        <f>Checks!$N$132&amp;CHAR(10)&amp;IF(ISNUMBER(Checks!$R$132),TEXT(Checks!$R$132,"DD-MMM-YY HH:MM"),"")&amp;" "&amp;Checks!$P$132</f>
        <v/>
      </c>
      <c r="D68" s="124">
        <f>IF(Checks!$U$132="","",Checks!$U$132)&amp;IF(Checks!$AB$132="","",CHAR(10)&amp;"CA: "&amp;Checks!$AB$132)</f>
        <v/>
      </c>
      <c r="E68" s="124">
        <f>IF(Checks!$V$132="","",Checks!$V$132)&amp;IF(Checks!$AC$132="","",IF(Checks!$V$132="","",CHAR(10))&amp;"N/A just.: "&amp;Checks!$AC$132)&amp;IF(Checks!$W$132="","",CHAR(10)&amp;"Batch: "&amp;Checks!$W$132)&amp;IF(AND(Checks!$X$132="",Checks!$Y$132=""),"",CHAR(10)&amp;"Exp: "&amp;Checks!$X$132&amp;"  /  Act: "&amp;Checks!$Y$132)</f>
        <v/>
      </c>
      <c r="F68" s="124">
        <f>IF(Checks!$Z$132="","","Evidence: "&amp;Checks!$Z$132)&amp;IF(Checks!$AA$132="","",IF(Checks!$Z$132="","",CHAR(10))&amp;"CA: "&amp;Checks!$AA$132)</f>
        <v/>
      </c>
      <c r="G68" s="124">
        <f>IF(ISNUMBER(Checks!$AD$132),TEXT(Checks!$AD$132,"DD-MMM-YY HH:MM")&amp;" "&amp;Checks!$P$132,"")&amp;IF(Checks!$AE$132="","",CHAR(10)&amp;Checks!$AE$132)</f>
        <v/>
      </c>
      <c r="H68" s="125">
        <f>IF(Checks!$AH$132="","",Checks!$AH$132)</f>
        <v/>
      </c>
    </row>
    <row r="69" ht="81" customHeight="1">
      <c r="A69" s="124">
        <f>Checks!$A$133&amp;CHAR(10)&amp;IF(Checks!$I$133="","",Checks!$I$133&amp;": ")&amp;Checks!$J$133</f>
        <v/>
      </c>
      <c r="B69" s="124">
        <f>Checks!$K$133&amp;IF(Checks!$O$133="","",IF(Checks!$K$133="","",CHAR(10))&amp;"Note: "&amp;Checks!$O$133)</f>
        <v/>
      </c>
      <c r="C69" s="124">
        <f>Checks!$N$133&amp;CHAR(10)&amp;IF(ISNUMBER(Checks!$R$133),TEXT(Checks!$R$133,"DD-MMM-YY HH:MM"),"")&amp;" "&amp;Checks!$P$133</f>
        <v/>
      </c>
      <c r="D69" s="124">
        <f>IF(Checks!$U$133="","",Checks!$U$133)&amp;IF(Checks!$AB$133="","",CHAR(10)&amp;"CA: "&amp;Checks!$AB$133)</f>
        <v/>
      </c>
      <c r="E69" s="124">
        <f>IF(Checks!$V$133="","",Checks!$V$133)&amp;IF(Checks!$AC$133="","",IF(Checks!$V$133="","",CHAR(10))&amp;"N/A just.: "&amp;Checks!$AC$133)&amp;IF(Checks!$W$133="","",CHAR(10)&amp;"Batch: "&amp;Checks!$W$133)&amp;IF(AND(Checks!$X$133="",Checks!$Y$133=""),"",CHAR(10)&amp;"Exp: "&amp;Checks!$X$133&amp;"  /  Act: "&amp;Checks!$Y$133)</f>
        <v/>
      </c>
      <c r="F69" s="124">
        <f>IF(Checks!$Z$133="","","Evidence: "&amp;Checks!$Z$133)&amp;IF(Checks!$AA$133="","",IF(Checks!$Z$133="","",CHAR(10))&amp;"CA: "&amp;Checks!$AA$133)</f>
        <v/>
      </c>
      <c r="G69" s="124">
        <f>IF(ISNUMBER(Checks!$AD$133),TEXT(Checks!$AD$133,"DD-MMM-YY HH:MM")&amp;" "&amp;Checks!$P$133,"")&amp;IF(Checks!$AE$133="","",CHAR(10)&amp;Checks!$AE$133)</f>
        <v/>
      </c>
      <c r="H69" s="125">
        <f>IF(Checks!$AH$133="","",Checks!$AH$133)</f>
        <v/>
      </c>
    </row>
    <row r="70" ht="81" customHeight="1">
      <c r="A70" s="124">
        <f>Checks!$A$134&amp;CHAR(10)&amp;IF(Checks!$I$134="","",Checks!$I$134&amp;": ")&amp;Checks!$J$134</f>
        <v/>
      </c>
      <c r="B70" s="124">
        <f>Checks!$K$134&amp;IF(Checks!$O$134="","",IF(Checks!$K$134="","",CHAR(10))&amp;"Note: "&amp;Checks!$O$134)</f>
        <v/>
      </c>
      <c r="C70" s="124">
        <f>Checks!$N$134&amp;CHAR(10)&amp;IF(ISNUMBER(Checks!$R$134),TEXT(Checks!$R$134,"DD-MMM-YY HH:MM"),"")&amp;" "&amp;Checks!$P$134</f>
        <v/>
      </c>
      <c r="D70" s="124">
        <f>IF(Checks!$U$134="","",Checks!$U$134)&amp;IF(Checks!$AB$134="","",CHAR(10)&amp;"CA: "&amp;Checks!$AB$134)</f>
        <v/>
      </c>
      <c r="E70" s="124">
        <f>IF(Checks!$V$134="","",Checks!$V$134)&amp;IF(Checks!$AC$134="","",IF(Checks!$V$134="","",CHAR(10))&amp;"N/A just.: "&amp;Checks!$AC$134)&amp;IF(Checks!$W$134="","",CHAR(10)&amp;"Batch: "&amp;Checks!$W$134)&amp;IF(AND(Checks!$X$134="",Checks!$Y$134=""),"",CHAR(10)&amp;"Exp: "&amp;Checks!$X$134&amp;"  /  Act: "&amp;Checks!$Y$134)</f>
        <v/>
      </c>
      <c r="F70" s="124">
        <f>IF(Checks!$Z$134="","","Evidence: "&amp;Checks!$Z$134)&amp;IF(Checks!$AA$134="","",IF(Checks!$Z$134="","",CHAR(10))&amp;"CA: "&amp;Checks!$AA$134)</f>
        <v/>
      </c>
      <c r="G70" s="124">
        <f>IF(ISNUMBER(Checks!$AD$134),TEXT(Checks!$AD$134,"DD-MMM-YY HH:MM")&amp;" "&amp;Checks!$P$134,"")&amp;IF(Checks!$AE$134="","",CHAR(10)&amp;Checks!$AE$134)</f>
        <v/>
      </c>
      <c r="H70" s="125">
        <f>IF(Checks!$AH$134="","",Checks!$AH$134)</f>
        <v/>
      </c>
    </row>
    <row r="71" ht="81" customHeight="1">
      <c r="A71" s="124">
        <f>Checks!$A$135&amp;CHAR(10)&amp;IF(Checks!$I$135="","",Checks!$I$135&amp;": ")&amp;Checks!$J$135</f>
        <v/>
      </c>
      <c r="B71" s="124">
        <f>Checks!$K$135&amp;IF(Checks!$O$135="","",IF(Checks!$K$135="","",CHAR(10))&amp;"Note: "&amp;Checks!$O$135)</f>
        <v/>
      </c>
      <c r="C71" s="124">
        <f>Checks!$N$135&amp;CHAR(10)&amp;IF(ISNUMBER(Checks!$R$135),TEXT(Checks!$R$135,"DD-MMM-YY HH:MM"),"")&amp;" "&amp;Checks!$P$135</f>
        <v/>
      </c>
      <c r="D71" s="124">
        <f>IF(Checks!$U$135="","",Checks!$U$135)&amp;IF(Checks!$AB$135="","",CHAR(10)&amp;"CA: "&amp;Checks!$AB$135)</f>
        <v/>
      </c>
      <c r="E71" s="124">
        <f>IF(Checks!$V$135="","",Checks!$V$135)&amp;IF(Checks!$AC$135="","",IF(Checks!$V$135="","",CHAR(10))&amp;"N/A just.: "&amp;Checks!$AC$135)&amp;IF(Checks!$W$135="","",CHAR(10)&amp;"Batch: "&amp;Checks!$W$135)&amp;IF(AND(Checks!$X$135="",Checks!$Y$135=""),"",CHAR(10)&amp;"Exp: "&amp;Checks!$X$135&amp;"  /  Act: "&amp;Checks!$Y$135)</f>
        <v/>
      </c>
      <c r="F71" s="124">
        <f>IF(Checks!$Z$135="","","Evidence: "&amp;Checks!$Z$135)&amp;IF(Checks!$AA$135="","",IF(Checks!$Z$135="","",CHAR(10))&amp;"CA: "&amp;Checks!$AA$135)</f>
        <v/>
      </c>
      <c r="G71" s="124">
        <f>IF(ISNUMBER(Checks!$AD$135),TEXT(Checks!$AD$135,"DD-MMM-YY HH:MM")&amp;" "&amp;Checks!$P$135,"")&amp;IF(Checks!$AE$135="","",CHAR(10)&amp;Checks!$AE$135)</f>
        <v/>
      </c>
      <c r="H71" s="125">
        <f>IF(Checks!$AH$135="","",Checks!$AH$135)</f>
        <v/>
      </c>
    </row>
    <row r="72" ht="92" customHeight="1">
      <c r="A72" s="124">
        <f>Checks!$A$136&amp;CHAR(10)&amp;IF(Checks!$I$136="","",Checks!$I$136&amp;": ")&amp;Checks!$J$136</f>
        <v/>
      </c>
      <c r="B72" s="124">
        <f>Checks!$K$136&amp;IF(Checks!$O$136="","",IF(Checks!$K$136="","",CHAR(10))&amp;"Note: "&amp;Checks!$O$136)</f>
        <v/>
      </c>
      <c r="C72" s="124">
        <f>Checks!$N$136&amp;CHAR(10)&amp;IF(ISNUMBER(Checks!$R$136),TEXT(Checks!$R$136,"DD-MMM-YY HH:MM"),"")&amp;" "&amp;Checks!$P$136</f>
        <v/>
      </c>
      <c r="D72" s="124">
        <f>IF(Checks!$U$136="","",Checks!$U$136)&amp;IF(Checks!$AB$136="","",CHAR(10)&amp;"CA: "&amp;Checks!$AB$136)</f>
        <v/>
      </c>
      <c r="E72" s="124">
        <f>IF(Checks!$V$136="","",Checks!$V$136)&amp;IF(Checks!$AC$136="","",IF(Checks!$V$136="","",CHAR(10))&amp;"N/A just.: "&amp;Checks!$AC$136)&amp;IF(Checks!$W$136="","",CHAR(10)&amp;"Batch: "&amp;Checks!$W$136)&amp;IF(AND(Checks!$X$136="",Checks!$Y$136=""),"",CHAR(10)&amp;"Exp: "&amp;Checks!$X$136&amp;"  /  Act: "&amp;Checks!$Y$136)</f>
        <v/>
      </c>
      <c r="F72" s="124">
        <f>IF(Checks!$Z$136="","","Evidence: "&amp;Checks!$Z$136)&amp;IF(Checks!$AA$136="","",IF(Checks!$Z$136="","",CHAR(10))&amp;"CA: "&amp;Checks!$AA$136)</f>
        <v/>
      </c>
      <c r="G72" s="124">
        <f>IF(ISNUMBER(Checks!$AD$136),TEXT(Checks!$AD$136,"DD-MMM-YY HH:MM")&amp;" "&amp;Checks!$P$136,"")&amp;IF(Checks!$AE$136="","",CHAR(10)&amp;Checks!$AE$136)</f>
        <v/>
      </c>
      <c r="H72" s="125">
        <f>IF(Checks!$AH$136="","",Checks!$AH$136)</f>
        <v/>
      </c>
    </row>
    <row r="74" ht="24" customHeight="1">
      <c r="A74" s="126" t="inlineStr">
        <is>
          <t>EXCEL INSERTION AREA (on-screen only, not printed) – A1 Galley Loading Diagram: Insert &gt; Picture here. On paper: staple behind this sheet as page A1.</t>
        </is>
      </c>
      <c r="B74" s="127" t="n"/>
      <c r="C74" s="127" t="n"/>
      <c r="D74" s="128" t="n"/>
      <c r="E74" s="126" t="inlineStr">
        <is>
          <t>EXCEL INSERTION AREA (on-screen only, not printed) – A2 Menu Checklist: Insert &gt; Picture here. On paper: staple behind this sheet as page A2.</t>
        </is>
      </c>
      <c r="F74" s="127" t="n"/>
      <c r="G74" s="127" t="n"/>
      <c r="H74" s="128" t="n"/>
    </row>
    <row r="75" ht="22" customHeight="1">
      <c r="A75" s="129" t="n"/>
      <c r="B75" s="130" t="n"/>
      <c r="C75" s="130" t="n"/>
      <c r="D75" s="131" t="n"/>
      <c r="E75" s="129" t="n"/>
      <c r="F75" s="130" t="n"/>
      <c r="G75" s="130" t="n"/>
      <c r="H75" s="131" t="n"/>
    </row>
    <row r="76" ht="22" customHeight="1">
      <c r="A76" s="132" t="n"/>
      <c r="B76" s="130" t="n"/>
      <c r="C76" s="130" t="n"/>
      <c r="D76" s="131" t="n"/>
      <c r="E76" s="132" t="n"/>
      <c r="F76" s="130" t="n"/>
      <c r="G76" s="130" t="n"/>
      <c r="H76" s="131" t="n"/>
    </row>
    <row r="77" ht="22" customHeight="1">
      <c r="A77" s="132" t="n"/>
      <c r="B77" s="130" t="n"/>
      <c r="C77" s="130" t="n"/>
      <c r="D77" s="131" t="n"/>
      <c r="E77" s="132"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2" t="n"/>
      <c r="B80" s="130" t="n"/>
      <c r="C80" s="130" t="n"/>
      <c r="D80" s="131" t="n"/>
      <c r="E80" s="132" t="n"/>
      <c r="F80" s="130" t="n"/>
      <c r="G80" s="130" t="n"/>
      <c r="H80" s="131" t="n"/>
    </row>
    <row r="81" ht="22" customHeight="1">
      <c r="A81" s="132" t="n"/>
      <c r="B81" s="130" t="n"/>
      <c r="C81" s="130" t="n"/>
      <c r="D81" s="131" t="n"/>
      <c r="E81" s="132" t="n"/>
      <c r="F81" s="130" t="n"/>
      <c r="G81" s="130" t="n"/>
      <c r="H81" s="131" t="n"/>
    </row>
    <row r="82" ht="22" customHeight="1">
      <c r="A82" s="132" t="n"/>
      <c r="B82" s="130" t="n"/>
      <c r="C82" s="130" t="n"/>
      <c r="D82" s="131" t="n"/>
      <c r="E82" s="132" t="n"/>
      <c r="F82" s="130" t="n"/>
      <c r="G82" s="130" t="n"/>
      <c r="H82" s="131" t="n"/>
    </row>
    <row r="83" ht="22" customHeight="1">
      <c r="A83" s="132" t="n"/>
      <c r="B83" s="130" t="n"/>
      <c r="C83" s="130" t="n"/>
      <c r="D83" s="131" t="n"/>
      <c r="E83" s="132" t="n"/>
      <c r="F83" s="130" t="n"/>
      <c r="G83" s="130" t="n"/>
      <c r="H83" s="131" t="n"/>
    </row>
    <row r="84" ht="22" customHeight="1">
      <c r="A84" s="133" t="n"/>
      <c r="B84" s="134" t="n"/>
      <c r="C84" s="134" t="n"/>
      <c r="D84" s="135" t="n"/>
      <c r="E84" s="133" t="n"/>
      <c r="F84" s="134" t="n"/>
      <c r="G84" s="134" t="n"/>
      <c r="H84" s="135" t="n"/>
    </row>
  </sheetData>
  <mergeCells count="46">
    <mergeCell ref="B11:D11"/>
    <mergeCell ref="F18:H18"/>
    <mergeCell ref="C15:D15"/>
    <mergeCell ref="B8:D8"/>
    <mergeCell ref="G11:H11"/>
    <mergeCell ref="C14:D14"/>
    <mergeCell ref="F2:H2"/>
    <mergeCell ref="F17:H17"/>
    <mergeCell ref="A1:H1"/>
    <mergeCell ref="G8:H8"/>
    <mergeCell ref="E75:H84"/>
    <mergeCell ref="B10:D10"/>
    <mergeCell ref="G7:H7"/>
    <mergeCell ref="F13:H13"/>
    <mergeCell ref="B16:E16"/>
    <mergeCell ref="B9:D9"/>
    <mergeCell ref="C17:E17"/>
    <mergeCell ref="G6:H6"/>
    <mergeCell ref="A18:B18"/>
    <mergeCell ref="B6:D6"/>
    <mergeCell ref="G3:H3"/>
    <mergeCell ref="A56:H56"/>
    <mergeCell ref="B5:D5"/>
    <mergeCell ref="F14:H14"/>
    <mergeCell ref="C19:E19"/>
    <mergeCell ref="B4:D4"/>
    <mergeCell ref="G5:H5"/>
    <mergeCell ref="C18:E18"/>
    <mergeCell ref="A17:B17"/>
    <mergeCell ref="B7:D7"/>
    <mergeCell ref="A32:H32"/>
    <mergeCell ref="A75:D84"/>
    <mergeCell ref="A22:H22"/>
    <mergeCell ref="G4:H4"/>
    <mergeCell ref="F16:H16"/>
    <mergeCell ref="B3:D3"/>
    <mergeCell ref="F19:H19"/>
    <mergeCell ref="A74:D74"/>
    <mergeCell ref="A12:D12"/>
    <mergeCell ref="A19:B19"/>
    <mergeCell ref="A20:H20"/>
    <mergeCell ref="E74:H74"/>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72">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72">
    <cfRule type="expression" priority="16" dxfId="20">
      <formula>LEFT($H23,3)="N/A"</formula>
    </cfRule>
  </conditionalFormatting>
  <conditionalFormatting sqref="D23:D72">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F04 MH0088 10-Oct-26 KUL-NRT Class BC</oddHeader>
    <oddFooter>&amp;L&amp;"Arial,Bold"&amp;8 F04 MH0088 10-Oct-26 KUL-NRT Class BC&amp;C&amp;"Arial"&amp;8 Printed: ____________________&amp;R&amp;"Arial"&amp;8 F04  Page &amp;P of &amp;N</oddFooter>
    <evenHeader/>
    <evenFooter/>
    <firstHeader/>
    <firstFooter/>
  </headerFooter>
  <rowBreaks count="2" manualBreakCount="2">
    <brk id="20" min="0" max="16383" man="1"/>
    <brk id="33" min="0" max="16383" man="1"/>
  </rowBreaks>
</worksheet>
</file>

<file path=xl/worksheets/sheet13.xml><?xml version="1.0" encoding="utf-8"?>
<worksheet xmlns="http://schemas.openxmlformats.org/spreadsheetml/2006/main">
  <sheetPr>
    <tabColor rgb="001F3864"/>
    <outlinePr summaryBelow="1" summaryRight="1"/>
    <pageSetUpPr fitToPage="1"/>
  </sheetPr>
  <dimension ref="A1:H66"/>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F05  "&amp;Flights!$F$9&amp;"  "&amp;TEXT(Flights!$D$9,"DD-MMM-YY")&amp;" ("&amp;Flights!$E$9&amp;")  "&amp;Flights!$G$9&amp;" → "&amp;Flights!$H$9&amp;"  |  Class "&amp;Flights!$K$9</f>
        <v/>
      </c>
      <c r="B1" s="97" t="n"/>
      <c r="C1" s="97" t="n"/>
      <c r="D1" s="97" t="n"/>
      <c r="E1" s="97" t="n"/>
      <c r="F1" s="97" t="n"/>
      <c r="G1" s="97" t="n"/>
      <c r="H1" s="98" t="n"/>
    </row>
    <row r="2" ht="13" customHeight="1">
      <c r="A2" s="99" t="inlineStr">
        <is>
          <t>Flight / date</t>
        </is>
      </c>
      <c r="B2" s="100">
        <f>Flights!$F$9&amp;"   "&amp;TEXT(Flights!$D$9,"DD-MMM-YY")&amp;" ("&amp;Flights!$E$9&amp;")"</f>
        <v/>
      </c>
      <c r="C2" s="97" t="n"/>
      <c r="D2" s="98" t="n"/>
      <c r="E2" s="101" t="inlineStr">
        <is>
          <t>READINESS STATUS</t>
        </is>
      </c>
      <c r="F2" s="102">
        <f>Flights!$AT$9</f>
        <v/>
      </c>
      <c r="G2" s="97" t="n"/>
      <c r="H2" s="98" t="n"/>
    </row>
    <row r="3" ht="24" customHeight="1">
      <c r="A3" s="99" t="inlineStr">
        <is>
          <t>Sector / class / seat</t>
        </is>
      </c>
      <c r="B3" s="100">
        <f>Flights!$G$9&amp;" → "&amp;Flights!$H$9&amp;"   Class "&amp;Flights!$K$9&amp;"   Seat "&amp;Flights!$O$9</f>
        <v/>
      </c>
      <c r="C3" s="97" t="n"/>
      <c r="D3" s="98" t="n"/>
      <c r="E3" s="101" t="inlineStr">
        <is>
          <t>Checkpoint</t>
        </is>
      </c>
      <c r="F3" s="101" t="inlineStr">
        <is>
          <t>Due (local)</t>
        </is>
      </c>
      <c r="G3" s="103" t="inlineStr">
        <is>
          <t>% complete</t>
        </is>
      </c>
      <c r="H3" s="98" t="n"/>
    </row>
    <row r="4" ht="13" customHeight="1">
      <c r="A4" s="99" t="inlineStr">
        <is>
          <t>STD → STA (local)</t>
        </is>
      </c>
      <c r="B4" s="100">
        <f>IF(ISNUMBER(Flights!$I$9),TEXT(Flights!$I$9,"DD-MMM-YY HH:MM"),"")&amp;" "&amp;Flights!$G$9&amp;"  →  "&amp;IF(ISNUMBER(Flights!$J$9),TEXT(Flights!$J$9,"DD-MMM-YY HH:MM"),"")&amp;" "&amp;Flights!$H$9</f>
        <v/>
      </c>
      <c r="C4" s="97" t="n"/>
      <c r="D4" s="98" t="n"/>
      <c r="E4" s="99" t="inlineStr">
        <is>
          <t>T-7D – 7 days before departure</t>
        </is>
      </c>
      <c r="F4" s="104">
        <f>IF(ISNUMBER(Flights!$AG$9),TEXT(Flights!$AG$9,"DD-MMM-YY HH:MM"),"")&amp;" "&amp;Flights!$V$9</f>
        <v/>
      </c>
      <c r="G4" s="105">
        <f>Flights!$AJ$9</f>
        <v/>
      </c>
      <c r="H4" s="98" t="n"/>
    </row>
    <row r="5" ht="24" customHeight="1">
      <c r="A5" s="99" t="inlineStr">
        <is>
          <t>Fleet / aircraft ref</t>
        </is>
      </c>
      <c r="B5" s="100">
        <f>Flights!$L$9&amp;" – "&amp;Flights!$M$9</f>
        <v/>
      </c>
      <c r="C5" s="97" t="n"/>
      <c r="D5" s="98" t="n"/>
      <c r="E5" s="99" t="inlineStr">
        <is>
          <t>T-24H – production batch sensory</t>
        </is>
      </c>
      <c r="F5" s="104">
        <f>IF(ISNUMBER(Flights!$AH$9),TEXT(Flights!$AH$9,"DD-MMM-YY HH:MM"),"")&amp;" "&amp;Flights!$V$9</f>
        <v/>
      </c>
      <c r="G5" s="105">
        <f>Flights!$AK$9</f>
        <v/>
      </c>
      <c r="H5" s="98" t="n"/>
    </row>
    <row r="6" ht="13" customHeight="1">
      <c r="A6" s="99" t="inlineStr">
        <is>
          <t>Tail / Reg</t>
        </is>
      </c>
      <c r="B6" s="100">
        <f>IF(TRIM(Flights!$N$9)="","__________________",Flights!$N$9)</f>
        <v/>
      </c>
      <c r="C6" s="97" t="n"/>
      <c r="D6" s="98" t="n"/>
      <c r="E6" s="99" t="inlineStr">
        <is>
          <t>T-12H PREP – caterer prep only</t>
        </is>
      </c>
      <c r="F6" s="104">
        <f>IF(ISNUMBER(Flights!$AI$9),TEXT(Flights!$AI$9,"DD-MMM-YY HH:MM"),"")&amp;" "&amp;Flights!$V$9&amp;IF(Flights!$AI$9=Flights!$AH$9,"  (= T-24H due)","")</f>
        <v/>
      </c>
      <c r="G6" s="105">
        <f>Flights!$AL$9</f>
        <v/>
      </c>
      <c r="H6" s="98" t="n"/>
    </row>
    <row r="7" ht="13" customHeight="1">
      <c r="A7" s="99" t="inlineStr">
        <is>
          <t>Service type</t>
        </is>
      </c>
      <c r="B7" s="100">
        <f>Flights!$T$9</f>
        <v/>
      </c>
      <c r="C7" s="97" t="n"/>
      <c r="D7" s="98" t="n"/>
      <c r="E7" s="99" t="inlineStr">
        <is>
          <t>UPLIFT – on-board confirmation</t>
        </is>
      </c>
      <c r="F7" s="104">
        <f>"STD "&amp;IF(ISNUMBER(Flights!$I$9),TEXT(Flights!$I$9,"DD-MMM-YY HH:MM"),"")&amp;" "&amp;Flights!$G$9&amp;" (dep stn)"</f>
        <v/>
      </c>
      <c r="G7" s="105">
        <f>Flights!$AM$9</f>
        <v/>
      </c>
      <c r="H7" s="98" t="n"/>
    </row>
    <row r="8" ht="13" customHeight="1">
      <c r="A8" s="99" t="inlineStr">
        <is>
          <t>Meal uplift stn</t>
        </is>
      </c>
      <c r="B8" s="100">
        <f>Flights!$V$9&amp;"   (reference uplift stns: "&amp;Flights!$U$9&amp;")"</f>
        <v/>
      </c>
      <c r="C8" s="97" t="n"/>
      <c r="D8" s="98" t="n"/>
      <c r="E8" s="99" t="inlineStr">
        <is>
          <t>OVERALL (all checkpoints)</t>
        </is>
      </c>
      <c r="F8" s="106" t="inlineStr">
        <is>
          <t>–</t>
        </is>
      </c>
      <c r="G8" s="105">
        <f>Flights!$AN$9</f>
        <v/>
      </c>
      <c r="H8" s="98" t="n"/>
    </row>
    <row r="9" ht="13" customHeight="1">
      <c r="A9" s="99" t="inlineStr">
        <is>
          <t>Transit / remark</t>
        </is>
      </c>
      <c r="B9" s="100">
        <f>TRIM(Flights!$P$9&amp;"  "&amp;Flights!$Q$9)</f>
        <v/>
      </c>
      <c r="C9" s="97" t="n"/>
      <c r="D9" s="98" t="n"/>
      <c r="E9" s="99" t="inlineStr">
        <is>
          <t>Overdue / discrep. / invalid</t>
        </is>
      </c>
      <c r="F9" s="107">
        <f>Flights!$AP$9</f>
        <v/>
      </c>
      <c r="G9" s="107">
        <f>Flights!$AQ$9</f>
        <v/>
      </c>
      <c r="H9" s="107">
        <f>Flights!$AU$9</f>
        <v/>
      </c>
    </row>
    <row r="10" ht="13" customHeight="1">
      <c r="A10" s="99" t="inlineStr">
        <is>
          <t>Caterer</t>
        </is>
      </c>
      <c r="B10" s="100">
        <f>IF(TRIM(Flights!$X$9)="","__________________",Flights!$X$9)</f>
        <v/>
      </c>
      <c r="C10" s="97" t="n"/>
      <c r="D10" s="98" t="n"/>
      <c r="E10" s="99" t="inlineStr">
        <is>
          <t>Open reqd / clarif. / docs out</t>
        </is>
      </c>
      <c r="F10" s="107">
        <f>Flights!$AO$9</f>
        <v/>
      </c>
      <c r="G10" s="107">
        <f>Flights!$AS$9</f>
        <v/>
      </c>
      <c r="H10" s="107">
        <f>Flights!$AR$9</f>
        <v/>
      </c>
    </row>
    <row r="11" ht="13" customHeight="1">
      <c r="A11" s="99" t="inlineStr">
        <is>
          <t>Flight PIC</t>
        </is>
      </c>
      <c r="B11" s="100">
        <f>IF(TRIM(Flights!$Y$9)="","__________________",Flights!$Y$9)</f>
        <v/>
      </c>
      <c r="C11" s="97" t="n"/>
      <c r="D11" s="98" t="n"/>
      <c r="E11" s="99" t="inlineStr">
        <is>
          <t>Done / in scope | as of UTC</t>
        </is>
      </c>
      <c r="F11" s="107">
        <f>Flights!$AV$9&amp;" / "&amp;Flights!$AW$9</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IF(Documents!$F$9="","",Documents!$F$9)</f>
        <v/>
      </c>
      <c r="C14" s="115">
        <f>IF(Documents!$G$9="","",Documents!$G$9)&amp;IF(ISNUMBER(Documents!$H$9),"  "&amp;TEXT(Documents!$H$9,"DD-MMM-YY"),"")</f>
        <v/>
      </c>
      <c r="D14" s="98" t="n"/>
      <c r="E14" s="116">
        <f>IF(Documents!$J$9="OUTSTANDING","OUTSTANDING – attach before T-7D (due "&amp;IF(ISNUMBER(Flights!$AG$9),TEXT(Flights!$AG$9,"DD-MMM-YY HH:MM"),"")&amp;" "&amp;Flights!$V$9&amp;")",IF(Documents!$J$9="","Status not recorded",Documents!$J$9))</f>
        <v/>
      </c>
      <c r="F14" s="117">
        <f>"Staple behind this sheet as page A1."&amp;IF(Documents!$I$9="",""," Location: "&amp;Documents!$I$9)</f>
        <v/>
      </c>
      <c r="G14" s="97" t="n"/>
      <c r="H14" s="98" t="n"/>
    </row>
    <row r="15" ht="25" customHeight="1">
      <c r="A15" s="99" t="inlineStr">
        <is>
          <t>A2  Menu Checklist</t>
        </is>
      </c>
      <c r="B15" s="114">
        <f>IF(Documents!$K$9="","",Documents!$K$9)</f>
        <v/>
      </c>
      <c r="C15" s="115">
        <f>IF(Documents!$L$9="","",Documents!$L$9)&amp;IF(ISNUMBER(Documents!$M$9),"  "&amp;TEXT(Documents!$M$9,"DD-MMM-YY"),"")</f>
        <v/>
      </c>
      <c r="D15" s="98" t="n"/>
      <c r="E15" s="116">
        <f>IF(Documents!$O$9="OUTSTANDING","OUTSTANDING – attach before T-7D (due "&amp;IF(ISNUMBER(Flights!$AG$9),TEXT(Flights!$AG$9,"DD-MMM-YY HH:MM"),"")&amp;" "&amp;Flights!$V$9&amp;")",IF(Documents!$O$9="","Status not recorded",Documents!$O$9))</f>
        <v/>
      </c>
      <c r="F15" s="117">
        <f>"Staple behind this sheet as page A2."&amp;IF(Documents!$N$9="",""," Location: "&amp;Documents!$N$9)</f>
        <v/>
      </c>
      <c r="G15" s="97" t="n"/>
      <c r="H15" s="98" t="n"/>
    </row>
    <row r="16" ht="33" customHeight="1">
      <c r="A16" s="99" t="inlineStr">
        <is>
          <t>Document notes</t>
        </is>
      </c>
      <c r="B16" s="118">
        <f>IF(Documents!$Q$9="","",Documents!$Q$9)</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"&amp;IF(TRIM(Flights!$Y$9)="","__________________",Flights!$Y$9)</f>
        <v/>
      </c>
      <c r="B18" s="98" t="n"/>
      <c r="C18" s="100">
        <f>"Name: __________________"</f>
        <v/>
      </c>
      <c r="D18" s="97" t="n"/>
      <c r="E18" s="98" t="n"/>
      <c r="F18" s="100">
        <f>"Name: __________________"&amp;"   Station: "&amp;Flights!$V$9</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"&amp;IF(ISNUMBER(Flights!$AG$9),TEXT(Flights!$AG$9,"DD-MMM-YY HH:MM"),"")&amp;" "&amp;Flights!$V$9&amp;" (meal uplift stn)"&amp;" (rows with another due show their own)  |  Complete "&amp;IF(ISNUMBER(Flights!$AJ$9),TEXT(Flights!$AJ$9,"0%"),Flights!$AJ$9)&amp;"  |  10 lines"</f>
        <v/>
      </c>
      <c r="B22" s="97" t="n"/>
      <c r="C22" s="97" t="n"/>
      <c r="D22" s="97" t="n"/>
      <c r="E22" s="97" t="n"/>
      <c r="F22" s="97" t="n"/>
      <c r="G22" s="97" t="n"/>
      <c r="H22" s="98" t="n"/>
    </row>
    <row r="23" ht="81" customHeight="1">
      <c r="A23" s="124">
        <f>Checks!$A$137&amp;CHAR(10)&amp;IF(Checks!$I$137="","",Checks!$I$137&amp;": ")&amp;Checks!$J$137</f>
        <v/>
      </c>
      <c r="B23" s="124">
        <f>Checks!$K$137&amp;IF(Checks!$O$137="","",IF(Checks!$K$137="","",CHAR(10))&amp;"Note: "&amp;Checks!$O$137)</f>
        <v/>
      </c>
      <c r="C23" s="124">
        <f>Checks!$N$137&amp;CHAR(10)&amp;IF(ISNUMBER(Checks!$R$137),TEXT(Checks!$R$137,"DD-MMM-YY HH:MM"),"")&amp;" "&amp;Checks!$P$137</f>
        <v/>
      </c>
      <c r="D23" s="124">
        <f>IF(Checks!$U$137="","",Checks!$U$137)&amp;IF(Checks!$AB$137="","",CHAR(10)&amp;"CA: "&amp;Checks!$AB$137)</f>
        <v/>
      </c>
      <c r="E23" s="124">
        <f>IF(Checks!$V$137="","",Checks!$V$137)&amp;IF(Checks!$AC$137="","",IF(Checks!$V$137="","",CHAR(10))&amp;"N/A just.: "&amp;Checks!$AC$137)&amp;IF(Checks!$W$137="","",CHAR(10)&amp;"Batch: "&amp;Checks!$W$137)&amp;IF(AND(Checks!$X$137="",Checks!$Y$137=""),"",CHAR(10)&amp;"Exp: "&amp;Checks!$X$137&amp;"  /  Act: "&amp;Checks!$Y$137)</f>
        <v/>
      </c>
      <c r="F23" s="124">
        <f>IF(Checks!$Z$137="","","Evidence: "&amp;Checks!$Z$137)&amp;IF(Checks!$AA$137="","",IF(Checks!$Z$137="","",CHAR(10))&amp;"CA: "&amp;Checks!$AA$137)</f>
        <v/>
      </c>
      <c r="G23" s="124">
        <f>IF(ISNUMBER(Checks!$AD$137),TEXT(Checks!$AD$137,"DD-MMM-YY HH:MM")&amp;" "&amp;Checks!$P$137,"")&amp;IF(Checks!$AE$137="","",CHAR(10)&amp;Checks!$AE$137)</f>
        <v/>
      </c>
      <c r="H23" s="125">
        <f>IF(Checks!$AH$137="","",Checks!$AH$137)</f>
        <v/>
      </c>
    </row>
    <row r="24" ht="81" customHeight="1">
      <c r="A24" s="124">
        <f>Checks!$A$138&amp;CHAR(10)&amp;IF(Checks!$I$138="","",Checks!$I$138&amp;": ")&amp;Checks!$J$138</f>
        <v/>
      </c>
      <c r="B24" s="124">
        <f>Checks!$K$138&amp;IF(Checks!$O$138="","",IF(Checks!$K$138="","",CHAR(10))&amp;"Note: "&amp;Checks!$O$138)</f>
        <v/>
      </c>
      <c r="C24" s="124">
        <f>Checks!$N$138&amp;CHAR(10)&amp;IF(ISNUMBER(Checks!$R$138),TEXT(Checks!$R$138,"DD-MMM-YY HH:MM"),"")&amp;" "&amp;Checks!$P$138</f>
        <v/>
      </c>
      <c r="D24" s="124">
        <f>IF(Checks!$U$138="","",Checks!$U$138)&amp;IF(Checks!$AB$138="","",CHAR(10)&amp;"CA: "&amp;Checks!$AB$138)</f>
        <v/>
      </c>
      <c r="E24" s="124">
        <f>IF(Checks!$V$138="","",Checks!$V$138)&amp;IF(Checks!$AC$138="","",IF(Checks!$V$138="","",CHAR(10))&amp;"N/A just.: "&amp;Checks!$AC$138)&amp;IF(Checks!$W$138="","",CHAR(10)&amp;"Batch: "&amp;Checks!$W$138)&amp;IF(AND(Checks!$X$138="",Checks!$Y$138=""),"",CHAR(10)&amp;"Exp: "&amp;Checks!$X$138&amp;"  /  Act: "&amp;Checks!$Y$138)</f>
        <v/>
      </c>
      <c r="F24" s="124">
        <f>IF(Checks!$Z$138="","","Evidence: "&amp;Checks!$Z$138)&amp;IF(Checks!$AA$138="","",IF(Checks!$Z$138="","",CHAR(10))&amp;"CA: "&amp;Checks!$AA$138)</f>
        <v/>
      </c>
      <c r="G24" s="124">
        <f>IF(ISNUMBER(Checks!$AD$138),TEXT(Checks!$AD$138,"DD-MMM-YY HH:MM")&amp;" "&amp;Checks!$P$138,"")&amp;IF(Checks!$AE$138="","",CHAR(10)&amp;Checks!$AE$138)</f>
        <v/>
      </c>
      <c r="H24" s="125">
        <f>IF(Checks!$AH$138="","",Checks!$AH$138)</f>
        <v/>
      </c>
    </row>
    <row r="25" ht="92" customHeight="1">
      <c r="A25" s="124">
        <f>Checks!$A$139&amp;CHAR(10)&amp;IF(Checks!$I$139="","",Checks!$I$139&amp;": ")&amp;Checks!$J$139</f>
        <v/>
      </c>
      <c r="B25" s="124">
        <f>Checks!$K$139&amp;IF(Checks!$O$139="","",IF(Checks!$K$139="","",CHAR(10))&amp;"Note: "&amp;Checks!$O$139)</f>
        <v/>
      </c>
      <c r="C25" s="124">
        <f>Checks!$N$139&amp;CHAR(10)&amp;IF(ISNUMBER(Checks!$R$139),TEXT(Checks!$R$139,"DD-MMM-YY HH:MM"),"")&amp;" "&amp;Checks!$P$139</f>
        <v/>
      </c>
      <c r="D25" s="124">
        <f>IF(Checks!$U$139="","",Checks!$U$139)&amp;IF(Checks!$AB$139="","",CHAR(10)&amp;"CA: "&amp;Checks!$AB$139)</f>
        <v/>
      </c>
      <c r="E25" s="124">
        <f>IF(Checks!$V$139="","",Checks!$V$139)&amp;IF(Checks!$AC$139="","",IF(Checks!$V$139="","",CHAR(10))&amp;"N/A just.: "&amp;Checks!$AC$139)&amp;IF(Checks!$W$139="","",CHAR(10)&amp;"Batch: "&amp;Checks!$W$139)&amp;IF(AND(Checks!$X$139="",Checks!$Y$139=""),"",CHAR(10)&amp;"Exp: "&amp;Checks!$X$139&amp;"  /  Act: "&amp;Checks!$Y$139)</f>
        <v/>
      </c>
      <c r="F25" s="124">
        <f>IF(Checks!$Z$139="","","Evidence: "&amp;Checks!$Z$139)&amp;IF(Checks!$AA$139="","",IF(Checks!$Z$139="","",CHAR(10))&amp;"CA: "&amp;Checks!$AA$139)</f>
        <v/>
      </c>
      <c r="G25" s="124">
        <f>IF(ISNUMBER(Checks!$AD$139),TEXT(Checks!$AD$139,"DD-MMM-YY HH:MM")&amp;" "&amp;Checks!$P$139,"")&amp;IF(Checks!$AE$139="","",CHAR(10)&amp;Checks!$AE$139)</f>
        <v/>
      </c>
      <c r="H25" s="125">
        <f>IF(Checks!$AH$139="","",Checks!$AH$139)</f>
        <v/>
      </c>
    </row>
    <row r="26" ht="81" customHeight="1">
      <c r="A26" s="124">
        <f>Checks!$A$140&amp;CHAR(10)&amp;IF(Checks!$I$140="","",Checks!$I$140&amp;": ")&amp;Checks!$J$140</f>
        <v/>
      </c>
      <c r="B26" s="124">
        <f>Checks!$K$140&amp;IF(Checks!$O$140="","",IF(Checks!$K$140="","",CHAR(10))&amp;"Note: "&amp;Checks!$O$140)</f>
        <v/>
      </c>
      <c r="C26" s="124">
        <f>Checks!$N$140&amp;CHAR(10)&amp;IF(ISNUMBER(Checks!$R$140),TEXT(Checks!$R$140,"DD-MMM-YY HH:MM"),"")&amp;" "&amp;Checks!$P$140</f>
        <v/>
      </c>
      <c r="D26" s="124">
        <f>IF(Checks!$U$140="","",Checks!$U$140)&amp;IF(Checks!$AB$140="","",CHAR(10)&amp;"CA: "&amp;Checks!$AB$140)</f>
        <v/>
      </c>
      <c r="E26" s="124">
        <f>IF(Checks!$V$140="","",Checks!$V$140)&amp;IF(Checks!$AC$140="","",IF(Checks!$V$140="","",CHAR(10))&amp;"N/A just.: "&amp;Checks!$AC$140)&amp;IF(Checks!$W$140="","",CHAR(10)&amp;"Batch: "&amp;Checks!$W$140)&amp;IF(AND(Checks!$X$140="",Checks!$Y$140=""),"",CHAR(10)&amp;"Exp: "&amp;Checks!$X$140&amp;"  /  Act: "&amp;Checks!$Y$140)</f>
        <v/>
      </c>
      <c r="F26" s="124">
        <f>IF(Checks!$Z$140="","","Evidence: "&amp;Checks!$Z$140)&amp;IF(Checks!$AA$140="","",IF(Checks!$Z$140="","",CHAR(10))&amp;"CA: "&amp;Checks!$AA$140)</f>
        <v/>
      </c>
      <c r="G26" s="124">
        <f>IF(ISNUMBER(Checks!$AD$140),TEXT(Checks!$AD$140,"DD-MMM-YY HH:MM")&amp;" "&amp;Checks!$P$140,"")&amp;IF(Checks!$AE$140="","",CHAR(10)&amp;Checks!$AE$140)</f>
        <v/>
      </c>
      <c r="H26" s="125">
        <f>IF(Checks!$AH$140="","",Checks!$AH$140)</f>
        <v/>
      </c>
    </row>
    <row r="27" ht="81" customHeight="1">
      <c r="A27" s="124">
        <f>Checks!$A$141&amp;CHAR(10)&amp;IF(Checks!$I$141="","",Checks!$I$141&amp;": ")&amp;Checks!$J$141</f>
        <v/>
      </c>
      <c r="B27" s="124">
        <f>Checks!$K$141&amp;IF(Checks!$O$141="","",IF(Checks!$K$141="","",CHAR(10))&amp;"Note: "&amp;Checks!$O$141)</f>
        <v/>
      </c>
      <c r="C27" s="124">
        <f>Checks!$N$141&amp;CHAR(10)&amp;IF(ISNUMBER(Checks!$R$141),TEXT(Checks!$R$141,"DD-MMM-YY HH:MM"),"")&amp;" "&amp;Checks!$P$141</f>
        <v/>
      </c>
      <c r="D27" s="124">
        <f>IF(Checks!$U$141="","",Checks!$U$141)&amp;IF(Checks!$AB$141="","",CHAR(10)&amp;"CA: "&amp;Checks!$AB$141)</f>
        <v/>
      </c>
      <c r="E27" s="124">
        <f>IF(Checks!$V$141="","",Checks!$V$141)&amp;IF(Checks!$AC$141="","",IF(Checks!$V$141="","",CHAR(10))&amp;"N/A just.: "&amp;Checks!$AC$141)&amp;IF(Checks!$W$141="","",CHAR(10)&amp;"Batch: "&amp;Checks!$W$141)&amp;IF(AND(Checks!$X$141="",Checks!$Y$141=""),"",CHAR(10)&amp;"Exp: "&amp;Checks!$X$141&amp;"  /  Act: "&amp;Checks!$Y$141)</f>
        <v/>
      </c>
      <c r="F27" s="124">
        <f>IF(Checks!$Z$141="","","Evidence: "&amp;Checks!$Z$141)&amp;IF(Checks!$AA$141="","",IF(Checks!$Z$141="","",CHAR(10))&amp;"CA: "&amp;Checks!$AA$141)</f>
        <v/>
      </c>
      <c r="G27" s="124">
        <f>IF(ISNUMBER(Checks!$AD$141),TEXT(Checks!$AD$141,"DD-MMM-YY HH:MM")&amp;" "&amp;Checks!$P$141,"")&amp;IF(Checks!$AE$141="","",CHAR(10)&amp;Checks!$AE$141)</f>
        <v/>
      </c>
      <c r="H27" s="125">
        <f>IF(Checks!$AH$141="","",Checks!$AH$141)</f>
        <v/>
      </c>
    </row>
    <row r="28" ht="81" customHeight="1">
      <c r="A28" s="124">
        <f>Checks!$A$142&amp;CHAR(10)&amp;IF(Checks!$I$142="","",Checks!$I$142&amp;": ")&amp;Checks!$J$142</f>
        <v/>
      </c>
      <c r="B28" s="124">
        <f>Checks!$K$142&amp;IF(Checks!$O$142="","",IF(Checks!$K$142="","",CHAR(10))&amp;"Note: "&amp;Checks!$O$142)</f>
        <v/>
      </c>
      <c r="C28" s="124">
        <f>Checks!$N$142&amp;CHAR(10)&amp;IF(ISNUMBER(Checks!$R$142),TEXT(Checks!$R$142,"DD-MMM-YY HH:MM"),"")&amp;" "&amp;Checks!$P$142</f>
        <v/>
      </c>
      <c r="D28" s="124">
        <f>IF(Checks!$U$142="","",Checks!$U$142)&amp;IF(Checks!$AB$142="","",CHAR(10)&amp;"CA: "&amp;Checks!$AB$142)</f>
        <v/>
      </c>
      <c r="E28" s="124">
        <f>IF(Checks!$V$142="","",Checks!$V$142)&amp;IF(Checks!$AC$142="","",IF(Checks!$V$142="","",CHAR(10))&amp;"N/A just.: "&amp;Checks!$AC$142)&amp;IF(Checks!$W$142="","",CHAR(10)&amp;"Batch: "&amp;Checks!$W$142)&amp;IF(AND(Checks!$X$142="",Checks!$Y$142=""),"",CHAR(10)&amp;"Exp: "&amp;Checks!$X$142&amp;"  /  Act: "&amp;Checks!$Y$142)</f>
        <v/>
      </c>
      <c r="F28" s="124">
        <f>IF(Checks!$Z$142="","","Evidence: "&amp;Checks!$Z$142)&amp;IF(Checks!$AA$142="","",IF(Checks!$Z$142="","",CHAR(10))&amp;"CA: "&amp;Checks!$AA$142)</f>
        <v/>
      </c>
      <c r="G28" s="124">
        <f>IF(ISNUMBER(Checks!$AD$142),TEXT(Checks!$AD$142,"DD-MMM-YY HH:MM")&amp;" "&amp;Checks!$P$142,"")&amp;IF(Checks!$AE$142="","",CHAR(10)&amp;Checks!$AE$142)</f>
        <v/>
      </c>
      <c r="H28" s="125">
        <f>IF(Checks!$AH$142="","",Checks!$AH$142)</f>
        <v/>
      </c>
    </row>
    <row r="29" ht="81" customHeight="1">
      <c r="A29" s="124">
        <f>Checks!$A$143&amp;CHAR(10)&amp;IF(Checks!$I$143="","",Checks!$I$143&amp;": ")&amp;Checks!$J$143</f>
        <v/>
      </c>
      <c r="B29" s="124">
        <f>Checks!$K$143&amp;IF(Checks!$O$143="","",IF(Checks!$K$143="","",CHAR(10))&amp;"Note: "&amp;Checks!$O$143)</f>
        <v/>
      </c>
      <c r="C29" s="124">
        <f>Checks!$N$143&amp;CHAR(10)&amp;IF(ISNUMBER(Checks!$R$143),TEXT(Checks!$R$143,"DD-MMM-YY HH:MM"),"")&amp;" "&amp;Checks!$P$143</f>
        <v/>
      </c>
      <c r="D29" s="124">
        <f>IF(Checks!$U$143="","",Checks!$U$143)&amp;IF(Checks!$AB$143="","",CHAR(10)&amp;"CA: "&amp;Checks!$AB$143)</f>
        <v/>
      </c>
      <c r="E29" s="124">
        <f>IF(Checks!$V$143="","",Checks!$V$143)&amp;IF(Checks!$AC$143="","",IF(Checks!$V$143="","",CHAR(10))&amp;"N/A just.: "&amp;Checks!$AC$143)&amp;IF(Checks!$W$143="","",CHAR(10)&amp;"Batch: "&amp;Checks!$W$143)&amp;IF(AND(Checks!$X$143="",Checks!$Y$143=""),"",CHAR(10)&amp;"Exp: "&amp;Checks!$X$143&amp;"  /  Act: "&amp;Checks!$Y$143)</f>
        <v/>
      </c>
      <c r="F29" s="124">
        <f>IF(Checks!$Z$143="","","Evidence: "&amp;Checks!$Z$143)&amp;IF(Checks!$AA$143="","",IF(Checks!$Z$143="","",CHAR(10))&amp;"CA: "&amp;Checks!$AA$143)</f>
        <v/>
      </c>
      <c r="G29" s="124">
        <f>IF(ISNUMBER(Checks!$AD$143),TEXT(Checks!$AD$143,"DD-MMM-YY HH:MM")&amp;" "&amp;Checks!$P$143,"")&amp;IF(Checks!$AE$143="","",CHAR(10)&amp;Checks!$AE$143)</f>
        <v/>
      </c>
      <c r="H29" s="125">
        <f>IF(Checks!$AH$143="","",Checks!$AH$143)</f>
        <v/>
      </c>
    </row>
    <row r="30" ht="81" customHeight="1">
      <c r="A30" s="124">
        <f>Checks!$A$144&amp;CHAR(10)&amp;IF(Checks!$I$144="","",Checks!$I$144&amp;": ")&amp;Checks!$J$144</f>
        <v/>
      </c>
      <c r="B30" s="124">
        <f>Checks!$K$144&amp;IF(Checks!$O$144="","",IF(Checks!$K$144="","",CHAR(10))&amp;"Note: "&amp;Checks!$O$144)</f>
        <v/>
      </c>
      <c r="C30" s="124">
        <f>Checks!$N$144&amp;CHAR(10)&amp;IF(ISNUMBER(Checks!$R$144),TEXT(Checks!$R$144,"DD-MMM-YY HH:MM"),"")&amp;" "&amp;Checks!$P$144</f>
        <v/>
      </c>
      <c r="D30" s="124">
        <f>IF(Checks!$U$144="","",Checks!$U$144)&amp;IF(Checks!$AB$144="","",CHAR(10)&amp;"CA: "&amp;Checks!$AB$144)</f>
        <v/>
      </c>
      <c r="E30" s="124">
        <f>IF(Checks!$V$144="","",Checks!$V$144)&amp;IF(Checks!$AC$144="","",IF(Checks!$V$144="","",CHAR(10))&amp;"N/A just.: "&amp;Checks!$AC$144)&amp;IF(Checks!$W$144="","",CHAR(10)&amp;"Batch: "&amp;Checks!$W$144)&amp;IF(AND(Checks!$X$144="",Checks!$Y$144=""),"",CHAR(10)&amp;"Exp: "&amp;Checks!$X$144&amp;"  /  Act: "&amp;Checks!$Y$144)</f>
        <v/>
      </c>
      <c r="F30" s="124">
        <f>IF(Checks!$Z$144="","","Evidence: "&amp;Checks!$Z$144)&amp;IF(Checks!$AA$144="","",IF(Checks!$Z$144="","",CHAR(10))&amp;"CA: "&amp;Checks!$AA$144)</f>
        <v/>
      </c>
      <c r="G30" s="124">
        <f>IF(ISNUMBER(Checks!$AD$144),TEXT(Checks!$AD$144,"DD-MMM-YY HH:MM")&amp;" "&amp;Checks!$P$144,"")&amp;IF(Checks!$AE$144="","",CHAR(10)&amp;Checks!$AE$144)</f>
        <v/>
      </c>
      <c r="H30" s="125">
        <f>IF(Checks!$AH$144="","",Checks!$AH$144)</f>
        <v/>
      </c>
    </row>
    <row r="31" ht="81" customHeight="1">
      <c r="A31" s="124">
        <f>Checks!$A$145&amp;CHAR(10)&amp;IF(Checks!$I$145="","",Checks!$I$145&amp;": ")&amp;Checks!$J$145</f>
        <v/>
      </c>
      <c r="B31" s="124">
        <f>Checks!$K$145&amp;IF(Checks!$O$145="","",IF(Checks!$K$145="","",CHAR(10))&amp;"Note: "&amp;Checks!$O$145)</f>
        <v/>
      </c>
      <c r="C31" s="124">
        <f>Checks!$N$145&amp;CHAR(10)&amp;IF(ISNUMBER(Checks!$R$145),TEXT(Checks!$R$145,"DD-MMM-YY HH:MM"),"")&amp;" "&amp;Checks!$P$145</f>
        <v/>
      </c>
      <c r="D31" s="124">
        <f>IF(Checks!$U$145="","",Checks!$U$145)&amp;IF(Checks!$AB$145="","",CHAR(10)&amp;"CA: "&amp;Checks!$AB$145)</f>
        <v/>
      </c>
      <c r="E31" s="124">
        <f>IF(Checks!$V$145="","",Checks!$V$145)&amp;IF(Checks!$AC$145="","",IF(Checks!$V$145="","",CHAR(10))&amp;"N/A just.: "&amp;Checks!$AC$145)&amp;IF(Checks!$W$145="","",CHAR(10)&amp;"Batch: "&amp;Checks!$W$145)&amp;IF(AND(Checks!$X$145="",Checks!$Y$145=""),"",CHAR(10)&amp;"Exp: "&amp;Checks!$X$145&amp;"  /  Act: "&amp;Checks!$Y$145)</f>
        <v/>
      </c>
      <c r="F31" s="124">
        <f>IF(Checks!$Z$145="","","Evidence: "&amp;Checks!$Z$145)&amp;IF(Checks!$AA$145="","",IF(Checks!$Z$145="","",CHAR(10))&amp;"CA: "&amp;Checks!$AA$145)</f>
        <v/>
      </c>
      <c r="G31" s="124">
        <f>IF(ISNUMBER(Checks!$AD$145),TEXT(Checks!$AD$145,"DD-MMM-YY HH:MM")&amp;" "&amp;Checks!$P$145,"")&amp;IF(Checks!$AE$145="","",CHAR(10)&amp;Checks!$AE$145)</f>
        <v/>
      </c>
      <c r="H31" s="125">
        <f>IF(Checks!$AH$145="","",Checks!$AH$145)</f>
        <v/>
      </c>
    </row>
    <row r="32" ht="180" customHeight="1">
      <c r="A32" s="124">
        <f>Checks!$A$146&amp;CHAR(10)&amp;IF(Checks!$I$146="","",Checks!$I$146&amp;": ")&amp;Checks!$J$146</f>
        <v/>
      </c>
      <c r="B32" s="124">
        <f>Checks!$K$146&amp;IF(Checks!$O$146="","",IF(Checks!$K$146="","",CHAR(10))&amp;"Note: "&amp;Checks!$O$146)</f>
        <v/>
      </c>
      <c r="C32" s="124">
        <f>Checks!$N$146&amp;CHAR(10)&amp;IF(ISNUMBER(Checks!$R$146),TEXT(Checks!$R$146,"DD-MMM-YY HH:MM"),"")&amp;" "&amp;Checks!$P$146</f>
        <v/>
      </c>
      <c r="D32" s="124">
        <f>IF(Checks!$U$146="","",Checks!$U$146)&amp;IF(Checks!$AB$146="","",CHAR(10)&amp;"CA: "&amp;Checks!$AB$146)</f>
        <v/>
      </c>
      <c r="E32" s="124">
        <f>IF(Checks!$V$146="","",Checks!$V$146)&amp;IF(Checks!$AC$146="","",IF(Checks!$V$146="","",CHAR(10))&amp;"N/A just.: "&amp;Checks!$AC$146)&amp;IF(Checks!$W$146="","",CHAR(10)&amp;"Batch: "&amp;Checks!$W$146)&amp;IF(AND(Checks!$X$146="",Checks!$Y$146=""),"",CHAR(10)&amp;"Exp: "&amp;Checks!$X$146&amp;"  /  Act: "&amp;Checks!$Y$146)</f>
        <v/>
      </c>
      <c r="F32" s="124">
        <f>IF(Checks!$Z$146="","","Evidence: "&amp;Checks!$Z$146)&amp;IF(Checks!$AA$146="","",IF(Checks!$Z$146="","",CHAR(10))&amp;"CA: "&amp;Checks!$AA$146)</f>
        <v/>
      </c>
      <c r="G32" s="124">
        <f>IF(ISNUMBER(Checks!$AD$146),TEXT(Checks!$AD$146,"DD-MMM-YY HH:MM")&amp;" "&amp;Checks!$P$146,"")&amp;IF(Checks!$AE$146="","",CHAR(10)&amp;Checks!$AE$146)</f>
        <v/>
      </c>
      <c r="H32" s="125">
        <f>IF(Checks!$AH$146="","",Checks!$AH$146)</f>
        <v/>
      </c>
    </row>
    <row r="33" ht="26" customHeight="1">
      <c r="A33" s="123">
        <f>"T-24H — Production batch sensory  |  Due "&amp;IF(ISNUMBER(Flights!$AH$9),TEXT(Flights!$AH$9,"DD-MMM-YY HH:MM"),"")&amp;" "&amp;Flights!$V$9&amp;" (meal uplift stn)"&amp;" (rows with another due show their own)  |  Complete "&amp;IF(ISNUMBER(Flights!$AK$9),TEXT(Flights!$AK$9,"0%"),Flights!$AK$9)&amp;"  |  1 lines"</f>
        <v/>
      </c>
      <c r="B33" s="97" t="n"/>
      <c r="C33" s="97" t="n"/>
      <c r="D33" s="97" t="n"/>
      <c r="E33" s="97" t="n"/>
      <c r="F33" s="97" t="n"/>
      <c r="G33" s="97" t="n"/>
      <c r="H33" s="98" t="n"/>
    </row>
    <row r="34" ht="81" customHeight="1">
      <c r="A34" s="124">
        <f>Checks!$A$147&amp;CHAR(10)&amp;IF(Checks!$I$147="","",Checks!$I$147&amp;": ")&amp;Checks!$J$147</f>
        <v/>
      </c>
      <c r="B34" s="124">
        <f>Checks!$K$147&amp;IF(Checks!$O$147="","",IF(Checks!$K$147="","",CHAR(10))&amp;"Note: "&amp;Checks!$O$147)</f>
        <v/>
      </c>
      <c r="C34" s="124">
        <f>Checks!$N$147&amp;CHAR(10)&amp;IF(ISNUMBER(Checks!$R$147),TEXT(Checks!$R$147,"DD-MMM-YY HH:MM"),"")&amp;" "&amp;Checks!$P$147</f>
        <v/>
      </c>
      <c r="D34" s="124">
        <f>IF(Checks!$U$147="","",Checks!$U$147)&amp;IF(Checks!$AB$147="","",CHAR(10)&amp;"CA: "&amp;Checks!$AB$147)</f>
        <v/>
      </c>
      <c r="E34" s="124">
        <f>IF(Checks!$V$147="","",Checks!$V$147)&amp;IF(Checks!$AC$147="","",IF(Checks!$V$147="","",CHAR(10))&amp;"N/A just.: "&amp;Checks!$AC$147)&amp;IF(Checks!$W$147="","",CHAR(10)&amp;"Batch: "&amp;Checks!$W$147)&amp;IF(AND(Checks!$X$147="",Checks!$Y$147=""),"",CHAR(10)&amp;"Exp: "&amp;Checks!$X$147&amp;"  /  Act: "&amp;Checks!$Y$147)</f>
        <v/>
      </c>
      <c r="F34" s="124">
        <f>IF(Checks!$Z$147="","","Evidence: "&amp;Checks!$Z$147)&amp;IF(Checks!$AA$147="","",IF(Checks!$Z$147="","",CHAR(10))&amp;"CA: "&amp;Checks!$AA$147)</f>
        <v/>
      </c>
      <c r="G34" s="124">
        <f>IF(ISNUMBER(Checks!$AD$147),TEXT(Checks!$AD$147,"DD-MMM-YY HH:MM")&amp;" "&amp;Checks!$P$147,"")&amp;IF(Checks!$AE$147="","",CHAR(10)&amp;Checks!$AE$147)</f>
        <v/>
      </c>
      <c r="H34" s="125">
        <f>IF(Checks!$AH$147="","",Checks!$AH$147)</f>
        <v/>
      </c>
    </row>
    <row r="35" ht="26" customHeight="1">
      <c r="A35" s="123">
        <f>"T-12H PREP — Preparation check at caterer (does NOT confirm loading)  |  Due "&amp;IF(ISNUMBER(Flights!$AI$9),TEXT(Flights!$AI$9,"DD-MMM-YY HH:MM"),"")&amp;" "&amp;Flights!$V$9&amp;" (meal uplift stn)"&amp;" (rows with another due show their own)  |  Complete "&amp;IF(ISNUMBER(Flights!$AL$9),TEXT(Flights!$AL$9,"0%"),Flights!$AL$9)&amp;"  |  11 lines"</f>
        <v/>
      </c>
      <c r="B35" s="97" t="n"/>
      <c r="C35" s="97" t="n"/>
      <c r="D35" s="97" t="n"/>
      <c r="E35" s="97" t="n"/>
      <c r="F35" s="97" t="n"/>
      <c r="G35" s="97" t="n"/>
      <c r="H35" s="98" t="n"/>
    </row>
    <row r="36" ht="81" customHeight="1">
      <c r="A36" s="124">
        <f>Checks!$A$148&amp;CHAR(10)&amp;IF(Checks!$I$148="","",Checks!$I$148&amp;": ")&amp;Checks!$J$148</f>
        <v/>
      </c>
      <c r="B36" s="124">
        <f>Checks!$K$148&amp;IF(Checks!$O$148="","",IF(Checks!$K$148="","",CHAR(10))&amp;"Note: "&amp;Checks!$O$148)</f>
        <v/>
      </c>
      <c r="C36" s="124">
        <f>Checks!$N$148&amp;CHAR(10)&amp;IF(ISNUMBER(Checks!$R$148),TEXT(Checks!$R$148,"DD-MMM-YY HH:MM"),"")&amp;" "&amp;Checks!$P$148</f>
        <v/>
      </c>
      <c r="D36" s="124">
        <f>IF(Checks!$U$148="","",Checks!$U$148)&amp;IF(Checks!$AB$148="","",CHAR(10)&amp;"CA: "&amp;Checks!$AB$148)</f>
        <v/>
      </c>
      <c r="E36" s="124">
        <f>IF(Checks!$V$148="","",Checks!$V$148)&amp;IF(Checks!$AC$148="","",IF(Checks!$V$148="","",CHAR(10))&amp;"N/A just.: "&amp;Checks!$AC$148)&amp;IF(Checks!$W$148="","",CHAR(10)&amp;"Batch: "&amp;Checks!$W$148)&amp;IF(AND(Checks!$X$148="",Checks!$Y$148=""),"",CHAR(10)&amp;"Exp: "&amp;Checks!$X$148&amp;"  /  Act: "&amp;Checks!$Y$148)</f>
        <v/>
      </c>
      <c r="F36" s="124">
        <f>IF(Checks!$Z$148="","","Evidence: "&amp;Checks!$Z$148)&amp;IF(Checks!$AA$148="","",IF(Checks!$Z$148="","",CHAR(10))&amp;"CA: "&amp;Checks!$AA$148)</f>
        <v/>
      </c>
      <c r="G36" s="124">
        <f>IF(ISNUMBER(Checks!$AD$148),TEXT(Checks!$AD$148,"DD-MMM-YY HH:MM")&amp;" "&amp;Checks!$P$148,"")&amp;IF(Checks!$AE$148="","",CHAR(10)&amp;Checks!$AE$148)</f>
        <v/>
      </c>
      <c r="H36" s="125">
        <f>IF(Checks!$AH$148="","",Checks!$AH$148)</f>
        <v/>
      </c>
    </row>
    <row r="37" ht="81" customHeight="1">
      <c r="A37" s="124">
        <f>Checks!$A$149&amp;CHAR(10)&amp;IF(Checks!$I$149="","",Checks!$I$149&amp;": ")&amp;Checks!$J$149</f>
        <v/>
      </c>
      <c r="B37" s="124">
        <f>Checks!$K$149&amp;IF(Checks!$O$149="","",IF(Checks!$K$149="","",CHAR(10))&amp;"Note: "&amp;Checks!$O$149)</f>
        <v/>
      </c>
      <c r="C37" s="124">
        <f>Checks!$N$149&amp;CHAR(10)&amp;IF(ISNUMBER(Checks!$R$149),TEXT(Checks!$R$149,"DD-MMM-YY HH:MM"),"")&amp;" "&amp;Checks!$P$149</f>
        <v/>
      </c>
      <c r="D37" s="124">
        <f>IF(Checks!$U$149="","",Checks!$U$149)&amp;IF(Checks!$AB$149="","",CHAR(10)&amp;"CA: "&amp;Checks!$AB$149)</f>
        <v/>
      </c>
      <c r="E37" s="124">
        <f>IF(Checks!$V$149="","",Checks!$V$149)&amp;IF(Checks!$AC$149="","",IF(Checks!$V$149="","",CHAR(10))&amp;"N/A just.: "&amp;Checks!$AC$149)&amp;IF(Checks!$W$149="","",CHAR(10)&amp;"Batch: "&amp;Checks!$W$149)&amp;IF(AND(Checks!$X$149="",Checks!$Y$149=""),"",CHAR(10)&amp;"Exp: "&amp;Checks!$X$149&amp;"  /  Act: "&amp;Checks!$Y$149)</f>
        <v/>
      </c>
      <c r="F37" s="124">
        <f>IF(Checks!$Z$149="","","Evidence: "&amp;Checks!$Z$149)&amp;IF(Checks!$AA$149="","",IF(Checks!$Z$149="","",CHAR(10))&amp;"CA: "&amp;Checks!$AA$149)</f>
        <v/>
      </c>
      <c r="G37" s="124">
        <f>IF(ISNUMBER(Checks!$AD$149),TEXT(Checks!$AD$149,"DD-MMM-YY HH:MM")&amp;" "&amp;Checks!$P$149,"")&amp;IF(Checks!$AE$149="","",CHAR(10)&amp;Checks!$AE$149)</f>
        <v/>
      </c>
      <c r="H37" s="125">
        <f>IF(Checks!$AH$149="","",Checks!$AH$149)</f>
        <v/>
      </c>
    </row>
    <row r="38" ht="81" customHeight="1">
      <c r="A38" s="124">
        <f>Checks!$A$150&amp;CHAR(10)&amp;IF(Checks!$I$150="","",Checks!$I$150&amp;": ")&amp;Checks!$J$150</f>
        <v/>
      </c>
      <c r="B38" s="124">
        <f>Checks!$K$150&amp;IF(Checks!$O$150="","",IF(Checks!$K$150="","",CHAR(10))&amp;"Note: "&amp;Checks!$O$150)</f>
        <v/>
      </c>
      <c r="C38" s="124">
        <f>Checks!$N$150&amp;CHAR(10)&amp;IF(ISNUMBER(Checks!$R$150),TEXT(Checks!$R$150,"DD-MMM-YY HH:MM"),"")&amp;" "&amp;Checks!$P$150</f>
        <v/>
      </c>
      <c r="D38" s="124">
        <f>IF(Checks!$U$150="","",Checks!$U$150)&amp;IF(Checks!$AB$150="","",CHAR(10)&amp;"CA: "&amp;Checks!$AB$150)</f>
        <v/>
      </c>
      <c r="E38" s="124">
        <f>IF(Checks!$V$150="","",Checks!$V$150)&amp;IF(Checks!$AC$150="","",IF(Checks!$V$150="","",CHAR(10))&amp;"N/A just.: "&amp;Checks!$AC$150)&amp;IF(Checks!$W$150="","",CHAR(10)&amp;"Batch: "&amp;Checks!$W$150)&amp;IF(AND(Checks!$X$150="",Checks!$Y$150=""),"",CHAR(10)&amp;"Exp: "&amp;Checks!$X$150&amp;"  /  Act: "&amp;Checks!$Y$150)</f>
        <v/>
      </c>
      <c r="F38" s="124">
        <f>IF(Checks!$Z$150="","","Evidence: "&amp;Checks!$Z$150)&amp;IF(Checks!$AA$150="","",IF(Checks!$Z$150="","",CHAR(10))&amp;"CA: "&amp;Checks!$AA$150)</f>
        <v/>
      </c>
      <c r="G38" s="124">
        <f>IF(ISNUMBER(Checks!$AD$150),TEXT(Checks!$AD$150,"DD-MMM-YY HH:MM")&amp;" "&amp;Checks!$P$150,"")&amp;IF(Checks!$AE$150="","",CHAR(10)&amp;Checks!$AE$150)</f>
        <v/>
      </c>
      <c r="H38" s="125">
        <f>IF(Checks!$AH$150="","",Checks!$AH$150)</f>
        <v/>
      </c>
    </row>
    <row r="39" ht="81" customHeight="1">
      <c r="A39" s="124">
        <f>Checks!$A$151&amp;CHAR(10)&amp;IF(Checks!$I$151="","",Checks!$I$151&amp;": ")&amp;Checks!$J$151</f>
        <v/>
      </c>
      <c r="B39" s="124">
        <f>Checks!$K$151&amp;IF(Checks!$O$151="","",IF(Checks!$K$151="","",CHAR(10))&amp;"Note: "&amp;Checks!$O$151)</f>
        <v/>
      </c>
      <c r="C39" s="124">
        <f>Checks!$N$151&amp;CHAR(10)&amp;IF(ISNUMBER(Checks!$R$151),TEXT(Checks!$R$151,"DD-MMM-YY HH:MM"),"")&amp;" "&amp;Checks!$P$151</f>
        <v/>
      </c>
      <c r="D39" s="124">
        <f>IF(Checks!$U$151="","",Checks!$U$151)&amp;IF(Checks!$AB$151="","",CHAR(10)&amp;"CA: "&amp;Checks!$AB$151)</f>
        <v/>
      </c>
      <c r="E39" s="124">
        <f>IF(Checks!$V$151="","",Checks!$V$151)&amp;IF(Checks!$AC$151="","",IF(Checks!$V$151="","",CHAR(10))&amp;"N/A just.: "&amp;Checks!$AC$151)&amp;IF(Checks!$W$151="","",CHAR(10)&amp;"Batch: "&amp;Checks!$W$151)&amp;IF(AND(Checks!$X$151="",Checks!$Y$151=""),"",CHAR(10)&amp;"Exp: "&amp;Checks!$X$151&amp;"  /  Act: "&amp;Checks!$Y$151)</f>
        <v/>
      </c>
      <c r="F39" s="124">
        <f>IF(Checks!$Z$151="","","Evidence: "&amp;Checks!$Z$151)&amp;IF(Checks!$AA$151="","",IF(Checks!$Z$151="","",CHAR(10))&amp;"CA: "&amp;Checks!$AA$151)</f>
        <v/>
      </c>
      <c r="G39" s="124">
        <f>IF(ISNUMBER(Checks!$AD$151),TEXT(Checks!$AD$151,"DD-MMM-YY HH:MM")&amp;" "&amp;Checks!$P$151,"")&amp;IF(Checks!$AE$151="","",CHAR(10)&amp;Checks!$AE$151)</f>
        <v/>
      </c>
      <c r="H39" s="125">
        <f>IF(Checks!$AH$151="","",Checks!$AH$151)</f>
        <v/>
      </c>
    </row>
    <row r="40" ht="81" customHeight="1">
      <c r="A40" s="124">
        <f>Checks!$A$152&amp;CHAR(10)&amp;IF(Checks!$I$152="","",Checks!$I$152&amp;": ")&amp;Checks!$J$152</f>
        <v/>
      </c>
      <c r="B40" s="124">
        <f>Checks!$K$152&amp;IF(Checks!$O$152="","",IF(Checks!$K$152="","",CHAR(10))&amp;"Note: "&amp;Checks!$O$152)</f>
        <v/>
      </c>
      <c r="C40" s="124">
        <f>Checks!$N$152&amp;CHAR(10)&amp;IF(ISNUMBER(Checks!$R$152),TEXT(Checks!$R$152,"DD-MMM-YY HH:MM"),"")&amp;" "&amp;Checks!$P$152</f>
        <v/>
      </c>
      <c r="D40" s="124">
        <f>IF(Checks!$U$152="","",Checks!$U$152)&amp;IF(Checks!$AB$152="","",CHAR(10)&amp;"CA: "&amp;Checks!$AB$152)</f>
        <v/>
      </c>
      <c r="E40" s="124">
        <f>IF(Checks!$V$152="","",Checks!$V$152)&amp;IF(Checks!$AC$152="","",IF(Checks!$V$152="","",CHAR(10))&amp;"N/A just.: "&amp;Checks!$AC$152)&amp;IF(Checks!$W$152="","",CHAR(10)&amp;"Batch: "&amp;Checks!$W$152)&amp;IF(AND(Checks!$X$152="",Checks!$Y$152=""),"",CHAR(10)&amp;"Exp: "&amp;Checks!$X$152&amp;"  /  Act: "&amp;Checks!$Y$152)</f>
        <v/>
      </c>
      <c r="F40" s="124">
        <f>IF(Checks!$Z$152="","","Evidence: "&amp;Checks!$Z$152)&amp;IF(Checks!$AA$152="","",IF(Checks!$Z$152="","",CHAR(10))&amp;"CA: "&amp;Checks!$AA$152)</f>
        <v/>
      </c>
      <c r="G40" s="124">
        <f>IF(ISNUMBER(Checks!$AD$152),TEXT(Checks!$AD$152,"DD-MMM-YY HH:MM")&amp;" "&amp;Checks!$P$152,"")&amp;IF(Checks!$AE$152="","",CHAR(10)&amp;Checks!$AE$152)</f>
        <v/>
      </c>
      <c r="H40" s="125">
        <f>IF(Checks!$AH$152="","",Checks!$AH$152)</f>
        <v/>
      </c>
    </row>
    <row r="41" ht="279" customHeight="1">
      <c r="A41" s="124">
        <f>Checks!$A$153&amp;CHAR(10)&amp;IF(Checks!$I$153="","",Checks!$I$153&amp;": ")&amp;Checks!$J$153</f>
        <v/>
      </c>
      <c r="B41" s="124">
        <f>SUBSTITUTE(Checks!$K$153&amp;IF(Checks!$O$153="","",IF(Checks!$K$153="","",CHAR(10))&amp;"Note: "&amp;Checks!$O$153),"AIRCRAFT TYPE!","Ref: AIRCRAFT TYPE!")</f>
        <v/>
      </c>
      <c r="C41" s="124">
        <f>Checks!$N$153&amp;CHAR(10)&amp;IF(ISNUMBER(Checks!$R$153),TEXT(Checks!$R$153,"DD-MMM-YY HH:MM"),"")&amp;" "&amp;Checks!$P$153</f>
        <v/>
      </c>
      <c r="D41" s="124">
        <f>IF(Checks!$U$153="","",Checks!$U$153)&amp;IF(Checks!$AB$153="","",CHAR(10)&amp;"CA: "&amp;Checks!$AB$153)</f>
        <v/>
      </c>
      <c r="E41" s="124">
        <f>IF(Checks!$V$153="","",Checks!$V$153)&amp;IF(Checks!$AC$153="","",IF(Checks!$V$153="","",CHAR(10))&amp;"N/A just.: "&amp;Checks!$AC$153)&amp;IF(Checks!$W$153="","",CHAR(10)&amp;"Batch: "&amp;Checks!$W$153)&amp;IF(AND(Checks!$X$153="",Checks!$Y$153=""),"",CHAR(10)&amp;"Exp: "&amp;Checks!$X$153&amp;"  /  Act: "&amp;Checks!$Y$153)</f>
        <v/>
      </c>
      <c r="F41" s="124">
        <f>IF(Checks!$Z$153="","","Evidence: "&amp;Checks!$Z$153)&amp;IF(Checks!$AA$153="","",IF(Checks!$Z$153="","",CHAR(10))&amp;"CA: "&amp;Checks!$AA$153)</f>
        <v/>
      </c>
      <c r="G41" s="124">
        <f>IF(ISNUMBER(Checks!$AD$153),TEXT(Checks!$AD$153,"DD-MMM-YY HH:MM")&amp;" "&amp;Checks!$P$153,"")&amp;IF(Checks!$AE$153="","",CHAR(10)&amp;Checks!$AE$153)</f>
        <v/>
      </c>
      <c r="H41" s="125">
        <f>IF(Checks!$AH$153="","",Checks!$AH$153)</f>
        <v/>
      </c>
    </row>
    <row r="42" ht="81" customHeight="1">
      <c r="A42" s="124">
        <f>Checks!$A$154&amp;CHAR(10)&amp;IF(Checks!$I$154="","",Checks!$I$154&amp;": ")&amp;Checks!$J$154</f>
        <v/>
      </c>
      <c r="B42" s="124">
        <f>Checks!$K$154&amp;IF(Checks!$O$154="","",IF(Checks!$K$154="","",CHAR(10))&amp;"Note: "&amp;Checks!$O$154)</f>
        <v/>
      </c>
      <c r="C42" s="124">
        <f>Checks!$N$154&amp;CHAR(10)&amp;IF(ISNUMBER(Checks!$R$154),TEXT(Checks!$R$154,"DD-MMM-YY HH:MM"),"")&amp;" "&amp;Checks!$P$154</f>
        <v/>
      </c>
      <c r="D42" s="124">
        <f>IF(Checks!$U$154="","",Checks!$U$154)&amp;IF(Checks!$AB$154="","",CHAR(10)&amp;"CA: "&amp;Checks!$AB$154)</f>
        <v/>
      </c>
      <c r="E42" s="124">
        <f>IF(Checks!$V$154="","",Checks!$V$154)&amp;IF(Checks!$AC$154="","",IF(Checks!$V$154="","",CHAR(10))&amp;"N/A just.: "&amp;Checks!$AC$154)&amp;IF(Checks!$W$154="","",CHAR(10)&amp;"Batch: "&amp;Checks!$W$154)&amp;IF(AND(Checks!$X$154="",Checks!$Y$154=""),"",CHAR(10)&amp;"Exp: "&amp;Checks!$X$154&amp;"  /  Act: "&amp;Checks!$Y$154)</f>
        <v/>
      </c>
      <c r="F42" s="124">
        <f>IF(Checks!$Z$154="","","Evidence: "&amp;Checks!$Z$154)&amp;IF(Checks!$AA$154="","",IF(Checks!$Z$154="","",CHAR(10))&amp;"CA: "&amp;Checks!$AA$154)</f>
        <v/>
      </c>
      <c r="G42" s="124">
        <f>IF(ISNUMBER(Checks!$AD$154),TEXT(Checks!$AD$154,"DD-MMM-YY HH:MM")&amp;" "&amp;Checks!$P$154,"")&amp;IF(Checks!$AE$154="","",CHAR(10)&amp;Checks!$AE$154)</f>
        <v/>
      </c>
      <c r="H42" s="125">
        <f>IF(Checks!$AH$154="","",Checks!$AH$154)</f>
        <v/>
      </c>
    </row>
    <row r="43" ht="180" customHeight="1">
      <c r="A43" s="124">
        <f>Checks!$A$155&amp;CHAR(10)&amp;IF(Checks!$I$155="","",Checks!$I$155&amp;": ")&amp;Checks!$J$155</f>
        <v/>
      </c>
      <c r="B43" s="124">
        <f>Checks!$K$155&amp;IF(Checks!$O$155="","",IF(Checks!$K$155="","",CHAR(10))&amp;"Note: "&amp;Checks!$O$155)</f>
        <v/>
      </c>
      <c r="C43" s="124">
        <f>Checks!$N$155&amp;CHAR(10)&amp;IF(ISNUMBER(Checks!$R$155),TEXT(Checks!$R$155,"DD-MMM-YY HH:MM"),"")&amp;" "&amp;Checks!$P$155</f>
        <v/>
      </c>
      <c r="D43" s="124">
        <f>IF(Checks!$U$155="","",Checks!$U$155)&amp;IF(Checks!$AB$155="","",CHAR(10)&amp;"CA: "&amp;Checks!$AB$155)</f>
        <v/>
      </c>
      <c r="E43" s="124">
        <f>IF(Checks!$V$155="","",Checks!$V$155)&amp;IF(Checks!$AC$155="","",IF(Checks!$V$155="","",CHAR(10))&amp;"N/A just.: "&amp;Checks!$AC$155)&amp;IF(Checks!$W$155="","",CHAR(10)&amp;"Batch: "&amp;Checks!$W$155)&amp;IF(AND(Checks!$X$155="",Checks!$Y$155=""),"",CHAR(10)&amp;"Exp: "&amp;Checks!$X$155&amp;"  /  Act: "&amp;Checks!$Y$155)</f>
        <v/>
      </c>
      <c r="F43" s="124">
        <f>IF(Checks!$Z$155="","","Evidence: "&amp;Checks!$Z$155)&amp;IF(Checks!$AA$155="","",IF(Checks!$Z$155="","",CHAR(10))&amp;"CA: "&amp;Checks!$AA$155)</f>
        <v/>
      </c>
      <c r="G43" s="124">
        <f>IF(ISNUMBER(Checks!$AD$155),TEXT(Checks!$AD$155,"DD-MMM-YY HH:MM")&amp;" "&amp;Checks!$P$155,"")&amp;IF(Checks!$AE$155="","",CHAR(10)&amp;Checks!$AE$155)</f>
        <v/>
      </c>
      <c r="H43" s="125">
        <f>IF(Checks!$AH$155="","",Checks!$AH$155)</f>
        <v/>
      </c>
    </row>
    <row r="44" ht="92" customHeight="1">
      <c r="A44" s="124">
        <f>Checks!$A$156&amp;CHAR(10)&amp;IF(Checks!$I$156="","",Checks!$I$156&amp;": ")&amp;Checks!$J$156</f>
        <v/>
      </c>
      <c r="B44" s="124">
        <f>Checks!$K$156&amp;IF(Checks!$O$156="","",IF(Checks!$K$156="","",CHAR(10))&amp;"Note: "&amp;Checks!$O$156)</f>
        <v/>
      </c>
      <c r="C44" s="124">
        <f>Checks!$N$156&amp;CHAR(10)&amp;IF(ISNUMBER(Checks!$R$156),TEXT(Checks!$R$156,"DD-MMM-YY HH:MM"),"")&amp;" "&amp;Checks!$P$156</f>
        <v/>
      </c>
      <c r="D44" s="124">
        <f>IF(Checks!$U$156="","",Checks!$U$156)&amp;IF(Checks!$AB$156="","",CHAR(10)&amp;"CA: "&amp;Checks!$AB$156)</f>
        <v/>
      </c>
      <c r="E44" s="124">
        <f>IF(Checks!$V$156="","",Checks!$V$156)&amp;IF(Checks!$AC$156="","",IF(Checks!$V$156="","",CHAR(10))&amp;"N/A just.: "&amp;Checks!$AC$156)&amp;IF(Checks!$W$156="","",CHAR(10)&amp;"Batch: "&amp;Checks!$W$156)&amp;IF(AND(Checks!$X$156="",Checks!$Y$156=""),"",CHAR(10)&amp;"Exp: "&amp;Checks!$X$156&amp;"  /  Act: "&amp;Checks!$Y$156)</f>
        <v/>
      </c>
      <c r="F44" s="124">
        <f>IF(Checks!$Z$156="","","Evidence: "&amp;Checks!$Z$156)&amp;IF(Checks!$AA$156="","",IF(Checks!$Z$156="","",CHAR(10))&amp;"CA: "&amp;Checks!$AA$156)</f>
        <v/>
      </c>
      <c r="G44" s="124">
        <f>IF(ISNUMBER(Checks!$AD$156),TEXT(Checks!$AD$156,"DD-MMM-YY HH:MM")&amp;" "&amp;Checks!$P$156,"")&amp;IF(Checks!$AE$156="","",CHAR(10)&amp;Checks!$AE$156)</f>
        <v/>
      </c>
      <c r="H44" s="125">
        <f>IF(Checks!$AH$156="","",Checks!$AH$156)</f>
        <v/>
      </c>
    </row>
    <row r="45" ht="224" customHeight="1">
      <c r="A45" s="124">
        <f>Checks!$A$157&amp;CHAR(10)&amp;IF(Checks!$I$157="","",Checks!$I$157&amp;": ")&amp;Checks!$J$157</f>
        <v/>
      </c>
      <c r="B45" s="124">
        <f>SUBSTITUTE(Checks!$K$157&amp;IF(Checks!$O$157="","",IF(Checks!$K$157="","",CHAR(10))&amp;"Note: "&amp;Checks!$O$157),"SEAT LINEN!","Ref: SEAT LINEN!")</f>
        <v/>
      </c>
      <c r="C45" s="124">
        <f>Checks!$N$157&amp;CHAR(10)&amp;IF(ISNUMBER(Checks!$R$157),TEXT(Checks!$R$157,"DD-MMM-YY HH:MM"),"")&amp;" "&amp;Checks!$P$157</f>
        <v/>
      </c>
      <c r="D45" s="124">
        <f>IF(Checks!$U$157="","",Checks!$U$157)&amp;IF(Checks!$AB$157="","",CHAR(10)&amp;"CA: "&amp;Checks!$AB$157)</f>
        <v/>
      </c>
      <c r="E45" s="124">
        <f>IF(Checks!$V$157="","",Checks!$V$157)&amp;IF(Checks!$AC$157="","",IF(Checks!$V$157="","",CHAR(10))&amp;"N/A just.: "&amp;Checks!$AC$157)&amp;IF(Checks!$W$157="","",CHAR(10)&amp;"Batch: "&amp;Checks!$W$157)&amp;IF(AND(Checks!$X$157="",Checks!$Y$157=""),"",CHAR(10)&amp;"Exp: "&amp;Checks!$X$157&amp;"  /  Act: "&amp;Checks!$Y$157)</f>
        <v/>
      </c>
      <c r="F45" s="124">
        <f>IF(Checks!$Z$157="","","Evidence: "&amp;Checks!$Z$157)&amp;IF(Checks!$AA$157="","",IF(Checks!$Z$157="","",CHAR(10))&amp;"CA: "&amp;Checks!$AA$157)</f>
        <v/>
      </c>
      <c r="G45" s="124">
        <f>IF(ISNUMBER(Checks!$AD$157),TEXT(Checks!$AD$157,"DD-MMM-YY HH:MM")&amp;" "&amp;Checks!$P$157,"")&amp;IF(Checks!$AE$157="","",CHAR(10)&amp;Checks!$AE$157)</f>
        <v/>
      </c>
      <c r="H45" s="125">
        <f>IF(Checks!$AH$157="","",Checks!$AH$157)</f>
        <v/>
      </c>
    </row>
    <row r="46" ht="235" customHeight="1">
      <c r="A46" s="124">
        <f>Checks!$A$158&amp;CHAR(10)&amp;IF(Checks!$I$158="","",Checks!$I$158&amp;": ")&amp;Checks!$J$158</f>
        <v/>
      </c>
      <c r="B46" s="124">
        <f>Checks!$K$158&amp;IF(Checks!$O$158="","",IF(Checks!$K$158="","",CHAR(10))&amp;"Note: "&amp;Checks!$O$158)</f>
        <v/>
      </c>
      <c r="C46" s="124">
        <f>Checks!$N$158&amp;CHAR(10)&amp;IF(ISNUMBER(Checks!$R$158),TEXT(Checks!$R$158,"DD-MMM-YY HH:MM"),"")&amp;" "&amp;Checks!$P$158</f>
        <v/>
      </c>
      <c r="D46" s="124">
        <f>IF(Checks!$U$158="","",Checks!$U$158)&amp;IF(Checks!$AB$158="","",CHAR(10)&amp;"CA: "&amp;Checks!$AB$158)</f>
        <v/>
      </c>
      <c r="E46" s="124">
        <f>IF(Checks!$V$158="","",Checks!$V$158)&amp;IF(Checks!$AC$158="","",IF(Checks!$V$158="","",CHAR(10))&amp;"N/A just.: "&amp;Checks!$AC$158)&amp;IF(Checks!$W$158="","",CHAR(10)&amp;"Batch: "&amp;Checks!$W$158)&amp;IF(AND(Checks!$X$158="",Checks!$Y$158=""),"",CHAR(10)&amp;"Exp: "&amp;Checks!$X$158&amp;"  /  Act: "&amp;Checks!$Y$158)</f>
        <v/>
      </c>
      <c r="F46" s="124">
        <f>IF(Checks!$Z$158="","","Evidence: "&amp;Checks!$Z$158)&amp;IF(Checks!$AA$158="","",IF(Checks!$Z$158="","",CHAR(10))&amp;"CA: "&amp;Checks!$AA$158)</f>
        <v/>
      </c>
      <c r="G46" s="124">
        <f>IF(ISNUMBER(Checks!$AD$158),TEXT(Checks!$AD$158,"DD-MMM-YY HH:MM")&amp;" "&amp;Checks!$P$158,"")&amp;IF(Checks!$AE$158="","",CHAR(10)&amp;Checks!$AE$158)</f>
        <v/>
      </c>
      <c r="H46" s="125">
        <f>IF(Checks!$AH$158="","",Checks!$AH$158)</f>
        <v/>
      </c>
    </row>
    <row r="47" ht="26" customHeight="1">
      <c r="A47" s="123">
        <f>"UPLIFT — Physical uplift – on-board confirmation before departure  |  Due "&amp;"STD "&amp;IF(ISNUMBER(Flights!$I$9),TEXT(Flights!$I$9,"DD-MMM-YY HH:MM"),"")&amp;" "&amp;Flights!$G$9&amp;" (departure stn)"&amp;" (rows with another due show their own)  |  Complete "&amp;IF(ISNUMBER(Flights!$AM$9),TEXT(Flights!$AM$9,"0%"),Flights!$AM$9)&amp;"  |  7 lines"</f>
        <v/>
      </c>
      <c r="B47" s="97" t="n"/>
      <c r="C47" s="97" t="n"/>
      <c r="D47" s="97" t="n"/>
      <c r="E47" s="97" t="n"/>
      <c r="F47" s="97" t="n"/>
      <c r="G47" s="97" t="n"/>
      <c r="H47" s="98" t="n"/>
    </row>
    <row r="48" ht="81" customHeight="1">
      <c r="A48" s="124">
        <f>Checks!$A$159&amp;CHAR(10)&amp;IF(Checks!$I$159="","",Checks!$I$159&amp;": ")&amp;Checks!$J$159</f>
        <v/>
      </c>
      <c r="B48" s="124">
        <f>Checks!$K$159&amp;IF(Checks!$O$159="","",IF(Checks!$K$159="","",CHAR(10))&amp;"Note: "&amp;Checks!$O$159)</f>
        <v/>
      </c>
      <c r="C48" s="124">
        <f>Checks!$N$159&amp;CHAR(10)&amp;IF(ISNUMBER(Checks!$R$159),TEXT(Checks!$R$159,"DD-MMM-YY HH:MM"),"")&amp;" "&amp;Checks!$P$159</f>
        <v/>
      </c>
      <c r="D48" s="124">
        <f>IF(Checks!$U$159="","",Checks!$U$159)&amp;IF(Checks!$AB$159="","",CHAR(10)&amp;"CA: "&amp;Checks!$AB$159)</f>
        <v/>
      </c>
      <c r="E48" s="124">
        <f>IF(Checks!$V$159="","",Checks!$V$159)&amp;IF(Checks!$AC$159="","",IF(Checks!$V$159="","",CHAR(10))&amp;"N/A just.: "&amp;Checks!$AC$159)&amp;IF(Checks!$W$159="","",CHAR(10)&amp;"Batch: "&amp;Checks!$W$159)&amp;IF(AND(Checks!$X$159="",Checks!$Y$159=""),"",CHAR(10)&amp;"Exp: "&amp;Checks!$X$159&amp;"  /  Act: "&amp;Checks!$Y$159)</f>
        <v/>
      </c>
      <c r="F48" s="124">
        <f>IF(Checks!$Z$159="","","Evidence: "&amp;Checks!$Z$159)&amp;IF(Checks!$AA$159="","",IF(Checks!$Z$159="","",CHAR(10))&amp;"CA: "&amp;Checks!$AA$159)</f>
        <v/>
      </c>
      <c r="G48" s="124">
        <f>IF(ISNUMBER(Checks!$AD$159),TEXT(Checks!$AD$159,"DD-MMM-YY HH:MM")&amp;" "&amp;Checks!$P$159,"")&amp;IF(Checks!$AE$159="","",CHAR(10)&amp;Checks!$AE$159)</f>
        <v/>
      </c>
      <c r="H48" s="125">
        <f>IF(Checks!$AH$159="","",Checks!$AH$159)</f>
        <v/>
      </c>
    </row>
    <row r="49" ht="81" customHeight="1">
      <c r="A49" s="124">
        <f>Checks!$A$160&amp;CHAR(10)&amp;IF(Checks!$I$160="","",Checks!$I$160&amp;": ")&amp;Checks!$J$160</f>
        <v/>
      </c>
      <c r="B49" s="124">
        <f>Checks!$K$160&amp;IF(Checks!$O$160="","",IF(Checks!$K$160="","",CHAR(10))&amp;"Note: "&amp;Checks!$O$160)</f>
        <v/>
      </c>
      <c r="C49" s="124">
        <f>Checks!$N$160&amp;CHAR(10)&amp;IF(ISNUMBER(Checks!$R$160),TEXT(Checks!$R$160,"DD-MMM-YY HH:MM"),"")&amp;" "&amp;Checks!$P$160</f>
        <v/>
      </c>
      <c r="D49" s="124">
        <f>IF(Checks!$U$160="","",Checks!$U$160)&amp;IF(Checks!$AB$160="","",CHAR(10)&amp;"CA: "&amp;Checks!$AB$160)</f>
        <v/>
      </c>
      <c r="E49" s="124">
        <f>IF(Checks!$V$160="","",Checks!$V$160)&amp;IF(Checks!$AC$160="","",IF(Checks!$V$160="","",CHAR(10))&amp;"N/A just.: "&amp;Checks!$AC$160)&amp;IF(Checks!$W$160="","",CHAR(10)&amp;"Batch: "&amp;Checks!$W$160)&amp;IF(AND(Checks!$X$160="",Checks!$Y$160=""),"",CHAR(10)&amp;"Exp: "&amp;Checks!$X$160&amp;"  /  Act: "&amp;Checks!$Y$160)</f>
        <v/>
      </c>
      <c r="F49" s="124">
        <f>IF(Checks!$Z$160="","","Evidence: "&amp;Checks!$Z$160)&amp;IF(Checks!$AA$160="","",IF(Checks!$Z$160="","",CHAR(10))&amp;"CA: "&amp;Checks!$AA$160)</f>
        <v/>
      </c>
      <c r="G49" s="124">
        <f>IF(ISNUMBER(Checks!$AD$160),TEXT(Checks!$AD$160,"DD-MMM-YY HH:MM")&amp;" "&amp;Checks!$P$160,"")&amp;IF(Checks!$AE$160="","",CHAR(10)&amp;Checks!$AE$160)</f>
        <v/>
      </c>
      <c r="H49" s="125">
        <f>IF(Checks!$AH$160="","",Checks!$AH$160)</f>
        <v/>
      </c>
    </row>
    <row r="50" ht="92" customHeight="1">
      <c r="A50" s="124">
        <f>Checks!$A$161&amp;CHAR(10)&amp;IF(Checks!$I$161="","",Checks!$I$161&amp;": ")&amp;Checks!$J$161</f>
        <v/>
      </c>
      <c r="B50" s="124">
        <f>Checks!$K$161&amp;IF(Checks!$O$161="","",IF(Checks!$K$161="","",CHAR(10))&amp;"Note: "&amp;Checks!$O$161)</f>
        <v/>
      </c>
      <c r="C50" s="124">
        <f>Checks!$N$161&amp;CHAR(10)&amp;IF(ISNUMBER(Checks!$R$161),TEXT(Checks!$R$161,"DD-MMM-YY HH:MM"),"")&amp;" "&amp;Checks!$P$161</f>
        <v/>
      </c>
      <c r="D50" s="124">
        <f>IF(Checks!$U$161="","",Checks!$U$161)&amp;IF(Checks!$AB$161="","",CHAR(10)&amp;"CA: "&amp;Checks!$AB$161)</f>
        <v/>
      </c>
      <c r="E50" s="124">
        <f>IF(Checks!$V$161="","",Checks!$V$161)&amp;IF(Checks!$AC$161="","",IF(Checks!$V$161="","",CHAR(10))&amp;"N/A just.: "&amp;Checks!$AC$161)&amp;IF(Checks!$W$161="","",CHAR(10)&amp;"Batch: "&amp;Checks!$W$161)&amp;IF(AND(Checks!$X$161="",Checks!$Y$161=""),"",CHAR(10)&amp;"Exp: "&amp;Checks!$X$161&amp;"  /  Act: "&amp;Checks!$Y$161)</f>
        <v/>
      </c>
      <c r="F50" s="124">
        <f>IF(Checks!$Z$161="","","Evidence: "&amp;Checks!$Z$161)&amp;IF(Checks!$AA$161="","",IF(Checks!$Z$161="","",CHAR(10))&amp;"CA: "&amp;Checks!$AA$161)</f>
        <v/>
      </c>
      <c r="G50" s="124">
        <f>IF(ISNUMBER(Checks!$AD$161),TEXT(Checks!$AD$161,"DD-MMM-YY HH:MM")&amp;" "&amp;Checks!$P$161,"")&amp;IF(Checks!$AE$161="","",CHAR(10)&amp;Checks!$AE$161)</f>
        <v/>
      </c>
      <c r="H50" s="125">
        <f>IF(Checks!$AH$161="","",Checks!$AH$161)</f>
        <v/>
      </c>
    </row>
    <row r="51" ht="114" customHeight="1">
      <c r="A51" s="124">
        <f>Checks!$A$162&amp;CHAR(10)&amp;IF(Checks!$I$162="","",Checks!$I$162&amp;": ")&amp;Checks!$J$162</f>
        <v/>
      </c>
      <c r="B51" s="124">
        <f>Checks!$K$162&amp;IF(Checks!$O$162="","",IF(Checks!$K$162="","",CHAR(10))&amp;"Note: "&amp;Checks!$O$162)</f>
        <v/>
      </c>
      <c r="C51" s="124">
        <f>Checks!$N$162&amp;CHAR(10)&amp;IF(ISNUMBER(Checks!$R$162),TEXT(Checks!$R$162,"DD-MMM-YY HH:MM"),"")&amp;" "&amp;Checks!$P$162</f>
        <v/>
      </c>
      <c r="D51" s="124">
        <f>IF(Checks!$U$162="","",Checks!$U$162)&amp;IF(Checks!$AB$162="","",CHAR(10)&amp;"CA: "&amp;Checks!$AB$162)</f>
        <v/>
      </c>
      <c r="E51" s="124">
        <f>IF(Checks!$V$162="","",Checks!$V$162)&amp;IF(Checks!$AC$162="","",IF(Checks!$V$162="","",CHAR(10))&amp;"N/A just.: "&amp;Checks!$AC$162)&amp;IF(Checks!$W$162="","",CHAR(10)&amp;"Batch: "&amp;Checks!$W$162)&amp;IF(AND(Checks!$X$162="",Checks!$Y$162=""),"",CHAR(10)&amp;"Exp: "&amp;Checks!$X$162&amp;"  /  Act: "&amp;Checks!$Y$162)</f>
        <v/>
      </c>
      <c r="F51" s="124">
        <f>IF(Checks!$Z$162="","","Evidence: "&amp;Checks!$Z$162)&amp;IF(Checks!$AA$162="","",IF(Checks!$Z$162="","",CHAR(10))&amp;"CA: "&amp;Checks!$AA$162)</f>
        <v/>
      </c>
      <c r="G51" s="124">
        <f>IF(ISNUMBER(Checks!$AD$162),TEXT(Checks!$AD$162,"DD-MMM-YY HH:MM")&amp;" "&amp;Checks!$P$162,"")&amp;IF(Checks!$AE$162="","",CHAR(10)&amp;Checks!$AE$162)</f>
        <v/>
      </c>
      <c r="H51" s="125">
        <f>IF(Checks!$AH$162="","",Checks!$AH$162)</f>
        <v/>
      </c>
    </row>
    <row r="52" ht="81" customHeight="1">
      <c r="A52" s="124">
        <f>Checks!$A$163&amp;CHAR(10)&amp;IF(Checks!$I$163="","",Checks!$I$163&amp;": ")&amp;Checks!$J$163</f>
        <v/>
      </c>
      <c r="B52" s="124">
        <f>Checks!$K$163&amp;IF(Checks!$O$163="","",IF(Checks!$K$163="","",CHAR(10))&amp;"Note: "&amp;Checks!$O$163)</f>
        <v/>
      </c>
      <c r="C52" s="124">
        <f>Checks!$N$163&amp;CHAR(10)&amp;IF(ISNUMBER(Checks!$R$163),TEXT(Checks!$R$163,"DD-MMM-YY HH:MM"),"")&amp;" "&amp;Checks!$P$163</f>
        <v/>
      </c>
      <c r="D52" s="124">
        <f>IF(Checks!$U$163="","",Checks!$U$163)&amp;IF(Checks!$AB$163="","",CHAR(10)&amp;"CA: "&amp;Checks!$AB$163)</f>
        <v/>
      </c>
      <c r="E52" s="124">
        <f>IF(Checks!$V$163="","",Checks!$V$163)&amp;IF(Checks!$AC$163="","",IF(Checks!$V$163="","",CHAR(10))&amp;"N/A just.: "&amp;Checks!$AC$163)&amp;IF(Checks!$W$163="","",CHAR(10)&amp;"Batch: "&amp;Checks!$W$163)&amp;IF(AND(Checks!$X$163="",Checks!$Y$163=""),"",CHAR(10)&amp;"Exp: "&amp;Checks!$X$163&amp;"  /  Act: "&amp;Checks!$Y$163)</f>
        <v/>
      </c>
      <c r="F52" s="124">
        <f>IF(Checks!$Z$163="","","Evidence: "&amp;Checks!$Z$163)&amp;IF(Checks!$AA$163="","",IF(Checks!$Z$163="","",CHAR(10))&amp;"CA: "&amp;Checks!$AA$163)</f>
        <v/>
      </c>
      <c r="G52" s="124">
        <f>IF(ISNUMBER(Checks!$AD$163),TEXT(Checks!$AD$163,"DD-MMM-YY HH:MM")&amp;" "&amp;Checks!$P$163,"")&amp;IF(Checks!$AE$163="","",CHAR(10)&amp;Checks!$AE$163)</f>
        <v/>
      </c>
      <c r="H52" s="125">
        <f>IF(Checks!$AH$163="","",Checks!$AH$163)</f>
        <v/>
      </c>
    </row>
    <row r="53" ht="158" customHeight="1">
      <c r="A53" s="124">
        <f>Checks!$A$164&amp;CHAR(10)&amp;IF(Checks!$I$164="","",Checks!$I$164&amp;": ")&amp;Checks!$J$164</f>
        <v/>
      </c>
      <c r="B53" s="124">
        <f>SUBSTITUTE(Checks!$K$164&amp;IF(Checks!$O$164="","",IF(Checks!$K$164="","",CHAR(10))&amp;"Note: "&amp;Checks!$O$164),"SEAT LINEN!","Ref: SEAT LINEN!")</f>
        <v/>
      </c>
      <c r="C53" s="124">
        <f>Checks!$N$164&amp;CHAR(10)&amp;IF(ISNUMBER(Checks!$R$164),TEXT(Checks!$R$164,"DD-MMM-YY HH:MM"),"")&amp;" "&amp;Checks!$P$164</f>
        <v/>
      </c>
      <c r="D53" s="124">
        <f>IF(Checks!$U$164="","",Checks!$U$164)&amp;IF(Checks!$AB$164="","",CHAR(10)&amp;"CA: "&amp;Checks!$AB$164)</f>
        <v/>
      </c>
      <c r="E53" s="124">
        <f>IF(Checks!$V$164="","",Checks!$V$164)&amp;IF(Checks!$AC$164="","",IF(Checks!$V$164="","",CHAR(10))&amp;"N/A just.: "&amp;Checks!$AC$164)&amp;IF(Checks!$W$164="","",CHAR(10)&amp;"Batch: "&amp;Checks!$W$164)&amp;IF(AND(Checks!$X$164="",Checks!$Y$164=""),"",CHAR(10)&amp;"Exp: "&amp;Checks!$X$164&amp;"  /  Act: "&amp;Checks!$Y$164)</f>
        <v/>
      </c>
      <c r="F53" s="124">
        <f>IF(Checks!$Z$164="","","Evidence: "&amp;Checks!$Z$164)&amp;IF(Checks!$AA$164="","",IF(Checks!$Z$164="","",CHAR(10))&amp;"CA: "&amp;Checks!$AA$164)</f>
        <v/>
      </c>
      <c r="G53" s="124">
        <f>IF(ISNUMBER(Checks!$AD$164),TEXT(Checks!$AD$164,"DD-MMM-YY HH:MM")&amp;" "&amp;Checks!$P$164,"")&amp;IF(Checks!$AE$164="","",CHAR(10)&amp;Checks!$AE$164)</f>
        <v/>
      </c>
      <c r="H53" s="125">
        <f>IF(Checks!$AH$164="","",Checks!$AH$164)</f>
        <v/>
      </c>
    </row>
    <row r="54" ht="169" customHeight="1">
      <c r="A54" s="124">
        <f>Checks!$A$165&amp;CHAR(10)&amp;IF(Checks!$I$165="","",Checks!$I$165&amp;": ")&amp;Checks!$J$165</f>
        <v/>
      </c>
      <c r="B54" s="124">
        <f>Checks!$K$165&amp;IF(Checks!$O$165="","",IF(Checks!$K$165="","",CHAR(10))&amp;"Note: "&amp;Checks!$O$165)</f>
        <v/>
      </c>
      <c r="C54" s="124">
        <f>Checks!$N$165&amp;CHAR(10)&amp;IF(ISNUMBER(Checks!$R$165),TEXT(Checks!$R$165,"DD-MMM-YY HH:MM"),"")&amp;" "&amp;Checks!$P$165</f>
        <v/>
      </c>
      <c r="D54" s="124">
        <f>IF(Checks!$U$165="","",Checks!$U$165)&amp;IF(Checks!$AB$165="","",CHAR(10)&amp;"CA: "&amp;Checks!$AB$165)</f>
        <v/>
      </c>
      <c r="E54" s="124">
        <f>IF(Checks!$V$165="","",Checks!$V$165)&amp;IF(Checks!$AC$165="","",IF(Checks!$V$165="","",CHAR(10))&amp;"N/A just.: "&amp;Checks!$AC$165)&amp;IF(Checks!$W$165="","",CHAR(10)&amp;"Batch: "&amp;Checks!$W$165)&amp;IF(AND(Checks!$X$165="",Checks!$Y$165=""),"",CHAR(10)&amp;"Exp: "&amp;Checks!$X$165&amp;"  /  Act: "&amp;Checks!$Y$165)</f>
        <v/>
      </c>
      <c r="F54" s="124">
        <f>IF(Checks!$Z$165="","","Evidence: "&amp;Checks!$Z$165)&amp;IF(Checks!$AA$165="","",IF(Checks!$Z$165="","",CHAR(10))&amp;"CA: "&amp;Checks!$AA$165)</f>
        <v/>
      </c>
      <c r="G54" s="124">
        <f>IF(ISNUMBER(Checks!$AD$165),TEXT(Checks!$AD$165,"DD-MMM-YY HH:MM")&amp;" "&amp;Checks!$P$165,"")&amp;IF(Checks!$AE$165="","",CHAR(10)&amp;Checks!$AE$165)</f>
        <v/>
      </c>
      <c r="H54" s="125">
        <f>IF(Checks!$AH$165="","",Checks!$AH$165)</f>
        <v/>
      </c>
    </row>
    <row r="56" ht="24" customHeight="1">
      <c r="A56" s="126" t="inlineStr">
        <is>
          <t>EXCEL INSERTION AREA (on-screen only, not printed) – A1 Galley Loading Diagram: Insert &gt; Picture here. On paper: staple behind this sheet as page A1.</t>
        </is>
      </c>
      <c r="B56" s="127" t="n"/>
      <c r="C56" s="127" t="n"/>
      <c r="D56" s="128" t="n"/>
      <c r="E56" s="126" t="inlineStr">
        <is>
          <t>EXCEL INSERTION AREA (on-screen only, not printed) – A2 Menu Checklist: Insert &gt; Picture here. On paper: staple behind this sheet as page A2.</t>
        </is>
      </c>
      <c r="F56" s="127" t="n"/>
      <c r="G56" s="127" t="n"/>
      <c r="H56" s="128" t="n"/>
    </row>
    <row r="57" ht="22" customHeight="1">
      <c r="A57" s="129" t="n"/>
      <c r="B57" s="130" t="n"/>
      <c r="C57" s="130" t="n"/>
      <c r="D57" s="131" t="n"/>
      <c r="E57" s="129"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2" t="n"/>
      <c r="B62" s="130" t="n"/>
      <c r="C62" s="130" t="n"/>
      <c r="D62" s="131" t="n"/>
      <c r="E62" s="132" t="n"/>
      <c r="F62" s="130" t="n"/>
      <c r="G62" s="130" t="n"/>
      <c r="H62" s="131" t="n"/>
    </row>
    <row r="63" ht="22" customHeight="1">
      <c r="A63" s="132" t="n"/>
      <c r="B63" s="130" t="n"/>
      <c r="C63" s="130" t="n"/>
      <c r="D63" s="131" t="n"/>
      <c r="E63" s="132" t="n"/>
      <c r="F63" s="130" t="n"/>
      <c r="G63" s="130" t="n"/>
      <c r="H63" s="131" t="n"/>
    </row>
    <row r="64" ht="22" customHeight="1">
      <c r="A64" s="132" t="n"/>
      <c r="B64" s="130" t="n"/>
      <c r="C64" s="130" t="n"/>
      <c r="D64" s="131" t="n"/>
      <c r="E64" s="132" t="n"/>
      <c r="F64" s="130" t="n"/>
      <c r="G64" s="130" t="n"/>
      <c r="H64" s="131" t="n"/>
    </row>
    <row r="65" ht="22" customHeight="1">
      <c r="A65" s="132" t="n"/>
      <c r="B65" s="130" t="n"/>
      <c r="C65" s="130" t="n"/>
      <c r="D65" s="131" t="n"/>
      <c r="E65" s="132" t="n"/>
      <c r="F65" s="130" t="n"/>
      <c r="G65" s="130" t="n"/>
      <c r="H65" s="131" t="n"/>
    </row>
    <row r="66" ht="22" customHeight="1">
      <c r="A66" s="133" t="n"/>
      <c r="B66" s="134" t="n"/>
      <c r="C66" s="134" t="n"/>
      <c r="D66" s="135" t="n"/>
      <c r="E66" s="133" t="n"/>
      <c r="F66" s="134" t="n"/>
      <c r="G66" s="134" t="n"/>
      <c r="H66" s="135" t="n"/>
    </row>
  </sheetData>
  <mergeCells count="46">
    <mergeCell ref="B11:D11"/>
    <mergeCell ref="E57:H66"/>
    <mergeCell ref="F18:H18"/>
    <mergeCell ref="C15:D15"/>
    <mergeCell ref="B8:D8"/>
    <mergeCell ref="G11:H11"/>
    <mergeCell ref="C14:D14"/>
    <mergeCell ref="F2:H2"/>
    <mergeCell ref="F17:H17"/>
    <mergeCell ref="A1:H1"/>
    <mergeCell ref="G8:H8"/>
    <mergeCell ref="B10:D10"/>
    <mergeCell ref="E56:H56"/>
    <mergeCell ref="G7:H7"/>
    <mergeCell ref="F13:H13"/>
    <mergeCell ref="B16:E16"/>
    <mergeCell ref="B9:D9"/>
    <mergeCell ref="C17:E17"/>
    <mergeCell ref="G6:H6"/>
    <mergeCell ref="A18:B18"/>
    <mergeCell ref="B6:D6"/>
    <mergeCell ref="G3:H3"/>
    <mergeCell ref="B5:D5"/>
    <mergeCell ref="F14:H14"/>
    <mergeCell ref="C19:E19"/>
    <mergeCell ref="B4:D4"/>
    <mergeCell ref="G5:H5"/>
    <mergeCell ref="C18:E18"/>
    <mergeCell ref="A33:H33"/>
    <mergeCell ref="A47:H47"/>
    <mergeCell ref="A17:B17"/>
    <mergeCell ref="B7:D7"/>
    <mergeCell ref="A22:H22"/>
    <mergeCell ref="G4:H4"/>
    <mergeCell ref="F16:H16"/>
    <mergeCell ref="B3:D3"/>
    <mergeCell ref="A56:D56"/>
    <mergeCell ref="F19:H19"/>
    <mergeCell ref="A35:H35"/>
    <mergeCell ref="A12:D12"/>
    <mergeCell ref="A19:B19"/>
    <mergeCell ref="A20:H20"/>
    <mergeCell ref="A57:D66"/>
    <mergeCell ref="C13:D13"/>
    <mergeCell ref="F15:H15"/>
    <mergeCell ref="B2:D2"/>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4">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4">
    <cfRule type="expression" priority="16" dxfId="20">
      <formula>LEFT($H23,3)="N/A"</formula>
    </cfRule>
  </conditionalFormatting>
  <conditionalFormatting sqref="D23:D54">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F05 MH0089 15-Oct-26 NRT-KUL Class EY</oddHeader>
    <oddFooter>&amp;L&amp;"Arial,Bold"&amp;8 F05 MH0089 15-Oct-26 NRT-KUL Class EY&amp;C&amp;"Arial"&amp;8 Printed: ____________________&amp;R&amp;"Arial"&amp;8 F05  Page &amp;P of &amp;N</oddFooter>
    <evenHeader/>
    <evenFooter/>
    <firstHeader/>
    <firstFooter/>
  </headerFooter>
  <rowBreaks count="1" manualBreakCount="1">
    <brk id="20" min="0" max="16383" man="1"/>
  </rowBreaks>
</worksheet>
</file>

<file path=xl/worksheets/sheet14.xml><?xml version="1.0" encoding="utf-8"?>
<worksheet xmlns="http://schemas.openxmlformats.org/spreadsheetml/2006/main">
  <sheetPr>
    <tabColor rgb="001F3864"/>
    <outlinePr summaryBelow="1" summaryRight="1"/>
    <pageSetUpPr fitToPage="1"/>
  </sheetPr>
  <dimension ref="A1:H84"/>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F06  "&amp;Flights!$F$10&amp;"  "&amp;TEXT(Flights!$D$10,"DD-MMM-YY")&amp;" ("&amp;Flights!$E$10&amp;")  "&amp;Flights!$G$10&amp;" → "&amp;Flights!$H$10&amp;"  |  Class "&amp;Flights!$K$10</f>
        <v/>
      </c>
      <c r="B1" s="97" t="n"/>
      <c r="C1" s="97" t="n"/>
      <c r="D1" s="97" t="n"/>
      <c r="E1" s="97" t="n"/>
      <c r="F1" s="97" t="n"/>
      <c r="G1" s="97" t="n"/>
      <c r="H1" s="98" t="n"/>
    </row>
    <row r="2" ht="13" customHeight="1">
      <c r="A2" s="99" t="inlineStr">
        <is>
          <t>Flight / date</t>
        </is>
      </c>
      <c r="B2" s="100">
        <f>Flights!$F$10&amp;"   "&amp;TEXT(Flights!$D$10,"DD-MMM-YY")&amp;" ("&amp;Flights!$E$10&amp;")"</f>
        <v/>
      </c>
      <c r="C2" s="97" t="n"/>
      <c r="D2" s="98" t="n"/>
      <c r="E2" s="101" t="inlineStr">
        <is>
          <t>READINESS STATUS</t>
        </is>
      </c>
      <c r="F2" s="102">
        <f>Flights!$AT$10</f>
        <v/>
      </c>
      <c r="G2" s="97" t="n"/>
      <c r="H2" s="98" t="n"/>
    </row>
    <row r="3" ht="24" customHeight="1">
      <c r="A3" s="99" t="inlineStr">
        <is>
          <t>Sector / class / seat</t>
        </is>
      </c>
      <c r="B3" s="100">
        <f>Flights!$G$10&amp;" → "&amp;Flights!$H$10&amp;"   Class "&amp;Flights!$K$10&amp;"   Seat "&amp;Flights!$O$10</f>
        <v/>
      </c>
      <c r="C3" s="97" t="n"/>
      <c r="D3" s="98" t="n"/>
      <c r="E3" s="101" t="inlineStr">
        <is>
          <t>Checkpoint</t>
        </is>
      </c>
      <c r="F3" s="101" t="inlineStr">
        <is>
          <t>Due (local)</t>
        </is>
      </c>
      <c r="G3" s="103" t="inlineStr">
        <is>
          <t>% complete</t>
        </is>
      </c>
      <c r="H3" s="98" t="n"/>
    </row>
    <row r="4" ht="13" customHeight="1">
      <c r="A4" s="99" t="inlineStr">
        <is>
          <t>STD → STA (local)</t>
        </is>
      </c>
      <c r="B4" s="100">
        <f>IF(ISNUMBER(Flights!$I$10),TEXT(Flights!$I$10,"DD-MMM-YY HH:MM"),"")&amp;" "&amp;Flights!$G$10&amp;"  →  "&amp;IF(ISNUMBER(Flights!$J$10),TEXT(Flights!$J$10,"DD-MMM-YY HH:MM"),"")&amp;" "&amp;Flights!$H$10</f>
        <v/>
      </c>
      <c r="C4" s="97" t="n"/>
      <c r="D4" s="98" t="n"/>
      <c r="E4" s="99" t="inlineStr">
        <is>
          <t>T-7D – 7 days before departure</t>
        </is>
      </c>
      <c r="F4" s="104">
        <f>IF(ISNUMBER(Flights!$AG$10),TEXT(Flights!$AG$10,"DD-MMM-YY HH:MM"),"")&amp;" "&amp;Flights!$V$10</f>
        <v/>
      </c>
      <c r="G4" s="105">
        <f>Flights!$AJ$10</f>
        <v/>
      </c>
      <c r="H4" s="98" t="n"/>
    </row>
    <row r="5" ht="24" customHeight="1">
      <c r="A5" s="99" t="inlineStr">
        <is>
          <t>Fleet / aircraft ref</t>
        </is>
      </c>
      <c r="B5" s="100">
        <f>Flights!$L$10&amp;" – "&amp;Flights!$M$10</f>
        <v/>
      </c>
      <c r="C5" s="97" t="n"/>
      <c r="D5" s="98" t="n"/>
      <c r="E5" s="99" t="inlineStr">
        <is>
          <t>T-24H – production batch sensory</t>
        </is>
      </c>
      <c r="F5" s="104">
        <f>IF(ISNUMBER(Flights!$AH$10),TEXT(Flights!$AH$10,"DD-MMM-YY HH:MM"),"")&amp;" "&amp;Flights!$V$10</f>
        <v/>
      </c>
      <c r="G5" s="105">
        <f>Flights!$AK$10</f>
        <v/>
      </c>
      <c r="H5" s="98" t="n"/>
    </row>
    <row r="6" ht="13" customHeight="1">
      <c r="A6" s="99" t="inlineStr">
        <is>
          <t>Tail / Reg</t>
        </is>
      </c>
      <c r="B6" s="100">
        <f>IF(TRIM(Flights!$N$10)="","__________________",Flights!$N$10)</f>
        <v/>
      </c>
      <c r="C6" s="97" t="n"/>
      <c r="D6" s="98" t="n"/>
      <c r="E6" s="99" t="inlineStr">
        <is>
          <t>T-12H PREP – caterer prep only</t>
        </is>
      </c>
      <c r="F6" s="104">
        <f>IF(ISNUMBER(Flights!$AI$10),TEXT(Flights!$AI$10,"DD-MMM-YY HH:MM"),"")&amp;" "&amp;Flights!$V$10&amp;IF(Flights!$AI$10=Flights!$AH$10,"  (= T-24H due)","")</f>
        <v/>
      </c>
      <c r="G6" s="105">
        <f>Flights!$AL$10</f>
        <v/>
      </c>
      <c r="H6" s="98" t="n"/>
    </row>
    <row r="7" ht="13" customHeight="1">
      <c r="A7" s="99" t="inlineStr">
        <is>
          <t>Service type</t>
        </is>
      </c>
      <c r="B7" s="100">
        <f>Flights!$T$10</f>
        <v/>
      </c>
      <c r="C7" s="97" t="n"/>
      <c r="D7" s="98" t="n"/>
      <c r="E7" s="99" t="inlineStr">
        <is>
          <t>UPLIFT – on-board confirmation</t>
        </is>
      </c>
      <c r="F7" s="104">
        <f>"STD "&amp;IF(ISNUMBER(Flights!$I$10),TEXT(Flights!$I$10,"DD-MMM-YY HH:MM"),"")&amp;" "&amp;Flights!$G$10&amp;" (dep stn)"</f>
        <v/>
      </c>
      <c r="G7" s="105">
        <f>Flights!$AM$10</f>
        <v/>
      </c>
      <c r="H7" s="98" t="n"/>
    </row>
    <row r="8" ht="13" customHeight="1">
      <c r="A8" s="99" t="inlineStr">
        <is>
          <t>Meal uplift stn</t>
        </is>
      </c>
      <c r="B8" s="100">
        <f>Flights!$V$10&amp;"   (reference uplift stns: "&amp;Flights!$U$10&amp;")"</f>
        <v/>
      </c>
      <c r="C8" s="97" t="n"/>
      <c r="D8" s="98" t="n"/>
      <c r="E8" s="99" t="inlineStr">
        <is>
          <t>OVERALL (all checkpoints)</t>
        </is>
      </c>
      <c r="F8" s="106" t="inlineStr">
        <is>
          <t>–</t>
        </is>
      </c>
      <c r="G8" s="105">
        <f>Flights!$AN$10</f>
        <v/>
      </c>
      <c r="H8" s="98" t="n"/>
    </row>
    <row r="9" ht="13" customHeight="1">
      <c r="A9" s="99" t="inlineStr">
        <is>
          <t>Transit / remark</t>
        </is>
      </c>
      <c r="B9" s="100">
        <f>TRIM(Flights!$P$10&amp;"  "&amp;Flights!$Q$10)</f>
        <v/>
      </c>
      <c r="C9" s="97" t="n"/>
      <c r="D9" s="98" t="n"/>
      <c r="E9" s="99" t="inlineStr">
        <is>
          <t>Overdue / discrep. / invalid</t>
        </is>
      </c>
      <c r="F9" s="107">
        <f>Flights!$AP$10</f>
        <v/>
      </c>
      <c r="G9" s="107">
        <f>Flights!$AQ$10</f>
        <v/>
      </c>
      <c r="H9" s="107">
        <f>Flights!$AU$10</f>
        <v/>
      </c>
    </row>
    <row r="10" ht="13" customHeight="1">
      <c r="A10" s="99" t="inlineStr">
        <is>
          <t>Caterer</t>
        </is>
      </c>
      <c r="B10" s="100">
        <f>IF(TRIM(Flights!$X$10)="","__________________",Flights!$X$10)</f>
        <v/>
      </c>
      <c r="C10" s="97" t="n"/>
      <c r="D10" s="98" t="n"/>
      <c r="E10" s="99" t="inlineStr">
        <is>
          <t>Open reqd / clarif. / docs out</t>
        </is>
      </c>
      <c r="F10" s="107">
        <f>Flights!$AO$10</f>
        <v/>
      </c>
      <c r="G10" s="107">
        <f>Flights!$AS$10</f>
        <v/>
      </c>
      <c r="H10" s="107">
        <f>Flights!$AR$10</f>
        <v/>
      </c>
    </row>
    <row r="11" ht="13" customHeight="1">
      <c r="A11" s="99" t="inlineStr">
        <is>
          <t>Flight PIC</t>
        </is>
      </c>
      <c r="B11" s="100">
        <f>IF(TRIM(Flights!$Y$10)="","__________________",Flights!$Y$10)</f>
        <v/>
      </c>
      <c r="C11" s="97" t="n"/>
      <c r="D11" s="98" t="n"/>
      <c r="E11" s="99" t="inlineStr">
        <is>
          <t>Done / in scope | as of UTC</t>
        </is>
      </c>
      <c r="F11" s="107">
        <f>Flights!$AV$10&amp;" / "&amp;Flights!$AW$10</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IF(Documents!$F$10="","",Documents!$F$10)</f>
        <v/>
      </c>
      <c r="C14" s="115">
        <f>IF(Documents!$G$10="","",Documents!$G$10)&amp;IF(ISNUMBER(Documents!$H$10),"  "&amp;TEXT(Documents!$H$10,"DD-MMM-YY"),"")</f>
        <v/>
      </c>
      <c r="D14" s="98" t="n"/>
      <c r="E14" s="116">
        <f>IF(Documents!$J$10="OUTSTANDING","OUTSTANDING – attach before T-7D (due "&amp;IF(ISNUMBER(Flights!$AG$10),TEXT(Flights!$AG$10,"DD-MMM-YY HH:MM"),"")&amp;" "&amp;Flights!$V$10&amp;")",IF(Documents!$J$10="","Status not recorded",Documents!$J$10))</f>
        <v/>
      </c>
      <c r="F14" s="117">
        <f>"Staple behind this sheet as page A1."&amp;IF(Documents!$I$10="",""," Location: "&amp;Documents!$I$10)</f>
        <v/>
      </c>
      <c r="G14" s="97" t="n"/>
      <c r="H14" s="98" t="n"/>
    </row>
    <row r="15" ht="25" customHeight="1">
      <c r="A15" s="99" t="inlineStr">
        <is>
          <t>A2  Menu Checklist</t>
        </is>
      </c>
      <c r="B15" s="114">
        <f>IF(Documents!$K$10="","",Documents!$K$10)</f>
        <v/>
      </c>
      <c r="C15" s="115">
        <f>IF(Documents!$L$10="","",Documents!$L$10)&amp;IF(ISNUMBER(Documents!$M$10),"  "&amp;TEXT(Documents!$M$10,"DD-MMM-YY"),"")</f>
        <v/>
      </c>
      <c r="D15" s="98" t="n"/>
      <c r="E15" s="116">
        <f>IF(Documents!$O$10="OUTSTANDING","OUTSTANDING – attach before T-7D (due "&amp;IF(ISNUMBER(Flights!$AG$10),TEXT(Flights!$AG$10,"DD-MMM-YY HH:MM"),"")&amp;" "&amp;Flights!$V$10&amp;")",IF(Documents!$O$10="","Status not recorded",Documents!$O$10))</f>
        <v/>
      </c>
      <c r="F15" s="117">
        <f>"Staple behind this sheet as page A2."&amp;IF(Documents!$N$10="",""," Location: "&amp;Documents!$N$10)</f>
        <v/>
      </c>
      <c r="G15" s="97" t="n"/>
      <c r="H15" s="98" t="n"/>
    </row>
    <row r="16" ht="33" customHeight="1">
      <c r="A16" s="99" t="inlineStr">
        <is>
          <t>Document notes</t>
        </is>
      </c>
      <c r="B16" s="118">
        <f>IF(Documents!$Q$10="","",Documents!$Q$10)</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"&amp;IF(TRIM(Flights!$Y$10)="","__________________",Flights!$Y$10)</f>
        <v/>
      </c>
      <c r="B18" s="98" t="n"/>
      <c r="C18" s="100">
        <f>"Name: __________________"</f>
        <v/>
      </c>
      <c r="D18" s="97" t="n"/>
      <c r="E18" s="98" t="n"/>
      <c r="F18" s="100">
        <f>"Name: __________________"&amp;"   Station: "&amp;Flights!$V$10</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"&amp;IF(ISNUMBER(Flights!$AG$10),TEXT(Flights!$AG$10,"DD-MMM-YY HH:MM"),"")&amp;" "&amp;Flights!$V$10&amp;" (meal uplift stn)"&amp;" (rows with another due show their own)  |  Complete "&amp;IF(ISNUMBER(Flights!$AJ$10),TEXT(Flights!$AJ$10,"0%"),Flights!$AJ$10)&amp;"  |  9 lines"</f>
        <v/>
      </c>
      <c r="B22" s="97" t="n"/>
      <c r="C22" s="97" t="n"/>
      <c r="D22" s="97" t="n"/>
      <c r="E22" s="97" t="n"/>
      <c r="F22" s="97" t="n"/>
      <c r="G22" s="97" t="n"/>
      <c r="H22" s="98" t="n"/>
    </row>
    <row r="23" ht="81" customHeight="1">
      <c r="A23" s="124">
        <f>Checks!$A$166&amp;CHAR(10)&amp;IF(Checks!$I$166="","",Checks!$I$166&amp;": ")&amp;Checks!$J$166</f>
        <v/>
      </c>
      <c r="B23" s="124">
        <f>Checks!$K$166&amp;IF(Checks!$O$166="","",IF(Checks!$K$166="","",CHAR(10))&amp;"Note: "&amp;Checks!$O$166)</f>
        <v/>
      </c>
      <c r="C23" s="124">
        <f>Checks!$N$166&amp;CHAR(10)&amp;IF(ISNUMBER(Checks!$R$166),TEXT(Checks!$R$166,"DD-MMM-YY HH:MM"),"")&amp;" "&amp;Checks!$P$166</f>
        <v/>
      </c>
      <c r="D23" s="124">
        <f>IF(Checks!$U$166="","",Checks!$U$166)&amp;IF(Checks!$AB$166="","",CHAR(10)&amp;"CA: "&amp;Checks!$AB$166)</f>
        <v/>
      </c>
      <c r="E23" s="124">
        <f>IF(Checks!$V$166="","",Checks!$V$166)&amp;IF(Checks!$AC$166="","",IF(Checks!$V$166="","",CHAR(10))&amp;"N/A just.: "&amp;Checks!$AC$166)&amp;IF(Checks!$W$166="","",CHAR(10)&amp;"Batch: "&amp;Checks!$W$166)&amp;IF(AND(Checks!$X$166="",Checks!$Y$166=""),"",CHAR(10)&amp;"Exp: "&amp;Checks!$X$166&amp;"  /  Act: "&amp;Checks!$Y$166)</f>
        <v/>
      </c>
      <c r="F23" s="124">
        <f>IF(Checks!$Z$166="","","Evidence: "&amp;Checks!$Z$166)&amp;IF(Checks!$AA$166="","",IF(Checks!$Z$166="","",CHAR(10))&amp;"CA: "&amp;Checks!$AA$166)</f>
        <v/>
      </c>
      <c r="G23" s="124">
        <f>IF(ISNUMBER(Checks!$AD$166),TEXT(Checks!$AD$166,"DD-MMM-YY HH:MM")&amp;" "&amp;Checks!$P$166,"")&amp;IF(Checks!$AE$166="","",CHAR(10)&amp;Checks!$AE$166)</f>
        <v/>
      </c>
      <c r="H23" s="125">
        <f>IF(Checks!$AH$166="","",Checks!$AH$166)</f>
        <v/>
      </c>
    </row>
    <row r="24" ht="81" customHeight="1">
      <c r="A24" s="124">
        <f>Checks!$A$167&amp;CHAR(10)&amp;IF(Checks!$I$167="","",Checks!$I$167&amp;": ")&amp;Checks!$J$167</f>
        <v/>
      </c>
      <c r="B24" s="124">
        <f>Checks!$K$167&amp;IF(Checks!$O$167="","",IF(Checks!$K$167="","",CHAR(10))&amp;"Note: "&amp;Checks!$O$167)</f>
        <v/>
      </c>
      <c r="C24" s="124">
        <f>Checks!$N$167&amp;CHAR(10)&amp;IF(ISNUMBER(Checks!$R$167),TEXT(Checks!$R$167,"DD-MMM-YY HH:MM"),"")&amp;" "&amp;Checks!$P$167</f>
        <v/>
      </c>
      <c r="D24" s="124">
        <f>IF(Checks!$U$167="","",Checks!$U$167)&amp;IF(Checks!$AB$167="","",CHAR(10)&amp;"CA: "&amp;Checks!$AB$167)</f>
        <v/>
      </c>
      <c r="E24" s="124">
        <f>IF(Checks!$V$167="","",Checks!$V$167)&amp;IF(Checks!$AC$167="","",IF(Checks!$V$167="","",CHAR(10))&amp;"N/A just.: "&amp;Checks!$AC$167)&amp;IF(Checks!$W$167="","",CHAR(10)&amp;"Batch: "&amp;Checks!$W$167)&amp;IF(AND(Checks!$X$167="",Checks!$Y$167=""),"",CHAR(10)&amp;"Exp: "&amp;Checks!$X$167&amp;"  /  Act: "&amp;Checks!$Y$167)</f>
        <v/>
      </c>
      <c r="F24" s="124">
        <f>IF(Checks!$Z$167="","","Evidence: "&amp;Checks!$Z$167)&amp;IF(Checks!$AA$167="","",IF(Checks!$Z$167="","",CHAR(10))&amp;"CA: "&amp;Checks!$AA$167)</f>
        <v/>
      </c>
      <c r="G24" s="124">
        <f>IF(ISNUMBER(Checks!$AD$167),TEXT(Checks!$AD$167,"DD-MMM-YY HH:MM")&amp;" "&amp;Checks!$P$167,"")&amp;IF(Checks!$AE$167="","",CHAR(10)&amp;Checks!$AE$167)</f>
        <v/>
      </c>
      <c r="H24" s="125">
        <f>IF(Checks!$AH$167="","",Checks!$AH$167)</f>
        <v/>
      </c>
    </row>
    <row r="25" ht="92" customHeight="1">
      <c r="A25" s="124">
        <f>Checks!$A$168&amp;CHAR(10)&amp;IF(Checks!$I$168="","",Checks!$I$168&amp;": ")&amp;Checks!$J$168</f>
        <v/>
      </c>
      <c r="B25" s="124">
        <f>Checks!$K$168&amp;IF(Checks!$O$168="","",IF(Checks!$K$168="","",CHAR(10))&amp;"Note: "&amp;Checks!$O$168)</f>
        <v/>
      </c>
      <c r="C25" s="124">
        <f>Checks!$N$168&amp;CHAR(10)&amp;IF(ISNUMBER(Checks!$R$168),TEXT(Checks!$R$168,"DD-MMM-YY HH:MM"),"")&amp;" "&amp;Checks!$P$168</f>
        <v/>
      </c>
      <c r="D25" s="124">
        <f>IF(Checks!$U$168="","",Checks!$U$168)&amp;IF(Checks!$AB$168="","",CHAR(10)&amp;"CA: "&amp;Checks!$AB$168)</f>
        <v/>
      </c>
      <c r="E25" s="124">
        <f>IF(Checks!$V$168="","",Checks!$V$168)&amp;IF(Checks!$AC$168="","",IF(Checks!$V$168="","",CHAR(10))&amp;"N/A just.: "&amp;Checks!$AC$168)&amp;IF(Checks!$W$168="","",CHAR(10)&amp;"Batch: "&amp;Checks!$W$168)&amp;IF(AND(Checks!$X$168="",Checks!$Y$168=""),"",CHAR(10)&amp;"Exp: "&amp;Checks!$X$168&amp;"  /  Act: "&amp;Checks!$Y$168)</f>
        <v/>
      </c>
      <c r="F25" s="124">
        <f>IF(Checks!$Z$168="","","Evidence: "&amp;Checks!$Z$168)&amp;IF(Checks!$AA$168="","",IF(Checks!$Z$168="","",CHAR(10))&amp;"CA: "&amp;Checks!$AA$168)</f>
        <v/>
      </c>
      <c r="G25" s="124">
        <f>IF(ISNUMBER(Checks!$AD$168),TEXT(Checks!$AD$168,"DD-MMM-YY HH:MM")&amp;" "&amp;Checks!$P$168,"")&amp;IF(Checks!$AE$168="","",CHAR(10)&amp;Checks!$AE$168)</f>
        <v/>
      </c>
      <c r="H25" s="125">
        <f>IF(Checks!$AH$168="","",Checks!$AH$168)</f>
        <v/>
      </c>
    </row>
    <row r="26" ht="81" customHeight="1">
      <c r="A26" s="124">
        <f>Checks!$A$169&amp;CHAR(10)&amp;IF(Checks!$I$169="","",Checks!$I$169&amp;": ")&amp;Checks!$J$169</f>
        <v/>
      </c>
      <c r="B26" s="124">
        <f>Checks!$K$169&amp;IF(Checks!$O$169="","",IF(Checks!$K$169="","",CHAR(10))&amp;"Note: "&amp;Checks!$O$169)</f>
        <v/>
      </c>
      <c r="C26" s="124">
        <f>Checks!$N$169&amp;CHAR(10)&amp;IF(ISNUMBER(Checks!$R$169),TEXT(Checks!$R$169,"DD-MMM-YY HH:MM"),"")&amp;" "&amp;Checks!$P$169</f>
        <v/>
      </c>
      <c r="D26" s="124">
        <f>IF(Checks!$U$169="","",Checks!$U$169)&amp;IF(Checks!$AB$169="","",CHAR(10)&amp;"CA: "&amp;Checks!$AB$169)</f>
        <v/>
      </c>
      <c r="E26" s="124">
        <f>IF(Checks!$V$169="","",Checks!$V$169)&amp;IF(Checks!$AC$169="","",IF(Checks!$V$169="","",CHAR(10))&amp;"N/A just.: "&amp;Checks!$AC$169)&amp;IF(Checks!$W$169="","",CHAR(10)&amp;"Batch: "&amp;Checks!$W$169)&amp;IF(AND(Checks!$X$169="",Checks!$Y$169=""),"",CHAR(10)&amp;"Exp: "&amp;Checks!$X$169&amp;"  /  Act: "&amp;Checks!$Y$169)</f>
        <v/>
      </c>
      <c r="F26" s="124">
        <f>IF(Checks!$Z$169="","","Evidence: "&amp;Checks!$Z$169)&amp;IF(Checks!$AA$169="","",IF(Checks!$Z$169="","",CHAR(10))&amp;"CA: "&amp;Checks!$AA$169)</f>
        <v/>
      </c>
      <c r="G26" s="124">
        <f>IF(ISNUMBER(Checks!$AD$169),TEXT(Checks!$AD$169,"DD-MMM-YY HH:MM")&amp;" "&amp;Checks!$P$169,"")&amp;IF(Checks!$AE$169="","",CHAR(10)&amp;Checks!$AE$169)</f>
        <v/>
      </c>
      <c r="H26" s="125">
        <f>IF(Checks!$AH$169="","",Checks!$AH$169)</f>
        <v/>
      </c>
    </row>
    <row r="27" ht="81" customHeight="1">
      <c r="A27" s="124">
        <f>Checks!$A$170&amp;CHAR(10)&amp;IF(Checks!$I$170="","",Checks!$I$170&amp;": ")&amp;Checks!$J$170</f>
        <v/>
      </c>
      <c r="B27" s="124">
        <f>Checks!$K$170&amp;IF(Checks!$O$170="","",IF(Checks!$K$170="","",CHAR(10))&amp;"Note: "&amp;Checks!$O$170)</f>
        <v/>
      </c>
      <c r="C27" s="124">
        <f>Checks!$N$170&amp;CHAR(10)&amp;IF(ISNUMBER(Checks!$R$170),TEXT(Checks!$R$170,"DD-MMM-YY HH:MM"),"")&amp;" "&amp;Checks!$P$170</f>
        <v/>
      </c>
      <c r="D27" s="124">
        <f>IF(Checks!$U$170="","",Checks!$U$170)&amp;IF(Checks!$AB$170="","",CHAR(10)&amp;"CA: "&amp;Checks!$AB$170)</f>
        <v/>
      </c>
      <c r="E27" s="124">
        <f>IF(Checks!$V$170="","",Checks!$V$170)&amp;IF(Checks!$AC$170="","",IF(Checks!$V$170="","",CHAR(10))&amp;"N/A just.: "&amp;Checks!$AC$170)&amp;IF(Checks!$W$170="","",CHAR(10)&amp;"Batch: "&amp;Checks!$W$170)&amp;IF(AND(Checks!$X$170="",Checks!$Y$170=""),"",CHAR(10)&amp;"Exp: "&amp;Checks!$X$170&amp;"  /  Act: "&amp;Checks!$Y$170)</f>
        <v/>
      </c>
      <c r="F27" s="124">
        <f>IF(Checks!$Z$170="","","Evidence: "&amp;Checks!$Z$170)&amp;IF(Checks!$AA$170="","",IF(Checks!$Z$170="","",CHAR(10))&amp;"CA: "&amp;Checks!$AA$170)</f>
        <v/>
      </c>
      <c r="G27" s="124">
        <f>IF(ISNUMBER(Checks!$AD$170),TEXT(Checks!$AD$170,"DD-MMM-YY HH:MM")&amp;" "&amp;Checks!$P$170,"")&amp;IF(Checks!$AE$170="","",CHAR(10)&amp;Checks!$AE$170)</f>
        <v/>
      </c>
      <c r="H27" s="125">
        <f>IF(Checks!$AH$170="","",Checks!$AH$170)</f>
        <v/>
      </c>
    </row>
    <row r="28" ht="81" customHeight="1">
      <c r="A28" s="124">
        <f>Checks!$A$171&amp;CHAR(10)&amp;IF(Checks!$I$171="","",Checks!$I$171&amp;": ")&amp;Checks!$J$171</f>
        <v/>
      </c>
      <c r="B28" s="124">
        <f>Checks!$K$171&amp;IF(Checks!$O$171="","",IF(Checks!$K$171="","",CHAR(10))&amp;"Note: "&amp;Checks!$O$171)</f>
        <v/>
      </c>
      <c r="C28" s="124">
        <f>Checks!$N$171&amp;CHAR(10)&amp;IF(ISNUMBER(Checks!$R$171),TEXT(Checks!$R$171,"DD-MMM-YY HH:MM"),"")&amp;" "&amp;Checks!$P$171</f>
        <v/>
      </c>
      <c r="D28" s="124">
        <f>IF(Checks!$U$171="","",Checks!$U$171)&amp;IF(Checks!$AB$171="","",CHAR(10)&amp;"CA: "&amp;Checks!$AB$171)</f>
        <v/>
      </c>
      <c r="E28" s="124">
        <f>IF(Checks!$V$171="","",Checks!$V$171)&amp;IF(Checks!$AC$171="","",IF(Checks!$V$171="","",CHAR(10))&amp;"N/A just.: "&amp;Checks!$AC$171)&amp;IF(Checks!$W$171="","",CHAR(10)&amp;"Batch: "&amp;Checks!$W$171)&amp;IF(AND(Checks!$X$171="",Checks!$Y$171=""),"",CHAR(10)&amp;"Exp: "&amp;Checks!$X$171&amp;"  /  Act: "&amp;Checks!$Y$171)</f>
        <v/>
      </c>
      <c r="F28" s="124">
        <f>IF(Checks!$Z$171="","","Evidence: "&amp;Checks!$Z$171)&amp;IF(Checks!$AA$171="","",IF(Checks!$Z$171="","",CHAR(10))&amp;"CA: "&amp;Checks!$AA$171)</f>
        <v/>
      </c>
      <c r="G28" s="124">
        <f>IF(ISNUMBER(Checks!$AD$171),TEXT(Checks!$AD$171,"DD-MMM-YY HH:MM")&amp;" "&amp;Checks!$P$171,"")&amp;IF(Checks!$AE$171="","",CHAR(10)&amp;Checks!$AE$171)</f>
        <v/>
      </c>
      <c r="H28" s="125">
        <f>IF(Checks!$AH$171="","",Checks!$AH$171)</f>
        <v/>
      </c>
    </row>
    <row r="29" ht="81" customHeight="1">
      <c r="A29" s="124">
        <f>Checks!$A$172&amp;CHAR(10)&amp;IF(Checks!$I$172="","",Checks!$I$172&amp;": ")&amp;Checks!$J$172</f>
        <v/>
      </c>
      <c r="B29" s="124">
        <f>Checks!$K$172&amp;IF(Checks!$O$172="","",IF(Checks!$K$172="","",CHAR(10))&amp;"Note: "&amp;Checks!$O$172)</f>
        <v/>
      </c>
      <c r="C29" s="124">
        <f>Checks!$N$172&amp;CHAR(10)&amp;IF(ISNUMBER(Checks!$R$172),TEXT(Checks!$R$172,"DD-MMM-YY HH:MM"),"")&amp;" "&amp;Checks!$P$172</f>
        <v/>
      </c>
      <c r="D29" s="124">
        <f>IF(Checks!$U$172="","",Checks!$U$172)&amp;IF(Checks!$AB$172="","",CHAR(10)&amp;"CA: "&amp;Checks!$AB$172)</f>
        <v/>
      </c>
      <c r="E29" s="124">
        <f>IF(Checks!$V$172="","",Checks!$V$172)&amp;IF(Checks!$AC$172="","",IF(Checks!$V$172="","",CHAR(10))&amp;"N/A just.: "&amp;Checks!$AC$172)&amp;IF(Checks!$W$172="","",CHAR(10)&amp;"Batch: "&amp;Checks!$W$172)&amp;IF(AND(Checks!$X$172="",Checks!$Y$172=""),"",CHAR(10)&amp;"Exp: "&amp;Checks!$X$172&amp;"  /  Act: "&amp;Checks!$Y$172)</f>
        <v/>
      </c>
      <c r="F29" s="124">
        <f>IF(Checks!$Z$172="","","Evidence: "&amp;Checks!$Z$172)&amp;IF(Checks!$AA$172="","",IF(Checks!$Z$172="","",CHAR(10))&amp;"CA: "&amp;Checks!$AA$172)</f>
        <v/>
      </c>
      <c r="G29" s="124">
        <f>IF(ISNUMBER(Checks!$AD$172),TEXT(Checks!$AD$172,"DD-MMM-YY HH:MM")&amp;" "&amp;Checks!$P$172,"")&amp;IF(Checks!$AE$172="","",CHAR(10)&amp;Checks!$AE$172)</f>
        <v/>
      </c>
      <c r="H29" s="125">
        <f>IF(Checks!$AH$172="","",Checks!$AH$172)</f>
        <v/>
      </c>
    </row>
    <row r="30" ht="81" customHeight="1">
      <c r="A30" s="124">
        <f>Checks!$A$173&amp;CHAR(10)&amp;IF(Checks!$I$173="","",Checks!$I$173&amp;": ")&amp;Checks!$J$173</f>
        <v/>
      </c>
      <c r="B30" s="124">
        <f>Checks!$K$173&amp;IF(Checks!$O$173="","",IF(Checks!$K$173="","",CHAR(10))&amp;"Note: "&amp;Checks!$O$173)</f>
        <v/>
      </c>
      <c r="C30" s="124">
        <f>Checks!$N$173&amp;CHAR(10)&amp;IF(ISNUMBER(Checks!$R$173),TEXT(Checks!$R$173,"DD-MMM-YY HH:MM"),"")&amp;" "&amp;Checks!$P$173</f>
        <v/>
      </c>
      <c r="D30" s="124">
        <f>IF(Checks!$U$173="","",Checks!$U$173)&amp;IF(Checks!$AB$173="","",CHAR(10)&amp;"CA: "&amp;Checks!$AB$173)</f>
        <v/>
      </c>
      <c r="E30" s="124">
        <f>IF(Checks!$V$173="","",Checks!$V$173)&amp;IF(Checks!$AC$173="","",IF(Checks!$V$173="","",CHAR(10))&amp;"N/A just.: "&amp;Checks!$AC$173)&amp;IF(Checks!$W$173="","",CHAR(10)&amp;"Batch: "&amp;Checks!$W$173)&amp;IF(AND(Checks!$X$173="",Checks!$Y$173=""),"",CHAR(10)&amp;"Exp: "&amp;Checks!$X$173&amp;"  /  Act: "&amp;Checks!$Y$173)</f>
        <v/>
      </c>
      <c r="F30" s="124">
        <f>IF(Checks!$Z$173="","","Evidence: "&amp;Checks!$Z$173)&amp;IF(Checks!$AA$173="","",IF(Checks!$Z$173="","",CHAR(10))&amp;"CA: "&amp;Checks!$AA$173)</f>
        <v/>
      </c>
      <c r="G30" s="124">
        <f>IF(ISNUMBER(Checks!$AD$173),TEXT(Checks!$AD$173,"DD-MMM-YY HH:MM")&amp;" "&amp;Checks!$P$173,"")&amp;IF(Checks!$AE$173="","",CHAR(10)&amp;Checks!$AE$173)</f>
        <v/>
      </c>
      <c r="H30" s="125">
        <f>IF(Checks!$AH$173="","",Checks!$AH$173)</f>
        <v/>
      </c>
    </row>
    <row r="31" ht="81" customHeight="1">
      <c r="A31" s="124">
        <f>Checks!$A$174&amp;CHAR(10)&amp;IF(Checks!$I$174="","",Checks!$I$174&amp;": ")&amp;Checks!$J$174</f>
        <v/>
      </c>
      <c r="B31" s="124">
        <f>Checks!$K$174&amp;IF(Checks!$O$174="","",IF(Checks!$K$174="","",CHAR(10))&amp;"Note: "&amp;Checks!$O$174)</f>
        <v/>
      </c>
      <c r="C31" s="124">
        <f>Checks!$N$174&amp;CHAR(10)&amp;IF(ISNUMBER(Checks!$R$174),TEXT(Checks!$R$174,"DD-MMM-YY HH:MM"),"")&amp;" "&amp;Checks!$P$174</f>
        <v/>
      </c>
      <c r="D31" s="124">
        <f>IF(Checks!$U$174="","",Checks!$U$174)&amp;IF(Checks!$AB$174="","",CHAR(10)&amp;"CA: "&amp;Checks!$AB$174)</f>
        <v/>
      </c>
      <c r="E31" s="124">
        <f>IF(Checks!$V$174="","",Checks!$V$174)&amp;IF(Checks!$AC$174="","",IF(Checks!$V$174="","",CHAR(10))&amp;"N/A just.: "&amp;Checks!$AC$174)&amp;IF(Checks!$W$174="","",CHAR(10)&amp;"Batch: "&amp;Checks!$W$174)&amp;IF(AND(Checks!$X$174="",Checks!$Y$174=""),"",CHAR(10)&amp;"Exp: "&amp;Checks!$X$174&amp;"  /  Act: "&amp;Checks!$Y$174)</f>
        <v/>
      </c>
      <c r="F31" s="124">
        <f>IF(Checks!$Z$174="","","Evidence: "&amp;Checks!$Z$174)&amp;IF(Checks!$AA$174="","",IF(Checks!$Z$174="","",CHAR(10))&amp;"CA: "&amp;Checks!$AA$174)</f>
        <v/>
      </c>
      <c r="G31" s="124">
        <f>IF(ISNUMBER(Checks!$AD$174),TEXT(Checks!$AD$174,"DD-MMM-YY HH:MM")&amp;" "&amp;Checks!$P$174,"")&amp;IF(Checks!$AE$174="","",CHAR(10)&amp;Checks!$AE$174)</f>
        <v/>
      </c>
      <c r="H31" s="125">
        <f>IF(Checks!$AH$174="","",Checks!$AH$174)</f>
        <v/>
      </c>
    </row>
    <row r="32" ht="26" customHeight="1">
      <c r="A32" s="123">
        <f>"T-24H — Production batch sensory  |  Due "&amp;IF(ISNUMBER(Flights!$AH$10),TEXT(Flights!$AH$10,"DD-MMM-YY HH:MM"),"")&amp;" "&amp;Flights!$V$10&amp;" (meal uplift stn)"&amp;" (rows with another due show their own)  |  Complete "&amp;IF(ISNUMBER(Flights!$AK$10),TEXT(Flights!$AK$10,"0%"),Flights!$AK$10)&amp;"  |  1 lines"</f>
        <v/>
      </c>
      <c r="B32" s="97" t="n"/>
      <c r="C32" s="97" t="n"/>
      <c r="D32" s="97" t="n"/>
      <c r="E32" s="97" t="n"/>
      <c r="F32" s="97" t="n"/>
      <c r="G32" s="97" t="n"/>
      <c r="H32" s="98" t="n"/>
    </row>
    <row r="33" ht="81" customHeight="1">
      <c r="A33" s="124">
        <f>Checks!$A$175&amp;CHAR(10)&amp;IF(Checks!$I$175="","",Checks!$I$175&amp;": ")&amp;Checks!$J$175</f>
        <v/>
      </c>
      <c r="B33" s="124">
        <f>Checks!$K$175&amp;IF(Checks!$O$175="","",IF(Checks!$K$175="","",CHAR(10))&amp;"Note: "&amp;Checks!$O$175)</f>
        <v/>
      </c>
      <c r="C33" s="124">
        <f>Checks!$N$175&amp;CHAR(10)&amp;IF(ISNUMBER(Checks!$R$175),TEXT(Checks!$R$175,"DD-MMM-YY HH:MM"),"")&amp;" "&amp;Checks!$P$175</f>
        <v/>
      </c>
      <c r="D33" s="124">
        <f>IF(Checks!$U$175="","",Checks!$U$175)&amp;IF(Checks!$AB$175="","",CHAR(10)&amp;"CA: "&amp;Checks!$AB$175)</f>
        <v/>
      </c>
      <c r="E33" s="124">
        <f>IF(Checks!$V$175="","",Checks!$V$175)&amp;IF(Checks!$AC$175="","",IF(Checks!$V$175="","",CHAR(10))&amp;"N/A just.: "&amp;Checks!$AC$175)&amp;IF(Checks!$W$175="","",CHAR(10)&amp;"Batch: "&amp;Checks!$W$175)&amp;IF(AND(Checks!$X$175="",Checks!$Y$175=""),"",CHAR(10)&amp;"Exp: "&amp;Checks!$X$175&amp;"  /  Act: "&amp;Checks!$Y$175)</f>
        <v/>
      </c>
      <c r="F33" s="124">
        <f>IF(Checks!$Z$175="","","Evidence: "&amp;Checks!$Z$175)&amp;IF(Checks!$AA$175="","",IF(Checks!$Z$175="","",CHAR(10))&amp;"CA: "&amp;Checks!$AA$175)</f>
        <v/>
      </c>
      <c r="G33" s="124">
        <f>IF(ISNUMBER(Checks!$AD$175),TEXT(Checks!$AD$175,"DD-MMM-YY HH:MM")&amp;" "&amp;Checks!$P$175,"")&amp;IF(Checks!$AE$175="","",CHAR(10)&amp;Checks!$AE$175)</f>
        <v/>
      </c>
      <c r="H33" s="125">
        <f>IF(Checks!$AH$175="","",Checks!$AH$175)</f>
        <v/>
      </c>
    </row>
    <row r="34" ht="26" customHeight="1">
      <c r="A34" s="123">
        <f>"T-12H PREP — Preparation check at caterer (does NOT confirm loading)  |  Due "&amp;IF(ISNUMBER(Flights!$AI$10),TEXT(Flights!$AI$10,"DD-MMM-YY HH:MM"),"")&amp;" "&amp;Flights!$V$10&amp;" (meal uplift stn)"&amp;" (rows with another due show their own)  |  Complete "&amp;IF(ISNUMBER(Flights!$AL$10),TEXT(Flights!$AL$10,"0%"),Flights!$AL$10)&amp;"  |  21 lines"</f>
        <v/>
      </c>
      <c r="B34" s="97" t="n"/>
      <c r="C34" s="97" t="n"/>
      <c r="D34" s="97" t="n"/>
      <c r="E34" s="97" t="n"/>
      <c r="F34" s="97" t="n"/>
      <c r="G34" s="97" t="n"/>
      <c r="H34" s="98" t="n"/>
    </row>
    <row r="35" ht="81" customHeight="1">
      <c r="A35" s="124">
        <f>Checks!$A$176&amp;CHAR(10)&amp;IF(Checks!$I$176="","",Checks!$I$176&amp;": ")&amp;Checks!$J$176</f>
        <v/>
      </c>
      <c r="B35" s="124">
        <f>Checks!$K$176&amp;IF(Checks!$O$176="","",IF(Checks!$K$176="","",CHAR(10))&amp;"Note: "&amp;Checks!$O$176)</f>
        <v/>
      </c>
      <c r="C35" s="124">
        <f>Checks!$N$176&amp;CHAR(10)&amp;IF(ISNUMBER(Checks!$R$176),TEXT(Checks!$R$176,"DD-MMM-YY HH:MM"),"")&amp;" "&amp;Checks!$P$176</f>
        <v/>
      </c>
      <c r="D35" s="124">
        <f>IF(Checks!$U$176="","",Checks!$U$176)&amp;IF(Checks!$AB$176="","",CHAR(10)&amp;"CA: "&amp;Checks!$AB$176)</f>
        <v/>
      </c>
      <c r="E35" s="124">
        <f>IF(Checks!$V$176="","",Checks!$V$176)&amp;IF(Checks!$AC$176="","",IF(Checks!$V$176="","",CHAR(10))&amp;"N/A just.: "&amp;Checks!$AC$176)&amp;IF(Checks!$W$176="","",CHAR(10)&amp;"Batch: "&amp;Checks!$W$176)&amp;IF(AND(Checks!$X$176="",Checks!$Y$176=""),"",CHAR(10)&amp;"Exp: "&amp;Checks!$X$176&amp;"  /  Act: "&amp;Checks!$Y$176)</f>
        <v/>
      </c>
      <c r="F35" s="124">
        <f>IF(Checks!$Z$176="","","Evidence: "&amp;Checks!$Z$176)&amp;IF(Checks!$AA$176="","",IF(Checks!$Z$176="","",CHAR(10))&amp;"CA: "&amp;Checks!$AA$176)</f>
        <v/>
      </c>
      <c r="G35" s="124">
        <f>IF(ISNUMBER(Checks!$AD$176),TEXT(Checks!$AD$176,"DD-MMM-YY HH:MM")&amp;" "&amp;Checks!$P$176,"")&amp;IF(Checks!$AE$176="","",CHAR(10)&amp;Checks!$AE$176)</f>
        <v/>
      </c>
      <c r="H35" s="125">
        <f>IF(Checks!$AH$176="","",Checks!$AH$176)</f>
        <v/>
      </c>
    </row>
    <row r="36" ht="81" customHeight="1">
      <c r="A36" s="124">
        <f>Checks!$A$177&amp;CHAR(10)&amp;IF(Checks!$I$177="","",Checks!$I$177&amp;": ")&amp;Checks!$J$177</f>
        <v/>
      </c>
      <c r="B36" s="124">
        <f>Checks!$K$177&amp;IF(Checks!$O$177="","",IF(Checks!$K$177="","",CHAR(10))&amp;"Note: "&amp;Checks!$O$177)</f>
        <v/>
      </c>
      <c r="C36" s="124">
        <f>Checks!$N$177&amp;CHAR(10)&amp;IF(ISNUMBER(Checks!$R$177),TEXT(Checks!$R$177,"DD-MMM-YY HH:MM"),"")&amp;" "&amp;Checks!$P$177</f>
        <v/>
      </c>
      <c r="D36" s="124">
        <f>IF(Checks!$U$177="","",Checks!$U$177)&amp;IF(Checks!$AB$177="","",CHAR(10)&amp;"CA: "&amp;Checks!$AB$177)</f>
        <v/>
      </c>
      <c r="E36" s="124">
        <f>IF(Checks!$V$177="","",Checks!$V$177)&amp;IF(Checks!$AC$177="","",IF(Checks!$V$177="","",CHAR(10))&amp;"N/A just.: "&amp;Checks!$AC$177)&amp;IF(Checks!$W$177="","",CHAR(10)&amp;"Batch: "&amp;Checks!$W$177)&amp;IF(AND(Checks!$X$177="",Checks!$Y$177=""),"",CHAR(10)&amp;"Exp: "&amp;Checks!$X$177&amp;"  /  Act: "&amp;Checks!$Y$177)</f>
        <v/>
      </c>
      <c r="F36" s="124">
        <f>IF(Checks!$Z$177="","","Evidence: "&amp;Checks!$Z$177)&amp;IF(Checks!$AA$177="","",IF(Checks!$Z$177="","",CHAR(10))&amp;"CA: "&amp;Checks!$AA$177)</f>
        <v/>
      </c>
      <c r="G36" s="124">
        <f>IF(ISNUMBER(Checks!$AD$177),TEXT(Checks!$AD$177,"DD-MMM-YY HH:MM")&amp;" "&amp;Checks!$P$177,"")&amp;IF(Checks!$AE$177="","",CHAR(10)&amp;Checks!$AE$177)</f>
        <v/>
      </c>
      <c r="H36" s="125">
        <f>IF(Checks!$AH$177="","",Checks!$AH$177)</f>
        <v/>
      </c>
    </row>
    <row r="37" ht="81" customHeight="1">
      <c r="A37" s="124">
        <f>Checks!$A$178&amp;CHAR(10)&amp;IF(Checks!$I$178="","",Checks!$I$178&amp;": ")&amp;Checks!$J$178</f>
        <v/>
      </c>
      <c r="B37" s="124">
        <f>Checks!$K$178&amp;IF(Checks!$O$178="","",IF(Checks!$K$178="","",CHAR(10))&amp;"Note: "&amp;Checks!$O$178)</f>
        <v/>
      </c>
      <c r="C37" s="124">
        <f>Checks!$N$178&amp;CHAR(10)&amp;IF(ISNUMBER(Checks!$R$178),TEXT(Checks!$R$178,"DD-MMM-YY HH:MM"),"")&amp;" "&amp;Checks!$P$178</f>
        <v/>
      </c>
      <c r="D37" s="124">
        <f>IF(Checks!$U$178="","",Checks!$U$178)&amp;IF(Checks!$AB$178="","",CHAR(10)&amp;"CA: "&amp;Checks!$AB$178)</f>
        <v/>
      </c>
      <c r="E37" s="124">
        <f>IF(Checks!$V$178="","",Checks!$V$178)&amp;IF(Checks!$AC$178="","",IF(Checks!$V$178="","",CHAR(10))&amp;"N/A just.: "&amp;Checks!$AC$178)&amp;IF(Checks!$W$178="","",CHAR(10)&amp;"Batch: "&amp;Checks!$W$178)&amp;IF(AND(Checks!$X$178="",Checks!$Y$178=""),"",CHAR(10)&amp;"Exp: "&amp;Checks!$X$178&amp;"  /  Act: "&amp;Checks!$Y$178)</f>
        <v/>
      </c>
      <c r="F37" s="124">
        <f>IF(Checks!$Z$178="","","Evidence: "&amp;Checks!$Z$178)&amp;IF(Checks!$AA$178="","",IF(Checks!$Z$178="","",CHAR(10))&amp;"CA: "&amp;Checks!$AA$178)</f>
        <v/>
      </c>
      <c r="G37" s="124">
        <f>IF(ISNUMBER(Checks!$AD$178),TEXT(Checks!$AD$178,"DD-MMM-YY HH:MM")&amp;" "&amp;Checks!$P$178,"")&amp;IF(Checks!$AE$178="","",CHAR(10)&amp;Checks!$AE$178)</f>
        <v/>
      </c>
      <c r="H37" s="125">
        <f>IF(Checks!$AH$178="","",Checks!$AH$178)</f>
        <v/>
      </c>
    </row>
    <row r="38" ht="81" customHeight="1">
      <c r="A38" s="124">
        <f>Checks!$A$179&amp;CHAR(10)&amp;IF(Checks!$I$179="","",Checks!$I$179&amp;": ")&amp;Checks!$J$179</f>
        <v/>
      </c>
      <c r="B38" s="124">
        <f>Checks!$K$179&amp;IF(Checks!$O$179="","",IF(Checks!$K$179="","",CHAR(10))&amp;"Note: "&amp;Checks!$O$179)</f>
        <v/>
      </c>
      <c r="C38" s="124">
        <f>Checks!$N$179&amp;CHAR(10)&amp;IF(ISNUMBER(Checks!$R$179),TEXT(Checks!$R$179,"DD-MMM-YY HH:MM"),"")&amp;" "&amp;Checks!$P$179</f>
        <v/>
      </c>
      <c r="D38" s="124">
        <f>IF(Checks!$U$179="","",Checks!$U$179)&amp;IF(Checks!$AB$179="","",CHAR(10)&amp;"CA: "&amp;Checks!$AB$179)</f>
        <v/>
      </c>
      <c r="E38" s="124">
        <f>IF(Checks!$V$179="","",Checks!$V$179)&amp;IF(Checks!$AC$179="","",IF(Checks!$V$179="","",CHAR(10))&amp;"N/A just.: "&amp;Checks!$AC$179)&amp;IF(Checks!$W$179="","",CHAR(10)&amp;"Batch: "&amp;Checks!$W$179)&amp;IF(AND(Checks!$X$179="",Checks!$Y$179=""),"",CHAR(10)&amp;"Exp: "&amp;Checks!$X$179&amp;"  /  Act: "&amp;Checks!$Y$179)</f>
        <v/>
      </c>
      <c r="F38" s="124">
        <f>IF(Checks!$Z$179="","","Evidence: "&amp;Checks!$Z$179)&amp;IF(Checks!$AA$179="","",IF(Checks!$Z$179="","",CHAR(10))&amp;"CA: "&amp;Checks!$AA$179)</f>
        <v/>
      </c>
      <c r="G38" s="124">
        <f>IF(ISNUMBER(Checks!$AD$179),TEXT(Checks!$AD$179,"DD-MMM-YY HH:MM")&amp;" "&amp;Checks!$P$179,"")&amp;IF(Checks!$AE$179="","",CHAR(10)&amp;Checks!$AE$179)</f>
        <v/>
      </c>
      <c r="H38" s="125">
        <f>IF(Checks!$AH$179="","",Checks!$AH$179)</f>
        <v/>
      </c>
    </row>
    <row r="39" ht="81" customHeight="1">
      <c r="A39" s="124">
        <f>Checks!$A$180&amp;CHAR(10)&amp;IF(Checks!$I$180="","",Checks!$I$180&amp;": ")&amp;Checks!$J$180</f>
        <v/>
      </c>
      <c r="B39" s="124">
        <f>Checks!$K$180&amp;IF(Checks!$O$180="","",IF(Checks!$K$180="","",CHAR(10))&amp;"Note: "&amp;Checks!$O$180)</f>
        <v/>
      </c>
      <c r="C39" s="124">
        <f>Checks!$N$180&amp;CHAR(10)&amp;IF(ISNUMBER(Checks!$R$180),TEXT(Checks!$R$180,"DD-MMM-YY HH:MM"),"")&amp;" "&amp;Checks!$P$180</f>
        <v/>
      </c>
      <c r="D39" s="124">
        <f>IF(Checks!$U$180="","",Checks!$U$180)&amp;IF(Checks!$AB$180="","",CHAR(10)&amp;"CA: "&amp;Checks!$AB$180)</f>
        <v/>
      </c>
      <c r="E39" s="124">
        <f>IF(Checks!$V$180="","",Checks!$V$180)&amp;IF(Checks!$AC$180="","",IF(Checks!$V$180="","",CHAR(10))&amp;"N/A just.: "&amp;Checks!$AC$180)&amp;IF(Checks!$W$180="","",CHAR(10)&amp;"Batch: "&amp;Checks!$W$180)&amp;IF(AND(Checks!$X$180="",Checks!$Y$180=""),"",CHAR(10)&amp;"Exp: "&amp;Checks!$X$180&amp;"  /  Act: "&amp;Checks!$Y$180)</f>
        <v/>
      </c>
      <c r="F39" s="124">
        <f>IF(Checks!$Z$180="","","Evidence: "&amp;Checks!$Z$180)&amp;IF(Checks!$AA$180="","",IF(Checks!$Z$180="","",CHAR(10))&amp;"CA: "&amp;Checks!$AA$180)</f>
        <v/>
      </c>
      <c r="G39" s="124">
        <f>IF(ISNUMBER(Checks!$AD$180),TEXT(Checks!$AD$180,"DD-MMM-YY HH:MM")&amp;" "&amp;Checks!$P$180,"")&amp;IF(Checks!$AE$180="","",CHAR(10)&amp;Checks!$AE$180)</f>
        <v/>
      </c>
      <c r="H39" s="125">
        <f>IF(Checks!$AH$180="","",Checks!$AH$180)</f>
        <v/>
      </c>
    </row>
    <row r="40" ht="279" customHeight="1">
      <c r="A40" s="124">
        <f>Checks!$A$181&amp;CHAR(10)&amp;IF(Checks!$I$181="","",Checks!$I$181&amp;": ")&amp;Checks!$J$181</f>
        <v/>
      </c>
      <c r="B40" s="124">
        <f>SUBSTITUTE(Checks!$K$181&amp;IF(Checks!$O$181="","",IF(Checks!$K$181="","",CHAR(10))&amp;"Note: "&amp;Checks!$O$181),"AIRCRAFT TYPE!","Ref: AIRCRAFT TYPE!")</f>
        <v/>
      </c>
      <c r="C40" s="124">
        <f>Checks!$N$181&amp;CHAR(10)&amp;IF(ISNUMBER(Checks!$R$181),TEXT(Checks!$R$181,"DD-MMM-YY HH:MM"),"")&amp;" "&amp;Checks!$P$181</f>
        <v/>
      </c>
      <c r="D40" s="124">
        <f>IF(Checks!$U$181="","",Checks!$U$181)&amp;IF(Checks!$AB$181="","",CHAR(10)&amp;"CA: "&amp;Checks!$AB$181)</f>
        <v/>
      </c>
      <c r="E40" s="124">
        <f>IF(Checks!$V$181="","",Checks!$V$181)&amp;IF(Checks!$AC$181="","",IF(Checks!$V$181="","",CHAR(10))&amp;"N/A just.: "&amp;Checks!$AC$181)&amp;IF(Checks!$W$181="","",CHAR(10)&amp;"Batch: "&amp;Checks!$W$181)&amp;IF(AND(Checks!$X$181="",Checks!$Y$181=""),"",CHAR(10)&amp;"Exp: "&amp;Checks!$X$181&amp;"  /  Act: "&amp;Checks!$Y$181)</f>
        <v/>
      </c>
      <c r="F40" s="124">
        <f>IF(Checks!$Z$181="","","Evidence: "&amp;Checks!$Z$181)&amp;IF(Checks!$AA$181="","",IF(Checks!$Z$181="","",CHAR(10))&amp;"CA: "&amp;Checks!$AA$181)</f>
        <v/>
      </c>
      <c r="G40" s="124">
        <f>IF(ISNUMBER(Checks!$AD$181),TEXT(Checks!$AD$181,"DD-MMM-YY HH:MM")&amp;" "&amp;Checks!$P$181,"")&amp;IF(Checks!$AE$181="","",CHAR(10)&amp;Checks!$AE$181)</f>
        <v/>
      </c>
      <c r="H40" s="125">
        <f>IF(Checks!$AH$181="","",Checks!$AH$181)</f>
        <v/>
      </c>
    </row>
    <row r="41" ht="81" customHeight="1">
      <c r="A41" s="124">
        <f>Checks!$A$182&amp;CHAR(10)&amp;IF(Checks!$I$182="","",Checks!$I$182&amp;": ")&amp;Checks!$J$182</f>
        <v/>
      </c>
      <c r="B41" s="124">
        <f>Checks!$K$182&amp;IF(Checks!$O$182="","",IF(Checks!$K$182="","",CHAR(10))&amp;"Note: "&amp;Checks!$O$182)</f>
        <v/>
      </c>
      <c r="C41" s="124">
        <f>Checks!$N$182&amp;CHAR(10)&amp;IF(ISNUMBER(Checks!$R$182),TEXT(Checks!$R$182,"DD-MMM-YY HH:MM"),"")&amp;" "&amp;Checks!$P$182</f>
        <v/>
      </c>
      <c r="D41" s="124">
        <f>IF(Checks!$U$182="","",Checks!$U$182)&amp;IF(Checks!$AB$182="","",CHAR(10)&amp;"CA: "&amp;Checks!$AB$182)</f>
        <v/>
      </c>
      <c r="E41" s="124">
        <f>IF(Checks!$V$182="","",Checks!$V$182)&amp;IF(Checks!$AC$182="","",IF(Checks!$V$182="","",CHAR(10))&amp;"N/A just.: "&amp;Checks!$AC$182)&amp;IF(Checks!$W$182="","",CHAR(10)&amp;"Batch: "&amp;Checks!$W$182)&amp;IF(AND(Checks!$X$182="",Checks!$Y$182=""),"",CHAR(10)&amp;"Exp: "&amp;Checks!$X$182&amp;"  /  Act: "&amp;Checks!$Y$182)</f>
        <v/>
      </c>
      <c r="F41" s="124">
        <f>IF(Checks!$Z$182="","","Evidence: "&amp;Checks!$Z$182)&amp;IF(Checks!$AA$182="","",IF(Checks!$Z$182="","",CHAR(10))&amp;"CA: "&amp;Checks!$AA$182)</f>
        <v/>
      </c>
      <c r="G41" s="124">
        <f>IF(ISNUMBER(Checks!$AD$182),TEXT(Checks!$AD$182,"DD-MMM-YY HH:MM")&amp;" "&amp;Checks!$P$182,"")&amp;IF(Checks!$AE$182="","",CHAR(10)&amp;Checks!$AE$182)</f>
        <v/>
      </c>
      <c r="H41" s="125">
        <f>IF(Checks!$AH$182="","",Checks!$AH$182)</f>
        <v/>
      </c>
    </row>
    <row r="42" ht="191" customHeight="1">
      <c r="A42" s="124">
        <f>Checks!$A$183&amp;CHAR(10)&amp;IF(Checks!$I$183="","",Checks!$I$183&amp;": ")&amp;Checks!$J$183</f>
        <v/>
      </c>
      <c r="B42" s="124">
        <f>SUBSTITUTE(Checks!$K$183&amp;IF(Checks!$O$183="","",IF(Checks!$K$183="","",CHAR(10))&amp;"Note: "&amp;Checks!$O$183),"AMENITIES!","Ref: AMENITIES!")</f>
        <v/>
      </c>
      <c r="C42" s="124">
        <f>Checks!$N$183&amp;CHAR(10)&amp;IF(ISNUMBER(Checks!$R$183),TEXT(Checks!$R$183,"DD-MMM-YY HH:MM"),"")&amp;" "&amp;Checks!$P$183</f>
        <v/>
      </c>
      <c r="D42" s="124">
        <f>IF(Checks!$U$183="","",Checks!$U$183)&amp;IF(Checks!$AB$183="","",CHAR(10)&amp;"CA: "&amp;Checks!$AB$183)</f>
        <v/>
      </c>
      <c r="E42" s="124">
        <f>IF(Checks!$V$183="","",Checks!$V$183)&amp;IF(Checks!$AC$183="","",IF(Checks!$V$183="","",CHAR(10))&amp;"N/A just.: "&amp;Checks!$AC$183)&amp;IF(Checks!$W$183="","",CHAR(10)&amp;"Batch: "&amp;Checks!$W$183)&amp;IF(AND(Checks!$X$183="",Checks!$Y$183=""),"",CHAR(10)&amp;"Exp: "&amp;Checks!$X$183&amp;"  /  Act: "&amp;Checks!$Y$183)</f>
        <v/>
      </c>
      <c r="F42" s="124">
        <f>IF(Checks!$Z$183="","","Evidence: "&amp;Checks!$Z$183)&amp;IF(Checks!$AA$183="","",IF(Checks!$Z$183="","",CHAR(10))&amp;"CA: "&amp;Checks!$AA$183)</f>
        <v/>
      </c>
      <c r="G42" s="124">
        <f>IF(ISNUMBER(Checks!$AD$183),TEXT(Checks!$AD$183,"DD-MMM-YY HH:MM")&amp;" "&amp;Checks!$P$183,"")&amp;IF(Checks!$AE$183="","",CHAR(10)&amp;Checks!$AE$183)</f>
        <v/>
      </c>
      <c r="H42" s="125">
        <f>IF(Checks!$AH$183="","",Checks!$AH$183)</f>
        <v/>
      </c>
    </row>
    <row r="43" ht="81" customHeight="1">
      <c r="A43" s="124">
        <f>Checks!$A$184&amp;CHAR(10)&amp;IF(Checks!$I$184="","",Checks!$I$184&amp;": ")&amp;Checks!$J$184</f>
        <v/>
      </c>
      <c r="B43" s="124">
        <f>Checks!$K$184&amp;IF(Checks!$O$184="","",IF(Checks!$K$184="","",CHAR(10))&amp;"Note: "&amp;Checks!$O$184)</f>
        <v/>
      </c>
      <c r="C43" s="124">
        <f>Checks!$N$184&amp;CHAR(10)&amp;IF(ISNUMBER(Checks!$R$184),TEXT(Checks!$R$184,"DD-MMM-YY HH:MM"),"")&amp;" "&amp;Checks!$P$184</f>
        <v/>
      </c>
      <c r="D43" s="124">
        <f>IF(Checks!$U$184="","",Checks!$U$184)&amp;IF(Checks!$AB$184="","",CHAR(10)&amp;"CA: "&amp;Checks!$AB$184)</f>
        <v/>
      </c>
      <c r="E43" s="124">
        <f>IF(Checks!$V$184="","",Checks!$V$184)&amp;IF(Checks!$AC$184="","",IF(Checks!$V$184="","",CHAR(10))&amp;"N/A just.: "&amp;Checks!$AC$184)&amp;IF(Checks!$W$184="","",CHAR(10)&amp;"Batch: "&amp;Checks!$W$184)&amp;IF(AND(Checks!$X$184="",Checks!$Y$184=""),"",CHAR(10)&amp;"Exp: "&amp;Checks!$X$184&amp;"  /  Act: "&amp;Checks!$Y$184)</f>
        <v/>
      </c>
      <c r="F43" s="124">
        <f>IF(Checks!$Z$184="","","Evidence: "&amp;Checks!$Z$184)&amp;IF(Checks!$AA$184="","",IF(Checks!$Z$184="","",CHAR(10))&amp;"CA: "&amp;Checks!$AA$184)</f>
        <v/>
      </c>
      <c r="G43" s="124">
        <f>IF(ISNUMBER(Checks!$AD$184),TEXT(Checks!$AD$184,"DD-MMM-YY HH:MM")&amp;" "&amp;Checks!$P$184,"")&amp;IF(Checks!$AE$184="","",CHAR(10)&amp;Checks!$AE$184)</f>
        <v/>
      </c>
      <c r="H43" s="125">
        <f>IF(Checks!$AH$184="","",Checks!$AH$184)</f>
        <v/>
      </c>
    </row>
    <row r="44" ht="81" customHeight="1">
      <c r="A44" s="124">
        <f>Checks!$A$185&amp;CHAR(10)&amp;IF(Checks!$I$185="","",Checks!$I$185&amp;": ")&amp;Checks!$J$185</f>
        <v/>
      </c>
      <c r="B44" s="124">
        <f>Checks!$K$185&amp;IF(Checks!$O$185="","",IF(Checks!$K$185="","",CHAR(10))&amp;"Note: "&amp;Checks!$O$185)</f>
        <v/>
      </c>
      <c r="C44" s="124">
        <f>Checks!$N$185&amp;CHAR(10)&amp;IF(ISNUMBER(Checks!$R$185),TEXT(Checks!$R$185,"DD-MMM-YY HH:MM"),"")&amp;" "&amp;Checks!$P$185</f>
        <v/>
      </c>
      <c r="D44" s="124">
        <f>IF(Checks!$U$185="","",Checks!$U$185)&amp;IF(Checks!$AB$185="","",CHAR(10)&amp;"CA: "&amp;Checks!$AB$185)</f>
        <v/>
      </c>
      <c r="E44" s="124">
        <f>IF(Checks!$V$185="","",Checks!$V$185)&amp;IF(Checks!$AC$185="","",IF(Checks!$V$185="","",CHAR(10))&amp;"N/A just.: "&amp;Checks!$AC$185)&amp;IF(Checks!$W$185="","",CHAR(10)&amp;"Batch: "&amp;Checks!$W$185)&amp;IF(AND(Checks!$X$185="",Checks!$Y$185=""),"",CHAR(10)&amp;"Exp: "&amp;Checks!$X$185&amp;"  /  Act: "&amp;Checks!$Y$185)</f>
        <v/>
      </c>
      <c r="F44" s="124">
        <f>IF(Checks!$Z$185="","","Evidence: "&amp;Checks!$Z$185)&amp;IF(Checks!$AA$185="","",IF(Checks!$Z$185="","",CHAR(10))&amp;"CA: "&amp;Checks!$AA$185)</f>
        <v/>
      </c>
      <c r="G44" s="124">
        <f>IF(ISNUMBER(Checks!$AD$185),TEXT(Checks!$AD$185,"DD-MMM-YY HH:MM")&amp;" "&amp;Checks!$P$185,"")&amp;IF(Checks!$AE$185="","",CHAR(10)&amp;Checks!$AE$185)</f>
        <v/>
      </c>
      <c r="H44" s="125">
        <f>IF(Checks!$AH$185="","",Checks!$AH$185)</f>
        <v/>
      </c>
    </row>
    <row r="45" ht="92" customHeight="1">
      <c r="A45" s="124">
        <f>Checks!$A$186&amp;CHAR(10)&amp;IF(Checks!$I$186="","",Checks!$I$186&amp;": ")&amp;Checks!$J$186</f>
        <v/>
      </c>
      <c r="B45" s="124">
        <f>Checks!$K$186&amp;IF(Checks!$O$186="","",IF(Checks!$K$186="","",CHAR(10))&amp;"Note: "&amp;Checks!$O$186)</f>
        <v/>
      </c>
      <c r="C45" s="124">
        <f>Checks!$N$186&amp;CHAR(10)&amp;IF(ISNUMBER(Checks!$R$186),TEXT(Checks!$R$186,"DD-MMM-YY HH:MM"),"")&amp;" "&amp;Checks!$P$186</f>
        <v/>
      </c>
      <c r="D45" s="124">
        <f>IF(Checks!$U$186="","",Checks!$U$186)&amp;IF(Checks!$AB$186="","",CHAR(10)&amp;"CA: "&amp;Checks!$AB$186)</f>
        <v/>
      </c>
      <c r="E45" s="124">
        <f>IF(Checks!$V$186="","",Checks!$V$186)&amp;IF(Checks!$AC$186="","",IF(Checks!$V$186="","",CHAR(10))&amp;"N/A just.: "&amp;Checks!$AC$186)&amp;IF(Checks!$W$186="","",CHAR(10)&amp;"Batch: "&amp;Checks!$W$186)&amp;IF(AND(Checks!$X$186="",Checks!$Y$186=""),"",CHAR(10)&amp;"Exp: "&amp;Checks!$X$186&amp;"  /  Act: "&amp;Checks!$Y$186)</f>
        <v/>
      </c>
      <c r="F45" s="124">
        <f>IF(Checks!$Z$186="","","Evidence: "&amp;Checks!$Z$186)&amp;IF(Checks!$AA$186="","",IF(Checks!$Z$186="","",CHAR(10))&amp;"CA: "&amp;Checks!$AA$186)</f>
        <v/>
      </c>
      <c r="G45" s="124">
        <f>IF(ISNUMBER(Checks!$AD$186),TEXT(Checks!$AD$186,"DD-MMM-YY HH:MM")&amp;" "&amp;Checks!$P$186,"")&amp;IF(Checks!$AE$186="","",CHAR(10)&amp;Checks!$AE$186)</f>
        <v/>
      </c>
      <c r="H45" s="125">
        <f>IF(Checks!$AH$186="","",Checks!$AH$186)</f>
        <v/>
      </c>
    </row>
    <row r="46" ht="92" customHeight="1">
      <c r="A46" s="124">
        <f>Checks!$A$187&amp;CHAR(10)&amp;IF(Checks!$I$187="","",Checks!$I$187&amp;": ")&amp;Checks!$J$187</f>
        <v/>
      </c>
      <c r="B46" s="124">
        <f>Checks!$K$187&amp;IF(Checks!$O$187="","",IF(Checks!$K$187="","",CHAR(10))&amp;"Note: "&amp;Checks!$O$187)</f>
        <v/>
      </c>
      <c r="C46" s="124">
        <f>Checks!$N$187&amp;CHAR(10)&amp;IF(ISNUMBER(Checks!$R$187),TEXT(Checks!$R$187,"DD-MMM-YY HH:MM"),"")&amp;" "&amp;Checks!$P$187</f>
        <v/>
      </c>
      <c r="D46" s="124">
        <f>IF(Checks!$U$187="","",Checks!$U$187)&amp;IF(Checks!$AB$187="","",CHAR(10)&amp;"CA: "&amp;Checks!$AB$187)</f>
        <v/>
      </c>
      <c r="E46" s="124">
        <f>IF(Checks!$V$187="","",Checks!$V$187)&amp;IF(Checks!$AC$187="","",IF(Checks!$V$187="","",CHAR(10))&amp;"N/A just.: "&amp;Checks!$AC$187)&amp;IF(Checks!$W$187="","",CHAR(10)&amp;"Batch: "&amp;Checks!$W$187)&amp;IF(AND(Checks!$X$187="",Checks!$Y$187=""),"",CHAR(10)&amp;"Exp: "&amp;Checks!$X$187&amp;"  /  Act: "&amp;Checks!$Y$187)</f>
        <v/>
      </c>
      <c r="F46" s="124">
        <f>IF(Checks!$Z$187="","","Evidence: "&amp;Checks!$Z$187)&amp;IF(Checks!$AA$187="","",IF(Checks!$Z$187="","",CHAR(10))&amp;"CA: "&amp;Checks!$AA$187)</f>
        <v/>
      </c>
      <c r="G46" s="124">
        <f>IF(ISNUMBER(Checks!$AD$187),TEXT(Checks!$AD$187,"DD-MMM-YY HH:MM")&amp;" "&amp;Checks!$P$187,"")&amp;IF(Checks!$AE$187="","",CHAR(10)&amp;Checks!$AE$187)</f>
        <v/>
      </c>
      <c r="H46" s="125">
        <f>IF(Checks!$AH$187="","",Checks!$AH$187)</f>
        <v/>
      </c>
    </row>
    <row r="47" ht="92" customHeight="1">
      <c r="A47" s="124">
        <f>Checks!$A$188&amp;CHAR(10)&amp;IF(Checks!$I$188="","",Checks!$I$188&amp;": ")&amp;Checks!$J$188</f>
        <v/>
      </c>
      <c r="B47" s="124">
        <f>Checks!$K$188&amp;IF(Checks!$O$188="","",IF(Checks!$K$188="","",CHAR(10))&amp;"Note: "&amp;Checks!$O$188)</f>
        <v/>
      </c>
      <c r="C47" s="124">
        <f>Checks!$N$188&amp;CHAR(10)&amp;IF(ISNUMBER(Checks!$R$188),TEXT(Checks!$R$188,"DD-MMM-YY HH:MM"),"")&amp;" "&amp;Checks!$P$188</f>
        <v/>
      </c>
      <c r="D47" s="124">
        <f>IF(Checks!$U$188="","",Checks!$U$188)&amp;IF(Checks!$AB$188="","",CHAR(10)&amp;"CA: "&amp;Checks!$AB$188)</f>
        <v/>
      </c>
      <c r="E47" s="124">
        <f>IF(Checks!$V$188="","",Checks!$V$188)&amp;IF(Checks!$AC$188="","",IF(Checks!$V$188="","",CHAR(10))&amp;"N/A just.: "&amp;Checks!$AC$188)&amp;IF(Checks!$W$188="","",CHAR(10)&amp;"Batch: "&amp;Checks!$W$188)&amp;IF(AND(Checks!$X$188="",Checks!$Y$188=""),"",CHAR(10)&amp;"Exp: "&amp;Checks!$X$188&amp;"  /  Act: "&amp;Checks!$Y$188)</f>
        <v/>
      </c>
      <c r="F47" s="124">
        <f>IF(Checks!$Z$188="","","Evidence: "&amp;Checks!$Z$188)&amp;IF(Checks!$AA$188="","",IF(Checks!$Z$188="","",CHAR(10))&amp;"CA: "&amp;Checks!$AA$188)</f>
        <v/>
      </c>
      <c r="G47" s="124">
        <f>IF(ISNUMBER(Checks!$AD$188),TEXT(Checks!$AD$188,"DD-MMM-YY HH:MM")&amp;" "&amp;Checks!$P$188,"")&amp;IF(Checks!$AE$188="","",CHAR(10)&amp;Checks!$AE$188)</f>
        <v/>
      </c>
      <c r="H47" s="125">
        <f>IF(Checks!$AH$188="","",Checks!$AH$188)</f>
        <v/>
      </c>
    </row>
    <row r="48" ht="92" customHeight="1">
      <c r="A48" s="124">
        <f>Checks!$A$189&amp;CHAR(10)&amp;IF(Checks!$I$189="","",Checks!$I$189&amp;": ")&amp;Checks!$J$189</f>
        <v/>
      </c>
      <c r="B48" s="124">
        <f>Checks!$K$189&amp;IF(Checks!$O$189="","",IF(Checks!$K$189="","",CHAR(10))&amp;"Note: "&amp;Checks!$O$189)</f>
        <v/>
      </c>
      <c r="C48" s="124">
        <f>Checks!$N$189&amp;CHAR(10)&amp;IF(ISNUMBER(Checks!$R$189),TEXT(Checks!$R$189,"DD-MMM-YY HH:MM"),"")&amp;" "&amp;Checks!$P$189</f>
        <v/>
      </c>
      <c r="D48" s="124">
        <f>IF(Checks!$U$189="","",Checks!$U$189)&amp;IF(Checks!$AB$189="","",CHAR(10)&amp;"CA: "&amp;Checks!$AB$189)</f>
        <v/>
      </c>
      <c r="E48" s="124">
        <f>IF(Checks!$V$189="","",Checks!$V$189)&amp;IF(Checks!$AC$189="","",IF(Checks!$V$189="","",CHAR(10))&amp;"N/A just.: "&amp;Checks!$AC$189)&amp;IF(Checks!$W$189="","",CHAR(10)&amp;"Batch: "&amp;Checks!$W$189)&amp;IF(AND(Checks!$X$189="",Checks!$Y$189=""),"",CHAR(10)&amp;"Exp: "&amp;Checks!$X$189&amp;"  /  Act: "&amp;Checks!$Y$189)</f>
        <v/>
      </c>
      <c r="F48" s="124">
        <f>IF(Checks!$Z$189="","","Evidence: "&amp;Checks!$Z$189)&amp;IF(Checks!$AA$189="","",IF(Checks!$Z$189="","",CHAR(10))&amp;"CA: "&amp;Checks!$AA$189)</f>
        <v/>
      </c>
      <c r="G48" s="124">
        <f>IF(ISNUMBER(Checks!$AD$189),TEXT(Checks!$AD$189,"DD-MMM-YY HH:MM")&amp;" "&amp;Checks!$P$189,"")&amp;IF(Checks!$AE$189="","",CHAR(10)&amp;Checks!$AE$189)</f>
        <v/>
      </c>
      <c r="H48" s="125">
        <f>IF(Checks!$AH$189="","",Checks!$AH$189)</f>
        <v/>
      </c>
    </row>
    <row r="49" ht="92" customHeight="1">
      <c r="A49" s="124">
        <f>Checks!$A$190&amp;CHAR(10)&amp;IF(Checks!$I$190="","",Checks!$I$190&amp;": ")&amp;Checks!$J$190</f>
        <v/>
      </c>
      <c r="B49" s="124">
        <f>Checks!$K$190&amp;IF(Checks!$O$190="","",IF(Checks!$K$190="","",CHAR(10))&amp;"Note: "&amp;Checks!$O$190)</f>
        <v/>
      </c>
      <c r="C49" s="124">
        <f>Checks!$N$190&amp;CHAR(10)&amp;IF(ISNUMBER(Checks!$R$190),TEXT(Checks!$R$190,"DD-MMM-YY HH:MM"),"")&amp;" "&amp;Checks!$P$190</f>
        <v/>
      </c>
      <c r="D49" s="124">
        <f>IF(Checks!$U$190="","",Checks!$U$190)&amp;IF(Checks!$AB$190="","",CHAR(10)&amp;"CA: "&amp;Checks!$AB$190)</f>
        <v/>
      </c>
      <c r="E49" s="124">
        <f>IF(Checks!$V$190="","",Checks!$V$190)&amp;IF(Checks!$AC$190="","",IF(Checks!$V$190="","",CHAR(10))&amp;"N/A just.: "&amp;Checks!$AC$190)&amp;IF(Checks!$W$190="","",CHAR(10)&amp;"Batch: "&amp;Checks!$W$190)&amp;IF(AND(Checks!$X$190="",Checks!$Y$190=""),"",CHAR(10)&amp;"Exp: "&amp;Checks!$X$190&amp;"  /  Act: "&amp;Checks!$Y$190)</f>
        <v/>
      </c>
      <c r="F49" s="124">
        <f>IF(Checks!$Z$190="","","Evidence: "&amp;Checks!$Z$190)&amp;IF(Checks!$AA$190="","",IF(Checks!$Z$190="","",CHAR(10))&amp;"CA: "&amp;Checks!$AA$190)</f>
        <v/>
      </c>
      <c r="G49" s="124">
        <f>IF(ISNUMBER(Checks!$AD$190),TEXT(Checks!$AD$190,"DD-MMM-YY HH:MM")&amp;" "&amp;Checks!$P$190,"")&amp;IF(Checks!$AE$190="","",CHAR(10)&amp;Checks!$AE$190)</f>
        <v/>
      </c>
      <c r="H49" s="125">
        <f>IF(Checks!$AH$190="","",Checks!$AH$190)</f>
        <v/>
      </c>
    </row>
    <row r="50" ht="114" customHeight="1">
      <c r="A50" s="124">
        <f>Checks!$A$191&amp;CHAR(10)&amp;IF(Checks!$I$191="","",Checks!$I$191&amp;": ")&amp;Checks!$J$191</f>
        <v/>
      </c>
      <c r="B50" s="124">
        <f>SUBSTITUTE(Checks!$K$191&amp;IF(Checks!$O$191="","",IF(Checks!$K$191="","",CHAR(10))&amp;"Note: "&amp;Checks!$O$191),"F&amp;B LINEN!","Ref: F&amp;B LINEN!")</f>
        <v/>
      </c>
      <c r="C50" s="124">
        <f>Checks!$N$191&amp;CHAR(10)&amp;IF(ISNUMBER(Checks!$R$191),TEXT(Checks!$R$191,"DD-MMM-YY HH:MM"),"")&amp;" "&amp;Checks!$P$191</f>
        <v/>
      </c>
      <c r="D50" s="124">
        <f>IF(Checks!$U$191="","",Checks!$U$191)&amp;IF(Checks!$AB$191="","",CHAR(10)&amp;"CA: "&amp;Checks!$AB$191)</f>
        <v/>
      </c>
      <c r="E50" s="124">
        <f>IF(Checks!$V$191="","",Checks!$V$191)&amp;IF(Checks!$AC$191="","",IF(Checks!$V$191="","",CHAR(10))&amp;"N/A just.: "&amp;Checks!$AC$191)&amp;IF(Checks!$W$191="","",CHAR(10)&amp;"Batch: "&amp;Checks!$W$191)&amp;IF(AND(Checks!$X$191="",Checks!$Y$191=""),"",CHAR(10)&amp;"Exp: "&amp;Checks!$X$191&amp;"  /  Act: "&amp;Checks!$Y$191)</f>
        <v/>
      </c>
      <c r="F50" s="124">
        <f>IF(Checks!$Z$191="","","Evidence: "&amp;Checks!$Z$191)&amp;IF(Checks!$AA$191="","",IF(Checks!$Z$191="","",CHAR(10))&amp;"CA: "&amp;Checks!$AA$191)</f>
        <v/>
      </c>
      <c r="G50" s="124">
        <f>IF(ISNUMBER(Checks!$AD$191),TEXT(Checks!$AD$191,"DD-MMM-YY HH:MM")&amp;" "&amp;Checks!$P$191,"")&amp;IF(Checks!$AE$191="","",CHAR(10)&amp;Checks!$AE$191)</f>
        <v/>
      </c>
      <c r="H50" s="125">
        <f>IF(Checks!$AH$191="","",Checks!$AH$191)</f>
        <v/>
      </c>
    </row>
    <row r="51" ht="92" customHeight="1">
      <c r="A51" s="124">
        <f>Checks!$A$192&amp;CHAR(10)&amp;IF(Checks!$I$192="","",Checks!$I$192&amp;": ")&amp;Checks!$J$192</f>
        <v/>
      </c>
      <c r="B51" s="124">
        <f>Checks!$K$192&amp;IF(Checks!$O$192="","",IF(Checks!$K$192="","",CHAR(10))&amp;"Note: "&amp;Checks!$O$192)</f>
        <v/>
      </c>
      <c r="C51" s="124">
        <f>Checks!$N$192&amp;CHAR(10)&amp;IF(ISNUMBER(Checks!$R$192),TEXT(Checks!$R$192,"DD-MMM-YY HH:MM"),"")&amp;" "&amp;Checks!$P$192</f>
        <v/>
      </c>
      <c r="D51" s="124">
        <f>IF(Checks!$U$192="","",Checks!$U$192)&amp;IF(Checks!$AB$192="","",CHAR(10)&amp;"CA: "&amp;Checks!$AB$192)</f>
        <v/>
      </c>
      <c r="E51" s="124">
        <f>IF(Checks!$V$192="","",Checks!$V$192)&amp;IF(Checks!$AC$192="","",IF(Checks!$V$192="","",CHAR(10))&amp;"N/A just.: "&amp;Checks!$AC$192)&amp;IF(Checks!$W$192="","",CHAR(10)&amp;"Batch: "&amp;Checks!$W$192)&amp;IF(AND(Checks!$X$192="",Checks!$Y$192=""),"",CHAR(10)&amp;"Exp: "&amp;Checks!$X$192&amp;"  /  Act: "&amp;Checks!$Y$192)</f>
        <v/>
      </c>
      <c r="F51" s="124">
        <f>IF(Checks!$Z$192="","","Evidence: "&amp;Checks!$Z$192)&amp;IF(Checks!$AA$192="","",IF(Checks!$Z$192="","",CHAR(10))&amp;"CA: "&amp;Checks!$AA$192)</f>
        <v/>
      </c>
      <c r="G51" s="124">
        <f>IF(ISNUMBER(Checks!$AD$192),TEXT(Checks!$AD$192,"DD-MMM-YY HH:MM")&amp;" "&amp;Checks!$P$192,"")&amp;IF(Checks!$AE$192="","",CHAR(10)&amp;Checks!$AE$192)</f>
        <v/>
      </c>
      <c r="H51" s="125">
        <f>IF(Checks!$AH$192="","",Checks!$AH$192)</f>
        <v/>
      </c>
    </row>
    <row r="52" ht="92" customHeight="1">
      <c r="A52" s="124">
        <f>Checks!$A$193&amp;CHAR(10)&amp;IF(Checks!$I$193="","",Checks!$I$193&amp;": ")&amp;Checks!$J$193</f>
        <v/>
      </c>
      <c r="B52" s="124">
        <f>Checks!$K$193&amp;IF(Checks!$O$193="","",IF(Checks!$K$193="","",CHAR(10))&amp;"Note: "&amp;Checks!$O$193)</f>
        <v/>
      </c>
      <c r="C52" s="124">
        <f>Checks!$N$193&amp;CHAR(10)&amp;IF(ISNUMBER(Checks!$R$193),TEXT(Checks!$R$193,"DD-MMM-YY HH:MM"),"")&amp;" "&amp;Checks!$P$193</f>
        <v/>
      </c>
      <c r="D52" s="124">
        <f>IF(Checks!$U$193="","",Checks!$U$193)&amp;IF(Checks!$AB$193="","",CHAR(10)&amp;"CA: "&amp;Checks!$AB$193)</f>
        <v/>
      </c>
      <c r="E52" s="124">
        <f>IF(Checks!$V$193="","",Checks!$V$193)&amp;IF(Checks!$AC$193="","",IF(Checks!$V$193="","",CHAR(10))&amp;"N/A just.: "&amp;Checks!$AC$193)&amp;IF(Checks!$W$193="","",CHAR(10)&amp;"Batch: "&amp;Checks!$W$193)&amp;IF(AND(Checks!$X$193="",Checks!$Y$193=""),"",CHAR(10)&amp;"Exp: "&amp;Checks!$X$193&amp;"  /  Act: "&amp;Checks!$Y$193)</f>
        <v/>
      </c>
      <c r="F52" s="124">
        <f>IF(Checks!$Z$193="","","Evidence: "&amp;Checks!$Z$193)&amp;IF(Checks!$AA$193="","",IF(Checks!$Z$193="","",CHAR(10))&amp;"CA: "&amp;Checks!$AA$193)</f>
        <v/>
      </c>
      <c r="G52" s="124">
        <f>IF(ISNUMBER(Checks!$AD$193),TEXT(Checks!$AD$193,"DD-MMM-YY HH:MM")&amp;" "&amp;Checks!$P$193,"")&amp;IF(Checks!$AE$193="","",CHAR(10)&amp;Checks!$AE$193)</f>
        <v/>
      </c>
      <c r="H52" s="125">
        <f>IF(Checks!$AH$193="","",Checks!$AH$193)</f>
        <v/>
      </c>
    </row>
    <row r="53" ht="92" customHeight="1">
      <c r="A53" s="124">
        <f>Checks!$A$194&amp;CHAR(10)&amp;IF(Checks!$I$194="","",Checks!$I$194&amp;": ")&amp;Checks!$J$194</f>
        <v/>
      </c>
      <c r="B53" s="124">
        <f>Checks!$K$194&amp;IF(Checks!$O$194="","",IF(Checks!$K$194="","",CHAR(10))&amp;"Note: "&amp;Checks!$O$194)</f>
        <v/>
      </c>
      <c r="C53" s="124">
        <f>Checks!$N$194&amp;CHAR(10)&amp;IF(ISNUMBER(Checks!$R$194),TEXT(Checks!$R$194,"DD-MMM-YY HH:MM"),"")&amp;" "&amp;Checks!$P$194</f>
        <v/>
      </c>
      <c r="D53" s="124">
        <f>IF(Checks!$U$194="","",Checks!$U$194)&amp;IF(Checks!$AB$194="","",CHAR(10)&amp;"CA: "&amp;Checks!$AB$194)</f>
        <v/>
      </c>
      <c r="E53" s="124">
        <f>IF(Checks!$V$194="","",Checks!$V$194)&amp;IF(Checks!$AC$194="","",IF(Checks!$V$194="","",CHAR(10))&amp;"N/A just.: "&amp;Checks!$AC$194)&amp;IF(Checks!$W$194="","",CHAR(10)&amp;"Batch: "&amp;Checks!$W$194)&amp;IF(AND(Checks!$X$194="",Checks!$Y$194=""),"",CHAR(10)&amp;"Exp: "&amp;Checks!$X$194&amp;"  /  Act: "&amp;Checks!$Y$194)</f>
        <v/>
      </c>
      <c r="F53" s="124">
        <f>IF(Checks!$Z$194="","","Evidence: "&amp;Checks!$Z$194)&amp;IF(Checks!$AA$194="","",IF(Checks!$Z$194="","",CHAR(10))&amp;"CA: "&amp;Checks!$AA$194)</f>
        <v/>
      </c>
      <c r="G53" s="124">
        <f>IF(ISNUMBER(Checks!$AD$194),TEXT(Checks!$AD$194,"DD-MMM-YY HH:MM")&amp;" "&amp;Checks!$P$194,"")&amp;IF(Checks!$AE$194="","",CHAR(10)&amp;Checks!$AE$194)</f>
        <v/>
      </c>
      <c r="H53" s="125">
        <f>IF(Checks!$AH$194="","",Checks!$AH$194)</f>
        <v/>
      </c>
    </row>
    <row r="54" ht="92" customHeight="1">
      <c r="A54" s="124">
        <f>Checks!$A$195&amp;CHAR(10)&amp;IF(Checks!$I$195="","",Checks!$I$195&amp;": ")&amp;Checks!$J$195</f>
        <v/>
      </c>
      <c r="B54" s="124">
        <f>Checks!$K$195&amp;IF(Checks!$O$195="","",IF(Checks!$K$195="","",CHAR(10))&amp;"Note: "&amp;Checks!$O$195)</f>
        <v/>
      </c>
      <c r="C54" s="124">
        <f>Checks!$N$195&amp;CHAR(10)&amp;IF(ISNUMBER(Checks!$R$195),TEXT(Checks!$R$195,"DD-MMM-YY HH:MM"),"")&amp;" "&amp;Checks!$P$195</f>
        <v/>
      </c>
      <c r="D54" s="124">
        <f>IF(Checks!$U$195="","",Checks!$U$195)&amp;IF(Checks!$AB$195="","",CHAR(10)&amp;"CA: "&amp;Checks!$AB$195)</f>
        <v/>
      </c>
      <c r="E54" s="124">
        <f>IF(Checks!$V$195="","",Checks!$V$195)&amp;IF(Checks!$AC$195="","",IF(Checks!$V$195="","",CHAR(10))&amp;"N/A just.: "&amp;Checks!$AC$195)&amp;IF(Checks!$W$195="","",CHAR(10)&amp;"Batch: "&amp;Checks!$W$195)&amp;IF(AND(Checks!$X$195="",Checks!$Y$195=""),"",CHAR(10)&amp;"Exp: "&amp;Checks!$X$195&amp;"  /  Act: "&amp;Checks!$Y$195)</f>
        <v/>
      </c>
      <c r="F54" s="124">
        <f>IF(Checks!$Z$195="","","Evidence: "&amp;Checks!$Z$195)&amp;IF(Checks!$AA$195="","",IF(Checks!$Z$195="","",CHAR(10))&amp;"CA: "&amp;Checks!$AA$195)</f>
        <v/>
      </c>
      <c r="G54" s="124">
        <f>IF(ISNUMBER(Checks!$AD$195),TEXT(Checks!$AD$195,"DD-MMM-YY HH:MM")&amp;" "&amp;Checks!$P$195,"")&amp;IF(Checks!$AE$195="","",CHAR(10)&amp;Checks!$AE$195)</f>
        <v/>
      </c>
      <c r="H54" s="125">
        <f>IF(Checks!$AH$195="","",Checks!$AH$195)</f>
        <v/>
      </c>
    </row>
    <row r="55" ht="81" customHeight="1">
      <c r="A55" s="124">
        <f>Checks!$A$196&amp;CHAR(10)&amp;IF(Checks!$I$196="","",Checks!$I$196&amp;": ")&amp;Checks!$J$196</f>
        <v/>
      </c>
      <c r="B55" s="124">
        <f>Checks!$K$196&amp;IF(Checks!$O$196="","",IF(Checks!$K$196="","",CHAR(10))&amp;"Note: "&amp;Checks!$O$196)</f>
        <v/>
      </c>
      <c r="C55" s="124">
        <f>Checks!$N$196&amp;CHAR(10)&amp;IF(ISNUMBER(Checks!$R$196),TEXT(Checks!$R$196,"DD-MMM-YY HH:MM"),"")&amp;" "&amp;Checks!$P$196</f>
        <v/>
      </c>
      <c r="D55" s="124">
        <f>IF(Checks!$U$196="","",Checks!$U$196)&amp;IF(Checks!$AB$196="","",CHAR(10)&amp;"CA: "&amp;Checks!$AB$196)</f>
        <v/>
      </c>
      <c r="E55" s="124">
        <f>IF(Checks!$V$196="","",Checks!$V$196)&amp;IF(Checks!$AC$196="","",IF(Checks!$V$196="","",CHAR(10))&amp;"N/A just.: "&amp;Checks!$AC$196)&amp;IF(Checks!$W$196="","",CHAR(10)&amp;"Batch: "&amp;Checks!$W$196)&amp;IF(AND(Checks!$X$196="",Checks!$Y$196=""),"",CHAR(10)&amp;"Exp: "&amp;Checks!$X$196&amp;"  /  Act: "&amp;Checks!$Y$196)</f>
        <v/>
      </c>
      <c r="F55" s="124">
        <f>IF(Checks!$Z$196="","","Evidence: "&amp;Checks!$Z$196)&amp;IF(Checks!$AA$196="","",IF(Checks!$Z$196="","",CHAR(10))&amp;"CA: "&amp;Checks!$AA$196)</f>
        <v/>
      </c>
      <c r="G55" s="124">
        <f>IF(ISNUMBER(Checks!$AD$196),TEXT(Checks!$AD$196,"DD-MMM-YY HH:MM")&amp;" "&amp;Checks!$P$196,"")&amp;IF(Checks!$AE$196="","",CHAR(10)&amp;Checks!$AE$196)</f>
        <v/>
      </c>
      <c r="H55" s="125">
        <f>IF(Checks!$AH$196="","",Checks!$AH$196)</f>
        <v/>
      </c>
    </row>
    <row r="56" ht="26" customHeight="1">
      <c r="A56" s="123">
        <f>"UPLIFT — Physical uplift – on-board confirmation before departure  |  Due "&amp;"STD "&amp;IF(ISNUMBER(Flights!$I$10),TEXT(Flights!$I$10,"DD-MMM-YY HH:MM"),"")&amp;" "&amp;Flights!$G$10&amp;" (departure stn)"&amp;" (rows with another due show their own)  |  Complete "&amp;IF(ISNUMBER(Flights!$AM$10),TEXT(Flights!$AM$10,"0%"),Flights!$AM$10)&amp;"  |  16 lines"</f>
        <v/>
      </c>
      <c r="B56" s="97" t="n"/>
      <c r="C56" s="97" t="n"/>
      <c r="D56" s="97" t="n"/>
      <c r="E56" s="97" t="n"/>
      <c r="F56" s="97" t="n"/>
      <c r="G56" s="97" t="n"/>
      <c r="H56" s="98" t="n"/>
    </row>
    <row r="57" ht="81" customHeight="1">
      <c r="A57" s="124">
        <f>Checks!$A$197&amp;CHAR(10)&amp;IF(Checks!$I$197="","",Checks!$I$197&amp;": ")&amp;Checks!$J$197</f>
        <v/>
      </c>
      <c r="B57" s="124">
        <f>Checks!$K$197&amp;IF(Checks!$O$197="","",IF(Checks!$K$197="","",CHAR(10))&amp;"Note: "&amp;Checks!$O$197)</f>
        <v/>
      </c>
      <c r="C57" s="124">
        <f>Checks!$N$197&amp;CHAR(10)&amp;IF(ISNUMBER(Checks!$R$197),TEXT(Checks!$R$197,"DD-MMM-YY HH:MM"),"")&amp;" "&amp;Checks!$P$197</f>
        <v/>
      </c>
      <c r="D57" s="124">
        <f>IF(Checks!$U$197="","",Checks!$U$197)&amp;IF(Checks!$AB$197="","",CHAR(10)&amp;"CA: "&amp;Checks!$AB$197)</f>
        <v/>
      </c>
      <c r="E57" s="124">
        <f>IF(Checks!$V$197="","",Checks!$V$197)&amp;IF(Checks!$AC$197="","",IF(Checks!$V$197="","",CHAR(10))&amp;"N/A just.: "&amp;Checks!$AC$197)&amp;IF(Checks!$W$197="","",CHAR(10)&amp;"Batch: "&amp;Checks!$W$197)&amp;IF(AND(Checks!$X$197="",Checks!$Y$197=""),"",CHAR(10)&amp;"Exp: "&amp;Checks!$X$197&amp;"  /  Act: "&amp;Checks!$Y$197)</f>
        <v/>
      </c>
      <c r="F57" s="124">
        <f>IF(Checks!$Z$197="","","Evidence: "&amp;Checks!$Z$197)&amp;IF(Checks!$AA$197="","",IF(Checks!$Z$197="","",CHAR(10))&amp;"CA: "&amp;Checks!$AA$197)</f>
        <v/>
      </c>
      <c r="G57" s="124">
        <f>IF(ISNUMBER(Checks!$AD$197),TEXT(Checks!$AD$197,"DD-MMM-YY HH:MM")&amp;" "&amp;Checks!$P$197,"")&amp;IF(Checks!$AE$197="","",CHAR(10)&amp;Checks!$AE$197)</f>
        <v/>
      </c>
      <c r="H57" s="125">
        <f>IF(Checks!$AH$197="","",Checks!$AH$197)</f>
        <v/>
      </c>
    </row>
    <row r="58" ht="81" customHeight="1">
      <c r="A58" s="124">
        <f>Checks!$A$198&amp;CHAR(10)&amp;IF(Checks!$I$198="","",Checks!$I$198&amp;": ")&amp;Checks!$J$198</f>
        <v/>
      </c>
      <c r="B58" s="124">
        <f>Checks!$K$198&amp;IF(Checks!$O$198="","",IF(Checks!$K$198="","",CHAR(10))&amp;"Note: "&amp;Checks!$O$198)</f>
        <v/>
      </c>
      <c r="C58" s="124">
        <f>Checks!$N$198&amp;CHAR(10)&amp;IF(ISNUMBER(Checks!$R$198),TEXT(Checks!$R$198,"DD-MMM-YY HH:MM"),"")&amp;" "&amp;Checks!$P$198</f>
        <v/>
      </c>
      <c r="D58" s="124">
        <f>IF(Checks!$U$198="","",Checks!$U$198)&amp;IF(Checks!$AB$198="","",CHAR(10)&amp;"CA: "&amp;Checks!$AB$198)</f>
        <v/>
      </c>
      <c r="E58" s="124">
        <f>IF(Checks!$V$198="","",Checks!$V$198)&amp;IF(Checks!$AC$198="","",IF(Checks!$V$198="","",CHAR(10))&amp;"N/A just.: "&amp;Checks!$AC$198)&amp;IF(Checks!$W$198="","",CHAR(10)&amp;"Batch: "&amp;Checks!$W$198)&amp;IF(AND(Checks!$X$198="",Checks!$Y$198=""),"",CHAR(10)&amp;"Exp: "&amp;Checks!$X$198&amp;"  /  Act: "&amp;Checks!$Y$198)</f>
        <v/>
      </c>
      <c r="F58" s="124">
        <f>IF(Checks!$Z$198="","","Evidence: "&amp;Checks!$Z$198)&amp;IF(Checks!$AA$198="","",IF(Checks!$Z$198="","",CHAR(10))&amp;"CA: "&amp;Checks!$AA$198)</f>
        <v/>
      </c>
      <c r="G58" s="124">
        <f>IF(ISNUMBER(Checks!$AD$198),TEXT(Checks!$AD$198,"DD-MMM-YY HH:MM")&amp;" "&amp;Checks!$P$198,"")&amp;IF(Checks!$AE$198="","",CHAR(10)&amp;Checks!$AE$198)</f>
        <v/>
      </c>
      <c r="H58" s="125">
        <f>IF(Checks!$AH$198="","",Checks!$AH$198)</f>
        <v/>
      </c>
    </row>
    <row r="59" ht="191" customHeight="1">
      <c r="A59" s="124">
        <f>Checks!$A$199&amp;CHAR(10)&amp;IF(Checks!$I$199="","",Checks!$I$199&amp;": ")&amp;Checks!$J$199</f>
        <v/>
      </c>
      <c r="B59" s="124">
        <f>SUBSTITUTE(Checks!$K$199&amp;IF(Checks!$O$199="","",IF(Checks!$K$199="","",CHAR(10))&amp;"Note: "&amp;Checks!$O$199),"AMENITIES!","Ref: AMENITIES!")</f>
        <v/>
      </c>
      <c r="C59" s="124">
        <f>Checks!$N$199&amp;CHAR(10)&amp;IF(ISNUMBER(Checks!$R$199),TEXT(Checks!$R$199,"DD-MMM-YY HH:MM"),"")&amp;" "&amp;Checks!$P$199</f>
        <v/>
      </c>
      <c r="D59" s="124">
        <f>IF(Checks!$U$199="","",Checks!$U$199)&amp;IF(Checks!$AB$199="","",CHAR(10)&amp;"CA: "&amp;Checks!$AB$199)</f>
        <v/>
      </c>
      <c r="E59" s="124">
        <f>IF(Checks!$V$199="","",Checks!$V$199)&amp;IF(Checks!$AC$199="","",IF(Checks!$V$199="","",CHAR(10))&amp;"N/A just.: "&amp;Checks!$AC$199)&amp;IF(Checks!$W$199="","",CHAR(10)&amp;"Batch: "&amp;Checks!$W$199)&amp;IF(AND(Checks!$X$199="",Checks!$Y$199=""),"",CHAR(10)&amp;"Exp: "&amp;Checks!$X$199&amp;"  /  Act: "&amp;Checks!$Y$199)</f>
        <v/>
      </c>
      <c r="F59" s="124">
        <f>IF(Checks!$Z$199="","","Evidence: "&amp;Checks!$Z$199)&amp;IF(Checks!$AA$199="","",IF(Checks!$Z$199="","",CHAR(10))&amp;"CA: "&amp;Checks!$AA$199)</f>
        <v/>
      </c>
      <c r="G59" s="124">
        <f>IF(ISNUMBER(Checks!$AD$199),TEXT(Checks!$AD$199,"DD-MMM-YY HH:MM")&amp;" "&amp;Checks!$P$199,"")&amp;IF(Checks!$AE$199="","",CHAR(10)&amp;Checks!$AE$199)</f>
        <v/>
      </c>
      <c r="H59" s="125">
        <f>IF(Checks!$AH$199="","",Checks!$AH$199)</f>
        <v/>
      </c>
    </row>
    <row r="60" ht="81" customHeight="1">
      <c r="A60" s="124">
        <f>Checks!$A$200&amp;CHAR(10)&amp;IF(Checks!$I$200="","",Checks!$I$200&amp;": ")&amp;Checks!$J$200</f>
        <v/>
      </c>
      <c r="B60" s="124">
        <f>Checks!$K$200&amp;IF(Checks!$O$200="","",IF(Checks!$K$200="","",CHAR(10))&amp;"Note: "&amp;Checks!$O$200)</f>
        <v/>
      </c>
      <c r="C60" s="124">
        <f>Checks!$N$200&amp;CHAR(10)&amp;IF(ISNUMBER(Checks!$R$200),TEXT(Checks!$R$200,"DD-MMM-YY HH:MM"),"")&amp;" "&amp;Checks!$P$200</f>
        <v/>
      </c>
      <c r="D60" s="124">
        <f>IF(Checks!$U$200="","",Checks!$U$200)&amp;IF(Checks!$AB$200="","",CHAR(10)&amp;"CA: "&amp;Checks!$AB$200)</f>
        <v/>
      </c>
      <c r="E60" s="124">
        <f>IF(Checks!$V$200="","",Checks!$V$200)&amp;IF(Checks!$AC$200="","",IF(Checks!$V$200="","",CHAR(10))&amp;"N/A just.: "&amp;Checks!$AC$200)&amp;IF(Checks!$W$200="","",CHAR(10)&amp;"Batch: "&amp;Checks!$W$200)&amp;IF(AND(Checks!$X$200="",Checks!$Y$200=""),"",CHAR(10)&amp;"Exp: "&amp;Checks!$X$200&amp;"  /  Act: "&amp;Checks!$Y$200)</f>
        <v/>
      </c>
      <c r="F60" s="124">
        <f>IF(Checks!$Z$200="","","Evidence: "&amp;Checks!$Z$200)&amp;IF(Checks!$AA$200="","",IF(Checks!$Z$200="","",CHAR(10))&amp;"CA: "&amp;Checks!$AA$200)</f>
        <v/>
      </c>
      <c r="G60" s="124">
        <f>IF(ISNUMBER(Checks!$AD$200),TEXT(Checks!$AD$200,"DD-MMM-YY HH:MM")&amp;" "&amp;Checks!$P$200,"")&amp;IF(Checks!$AE$200="","",CHAR(10)&amp;Checks!$AE$200)</f>
        <v/>
      </c>
      <c r="H60" s="125">
        <f>IF(Checks!$AH$200="","",Checks!$AH$200)</f>
        <v/>
      </c>
    </row>
    <row r="61" ht="81" customHeight="1">
      <c r="A61" s="124">
        <f>Checks!$A$201&amp;CHAR(10)&amp;IF(Checks!$I$201="","",Checks!$I$201&amp;": ")&amp;Checks!$J$201</f>
        <v/>
      </c>
      <c r="B61" s="124">
        <f>Checks!$K$201&amp;IF(Checks!$O$201="","",IF(Checks!$K$201="","",CHAR(10))&amp;"Note: "&amp;Checks!$O$201)</f>
        <v/>
      </c>
      <c r="C61" s="124">
        <f>Checks!$N$201&amp;CHAR(10)&amp;IF(ISNUMBER(Checks!$R$201),TEXT(Checks!$R$201,"DD-MMM-YY HH:MM"),"")&amp;" "&amp;Checks!$P$201</f>
        <v/>
      </c>
      <c r="D61" s="124">
        <f>IF(Checks!$U$201="","",Checks!$U$201)&amp;IF(Checks!$AB$201="","",CHAR(10)&amp;"CA: "&amp;Checks!$AB$201)</f>
        <v/>
      </c>
      <c r="E61" s="124">
        <f>IF(Checks!$V$201="","",Checks!$V$201)&amp;IF(Checks!$AC$201="","",IF(Checks!$V$201="","",CHAR(10))&amp;"N/A just.: "&amp;Checks!$AC$201)&amp;IF(Checks!$W$201="","",CHAR(10)&amp;"Batch: "&amp;Checks!$W$201)&amp;IF(AND(Checks!$X$201="",Checks!$Y$201=""),"",CHAR(10)&amp;"Exp: "&amp;Checks!$X$201&amp;"  /  Act: "&amp;Checks!$Y$201)</f>
        <v/>
      </c>
      <c r="F61" s="124">
        <f>IF(Checks!$Z$201="","","Evidence: "&amp;Checks!$Z$201)&amp;IF(Checks!$AA$201="","",IF(Checks!$Z$201="","",CHAR(10))&amp;"CA: "&amp;Checks!$AA$201)</f>
        <v/>
      </c>
      <c r="G61" s="124">
        <f>IF(ISNUMBER(Checks!$AD$201),TEXT(Checks!$AD$201,"DD-MMM-YY HH:MM")&amp;" "&amp;Checks!$P$201,"")&amp;IF(Checks!$AE$201="","",CHAR(10)&amp;Checks!$AE$201)</f>
        <v/>
      </c>
      <c r="H61" s="125">
        <f>IF(Checks!$AH$201="","",Checks!$AH$201)</f>
        <v/>
      </c>
    </row>
    <row r="62" ht="81" customHeight="1">
      <c r="A62" s="124">
        <f>Checks!$A$202&amp;CHAR(10)&amp;IF(Checks!$I$202="","",Checks!$I$202&amp;": ")&amp;Checks!$J$202</f>
        <v/>
      </c>
      <c r="B62" s="124">
        <f>Checks!$K$202&amp;IF(Checks!$O$202="","",IF(Checks!$K$202="","",CHAR(10))&amp;"Note: "&amp;Checks!$O$202)</f>
        <v/>
      </c>
      <c r="C62" s="124">
        <f>Checks!$N$202&amp;CHAR(10)&amp;IF(ISNUMBER(Checks!$R$202),TEXT(Checks!$R$202,"DD-MMM-YY HH:MM"),"")&amp;" "&amp;Checks!$P$202</f>
        <v/>
      </c>
      <c r="D62" s="124">
        <f>IF(Checks!$U$202="","",Checks!$U$202)&amp;IF(Checks!$AB$202="","",CHAR(10)&amp;"CA: "&amp;Checks!$AB$202)</f>
        <v/>
      </c>
      <c r="E62" s="124">
        <f>IF(Checks!$V$202="","",Checks!$V$202)&amp;IF(Checks!$AC$202="","",IF(Checks!$V$202="","",CHAR(10))&amp;"N/A just.: "&amp;Checks!$AC$202)&amp;IF(Checks!$W$202="","",CHAR(10)&amp;"Batch: "&amp;Checks!$W$202)&amp;IF(AND(Checks!$X$202="",Checks!$Y$202=""),"",CHAR(10)&amp;"Exp: "&amp;Checks!$X$202&amp;"  /  Act: "&amp;Checks!$Y$202)</f>
        <v/>
      </c>
      <c r="F62" s="124">
        <f>IF(Checks!$Z$202="","","Evidence: "&amp;Checks!$Z$202)&amp;IF(Checks!$AA$202="","",IF(Checks!$Z$202="","",CHAR(10))&amp;"CA: "&amp;Checks!$AA$202)</f>
        <v/>
      </c>
      <c r="G62" s="124">
        <f>IF(ISNUMBER(Checks!$AD$202),TEXT(Checks!$AD$202,"DD-MMM-YY HH:MM")&amp;" "&amp;Checks!$P$202,"")&amp;IF(Checks!$AE$202="","",CHAR(10)&amp;Checks!$AE$202)</f>
        <v/>
      </c>
      <c r="H62" s="125">
        <f>IF(Checks!$AH$202="","",Checks!$AH$202)</f>
        <v/>
      </c>
    </row>
    <row r="63" ht="81" customHeight="1">
      <c r="A63" s="124">
        <f>Checks!$A$203&amp;CHAR(10)&amp;IF(Checks!$I$203="","",Checks!$I$203&amp;": ")&amp;Checks!$J$203</f>
        <v/>
      </c>
      <c r="B63" s="124">
        <f>Checks!$K$203&amp;IF(Checks!$O$203="","",IF(Checks!$K$203="","",CHAR(10))&amp;"Note: "&amp;Checks!$O$203)</f>
        <v/>
      </c>
      <c r="C63" s="124">
        <f>Checks!$N$203&amp;CHAR(10)&amp;IF(ISNUMBER(Checks!$R$203),TEXT(Checks!$R$203,"DD-MMM-YY HH:MM"),"")&amp;" "&amp;Checks!$P$203</f>
        <v/>
      </c>
      <c r="D63" s="124">
        <f>IF(Checks!$U$203="","",Checks!$U$203)&amp;IF(Checks!$AB$203="","",CHAR(10)&amp;"CA: "&amp;Checks!$AB$203)</f>
        <v/>
      </c>
      <c r="E63" s="124">
        <f>IF(Checks!$V$203="","",Checks!$V$203)&amp;IF(Checks!$AC$203="","",IF(Checks!$V$203="","",CHAR(10))&amp;"N/A just.: "&amp;Checks!$AC$203)&amp;IF(Checks!$W$203="","",CHAR(10)&amp;"Batch: "&amp;Checks!$W$203)&amp;IF(AND(Checks!$X$203="",Checks!$Y$203=""),"",CHAR(10)&amp;"Exp: "&amp;Checks!$X$203&amp;"  /  Act: "&amp;Checks!$Y$203)</f>
        <v/>
      </c>
      <c r="F63" s="124">
        <f>IF(Checks!$Z$203="","","Evidence: "&amp;Checks!$Z$203)&amp;IF(Checks!$AA$203="","",IF(Checks!$Z$203="","",CHAR(10))&amp;"CA: "&amp;Checks!$AA$203)</f>
        <v/>
      </c>
      <c r="G63" s="124">
        <f>IF(ISNUMBER(Checks!$AD$203),TEXT(Checks!$AD$203,"DD-MMM-YY HH:MM")&amp;" "&amp;Checks!$P$203,"")&amp;IF(Checks!$AE$203="","",CHAR(10)&amp;Checks!$AE$203)</f>
        <v/>
      </c>
      <c r="H63" s="125">
        <f>IF(Checks!$AH$203="","",Checks!$AH$203)</f>
        <v/>
      </c>
    </row>
    <row r="64" ht="81" customHeight="1">
      <c r="A64" s="124">
        <f>Checks!$A$204&amp;CHAR(10)&amp;IF(Checks!$I$204="","",Checks!$I$204&amp;": ")&amp;Checks!$J$204</f>
        <v/>
      </c>
      <c r="B64" s="124">
        <f>Checks!$K$204&amp;IF(Checks!$O$204="","",IF(Checks!$K$204="","",CHAR(10))&amp;"Note: "&amp;Checks!$O$204)</f>
        <v/>
      </c>
      <c r="C64" s="124">
        <f>Checks!$N$204&amp;CHAR(10)&amp;IF(ISNUMBER(Checks!$R$204),TEXT(Checks!$R$204,"DD-MMM-YY HH:MM"),"")&amp;" "&amp;Checks!$P$204</f>
        <v/>
      </c>
      <c r="D64" s="124">
        <f>IF(Checks!$U$204="","",Checks!$U$204)&amp;IF(Checks!$AB$204="","",CHAR(10)&amp;"CA: "&amp;Checks!$AB$204)</f>
        <v/>
      </c>
      <c r="E64" s="124">
        <f>IF(Checks!$V$204="","",Checks!$V$204)&amp;IF(Checks!$AC$204="","",IF(Checks!$V$204="","",CHAR(10))&amp;"N/A just.: "&amp;Checks!$AC$204)&amp;IF(Checks!$W$204="","",CHAR(10)&amp;"Batch: "&amp;Checks!$W$204)&amp;IF(AND(Checks!$X$204="",Checks!$Y$204=""),"",CHAR(10)&amp;"Exp: "&amp;Checks!$X$204&amp;"  /  Act: "&amp;Checks!$Y$204)</f>
        <v/>
      </c>
      <c r="F64" s="124">
        <f>IF(Checks!$Z$204="","","Evidence: "&amp;Checks!$Z$204)&amp;IF(Checks!$AA$204="","",IF(Checks!$Z$204="","",CHAR(10))&amp;"CA: "&amp;Checks!$AA$204)</f>
        <v/>
      </c>
      <c r="G64" s="124">
        <f>IF(ISNUMBER(Checks!$AD$204),TEXT(Checks!$AD$204,"DD-MMM-YY HH:MM")&amp;" "&amp;Checks!$P$204,"")&amp;IF(Checks!$AE$204="","",CHAR(10)&amp;Checks!$AE$204)</f>
        <v/>
      </c>
      <c r="H64" s="125">
        <f>IF(Checks!$AH$204="","",Checks!$AH$204)</f>
        <v/>
      </c>
    </row>
    <row r="65" ht="81" customHeight="1">
      <c r="A65" s="124">
        <f>Checks!$A$205&amp;CHAR(10)&amp;IF(Checks!$I$205="","",Checks!$I$205&amp;": ")&amp;Checks!$J$205</f>
        <v/>
      </c>
      <c r="B65" s="124">
        <f>Checks!$K$205&amp;IF(Checks!$O$205="","",IF(Checks!$K$205="","",CHAR(10))&amp;"Note: "&amp;Checks!$O$205)</f>
        <v/>
      </c>
      <c r="C65" s="124">
        <f>Checks!$N$205&amp;CHAR(10)&amp;IF(ISNUMBER(Checks!$R$205),TEXT(Checks!$R$205,"DD-MMM-YY HH:MM"),"")&amp;" "&amp;Checks!$P$205</f>
        <v/>
      </c>
      <c r="D65" s="124">
        <f>IF(Checks!$U$205="","",Checks!$U$205)&amp;IF(Checks!$AB$205="","",CHAR(10)&amp;"CA: "&amp;Checks!$AB$205)</f>
        <v/>
      </c>
      <c r="E65" s="124">
        <f>IF(Checks!$V$205="","",Checks!$V$205)&amp;IF(Checks!$AC$205="","",IF(Checks!$V$205="","",CHAR(10))&amp;"N/A just.: "&amp;Checks!$AC$205)&amp;IF(Checks!$W$205="","",CHAR(10)&amp;"Batch: "&amp;Checks!$W$205)&amp;IF(AND(Checks!$X$205="",Checks!$Y$205=""),"",CHAR(10)&amp;"Exp: "&amp;Checks!$X$205&amp;"  /  Act: "&amp;Checks!$Y$205)</f>
        <v/>
      </c>
      <c r="F65" s="124">
        <f>IF(Checks!$Z$205="","","Evidence: "&amp;Checks!$Z$205)&amp;IF(Checks!$AA$205="","",IF(Checks!$Z$205="","",CHAR(10))&amp;"CA: "&amp;Checks!$AA$205)</f>
        <v/>
      </c>
      <c r="G65" s="124">
        <f>IF(ISNUMBER(Checks!$AD$205),TEXT(Checks!$AD$205,"DD-MMM-YY HH:MM")&amp;" "&amp;Checks!$P$205,"")&amp;IF(Checks!$AE$205="","",CHAR(10)&amp;Checks!$AE$205)</f>
        <v/>
      </c>
      <c r="H65" s="125">
        <f>IF(Checks!$AH$205="","",Checks!$AH$205)</f>
        <v/>
      </c>
    </row>
    <row r="66" ht="81" customHeight="1">
      <c r="A66" s="124">
        <f>Checks!$A$206&amp;CHAR(10)&amp;IF(Checks!$I$206="","",Checks!$I$206&amp;": ")&amp;Checks!$J$206</f>
        <v/>
      </c>
      <c r="B66" s="124">
        <f>Checks!$K$206&amp;IF(Checks!$O$206="","",IF(Checks!$K$206="","",CHAR(10))&amp;"Note: "&amp;Checks!$O$206)</f>
        <v/>
      </c>
      <c r="C66" s="124">
        <f>Checks!$N$206&amp;CHAR(10)&amp;IF(ISNUMBER(Checks!$R$206),TEXT(Checks!$R$206,"DD-MMM-YY HH:MM"),"")&amp;" "&amp;Checks!$P$206</f>
        <v/>
      </c>
      <c r="D66" s="124">
        <f>IF(Checks!$U$206="","",Checks!$U$206)&amp;IF(Checks!$AB$206="","",CHAR(10)&amp;"CA: "&amp;Checks!$AB$206)</f>
        <v/>
      </c>
      <c r="E66" s="124">
        <f>IF(Checks!$V$206="","",Checks!$V$206)&amp;IF(Checks!$AC$206="","",IF(Checks!$V$206="","",CHAR(10))&amp;"N/A just.: "&amp;Checks!$AC$206)&amp;IF(Checks!$W$206="","",CHAR(10)&amp;"Batch: "&amp;Checks!$W$206)&amp;IF(AND(Checks!$X$206="",Checks!$Y$206=""),"",CHAR(10)&amp;"Exp: "&amp;Checks!$X$206&amp;"  /  Act: "&amp;Checks!$Y$206)</f>
        <v/>
      </c>
      <c r="F66" s="124">
        <f>IF(Checks!$Z$206="","","Evidence: "&amp;Checks!$Z$206)&amp;IF(Checks!$AA$206="","",IF(Checks!$Z$206="","",CHAR(10))&amp;"CA: "&amp;Checks!$AA$206)</f>
        <v/>
      </c>
      <c r="G66" s="124">
        <f>IF(ISNUMBER(Checks!$AD$206),TEXT(Checks!$AD$206,"DD-MMM-YY HH:MM")&amp;" "&amp;Checks!$P$206,"")&amp;IF(Checks!$AE$206="","",CHAR(10)&amp;Checks!$AE$206)</f>
        <v/>
      </c>
      <c r="H66" s="125">
        <f>IF(Checks!$AH$206="","",Checks!$AH$206)</f>
        <v/>
      </c>
    </row>
    <row r="67" ht="81" customHeight="1">
      <c r="A67" s="124">
        <f>Checks!$A$207&amp;CHAR(10)&amp;IF(Checks!$I$207="","",Checks!$I$207&amp;": ")&amp;Checks!$J$207</f>
        <v/>
      </c>
      <c r="B67" s="124">
        <f>SUBSTITUTE(Checks!$K$207&amp;IF(Checks!$O$207="","",IF(Checks!$K$207="","",CHAR(10))&amp;"Note: "&amp;Checks!$O$207),"F&amp;B LINEN!","Ref: F&amp;B LINEN!")</f>
        <v/>
      </c>
      <c r="C67" s="124">
        <f>Checks!$N$207&amp;CHAR(10)&amp;IF(ISNUMBER(Checks!$R$207),TEXT(Checks!$R$207,"DD-MMM-YY HH:MM"),"")&amp;" "&amp;Checks!$P$207</f>
        <v/>
      </c>
      <c r="D67" s="124">
        <f>IF(Checks!$U$207="","",Checks!$U$207)&amp;IF(Checks!$AB$207="","",CHAR(10)&amp;"CA: "&amp;Checks!$AB$207)</f>
        <v/>
      </c>
      <c r="E67" s="124">
        <f>IF(Checks!$V$207="","",Checks!$V$207)&amp;IF(Checks!$AC$207="","",IF(Checks!$V$207="","",CHAR(10))&amp;"N/A just.: "&amp;Checks!$AC$207)&amp;IF(Checks!$W$207="","",CHAR(10)&amp;"Batch: "&amp;Checks!$W$207)&amp;IF(AND(Checks!$X$207="",Checks!$Y$207=""),"",CHAR(10)&amp;"Exp: "&amp;Checks!$X$207&amp;"  /  Act: "&amp;Checks!$Y$207)</f>
        <v/>
      </c>
      <c r="F67" s="124">
        <f>IF(Checks!$Z$207="","","Evidence: "&amp;Checks!$Z$207)&amp;IF(Checks!$AA$207="","",IF(Checks!$Z$207="","",CHAR(10))&amp;"CA: "&amp;Checks!$AA$207)</f>
        <v/>
      </c>
      <c r="G67" s="124">
        <f>IF(ISNUMBER(Checks!$AD$207),TEXT(Checks!$AD$207,"DD-MMM-YY HH:MM")&amp;" "&amp;Checks!$P$207,"")&amp;IF(Checks!$AE$207="","",CHAR(10)&amp;Checks!$AE$207)</f>
        <v/>
      </c>
      <c r="H67" s="125">
        <f>IF(Checks!$AH$207="","",Checks!$AH$207)</f>
        <v/>
      </c>
    </row>
    <row r="68" ht="81" customHeight="1">
      <c r="A68" s="124">
        <f>Checks!$A$208&amp;CHAR(10)&amp;IF(Checks!$I$208="","",Checks!$I$208&amp;": ")&amp;Checks!$J$208</f>
        <v/>
      </c>
      <c r="B68" s="124">
        <f>Checks!$K$208&amp;IF(Checks!$O$208="","",IF(Checks!$K$208="","",CHAR(10))&amp;"Note: "&amp;Checks!$O$208)</f>
        <v/>
      </c>
      <c r="C68" s="124">
        <f>Checks!$N$208&amp;CHAR(10)&amp;IF(ISNUMBER(Checks!$R$208),TEXT(Checks!$R$208,"DD-MMM-YY HH:MM"),"")&amp;" "&amp;Checks!$P$208</f>
        <v/>
      </c>
      <c r="D68" s="124">
        <f>IF(Checks!$U$208="","",Checks!$U$208)&amp;IF(Checks!$AB$208="","",CHAR(10)&amp;"CA: "&amp;Checks!$AB$208)</f>
        <v/>
      </c>
      <c r="E68" s="124">
        <f>IF(Checks!$V$208="","",Checks!$V$208)&amp;IF(Checks!$AC$208="","",IF(Checks!$V$208="","",CHAR(10))&amp;"N/A just.: "&amp;Checks!$AC$208)&amp;IF(Checks!$W$208="","",CHAR(10)&amp;"Batch: "&amp;Checks!$W$208)&amp;IF(AND(Checks!$X$208="",Checks!$Y$208=""),"",CHAR(10)&amp;"Exp: "&amp;Checks!$X$208&amp;"  /  Act: "&amp;Checks!$Y$208)</f>
        <v/>
      </c>
      <c r="F68" s="124">
        <f>IF(Checks!$Z$208="","","Evidence: "&amp;Checks!$Z$208)&amp;IF(Checks!$AA$208="","",IF(Checks!$Z$208="","",CHAR(10))&amp;"CA: "&amp;Checks!$AA$208)</f>
        <v/>
      </c>
      <c r="G68" s="124">
        <f>IF(ISNUMBER(Checks!$AD$208),TEXT(Checks!$AD$208,"DD-MMM-YY HH:MM")&amp;" "&amp;Checks!$P$208,"")&amp;IF(Checks!$AE$208="","",CHAR(10)&amp;Checks!$AE$208)</f>
        <v/>
      </c>
      <c r="H68" s="125">
        <f>IF(Checks!$AH$208="","",Checks!$AH$208)</f>
        <v/>
      </c>
    </row>
    <row r="69" ht="81" customHeight="1">
      <c r="A69" s="124">
        <f>Checks!$A$209&amp;CHAR(10)&amp;IF(Checks!$I$209="","",Checks!$I$209&amp;": ")&amp;Checks!$J$209</f>
        <v/>
      </c>
      <c r="B69" s="124">
        <f>Checks!$K$209&amp;IF(Checks!$O$209="","",IF(Checks!$K$209="","",CHAR(10))&amp;"Note: "&amp;Checks!$O$209)</f>
        <v/>
      </c>
      <c r="C69" s="124">
        <f>Checks!$N$209&amp;CHAR(10)&amp;IF(ISNUMBER(Checks!$R$209),TEXT(Checks!$R$209,"DD-MMM-YY HH:MM"),"")&amp;" "&amp;Checks!$P$209</f>
        <v/>
      </c>
      <c r="D69" s="124">
        <f>IF(Checks!$U$209="","",Checks!$U$209)&amp;IF(Checks!$AB$209="","",CHAR(10)&amp;"CA: "&amp;Checks!$AB$209)</f>
        <v/>
      </c>
      <c r="E69" s="124">
        <f>IF(Checks!$V$209="","",Checks!$V$209)&amp;IF(Checks!$AC$209="","",IF(Checks!$V$209="","",CHAR(10))&amp;"N/A just.: "&amp;Checks!$AC$209)&amp;IF(Checks!$W$209="","",CHAR(10)&amp;"Batch: "&amp;Checks!$W$209)&amp;IF(AND(Checks!$X$209="",Checks!$Y$209=""),"",CHAR(10)&amp;"Exp: "&amp;Checks!$X$209&amp;"  /  Act: "&amp;Checks!$Y$209)</f>
        <v/>
      </c>
      <c r="F69" s="124">
        <f>IF(Checks!$Z$209="","","Evidence: "&amp;Checks!$Z$209)&amp;IF(Checks!$AA$209="","",IF(Checks!$Z$209="","",CHAR(10))&amp;"CA: "&amp;Checks!$AA$209)</f>
        <v/>
      </c>
      <c r="G69" s="124">
        <f>IF(ISNUMBER(Checks!$AD$209),TEXT(Checks!$AD$209,"DD-MMM-YY HH:MM")&amp;" "&amp;Checks!$P$209,"")&amp;IF(Checks!$AE$209="","",CHAR(10)&amp;Checks!$AE$209)</f>
        <v/>
      </c>
      <c r="H69" s="125">
        <f>IF(Checks!$AH$209="","",Checks!$AH$209)</f>
        <v/>
      </c>
    </row>
    <row r="70" ht="81" customHeight="1">
      <c r="A70" s="124">
        <f>Checks!$A$210&amp;CHAR(10)&amp;IF(Checks!$I$210="","",Checks!$I$210&amp;": ")&amp;Checks!$J$210</f>
        <v/>
      </c>
      <c r="B70" s="124">
        <f>Checks!$K$210&amp;IF(Checks!$O$210="","",IF(Checks!$K$210="","",CHAR(10))&amp;"Note: "&amp;Checks!$O$210)</f>
        <v/>
      </c>
      <c r="C70" s="124">
        <f>Checks!$N$210&amp;CHAR(10)&amp;IF(ISNUMBER(Checks!$R$210),TEXT(Checks!$R$210,"DD-MMM-YY HH:MM"),"")&amp;" "&amp;Checks!$P$210</f>
        <v/>
      </c>
      <c r="D70" s="124">
        <f>IF(Checks!$U$210="","",Checks!$U$210)&amp;IF(Checks!$AB$210="","",CHAR(10)&amp;"CA: "&amp;Checks!$AB$210)</f>
        <v/>
      </c>
      <c r="E70" s="124">
        <f>IF(Checks!$V$210="","",Checks!$V$210)&amp;IF(Checks!$AC$210="","",IF(Checks!$V$210="","",CHAR(10))&amp;"N/A just.: "&amp;Checks!$AC$210)&amp;IF(Checks!$W$210="","",CHAR(10)&amp;"Batch: "&amp;Checks!$W$210)&amp;IF(AND(Checks!$X$210="",Checks!$Y$210=""),"",CHAR(10)&amp;"Exp: "&amp;Checks!$X$210&amp;"  /  Act: "&amp;Checks!$Y$210)</f>
        <v/>
      </c>
      <c r="F70" s="124">
        <f>IF(Checks!$Z$210="","","Evidence: "&amp;Checks!$Z$210)&amp;IF(Checks!$AA$210="","",IF(Checks!$Z$210="","",CHAR(10))&amp;"CA: "&amp;Checks!$AA$210)</f>
        <v/>
      </c>
      <c r="G70" s="124">
        <f>IF(ISNUMBER(Checks!$AD$210),TEXT(Checks!$AD$210,"DD-MMM-YY HH:MM")&amp;" "&amp;Checks!$P$210,"")&amp;IF(Checks!$AE$210="","",CHAR(10)&amp;Checks!$AE$210)</f>
        <v/>
      </c>
      <c r="H70" s="125">
        <f>IF(Checks!$AH$210="","",Checks!$AH$210)</f>
        <v/>
      </c>
    </row>
    <row r="71" ht="81" customHeight="1">
      <c r="A71" s="124">
        <f>Checks!$A$211&amp;CHAR(10)&amp;IF(Checks!$I$211="","",Checks!$I$211&amp;": ")&amp;Checks!$J$211</f>
        <v/>
      </c>
      <c r="B71" s="124">
        <f>Checks!$K$211&amp;IF(Checks!$O$211="","",IF(Checks!$K$211="","",CHAR(10))&amp;"Note: "&amp;Checks!$O$211)</f>
        <v/>
      </c>
      <c r="C71" s="124">
        <f>Checks!$N$211&amp;CHAR(10)&amp;IF(ISNUMBER(Checks!$R$211),TEXT(Checks!$R$211,"DD-MMM-YY HH:MM"),"")&amp;" "&amp;Checks!$P$211</f>
        <v/>
      </c>
      <c r="D71" s="124">
        <f>IF(Checks!$U$211="","",Checks!$U$211)&amp;IF(Checks!$AB$211="","",CHAR(10)&amp;"CA: "&amp;Checks!$AB$211)</f>
        <v/>
      </c>
      <c r="E71" s="124">
        <f>IF(Checks!$V$211="","",Checks!$V$211)&amp;IF(Checks!$AC$211="","",IF(Checks!$V$211="","",CHAR(10))&amp;"N/A just.: "&amp;Checks!$AC$211)&amp;IF(Checks!$W$211="","",CHAR(10)&amp;"Batch: "&amp;Checks!$W$211)&amp;IF(AND(Checks!$X$211="",Checks!$Y$211=""),"",CHAR(10)&amp;"Exp: "&amp;Checks!$X$211&amp;"  /  Act: "&amp;Checks!$Y$211)</f>
        <v/>
      </c>
      <c r="F71" s="124">
        <f>IF(Checks!$Z$211="","","Evidence: "&amp;Checks!$Z$211)&amp;IF(Checks!$AA$211="","",IF(Checks!$Z$211="","",CHAR(10))&amp;"CA: "&amp;Checks!$AA$211)</f>
        <v/>
      </c>
      <c r="G71" s="124">
        <f>IF(ISNUMBER(Checks!$AD$211),TEXT(Checks!$AD$211,"DD-MMM-YY HH:MM")&amp;" "&amp;Checks!$P$211,"")&amp;IF(Checks!$AE$211="","",CHAR(10)&amp;Checks!$AE$211)</f>
        <v/>
      </c>
      <c r="H71" s="125">
        <f>IF(Checks!$AH$211="","",Checks!$AH$211)</f>
        <v/>
      </c>
    </row>
    <row r="72" ht="81" customHeight="1">
      <c r="A72" s="124">
        <f>Checks!$A$212&amp;CHAR(10)&amp;IF(Checks!$I$212="","",Checks!$I$212&amp;": ")&amp;Checks!$J$212</f>
        <v/>
      </c>
      <c r="B72" s="124">
        <f>Checks!$K$212&amp;IF(Checks!$O$212="","",IF(Checks!$K$212="","",CHAR(10))&amp;"Note: "&amp;Checks!$O$212)</f>
        <v/>
      </c>
      <c r="C72" s="124">
        <f>Checks!$N$212&amp;CHAR(10)&amp;IF(ISNUMBER(Checks!$R$212),TEXT(Checks!$R$212,"DD-MMM-YY HH:MM"),"")&amp;" "&amp;Checks!$P$212</f>
        <v/>
      </c>
      <c r="D72" s="124">
        <f>IF(Checks!$U$212="","",Checks!$U$212)&amp;IF(Checks!$AB$212="","",CHAR(10)&amp;"CA: "&amp;Checks!$AB$212)</f>
        <v/>
      </c>
      <c r="E72" s="124">
        <f>IF(Checks!$V$212="","",Checks!$V$212)&amp;IF(Checks!$AC$212="","",IF(Checks!$V$212="","",CHAR(10))&amp;"N/A just.: "&amp;Checks!$AC$212)&amp;IF(Checks!$W$212="","",CHAR(10)&amp;"Batch: "&amp;Checks!$W$212)&amp;IF(AND(Checks!$X$212="",Checks!$Y$212=""),"",CHAR(10)&amp;"Exp: "&amp;Checks!$X$212&amp;"  /  Act: "&amp;Checks!$Y$212)</f>
        <v/>
      </c>
      <c r="F72" s="124">
        <f>IF(Checks!$Z$212="","","Evidence: "&amp;Checks!$Z$212)&amp;IF(Checks!$AA$212="","",IF(Checks!$Z$212="","",CHAR(10))&amp;"CA: "&amp;Checks!$AA$212)</f>
        <v/>
      </c>
      <c r="G72" s="124">
        <f>IF(ISNUMBER(Checks!$AD$212),TEXT(Checks!$AD$212,"DD-MMM-YY HH:MM")&amp;" "&amp;Checks!$P$212,"")&amp;IF(Checks!$AE$212="","",CHAR(10)&amp;Checks!$AE$212)</f>
        <v/>
      </c>
      <c r="H72" s="125">
        <f>IF(Checks!$AH$212="","",Checks!$AH$212)</f>
        <v/>
      </c>
    </row>
    <row r="74" ht="24" customHeight="1">
      <c r="A74" s="126" t="inlineStr">
        <is>
          <t>EXCEL INSERTION AREA (on-screen only, not printed) – A1 Galley Loading Diagram: Insert &gt; Picture here. On paper: staple behind this sheet as page A1.</t>
        </is>
      </c>
      <c r="B74" s="127" t="n"/>
      <c r="C74" s="127" t="n"/>
      <c r="D74" s="128" t="n"/>
      <c r="E74" s="126" t="inlineStr">
        <is>
          <t>EXCEL INSERTION AREA (on-screen only, not printed) – A2 Menu Checklist: Insert &gt; Picture here. On paper: staple behind this sheet as page A2.</t>
        </is>
      </c>
      <c r="F74" s="127" t="n"/>
      <c r="G74" s="127" t="n"/>
      <c r="H74" s="128" t="n"/>
    </row>
    <row r="75" ht="22" customHeight="1">
      <c r="A75" s="129" t="n"/>
      <c r="B75" s="130" t="n"/>
      <c r="C75" s="130" t="n"/>
      <c r="D75" s="131" t="n"/>
      <c r="E75" s="129" t="n"/>
      <c r="F75" s="130" t="n"/>
      <c r="G75" s="130" t="n"/>
      <c r="H75" s="131" t="n"/>
    </row>
    <row r="76" ht="22" customHeight="1">
      <c r="A76" s="132" t="n"/>
      <c r="B76" s="130" t="n"/>
      <c r="C76" s="130" t="n"/>
      <c r="D76" s="131" t="n"/>
      <c r="E76" s="132" t="n"/>
      <c r="F76" s="130" t="n"/>
      <c r="G76" s="130" t="n"/>
      <c r="H76" s="131" t="n"/>
    </row>
    <row r="77" ht="22" customHeight="1">
      <c r="A77" s="132" t="n"/>
      <c r="B77" s="130" t="n"/>
      <c r="C77" s="130" t="n"/>
      <c r="D77" s="131" t="n"/>
      <c r="E77" s="132"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2" t="n"/>
      <c r="B80" s="130" t="n"/>
      <c r="C80" s="130" t="n"/>
      <c r="D80" s="131" t="n"/>
      <c r="E80" s="132" t="n"/>
      <c r="F80" s="130" t="n"/>
      <c r="G80" s="130" t="n"/>
      <c r="H80" s="131" t="n"/>
    </row>
    <row r="81" ht="22" customHeight="1">
      <c r="A81" s="132" t="n"/>
      <c r="B81" s="130" t="n"/>
      <c r="C81" s="130" t="n"/>
      <c r="D81" s="131" t="n"/>
      <c r="E81" s="132" t="n"/>
      <c r="F81" s="130" t="n"/>
      <c r="G81" s="130" t="n"/>
      <c r="H81" s="131" t="n"/>
    </row>
    <row r="82" ht="22" customHeight="1">
      <c r="A82" s="132" t="n"/>
      <c r="B82" s="130" t="n"/>
      <c r="C82" s="130" t="n"/>
      <c r="D82" s="131" t="n"/>
      <c r="E82" s="132" t="n"/>
      <c r="F82" s="130" t="n"/>
      <c r="G82" s="130" t="n"/>
      <c r="H82" s="131" t="n"/>
    </row>
    <row r="83" ht="22" customHeight="1">
      <c r="A83" s="132" t="n"/>
      <c r="B83" s="130" t="n"/>
      <c r="C83" s="130" t="n"/>
      <c r="D83" s="131" t="n"/>
      <c r="E83" s="132" t="n"/>
      <c r="F83" s="130" t="n"/>
      <c r="G83" s="130" t="n"/>
      <c r="H83" s="131" t="n"/>
    </row>
    <row r="84" ht="22" customHeight="1">
      <c r="A84" s="133" t="n"/>
      <c r="B84" s="134" t="n"/>
      <c r="C84" s="134" t="n"/>
      <c r="D84" s="135" t="n"/>
      <c r="E84" s="133" t="n"/>
      <c r="F84" s="134" t="n"/>
      <c r="G84" s="134" t="n"/>
      <c r="H84" s="135" t="n"/>
    </row>
  </sheetData>
  <mergeCells count="46">
    <mergeCell ref="B11:D11"/>
    <mergeCell ref="F18:H18"/>
    <mergeCell ref="C15:D15"/>
    <mergeCell ref="B8:D8"/>
    <mergeCell ref="G11:H11"/>
    <mergeCell ref="C14:D14"/>
    <mergeCell ref="F2:H2"/>
    <mergeCell ref="F17:H17"/>
    <mergeCell ref="A1:H1"/>
    <mergeCell ref="G8:H8"/>
    <mergeCell ref="E75:H84"/>
    <mergeCell ref="B10:D10"/>
    <mergeCell ref="G7:H7"/>
    <mergeCell ref="F13:H13"/>
    <mergeCell ref="B16:E16"/>
    <mergeCell ref="B9:D9"/>
    <mergeCell ref="C17:E17"/>
    <mergeCell ref="G6:H6"/>
    <mergeCell ref="A18:B18"/>
    <mergeCell ref="B6:D6"/>
    <mergeCell ref="G3:H3"/>
    <mergeCell ref="A56:H56"/>
    <mergeCell ref="B5:D5"/>
    <mergeCell ref="F14:H14"/>
    <mergeCell ref="C19:E19"/>
    <mergeCell ref="B4:D4"/>
    <mergeCell ref="G5:H5"/>
    <mergeCell ref="C18:E18"/>
    <mergeCell ref="A17:B17"/>
    <mergeCell ref="B7:D7"/>
    <mergeCell ref="A32:H32"/>
    <mergeCell ref="A75:D84"/>
    <mergeCell ref="A22:H22"/>
    <mergeCell ref="G4:H4"/>
    <mergeCell ref="F16:H16"/>
    <mergeCell ref="B3:D3"/>
    <mergeCell ref="F19:H19"/>
    <mergeCell ref="A74:D74"/>
    <mergeCell ref="A12:D12"/>
    <mergeCell ref="A19:B19"/>
    <mergeCell ref="A20:H20"/>
    <mergeCell ref="E74:H74"/>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72">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72">
    <cfRule type="expression" priority="16" dxfId="20">
      <formula>LEFT($H23,3)="N/A"</formula>
    </cfRule>
  </conditionalFormatting>
  <conditionalFormatting sqref="D23:D72">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F06 MH0002 15-Oct-26 KUL-LHR Class BC</oddHeader>
    <oddFooter>&amp;L&amp;"Arial,Bold"&amp;8 F06 MH0002 15-Oct-26 KUL-LHR Class BC&amp;C&amp;"Arial"&amp;8 Printed: ____________________&amp;R&amp;"Arial"&amp;8 F06  Page &amp;P of &amp;N</oddFooter>
    <evenHeader/>
    <evenFooter/>
    <firstHeader/>
    <firstFooter/>
  </headerFooter>
  <rowBreaks count="3" manualBreakCount="3">
    <brk id="20" min="0" max="16383" man="1"/>
    <brk id="33" min="0" max="16383" man="1"/>
    <brk id="55" min="0" max="16383" man="1"/>
  </rowBreaks>
</worksheet>
</file>

<file path=xl/worksheets/sheet15.xml><?xml version="1.0" encoding="utf-8"?>
<worksheet xmlns="http://schemas.openxmlformats.org/spreadsheetml/2006/main">
  <sheetPr>
    <tabColor rgb="001F3864"/>
    <outlinePr summaryBelow="1" summaryRight="1"/>
    <pageSetUpPr fitToPage="1"/>
  </sheetPr>
  <dimension ref="A1:H86"/>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F07  "&amp;Flights!$F$11&amp;"  "&amp;TEXT(Flights!$D$11,"DD-MMM-YY")&amp;" ("&amp;Flights!$E$11&amp;")  "&amp;Flights!$G$11&amp;" → "&amp;Flights!$H$11&amp;"  |  Class "&amp;Flights!$K$11</f>
        <v/>
      </c>
      <c r="B1" s="97" t="n"/>
      <c r="C1" s="97" t="n"/>
      <c r="D1" s="97" t="n"/>
      <c r="E1" s="97" t="n"/>
      <c r="F1" s="97" t="n"/>
      <c r="G1" s="97" t="n"/>
      <c r="H1" s="98" t="n"/>
    </row>
    <row r="2" ht="13" customHeight="1">
      <c r="A2" s="99" t="inlineStr">
        <is>
          <t>Flight / date</t>
        </is>
      </c>
      <c r="B2" s="100">
        <f>Flights!$F$11&amp;"   "&amp;TEXT(Flights!$D$11,"DD-MMM-YY")&amp;" ("&amp;Flights!$E$11&amp;")"</f>
        <v/>
      </c>
      <c r="C2" s="97" t="n"/>
      <c r="D2" s="98" t="n"/>
      <c r="E2" s="101" t="inlineStr">
        <is>
          <t>READINESS STATUS</t>
        </is>
      </c>
      <c r="F2" s="102">
        <f>Flights!$AT$11</f>
        <v/>
      </c>
      <c r="G2" s="97" t="n"/>
      <c r="H2" s="98" t="n"/>
    </row>
    <row r="3" ht="24" customHeight="1">
      <c r="A3" s="99" t="inlineStr">
        <is>
          <t>Sector / class / seat</t>
        </is>
      </c>
      <c r="B3" s="100">
        <f>Flights!$G$11&amp;" → "&amp;Flights!$H$11&amp;"   Class "&amp;Flights!$K$11&amp;"   Seat "&amp;Flights!$O$11</f>
        <v/>
      </c>
      <c r="C3" s="97" t="n"/>
      <c r="D3" s="98" t="n"/>
      <c r="E3" s="101" t="inlineStr">
        <is>
          <t>Checkpoint</t>
        </is>
      </c>
      <c r="F3" s="101" t="inlineStr">
        <is>
          <t>Due (local)</t>
        </is>
      </c>
      <c r="G3" s="103" t="inlineStr">
        <is>
          <t>% complete</t>
        </is>
      </c>
      <c r="H3" s="98" t="n"/>
    </row>
    <row r="4" ht="13" customHeight="1">
      <c r="A4" s="99" t="inlineStr">
        <is>
          <t>STD → STA (local)</t>
        </is>
      </c>
      <c r="B4" s="100">
        <f>IF(ISNUMBER(Flights!$I$11),TEXT(Flights!$I$11,"DD-MMM-YY HH:MM"),"")&amp;" "&amp;Flights!$G$11&amp;"  →  "&amp;IF(ISNUMBER(Flights!$J$11),TEXT(Flights!$J$11,"DD-MMM-YY HH:MM"),"")&amp;" "&amp;Flights!$H$11</f>
        <v/>
      </c>
      <c r="C4" s="97" t="n"/>
      <c r="D4" s="98" t="n"/>
      <c r="E4" s="99" t="inlineStr">
        <is>
          <t>T-7D – 7 days before departure</t>
        </is>
      </c>
      <c r="F4" s="104">
        <f>IF(ISNUMBER(Flights!$AG$11),TEXT(Flights!$AG$11,"DD-MMM-YY HH:MM"),"")&amp;" "&amp;Flights!$V$11</f>
        <v/>
      </c>
      <c r="G4" s="105">
        <f>Flights!$AJ$11</f>
        <v/>
      </c>
      <c r="H4" s="98" t="n"/>
    </row>
    <row r="5" ht="24" customHeight="1">
      <c r="A5" s="99" t="inlineStr">
        <is>
          <t>Fleet / aircraft ref</t>
        </is>
      </c>
      <c r="B5" s="100">
        <f>Flights!$L$11&amp;" – "&amp;Flights!$M$11</f>
        <v/>
      </c>
      <c r="C5" s="97" t="n"/>
      <c r="D5" s="98" t="n"/>
      <c r="E5" s="99" t="inlineStr">
        <is>
          <t>T-24H – production batch sensory</t>
        </is>
      </c>
      <c r="F5" s="104">
        <f>IF(ISNUMBER(Flights!$AH$11),TEXT(Flights!$AH$11,"DD-MMM-YY HH:MM"),"")&amp;" "&amp;Flights!$V$11</f>
        <v/>
      </c>
      <c r="G5" s="105">
        <f>Flights!$AK$11</f>
        <v/>
      </c>
      <c r="H5" s="98" t="n"/>
    </row>
    <row r="6" ht="13" customHeight="1">
      <c r="A6" s="99" t="inlineStr">
        <is>
          <t>Tail / Reg</t>
        </is>
      </c>
      <c r="B6" s="100">
        <f>IF(TRIM(Flights!$N$11)="","__________________",Flights!$N$11)</f>
        <v/>
      </c>
      <c r="C6" s="97" t="n"/>
      <c r="D6" s="98" t="n"/>
      <c r="E6" s="99" t="inlineStr">
        <is>
          <t>T-12H PREP – caterer prep only</t>
        </is>
      </c>
      <c r="F6" s="104">
        <f>IF(ISNUMBER(Flights!$AI$11),TEXT(Flights!$AI$11,"DD-MMM-YY HH:MM"),"")&amp;" "&amp;Flights!$V$11&amp;IF(Flights!$AI$11=Flights!$AH$11,"  (= T-24H due)","")</f>
        <v/>
      </c>
      <c r="G6" s="105">
        <f>Flights!$AL$11</f>
        <v/>
      </c>
      <c r="H6" s="98" t="n"/>
    </row>
    <row r="7" ht="13" customHeight="1">
      <c r="A7" s="99" t="inlineStr">
        <is>
          <t>Service type</t>
        </is>
      </c>
      <c r="B7" s="100">
        <f>Flights!$T$11</f>
        <v/>
      </c>
      <c r="C7" s="97" t="n"/>
      <c r="D7" s="98" t="n"/>
      <c r="E7" s="99" t="inlineStr">
        <is>
          <t>UPLIFT – on-board confirmation</t>
        </is>
      </c>
      <c r="F7" s="104">
        <f>"STD "&amp;IF(ISNUMBER(Flights!$I$11),TEXT(Flights!$I$11,"DD-MMM-YY HH:MM"),"")&amp;" "&amp;Flights!$G$11&amp;" (dep stn)"</f>
        <v/>
      </c>
      <c r="G7" s="105">
        <f>Flights!$AM$11</f>
        <v/>
      </c>
      <c r="H7" s="98" t="n"/>
    </row>
    <row r="8" ht="13" customHeight="1">
      <c r="A8" s="99" t="inlineStr">
        <is>
          <t>Meal uplift stn</t>
        </is>
      </c>
      <c r="B8" s="100">
        <f>Flights!$V$11&amp;"   (reference uplift stns: "&amp;Flights!$U$11&amp;")"</f>
        <v/>
      </c>
      <c r="C8" s="97" t="n"/>
      <c r="D8" s="98" t="n"/>
      <c r="E8" s="99" t="inlineStr">
        <is>
          <t>OVERALL (all checkpoints)</t>
        </is>
      </c>
      <c r="F8" s="106" t="inlineStr">
        <is>
          <t>–</t>
        </is>
      </c>
      <c r="G8" s="105">
        <f>Flights!$AN$11</f>
        <v/>
      </c>
      <c r="H8" s="98" t="n"/>
    </row>
    <row r="9" ht="13" customHeight="1">
      <c r="A9" s="99" t="inlineStr">
        <is>
          <t>Transit / remark</t>
        </is>
      </c>
      <c r="B9" s="100">
        <f>TRIM(Flights!$P$11&amp;"  "&amp;Flights!$Q$11)</f>
        <v/>
      </c>
      <c r="C9" s="97" t="n"/>
      <c r="D9" s="98" t="n"/>
      <c r="E9" s="99" t="inlineStr">
        <is>
          <t>Overdue / discrep. / invalid</t>
        </is>
      </c>
      <c r="F9" s="107">
        <f>Flights!$AP$11</f>
        <v/>
      </c>
      <c r="G9" s="107">
        <f>Flights!$AQ$11</f>
        <v/>
      </c>
      <c r="H9" s="107">
        <f>Flights!$AU$11</f>
        <v/>
      </c>
    </row>
    <row r="10" ht="13" customHeight="1">
      <c r="A10" s="99" t="inlineStr">
        <is>
          <t>Caterer</t>
        </is>
      </c>
      <c r="B10" s="100">
        <f>IF(TRIM(Flights!$X$11)="","__________________",Flights!$X$11)</f>
        <v/>
      </c>
      <c r="C10" s="97" t="n"/>
      <c r="D10" s="98" t="n"/>
      <c r="E10" s="99" t="inlineStr">
        <is>
          <t>Open reqd / clarif. / docs out</t>
        </is>
      </c>
      <c r="F10" s="107">
        <f>Flights!$AO$11</f>
        <v/>
      </c>
      <c r="G10" s="107">
        <f>Flights!$AS$11</f>
        <v/>
      </c>
      <c r="H10" s="107">
        <f>Flights!$AR$11</f>
        <v/>
      </c>
    </row>
    <row r="11" ht="13" customHeight="1">
      <c r="A11" s="99" t="inlineStr">
        <is>
          <t>Flight PIC</t>
        </is>
      </c>
      <c r="B11" s="100">
        <f>IF(TRIM(Flights!$Y$11)="","__________________",Flights!$Y$11)</f>
        <v/>
      </c>
      <c r="C11" s="97" t="n"/>
      <c r="D11" s="98" t="n"/>
      <c r="E11" s="99" t="inlineStr">
        <is>
          <t>Done / in scope | as of UTC</t>
        </is>
      </c>
      <c r="F11" s="107">
        <f>Flights!$AV$11&amp;" / "&amp;Flights!$AW$11</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IF(Documents!$F$11="","",Documents!$F$11)</f>
        <v/>
      </c>
      <c r="C14" s="115">
        <f>IF(Documents!$G$11="","",Documents!$G$11)&amp;IF(ISNUMBER(Documents!$H$11),"  "&amp;TEXT(Documents!$H$11,"DD-MMM-YY"),"")</f>
        <v/>
      </c>
      <c r="D14" s="98" t="n"/>
      <c r="E14" s="116">
        <f>IF(Documents!$J$11="OUTSTANDING","OUTSTANDING – attach before T-7D (due "&amp;IF(ISNUMBER(Flights!$AG$11),TEXT(Flights!$AG$11,"DD-MMM-YY HH:MM"),"")&amp;" "&amp;Flights!$V$11&amp;")",IF(Documents!$J$11="","Status not recorded",Documents!$J$11))</f>
        <v/>
      </c>
      <c r="F14" s="117">
        <f>"Staple behind this sheet as page A1."&amp;IF(Documents!$I$11="",""," Location: "&amp;Documents!$I$11)</f>
        <v/>
      </c>
      <c r="G14" s="97" t="n"/>
      <c r="H14" s="98" t="n"/>
    </row>
    <row r="15" ht="25" customHeight="1">
      <c r="A15" s="99" t="inlineStr">
        <is>
          <t>A2  Menu Checklist</t>
        </is>
      </c>
      <c r="B15" s="114">
        <f>IF(Documents!$K$11="","",Documents!$K$11)</f>
        <v/>
      </c>
      <c r="C15" s="115">
        <f>IF(Documents!$L$11="","",Documents!$L$11)&amp;IF(ISNUMBER(Documents!$M$11),"  "&amp;TEXT(Documents!$M$11,"DD-MMM-YY"),"")</f>
        <v/>
      </c>
      <c r="D15" s="98" t="n"/>
      <c r="E15" s="116">
        <f>IF(Documents!$O$11="OUTSTANDING","OUTSTANDING – attach before T-7D (due "&amp;IF(ISNUMBER(Flights!$AG$11),TEXT(Flights!$AG$11,"DD-MMM-YY HH:MM"),"")&amp;" "&amp;Flights!$V$11&amp;")",IF(Documents!$O$11="","Status not recorded",Documents!$O$11))</f>
        <v/>
      </c>
      <c r="F15" s="117">
        <f>"Staple behind this sheet as page A2."&amp;IF(Documents!$N$11="",""," Location: "&amp;Documents!$N$11)</f>
        <v/>
      </c>
      <c r="G15" s="97" t="n"/>
      <c r="H15" s="98" t="n"/>
    </row>
    <row r="16" ht="33" customHeight="1">
      <c r="A16" s="99" t="inlineStr">
        <is>
          <t>Document notes</t>
        </is>
      </c>
      <c r="B16" s="118">
        <f>IF(Documents!$Q$11="","",Documents!$Q$11)</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"&amp;IF(TRIM(Flights!$Y$11)="","__________________",Flights!$Y$11)</f>
        <v/>
      </c>
      <c r="B18" s="98" t="n"/>
      <c r="C18" s="100">
        <f>"Name: __________________"</f>
        <v/>
      </c>
      <c r="D18" s="97" t="n"/>
      <c r="E18" s="98" t="n"/>
      <c r="F18" s="100">
        <f>"Name: __________________"&amp;"   Station: "&amp;Flights!$V$11</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"&amp;IF(ISNUMBER(Flights!$AG$11),TEXT(Flights!$AG$11,"DD-MMM-YY HH:MM"),"")&amp;" "&amp;Flights!$V$11&amp;" (meal uplift stn)"&amp;" (rows with another due show their own)  |  Complete "&amp;IF(ISNUMBER(Flights!$AJ$11),TEXT(Flights!$AJ$11,"0%"),Flights!$AJ$11)&amp;"  |  10 lines"</f>
        <v/>
      </c>
      <c r="B22" s="97" t="n"/>
      <c r="C22" s="97" t="n"/>
      <c r="D22" s="97" t="n"/>
      <c r="E22" s="97" t="n"/>
      <c r="F22" s="97" t="n"/>
      <c r="G22" s="97" t="n"/>
      <c r="H22" s="98" t="n"/>
    </row>
    <row r="23" ht="81" customHeight="1">
      <c r="A23" s="124">
        <f>Checks!$A$213&amp;CHAR(10)&amp;IF(Checks!$I$213="","",Checks!$I$213&amp;": ")&amp;Checks!$J$213</f>
        <v/>
      </c>
      <c r="B23" s="124">
        <f>Checks!$K$213&amp;IF(Checks!$O$213="","",IF(Checks!$K$213="","",CHAR(10))&amp;"Note: "&amp;Checks!$O$213)</f>
        <v/>
      </c>
      <c r="C23" s="124">
        <f>Checks!$N$213&amp;CHAR(10)&amp;IF(ISNUMBER(Checks!$R$213),TEXT(Checks!$R$213,"DD-MMM-YY HH:MM"),"")&amp;" "&amp;Checks!$P$213</f>
        <v/>
      </c>
      <c r="D23" s="124">
        <f>IF(Checks!$U$213="","",Checks!$U$213)&amp;IF(Checks!$AB$213="","",CHAR(10)&amp;"CA: "&amp;Checks!$AB$213)</f>
        <v/>
      </c>
      <c r="E23" s="124">
        <f>IF(Checks!$V$213="","",Checks!$V$213)&amp;IF(Checks!$AC$213="","",IF(Checks!$V$213="","",CHAR(10))&amp;"N/A just.: "&amp;Checks!$AC$213)&amp;IF(Checks!$W$213="","",CHAR(10)&amp;"Batch: "&amp;Checks!$W$213)&amp;IF(AND(Checks!$X$213="",Checks!$Y$213=""),"",CHAR(10)&amp;"Exp: "&amp;Checks!$X$213&amp;"  /  Act: "&amp;Checks!$Y$213)</f>
        <v/>
      </c>
      <c r="F23" s="124">
        <f>IF(Checks!$Z$213="","","Evidence: "&amp;Checks!$Z$213)&amp;IF(Checks!$AA$213="","",IF(Checks!$Z$213="","",CHAR(10))&amp;"CA: "&amp;Checks!$AA$213)</f>
        <v/>
      </c>
      <c r="G23" s="124">
        <f>IF(ISNUMBER(Checks!$AD$213),TEXT(Checks!$AD$213,"DD-MMM-YY HH:MM")&amp;" "&amp;Checks!$P$213,"")&amp;IF(Checks!$AE$213="","",CHAR(10)&amp;Checks!$AE$213)</f>
        <v/>
      </c>
      <c r="H23" s="125">
        <f>IF(Checks!$AH$213="","",Checks!$AH$213)</f>
        <v/>
      </c>
    </row>
    <row r="24" ht="81" customHeight="1">
      <c r="A24" s="124">
        <f>Checks!$A$214&amp;CHAR(10)&amp;IF(Checks!$I$214="","",Checks!$I$214&amp;": ")&amp;Checks!$J$214</f>
        <v/>
      </c>
      <c r="B24" s="124">
        <f>Checks!$K$214&amp;IF(Checks!$O$214="","",IF(Checks!$K$214="","",CHAR(10))&amp;"Note: "&amp;Checks!$O$214)</f>
        <v/>
      </c>
      <c r="C24" s="124">
        <f>Checks!$N$214&amp;CHAR(10)&amp;IF(ISNUMBER(Checks!$R$214),TEXT(Checks!$R$214,"DD-MMM-YY HH:MM"),"")&amp;" "&amp;Checks!$P$214</f>
        <v/>
      </c>
      <c r="D24" s="124">
        <f>IF(Checks!$U$214="","",Checks!$U$214)&amp;IF(Checks!$AB$214="","",CHAR(10)&amp;"CA: "&amp;Checks!$AB$214)</f>
        <v/>
      </c>
      <c r="E24" s="124">
        <f>IF(Checks!$V$214="","",Checks!$V$214)&amp;IF(Checks!$AC$214="","",IF(Checks!$V$214="","",CHAR(10))&amp;"N/A just.: "&amp;Checks!$AC$214)&amp;IF(Checks!$W$214="","",CHAR(10)&amp;"Batch: "&amp;Checks!$W$214)&amp;IF(AND(Checks!$X$214="",Checks!$Y$214=""),"",CHAR(10)&amp;"Exp: "&amp;Checks!$X$214&amp;"  /  Act: "&amp;Checks!$Y$214)</f>
        <v/>
      </c>
      <c r="F24" s="124">
        <f>IF(Checks!$Z$214="","","Evidence: "&amp;Checks!$Z$214)&amp;IF(Checks!$AA$214="","",IF(Checks!$Z$214="","",CHAR(10))&amp;"CA: "&amp;Checks!$AA$214)</f>
        <v/>
      </c>
      <c r="G24" s="124">
        <f>IF(ISNUMBER(Checks!$AD$214),TEXT(Checks!$AD$214,"DD-MMM-YY HH:MM")&amp;" "&amp;Checks!$P$214,"")&amp;IF(Checks!$AE$214="","",CHAR(10)&amp;Checks!$AE$214)</f>
        <v/>
      </c>
      <c r="H24" s="125">
        <f>IF(Checks!$AH$214="","",Checks!$AH$214)</f>
        <v/>
      </c>
    </row>
    <row r="25" ht="92" customHeight="1">
      <c r="A25" s="124">
        <f>Checks!$A$215&amp;CHAR(10)&amp;IF(Checks!$I$215="","",Checks!$I$215&amp;": ")&amp;Checks!$J$215</f>
        <v/>
      </c>
      <c r="B25" s="124">
        <f>Checks!$K$215&amp;IF(Checks!$O$215="","",IF(Checks!$K$215="","",CHAR(10))&amp;"Note: "&amp;Checks!$O$215)</f>
        <v/>
      </c>
      <c r="C25" s="124">
        <f>Checks!$N$215&amp;CHAR(10)&amp;IF(ISNUMBER(Checks!$R$215),TEXT(Checks!$R$215,"DD-MMM-YY HH:MM"),"")&amp;" "&amp;Checks!$P$215</f>
        <v/>
      </c>
      <c r="D25" s="124">
        <f>IF(Checks!$U$215="","",Checks!$U$215)&amp;IF(Checks!$AB$215="","",CHAR(10)&amp;"CA: "&amp;Checks!$AB$215)</f>
        <v/>
      </c>
      <c r="E25" s="124">
        <f>IF(Checks!$V$215="","",Checks!$V$215)&amp;IF(Checks!$AC$215="","",IF(Checks!$V$215="","",CHAR(10))&amp;"N/A just.: "&amp;Checks!$AC$215)&amp;IF(Checks!$W$215="","",CHAR(10)&amp;"Batch: "&amp;Checks!$W$215)&amp;IF(AND(Checks!$X$215="",Checks!$Y$215=""),"",CHAR(10)&amp;"Exp: "&amp;Checks!$X$215&amp;"  /  Act: "&amp;Checks!$Y$215)</f>
        <v/>
      </c>
      <c r="F25" s="124">
        <f>IF(Checks!$Z$215="","","Evidence: "&amp;Checks!$Z$215)&amp;IF(Checks!$AA$215="","",IF(Checks!$Z$215="","",CHAR(10))&amp;"CA: "&amp;Checks!$AA$215)</f>
        <v/>
      </c>
      <c r="G25" s="124">
        <f>IF(ISNUMBER(Checks!$AD$215),TEXT(Checks!$AD$215,"DD-MMM-YY HH:MM")&amp;" "&amp;Checks!$P$215,"")&amp;IF(Checks!$AE$215="","",CHAR(10)&amp;Checks!$AE$215)</f>
        <v/>
      </c>
      <c r="H25" s="125">
        <f>IF(Checks!$AH$215="","",Checks!$AH$215)</f>
        <v/>
      </c>
    </row>
    <row r="26" ht="81" customHeight="1">
      <c r="A26" s="124">
        <f>Checks!$A$216&amp;CHAR(10)&amp;IF(Checks!$I$216="","",Checks!$I$216&amp;": ")&amp;Checks!$J$216</f>
        <v/>
      </c>
      <c r="B26" s="124">
        <f>Checks!$K$216&amp;IF(Checks!$O$216="","",IF(Checks!$K$216="","",CHAR(10))&amp;"Note: "&amp;Checks!$O$216)</f>
        <v/>
      </c>
      <c r="C26" s="124">
        <f>Checks!$N$216&amp;CHAR(10)&amp;IF(ISNUMBER(Checks!$R$216),TEXT(Checks!$R$216,"DD-MMM-YY HH:MM"),"")&amp;" "&amp;Checks!$P$216</f>
        <v/>
      </c>
      <c r="D26" s="124">
        <f>IF(Checks!$U$216="","",Checks!$U$216)&amp;IF(Checks!$AB$216="","",CHAR(10)&amp;"CA: "&amp;Checks!$AB$216)</f>
        <v/>
      </c>
      <c r="E26" s="124">
        <f>IF(Checks!$V$216="","",Checks!$V$216)&amp;IF(Checks!$AC$216="","",IF(Checks!$V$216="","",CHAR(10))&amp;"N/A just.: "&amp;Checks!$AC$216)&amp;IF(Checks!$W$216="","",CHAR(10)&amp;"Batch: "&amp;Checks!$W$216)&amp;IF(AND(Checks!$X$216="",Checks!$Y$216=""),"",CHAR(10)&amp;"Exp: "&amp;Checks!$X$216&amp;"  /  Act: "&amp;Checks!$Y$216)</f>
        <v/>
      </c>
      <c r="F26" s="124">
        <f>IF(Checks!$Z$216="","","Evidence: "&amp;Checks!$Z$216)&amp;IF(Checks!$AA$216="","",IF(Checks!$Z$216="","",CHAR(10))&amp;"CA: "&amp;Checks!$AA$216)</f>
        <v/>
      </c>
      <c r="G26" s="124">
        <f>IF(ISNUMBER(Checks!$AD$216),TEXT(Checks!$AD$216,"DD-MMM-YY HH:MM")&amp;" "&amp;Checks!$P$216,"")&amp;IF(Checks!$AE$216="","",CHAR(10)&amp;Checks!$AE$216)</f>
        <v/>
      </c>
      <c r="H26" s="125">
        <f>IF(Checks!$AH$216="","",Checks!$AH$216)</f>
        <v/>
      </c>
    </row>
    <row r="27" ht="81" customHeight="1">
      <c r="A27" s="124">
        <f>Checks!$A$217&amp;CHAR(10)&amp;IF(Checks!$I$217="","",Checks!$I$217&amp;": ")&amp;Checks!$J$217</f>
        <v/>
      </c>
      <c r="B27" s="124">
        <f>Checks!$K$217&amp;IF(Checks!$O$217="","",IF(Checks!$K$217="","",CHAR(10))&amp;"Note: "&amp;Checks!$O$217)</f>
        <v/>
      </c>
      <c r="C27" s="124">
        <f>Checks!$N$217&amp;CHAR(10)&amp;IF(ISNUMBER(Checks!$R$217),TEXT(Checks!$R$217,"DD-MMM-YY HH:MM"),"")&amp;" "&amp;Checks!$P$217</f>
        <v/>
      </c>
      <c r="D27" s="124">
        <f>IF(Checks!$U$217="","",Checks!$U$217)&amp;IF(Checks!$AB$217="","",CHAR(10)&amp;"CA: "&amp;Checks!$AB$217)</f>
        <v/>
      </c>
      <c r="E27" s="124">
        <f>IF(Checks!$V$217="","",Checks!$V$217)&amp;IF(Checks!$AC$217="","",IF(Checks!$V$217="","",CHAR(10))&amp;"N/A just.: "&amp;Checks!$AC$217)&amp;IF(Checks!$W$217="","",CHAR(10)&amp;"Batch: "&amp;Checks!$W$217)&amp;IF(AND(Checks!$X$217="",Checks!$Y$217=""),"",CHAR(10)&amp;"Exp: "&amp;Checks!$X$217&amp;"  /  Act: "&amp;Checks!$Y$217)</f>
        <v/>
      </c>
      <c r="F27" s="124">
        <f>IF(Checks!$Z$217="","","Evidence: "&amp;Checks!$Z$217)&amp;IF(Checks!$AA$217="","",IF(Checks!$Z$217="","",CHAR(10))&amp;"CA: "&amp;Checks!$AA$217)</f>
        <v/>
      </c>
      <c r="G27" s="124">
        <f>IF(ISNUMBER(Checks!$AD$217),TEXT(Checks!$AD$217,"DD-MMM-YY HH:MM")&amp;" "&amp;Checks!$P$217,"")&amp;IF(Checks!$AE$217="","",CHAR(10)&amp;Checks!$AE$217)</f>
        <v/>
      </c>
      <c r="H27" s="125">
        <f>IF(Checks!$AH$217="","",Checks!$AH$217)</f>
        <v/>
      </c>
    </row>
    <row r="28" ht="81" customHeight="1">
      <c r="A28" s="124">
        <f>Checks!$A$218&amp;CHAR(10)&amp;IF(Checks!$I$218="","",Checks!$I$218&amp;": ")&amp;Checks!$J$218</f>
        <v/>
      </c>
      <c r="B28" s="124">
        <f>Checks!$K$218&amp;IF(Checks!$O$218="","",IF(Checks!$K$218="","",CHAR(10))&amp;"Note: "&amp;Checks!$O$218)</f>
        <v/>
      </c>
      <c r="C28" s="124">
        <f>Checks!$N$218&amp;CHAR(10)&amp;IF(ISNUMBER(Checks!$R$218),TEXT(Checks!$R$218,"DD-MMM-YY HH:MM"),"")&amp;" "&amp;Checks!$P$218</f>
        <v/>
      </c>
      <c r="D28" s="124">
        <f>IF(Checks!$U$218="","",Checks!$U$218)&amp;IF(Checks!$AB$218="","",CHAR(10)&amp;"CA: "&amp;Checks!$AB$218)</f>
        <v/>
      </c>
      <c r="E28" s="124">
        <f>IF(Checks!$V$218="","",Checks!$V$218)&amp;IF(Checks!$AC$218="","",IF(Checks!$V$218="","",CHAR(10))&amp;"N/A just.: "&amp;Checks!$AC$218)&amp;IF(Checks!$W$218="","",CHAR(10)&amp;"Batch: "&amp;Checks!$W$218)&amp;IF(AND(Checks!$X$218="",Checks!$Y$218=""),"",CHAR(10)&amp;"Exp: "&amp;Checks!$X$218&amp;"  /  Act: "&amp;Checks!$Y$218)</f>
        <v/>
      </c>
      <c r="F28" s="124">
        <f>IF(Checks!$Z$218="","","Evidence: "&amp;Checks!$Z$218)&amp;IF(Checks!$AA$218="","",IF(Checks!$Z$218="","",CHAR(10))&amp;"CA: "&amp;Checks!$AA$218)</f>
        <v/>
      </c>
      <c r="G28" s="124">
        <f>IF(ISNUMBER(Checks!$AD$218),TEXT(Checks!$AD$218,"DD-MMM-YY HH:MM")&amp;" "&amp;Checks!$P$218,"")&amp;IF(Checks!$AE$218="","",CHAR(10)&amp;Checks!$AE$218)</f>
        <v/>
      </c>
      <c r="H28" s="125">
        <f>IF(Checks!$AH$218="","",Checks!$AH$218)</f>
        <v/>
      </c>
    </row>
    <row r="29" ht="81" customHeight="1">
      <c r="A29" s="124">
        <f>Checks!$A$219&amp;CHAR(10)&amp;IF(Checks!$I$219="","",Checks!$I$219&amp;": ")&amp;Checks!$J$219</f>
        <v/>
      </c>
      <c r="B29" s="124">
        <f>Checks!$K$219&amp;IF(Checks!$O$219="","",IF(Checks!$K$219="","",CHAR(10))&amp;"Note: "&amp;Checks!$O$219)</f>
        <v/>
      </c>
      <c r="C29" s="124">
        <f>Checks!$N$219&amp;CHAR(10)&amp;IF(ISNUMBER(Checks!$R$219),TEXT(Checks!$R$219,"DD-MMM-YY HH:MM"),"")&amp;" "&amp;Checks!$P$219</f>
        <v/>
      </c>
      <c r="D29" s="124">
        <f>IF(Checks!$U$219="","",Checks!$U$219)&amp;IF(Checks!$AB$219="","",CHAR(10)&amp;"CA: "&amp;Checks!$AB$219)</f>
        <v/>
      </c>
      <c r="E29" s="124">
        <f>IF(Checks!$V$219="","",Checks!$V$219)&amp;IF(Checks!$AC$219="","",IF(Checks!$V$219="","",CHAR(10))&amp;"N/A just.: "&amp;Checks!$AC$219)&amp;IF(Checks!$W$219="","",CHAR(10)&amp;"Batch: "&amp;Checks!$W$219)&amp;IF(AND(Checks!$X$219="",Checks!$Y$219=""),"",CHAR(10)&amp;"Exp: "&amp;Checks!$X$219&amp;"  /  Act: "&amp;Checks!$Y$219)</f>
        <v/>
      </c>
      <c r="F29" s="124">
        <f>IF(Checks!$Z$219="","","Evidence: "&amp;Checks!$Z$219)&amp;IF(Checks!$AA$219="","",IF(Checks!$Z$219="","",CHAR(10))&amp;"CA: "&amp;Checks!$AA$219)</f>
        <v/>
      </c>
      <c r="G29" s="124">
        <f>IF(ISNUMBER(Checks!$AD$219),TEXT(Checks!$AD$219,"DD-MMM-YY HH:MM")&amp;" "&amp;Checks!$P$219,"")&amp;IF(Checks!$AE$219="","",CHAR(10)&amp;Checks!$AE$219)</f>
        <v/>
      </c>
      <c r="H29" s="125">
        <f>IF(Checks!$AH$219="","",Checks!$AH$219)</f>
        <v/>
      </c>
    </row>
    <row r="30" ht="81" customHeight="1">
      <c r="A30" s="124">
        <f>Checks!$A$220&amp;CHAR(10)&amp;IF(Checks!$I$220="","",Checks!$I$220&amp;": ")&amp;Checks!$J$220</f>
        <v/>
      </c>
      <c r="B30" s="124">
        <f>Checks!$K$220&amp;IF(Checks!$O$220="","",IF(Checks!$K$220="","",CHAR(10))&amp;"Note: "&amp;Checks!$O$220)</f>
        <v/>
      </c>
      <c r="C30" s="124">
        <f>Checks!$N$220&amp;CHAR(10)&amp;IF(ISNUMBER(Checks!$R$220),TEXT(Checks!$R$220,"DD-MMM-YY HH:MM"),"")&amp;" "&amp;Checks!$P$220</f>
        <v/>
      </c>
      <c r="D30" s="124">
        <f>IF(Checks!$U$220="","",Checks!$U$220)&amp;IF(Checks!$AB$220="","",CHAR(10)&amp;"CA: "&amp;Checks!$AB$220)</f>
        <v/>
      </c>
      <c r="E30" s="124">
        <f>IF(Checks!$V$220="","",Checks!$V$220)&amp;IF(Checks!$AC$220="","",IF(Checks!$V$220="","",CHAR(10))&amp;"N/A just.: "&amp;Checks!$AC$220)&amp;IF(Checks!$W$220="","",CHAR(10)&amp;"Batch: "&amp;Checks!$W$220)&amp;IF(AND(Checks!$X$220="",Checks!$Y$220=""),"",CHAR(10)&amp;"Exp: "&amp;Checks!$X$220&amp;"  /  Act: "&amp;Checks!$Y$220)</f>
        <v/>
      </c>
      <c r="F30" s="124">
        <f>IF(Checks!$Z$220="","","Evidence: "&amp;Checks!$Z$220)&amp;IF(Checks!$AA$220="","",IF(Checks!$Z$220="","",CHAR(10))&amp;"CA: "&amp;Checks!$AA$220)</f>
        <v/>
      </c>
      <c r="G30" s="124">
        <f>IF(ISNUMBER(Checks!$AD$220),TEXT(Checks!$AD$220,"DD-MMM-YY HH:MM")&amp;" "&amp;Checks!$P$220,"")&amp;IF(Checks!$AE$220="","",CHAR(10)&amp;Checks!$AE$220)</f>
        <v/>
      </c>
      <c r="H30" s="125">
        <f>IF(Checks!$AH$220="","",Checks!$AH$220)</f>
        <v/>
      </c>
    </row>
    <row r="31" ht="81" customHeight="1">
      <c r="A31" s="124">
        <f>Checks!$A$221&amp;CHAR(10)&amp;IF(Checks!$I$221="","",Checks!$I$221&amp;": ")&amp;Checks!$J$221</f>
        <v/>
      </c>
      <c r="B31" s="124">
        <f>Checks!$K$221&amp;IF(Checks!$O$221="","",IF(Checks!$K$221="","",CHAR(10))&amp;"Note: "&amp;Checks!$O$221)</f>
        <v/>
      </c>
      <c r="C31" s="124">
        <f>Checks!$N$221&amp;CHAR(10)&amp;IF(ISNUMBER(Checks!$R$221),TEXT(Checks!$R$221,"DD-MMM-YY HH:MM"),"")&amp;" "&amp;Checks!$P$221</f>
        <v/>
      </c>
      <c r="D31" s="124">
        <f>IF(Checks!$U$221="","",Checks!$U$221)&amp;IF(Checks!$AB$221="","",CHAR(10)&amp;"CA: "&amp;Checks!$AB$221)</f>
        <v/>
      </c>
      <c r="E31" s="124">
        <f>IF(Checks!$V$221="","",Checks!$V$221)&amp;IF(Checks!$AC$221="","",IF(Checks!$V$221="","",CHAR(10))&amp;"N/A just.: "&amp;Checks!$AC$221)&amp;IF(Checks!$W$221="","",CHAR(10)&amp;"Batch: "&amp;Checks!$W$221)&amp;IF(AND(Checks!$X$221="",Checks!$Y$221=""),"",CHAR(10)&amp;"Exp: "&amp;Checks!$X$221&amp;"  /  Act: "&amp;Checks!$Y$221)</f>
        <v/>
      </c>
      <c r="F31" s="124">
        <f>IF(Checks!$Z$221="","","Evidence: "&amp;Checks!$Z$221)&amp;IF(Checks!$AA$221="","",IF(Checks!$Z$221="","",CHAR(10))&amp;"CA: "&amp;Checks!$AA$221)</f>
        <v/>
      </c>
      <c r="G31" s="124">
        <f>IF(ISNUMBER(Checks!$AD$221),TEXT(Checks!$AD$221,"DD-MMM-YY HH:MM")&amp;" "&amp;Checks!$P$221,"")&amp;IF(Checks!$AE$221="","",CHAR(10)&amp;Checks!$AE$221)</f>
        <v/>
      </c>
      <c r="H31" s="125">
        <f>IF(Checks!$AH$221="","",Checks!$AH$221)</f>
        <v/>
      </c>
    </row>
    <row r="32" ht="224" customHeight="1">
      <c r="A32" s="124">
        <f>Checks!$A$222&amp;CHAR(10)&amp;IF(Checks!$I$222="","",Checks!$I$222&amp;": ")&amp;Checks!$J$222</f>
        <v/>
      </c>
      <c r="B32" s="124">
        <f>Checks!$K$222&amp;IF(Checks!$O$222="","",IF(Checks!$K$222="","",CHAR(10))&amp;"Note: "&amp;Checks!$O$222)</f>
        <v/>
      </c>
      <c r="C32" s="124">
        <f>Checks!$N$222&amp;CHAR(10)&amp;IF(ISNUMBER(Checks!$R$222),TEXT(Checks!$R$222,"DD-MMM-YY HH:MM"),"")&amp;" "&amp;Checks!$P$222</f>
        <v/>
      </c>
      <c r="D32" s="124">
        <f>IF(Checks!$U$222="","",Checks!$U$222)&amp;IF(Checks!$AB$222="","",CHAR(10)&amp;"CA: "&amp;Checks!$AB$222)</f>
        <v/>
      </c>
      <c r="E32" s="124">
        <f>IF(Checks!$V$222="","",Checks!$V$222)&amp;IF(Checks!$AC$222="","",IF(Checks!$V$222="","",CHAR(10))&amp;"N/A just.: "&amp;Checks!$AC$222)&amp;IF(Checks!$W$222="","",CHAR(10)&amp;"Batch: "&amp;Checks!$W$222)&amp;IF(AND(Checks!$X$222="",Checks!$Y$222=""),"",CHAR(10)&amp;"Exp: "&amp;Checks!$X$222&amp;"  /  Act: "&amp;Checks!$Y$222)</f>
        <v/>
      </c>
      <c r="F32" s="124">
        <f>IF(Checks!$Z$222="","","Evidence: "&amp;Checks!$Z$222)&amp;IF(Checks!$AA$222="","",IF(Checks!$Z$222="","",CHAR(10))&amp;"CA: "&amp;Checks!$AA$222)</f>
        <v/>
      </c>
      <c r="G32" s="124">
        <f>IF(ISNUMBER(Checks!$AD$222),TEXT(Checks!$AD$222,"DD-MMM-YY HH:MM")&amp;" "&amp;Checks!$P$222,"")&amp;IF(Checks!$AE$222="","",CHAR(10)&amp;Checks!$AE$222)</f>
        <v/>
      </c>
      <c r="H32" s="125">
        <f>IF(Checks!$AH$222="","",Checks!$AH$222)</f>
        <v/>
      </c>
    </row>
    <row r="33" ht="26" customHeight="1">
      <c r="A33" s="123">
        <f>"T-24H — Production batch sensory  |  Due "&amp;IF(ISNUMBER(Flights!$AH$11),TEXT(Flights!$AH$11,"DD-MMM-YY HH:MM"),"")&amp;" "&amp;Flights!$V$11&amp;" (meal uplift stn)"&amp;" (rows with another due show their own)  |  Complete "&amp;IF(ISNUMBER(Flights!$AK$11),TEXT(Flights!$AK$11,"0%"),Flights!$AK$11)&amp;"  |  1 lines"</f>
        <v/>
      </c>
      <c r="B33" s="97" t="n"/>
      <c r="C33" s="97" t="n"/>
      <c r="D33" s="97" t="n"/>
      <c r="E33" s="97" t="n"/>
      <c r="F33" s="97" t="n"/>
      <c r="G33" s="97" t="n"/>
      <c r="H33" s="98" t="n"/>
    </row>
    <row r="34" ht="81" customHeight="1">
      <c r="A34" s="124">
        <f>Checks!$A$223&amp;CHAR(10)&amp;IF(Checks!$I$223="","",Checks!$I$223&amp;": ")&amp;Checks!$J$223</f>
        <v/>
      </c>
      <c r="B34" s="124">
        <f>Checks!$K$223&amp;IF(Checks!$O$223="","",IF(Checks!$K$223="","",CHAR(10))&amp;"Note: "&amp;Checks!$O$223)</f>
        <v/>
      </c>
      <c r="C34" s="124">
        <f>Checks!$N$223&amp;CHAR(10)&amp;IF(ISNUMBER(Checks!$R$223),TEXT(Checks!$R$223,"DD-MMM-YY HH:MM"),"")&amp;" "&amp;Checks!$P$223</f>
        <v/>
      </c>
      <c r="D34" s="124">
        <f>IF(Checks!$U$223="","",Checks!$U$223)&amp;IF(Checks!$AB$223="","",CHAR(10)&amp;"CA: "&amp;Checks!$AB$223)</f>
        <v/>
      </c>
      <c r="E34" s="124">
        <f>IF(Checks!$V$223="","",Checks!$V$223)&amp;IF(Checks!$AC$223="","",IF(Checks!$V$223="","",CHAR(10))&amp;"N/A just.: "&amp;Checks!$AC$223)&amp;IF(Checks!$W$223="","",CHAR(10)&amp;"Batch: "&amp;Checks!$W$223)&amp;IF(AND(Checks!$X$223="",Checks!$Y$223=""),"",CHAR(10)&amp;"Exp: "&amp;Checks!$X$223&amp;"  /  Act: "&amp;Checks!$Y$223)</f>
        <v/>
      </c>
      <c r="F34" s="124">
        <f>IF(Checks!$Z$223="","","Evidence: "&amp;Checks!$Z$223)&amp;IF(Checks!$AA$223="","",IF(Checks!$Z$223="","",CHAR(10))&amp;"CA: "&amp;Checks!$AA$223)</f>
        <v/>
      </c>
      <c r="G34" s="124">
        <f>IF(ISNUMBER(Checks!$AD$223),TEXT(Checks!$AD$223,"DD-MMM-YY HH:MM")&amp;" "&amp;Checks!$P$223,"")&amp;IF(Checks!$AE$223="","",CHAR(10)&amp;Checks!$AE$223)</f>
        <v/>
      </c>
      <c r="H34" s="125">
        <f>IF(Checks!$AH$223="","",Checks!$AH$223)</f>
        <v/>
      </c>
    </row>
    <row r="35" ht="26" customHeight="1">
      <c r="A35" s="123">
        <f>"T-12H PREP — Preparation check at caterer (does NOT confirm loading)  |  Due "&amp;IF(ISNUMBER(Flights!$AI$11),TEXT(Flights!$AI$11,"DD-MMM-YY HH:MM"),"")&amp;" "&amp;Flights!$V$11&amp;" (meal uplift stn)"&amp;" (rows with another due show their own)  |  Complete "&amp;IF(ISNUMBER(Flights!$AL$11),TEXT(Flights!$AL$11,"0%"),Flights!$AL$11)&amp;"  |  21 lines"</f>
        <v/>
      </c>
      <c r="B35" s="97" t="n"/>
      <c r="C35" s="97" t="n"/>
      <c r="D35" s="97" t="n"/>
      <c r="E35" s="97" t="n"/>
      <c r="F35" s="97" t="n"/>
      <c r="G35" s="97" t="n"/>
      <c r="H35" s="98" t="n"/>
    </row>
    <row r="36" ht="81" customHeight="1">
      <c r="A36" s="124">
        <f>Checks!$A$224&amp;CHAR(10)&amp;IF(Checks!$I$224="","",Checks!$I$224&amp;": ")&amp;Checks!$J$224</f>
        <v/>
      </c>
      <c r="B36" s="124">
        <f>Checks!$K$224&amp;IF(Checks!$O$224="","",IF(Checks!$K$224="","",CHAR(10))&amp;"Note: "&amp;Checks!$O$224)</f>
        <v/>
      </c>
      <c r="C36" s="124">
        <f>Checks!$N$224&amp;CHAR(10)&amp;IF(ISNUMBER(Checks!$R$224),TEXT(Checks!$R$224,"DD-MMM-YY HH:MM"),"")&amp;" "&amp;Checks!$P$224</f>
        <v/>
      </c>
      <c r="D36" s="124">
        <f>IF(Checks!$U$224="","",Checks!$U$224)&amp;IF(Checks!$AB$224="","",CHAR(10)&amp;"CA: "&amp;Checks!$AB$224)</f>
        <v/>
      </c>
      <c r="E36" s="124">
        <f>IF(Checks!$V$224="","",Checks!$V$224)&amp;IF(Checks!$AC$224="","",IF(Checks!$V$224="","",CHAR(10))&amp;"N/A just.: "&amp;Checks!$AC$224)&amp;IF(Checks!$W$224="","",CHAR(10)&amp;"Batch: "&amp;Checks!$W$224)&amp;IF(AND(Checks!$X$224="",Checks!$Y$224=""),"",CHAR(10)&amp;"Exp: "&amp;Checks!$X$224&amp;"  /  Act: "&amp;Checks!$Y$224)</f>
        <v/>
      </c>
      <c r="F36" s="124">
        <f>IF(Checks!$Z$224="","","Evidence: "&amp;Checks!$Z$224)&amp;IF(Checks!$AA$224="","",IF(Checks!$Z$224="","",CHAR(10))&amp;"CA: "&amp;Checks!$AA$224)</f>
        <v/>
      </c>
      <c r="G36" s="124">
        <f>IF(ISNUMBER(Checks!$AD$224),TEXT(Checks!$AD$224,"DD-MMM-YY HH:MM")&amp;" "&amp;Checks!$P$224,"")&amp;IF(Checks!$AE$224="","",CHAR(10)&amp;Checks!$AE$224)</f>
        <v/>
      </c>
      <c r="H36" s="125">
        <f>IF(Checks!$AH$224="","",Checks!$AH$224)</f>
        <v/>
      </c>
    </row>
    <row r="37" ht="81" customHeight="1">
      <c r="A37" s="124">
        <f>Checks!$A$225&amp;CHAR(10)&amp;IF(Checks!$I$225="","",Checks!$I$225&amp;": ")&amp;Checks!$J$225</f>
        <v/>
      </c>
      <c r="B37" s="124">
        <f>Checks!$K$225&amp;IF(Checks!$O$225="","",IF(Checks!$K$225="","",CHAR(10))&amp;"Note: "&amp;Checks!$O$225)</f>
        <v/>
      </c>
      <c r="C37" s="124">
        <f>Checks!$N$225&amp;CHAR(10)&amp;IF(ISNUMBER(Checks!$R$225),TEXT(Checks!$R$225,"DD-MMM-YY HH:MM"),"")&amp;" "&amp;Checks!$P$225</f>
        <v/>
      </c>
      <c r="D37" s="124">
        <f>IF(Checks!$U$225="","",Checks!$U$225)&amp;IF(Checks!$AB$225="","",CHAR(10)&amp;"CA: "&amp;Checks!$AB$225)</f>
        <v/>
      </c>
      <c r="E37" s="124">
        <f>IF(Checks!$V$225="","",Checks!$V$225)&amp;IF(Checks!$AC$225="","",IF(Checks!$V$225="","",CHAR(10))&amp;"N/A just.: "&amp;Checks!$AC$225)&amp;IF(Checks!$W$225="","",CHAR(10)&amp;"Batch: "&amp;Checks!$W$225)&amp;IF(AND(Checks!$X$225="",Checks!$Y$225=""),"",CHAR(10)&amp;"Exp: "&amp;Checks!$X$225&amp;"  /  Act: "&amp;Checks!$Y$225)</f>
        <v/>
      </c>
      <c r="F37" s="124">
        <f>IF(Checks!$Z$225="","","Evidence: "&amp;Checks!$Z$225)&amp;IF(Checks!$AA$225="","",IF(Checks!$Z$225="","",CHAR(10))&amp;"CA: "&amp;Checks!$AA$225)</f>
        <v/>
      </c>
      <c r="G37" s="124">
        <f>IF(ISNUMBER(Checks!$AD$225),TEXT(Checks!$AD$225,"DD-MMM-YY HH:MM")&amp;" "&amp;Checks!$P$225,"")&amp;IF(Checks!$AE$225="","",CHAR(10)&amp;Checks!$AE$225)</f>
        <v/>
      </c>
      <c r="H37" s="125">
        <f>IF(Checks!$AH$225="","",Checks!$AH$225)</f>
        <v/>
      </c>
    </row>
    <row r="38" ht="81" customHeight="1">
      <c r="A38" s="124">
        <f>Checks!$A$226&amp;CHAR(10)&amp;IF(Checks!$I$226="","",Checks!$I$226&amp;": ")&amp;Checks!$J$226</f>
        <v/>
      </c>
      <c r="B38" s="124">
        <f>Checks!$K$226&amp;IF(Checks!$O$226="","",IF(Checks!$K$226="","",CHAR(10))&amp;"Note: "&amp;Checks!$O$226)</f>
        <v/>
      </c>
      <c r="C38" s="124">
        <f>Checks!$N$226&amp;CHAR(10)&amp;IF(ISNUMBER(Checks!$R$226),TEXT(Checks!$R$226,"DD-MMM-YY HH:MM"),"")&amp;" "&amp;Checks!$P$226</f>
        <v/>
      </c>
      <c r="D38" s="124">
        <f>IF(Checks!$U$226="","",Checks!$U$226)&amp;IF(Checks!$AB$226="","",CHAR(10)&amp;"CA: "&amp;Checks!$AB$226)</f>
        <v/>
      </c>
      <c r="E38" s="124">
        <f>IF(Checks!$V$226="","",Checks!$V$226)&amp;IF(Checks!$AC$226="","",IF(Checks!$V$226="","",CHAR(10))&amp;"N/A just.: "&amp;Checks!$AC$226)&amp;IF(Checks!$W$226="","",CHAR(10)&amp;"Batch: "&amp;Checks!$W$226)&amp;IF(AND(Checks!$X$226="",Checks!$Y$226=""),"",CHAR(10)&amp;"Exp: "&amp;Checks!$X$226&amp;"  /  Act: "&amp;Checks!$Y$226)</f>
        <v/>
      </c>
      <c r="F38" s="124">
        <f>IF(Checks!$Z$226="","","Evidence: "&amp;Checks!$Z$226)&amp;IF(Checks!$AA$226="","",IF(Checks!$Z$226="","",CHAR(10))&amp;"CA: "&amp;Checks!$AA$226)</f>
        <v/>
      </c>
      <c r="G38" s="124">
        <f>IF(ISNUMBER(Checks!$AD$226),TEXT(Checks!$AD$226,"DD-MMM-YY HH:MM")&amp;" "&amp;Checks!$P$226,"")&amp;IF(Checks!$AE$226="","",CHAR(10)&amp;Checks!$AE$226)</f>
        <v/>
      </c>
      <c r="H38" s="125">
        <f>IF(Checks!$AH$226="","",Checks!$AH$226)</f>
        <v/>
      </c>
    </row>
    <row r="39" ht="81" customHeight="1">
      <c r="A39" s="124">
        <f>Checks!$A$227&amp;CHAR(10)&amp;IF(Checks!$I$227="","",Checks!$I$227&amp;": ")&amp;Checks!$J$227</f>
        <v/>
      </c>
      <c r="B39" s="124">
        <f>Checks!$K$227&amp;IF(Checks!$O$227="","",IF(Checks!$K$227="","",CHAR(10))&amp;"Note: "&amp;Checks!$O$227)</f>
        <v/>
      </c>
      <c r="C39" s="124">
        <f>Checks!$N$227&amp;CHAR(10)&amp;IF(ISNUMBER(Checks!$R$227),TEXT(Checks!$R$227,"DD-MMM-YY HH:MM"),"")&amp;" "&amp;Checks!$P$227</f>
        <v/>
      </c>
      <c r="D39" s="124">
        <f>IF(Checks!$U$227="","",Checks!$U$227)&amp;IF(Checks!$AB$227="","",CHAR(10)&amp;"CA: "&amp;Checks!$AB$227)</f>
        <v/>
      </c>
      <c r="E39" s="124">
        <f>IF(Checks!$V$227="","",Checks!$V$227)&amp;IF(Checks!$AC$227="","",IF(Checks!$V$227="","",CHAR(10))&amp;"N/A just.: "&amp;Checks!$AC$227)&amp;IF(Checks!$W$227="","",CHAR(10)&amp;"Batch: "&amp;Checks!$W$227)&amp;IF(AND(Checks!$X$227="",Checks!$Y$227=""),"",CHAR(10)&amp;"Exp: "&amp;Checks!$X$227&amp;"  /  Act: "&amp;Checks!$Y$227)</f>
        <v/>
      </c>
      <c r="F39" s="124">
        <f>IF(Checks!$Z$227="","","Evidence: "&amp;Checks!$Z$227)&amp;IF(Checks!$AA$227="","",IF(Checks!$Z$227="","",CHAR(10))&amp;"CA: "&amp;Checks!$AA$227)</f>
        <v/>
      </c>
      <c r="G39" s="124">
        <f>IF(ISNUMBER(Checks!$AD$227),TEXT(Checks!$AD$227,"DD-MMM-YY HH:MM")&amp;" "&amp;Checks!$P$227,"")&amp;IF(Checks!$AE$227="","",CHAR(10)&amp;Checks!$AE$227)</f>
        <v/>
      </c>
      <c r="H39" s="125">
        <f>IF(Checks!$AH$227="","",Checks!$AH$227)</f>
        <v/>
      </c>
    </row>
    <row r="40" ht="81" customHeight="1">
      <c r="A40" s="124">
        <f>Checks!$A$228&amp;CHAR(10)&amp;IF(Checks!$I$228="","",Checks!$I$228&amp;": ")&amp;Checks!$J$228</f>
        <v/>
      </c>
      <c r="B40" s="124">
        <f>Checks!$K$228&amp;IF(Checks!$O$228="","",IF(Checks!$K$228="","",CHAR(10))&amp;"Note: "&amp;Checks!$O$228)</f>
        <v/>
      </c>
      <c r="C40" s="124">
        <f>Checks!$N$228&amp;CHAR(10)&amp;IF(ISNUMBER(Checks!$R$228),TEXT(Checks!$R$228,"DD-MMM-YY HH:MM"),"")&amp;" "&amp;Checks!$P$228</f>
        <v/>
      </c>
      <c r="D40" s="124">
        <f>IF(Checks!$U$228="","",Checks!$U$228)&amp;IF(Checks!$AB$228="","",CHAR(10)&amp;"CA: "&amp;Checks!$AB$228)</f>
        <v/>
      </c>
      <c r="E40" s="124">
        <f>IF(Checks!$V$228="","",Checks!$V$228)&amp;IF(Checks!$AC$228="","",IF(Checks!$V$228="","",CHAR(10))&amp;"N/A just.: "&amp;Checks!$AC$228)&amp;IF(Checks!$W$228="","",CHAR(10)&amp;"Batch: "&amp;Checks!$W$228)&amp;IF(AND(Checks!$X$228="",Checks!$Y$228=""),"",CHAR(10)&amp;"Exp: "&amp;Checks!$X$228&amp;"  /  Act: "&amp;Checks!$Y$228)</f>
        <v/>
      </c>
      <c r="F40" s="124">
        <f>IF(Checks!$Z$228="","","Evidence: "&amp;Checks!$Z$228)&amp;IF(Checks!$AA$228="","",IF(Checks!$Z$228="","",CHAR(10))&amp;"CA: "&amp;Checks!$AA$228)</f>
        <v/>
      </c>
      <c r="G40" s="124">
        <f>IF(ISNUMBER(Checks!$AD$228),TEXT(Checks!$AD$228,"DD-MMM-YY HH:MM")&amp;" "&amp;Checks!$P$228,"")&amp;IF(Checks!$AE$228="","",CHAR(10)&amp;Checks!$AE$228)</f>
        <v/>
      </c>
      <c r="H40" s="125">
        <f>IF(Checks!$AH$228="","",Checks!$AH$228)</f>
        <v/>
      </c>
    </row>
    <row r="41" ht="279" customHeight="1">
      <c r="A41" s="124">
        <f>Checks!$A$229&amp;CHAR(10)&amp;IF(Checks!$I$229="","",Checks!$I$229&amp;": ")&amp;Checks!$J$229</f>
        <v/>
      </c>
      <c r="B41" s="124">
        <f>SUBSTITUTE(Checks!$K$229&amp;IF(Checks!$O$229="","",IF(Checks!$K$229="","",CHAR(10))&amp;"Note: "&amp;Checks!$O$229),"AIRCRAFT TYPE!","Ref: AIRCRAFT TYPE!")</f>
        <v/>
      </c>
      <c r="C41" s="124">
        <f>Checks!$N$229&amp;CHAR(10)&amp;IF(ISNUMBER(Checks!$R$229),TEXT(Checks!$R$229,"DD-MMM-YY HH:MM"),"")&amp;" "&amp;Checks!$P$229</f>
        <v/>
      </c>
      <c r="D41" s="124">
        <f>IF(Checks!$U$229="","",Checks!$U$229)&amp;IF(Checks!$AB$229="","",CHAR(10)&amp;"CA: "&amp;Checks!$AB$229)</f>
        <v/>
      </c>
      <c r="E41" s="124">
        <f>IF(Checks!$V$229="","",Checks!$V$229)&amp;IF(Checks!$AC$229="","",IF(Checks!$V$229="","",CHAR(10))&amp;"N/A just.: "&amp;Checks!$AC$229)&amp;IF(Checks!$W$229="","",CHAR(10)&amp;"Batch: "&amp;Checks!$W$229)&amp;IF(AND(Checks!$X$229="",Checks!$Y$229=""),"",CHAR(10)&amp;"Exp: "&amp;Checks!$X$229&amp;"  /  Act: "&amp;Checks!$Y$229)</f>
        <v/>
      </c>
      <c r="F41" s="124">
        <f>IF(Checks!$Z$229="","","Evidence: "&amp;Checks!$Z$229)&amp;IF(Checks!$AA$229="","",IF(Checks!$Z$229="","",CHAR(10))&amp;"CA: "&amp;Checks!$AA$229)</f>
        <v/>
      </c>
      <c r="G41" s="124">
        <f>IF(ISNUMBER(Checks!$AD$229),TEXT(Checks!$AD$229,"DD-MMM-YY HH:MM")&amp;" "&amp;Checks!$P$229,"")&amp;IF(Checks!$AE$229="","",CHAR(10)&amp;Checks!$AE$229)</f>
        <v/>
      </c>
      <c r="H41" s="125">
        <f>IF(Checks!$AH$229="","",Checks!$AH$229)</f>
        <v/>
      </c>
    </row>
    <row r="42" ht="81" customHeight="1">
      <c r="A42" s="124">
        <f>Checks!$A$230&amp;CHAR(10)&amp;IF(Checks!$I$230="","",Checks!$I$230&amp;": ")&amp;Checks!$J$230</f>
        <v/>
      </c>
      <c r="B42" s="124">
        <f>Checks!$K$230&amp;IF(Checks!$O$230="","",IF(Checks!$K$230="","",CHAR(10))&amp;"Note: "&amp;Checks!$O$230)</f>
        <v/>
      </c>
      <c r="C42" s="124">
        <f>Checks!$N$230&amp;CHAR(10)&amp;IF(ISNUMBER(Checks!$R$230),TEXT(Checks!$R$230,"DD-MMM-YY HH:MM"),"")&amp;" "&amp;Checks!$P$230</f>
        <v/>
      </c>
      <c r="D42" s="124">
        <f>IF(Checks!$U$230="","",Checks!$U$230)&amp;IF(Checks!$AB$230="","",CHAR(10)&amp;"CA: "&amp;Checks!$AB$230)</f>
        <v/>
      </c>
      <c r="E42" s="124">
        <f>IF(Checks!$V$230="","",Checks!$V$230)&amp;IF(Checks!$AC$230="","",IF(Checks!$V$230="","",CHAR(10))&amp;"N/A just.: "&amp;Checks!$AC$230)&amp;IF(Checks!$W$230="","",CHAR(10)&amp;"Batch: "&amp;Checks!$W$230)&amp;IF(AND(Checks!$X$230="",Checks!$Y$230=""),"",CHAR(10)&amp;"Exp: "&amp;Checks!$X$230&amp;"  /  Act: "&amp;Checks!$Y$230)</f>
        <v/>
      </c>
      <c r="F42" s="124">
        <f>IF(Checks!$Z$230="","","Evidence: "&amp;Checks!$Z$230)&amp;IF(Checks!$AA$230="","",IF(Checks!$Z$230="","",CHAR(10))&amp;"CA: "&amp;Checks!$AA$230)</f>
        <v/>
      </c>
      <c r="G42" s="124">
        <f>IF(ISNUMBER(Checks!$AD$230),TEXT(Checks!$AD$230,"DD-MMM-YY HH:MM")&amp;" "&amp;Checks!$P$230,"")&amp;IF(Checks!$AE$230="","",CHAR(10)&amp;Checks!$AE$230)</f>
        <v/>
      </c>
      <c r="H42" s="125">
        <f>IF(Checks!$AH$230="","",Checks!$AH$230)</f>
        <v/>
      </c>
    </row>
    <row r="43" ht="81" customHeight="1">
      <c r="A43" s="124">
        <f>Checks!$A$231&amp;CHAR(10)&amp;IF(Checks!$I$231="","",Checks!$I$231&amp;": ")&amp;Checks!$J$231</f>
        <v/>
      </c>
      <c r="B43" s="124">
        <f>Checks!$K$231&amp;IF(Checks!$O$231="","",IF(Checks!$K$231="","",CHAR(10))&amp;"Note: "&amp;Checks!$O$231)</f>
        <v/>
      </c>
      <c r="C43" s="124">
        <f>Checks!$N$231&amp;CHAR(10)&amp;IF(ISNUMBER(Checks!$R$231),TEXT(Checks!$R$231,"DD-MMM-YY HH:MM"),"")&amp;" "&amp;Checks!$P$231</f>
        <v/>
      </c>
      <c r="D43" s="124">
        <f>IF(Checks!$U$231="","",Checks!$U$231)&amp;IF(Checks!$AB$231="","",CHAR(10)&amp;"CA: "&amp;Checks!$AB$231)</f>
        <v/>
      </c>
      <c r="E43" s="124">
        <f>IF(Checks!$V$231="","",Checks!$V$231)&amp;IF(Checks!$AC$231="","",IF(Checks!$V$231="","",CHAR(10))&amp;"N/A just.: "&amp;Checks!$AC$231)&amp;IF(Checks!$W$231="","",CHAR(10)&amp;"Batch: "&amp;Checks!$W$231)&amp;IF(AND(Checks!$X$231="",Checks!$Y$231=""),"",CHAR(10)&amp;"Exp: "&amp;Checks!$X$231&amp;"  /  Act: "&amp;Checks!$Y$231)</f>
        <v/>
      </c>
      <c r="F43" s="124">
        <f>IF(Checks!$Z$231="","","Evidence: "&amp;Checks!$Z$231)&amp;IF(Checks!$AA$231="","",IF(Checks!$Z$231="","",CHAR(10))&amp;"CA: "&amp;Checks!$AA$231)</f>
        <v/>
      </c>
      <c r="G43" s="124">
        <f>IF(ISNUMBER(Checks!$AD$231),TEXT(Checks!$AD$231,"DD-MMM-YY HH:MM")&amp;" "&amp;Checks!$P$231,"")&amp;IF(Checks!$AE$231="","",CHAR(10)&amp;Checks!$AE$231)</f>
        <v/>
      </c>
      <c r="H43" s="125">
        <f>IF(Checks!$AH$231="","",Checks!$AH$231)</f>
        <v/>
      </c>
    </row>
    <row r="44" ht="158" customHeight="1">
      <c r="A44" s="124">
        <f>Checks!$A$232&amp;CHAR(10)&amp;IF(Checks!$I$232="","",Checks!$I$232&amp;": ")&amp;Checks!$J$232</f>
        <v/>
      </c>
      <c r="B44" s="124">
        <f>Checks!$K$232&amp;IF(Checks!$O$232="","",IF(Checks!$K$232="","",CHAR(10))&amp;"Note: "&amp;Checks!$O$232)</f>
        <v/>
      </c>
      <c r="C44" s="124">
        <f>Checks!$N$232&amp;CHAR(10)&amp;IF(ISNUMBER(Checks!$R$232),TEXT(Checks!$R$232,"DD-MMM-YY HH:MM"),"")&amp;" "&amp;Checks!$P$232</f>
        <v/>
      </c>
      <c r="D44" s="124">
        <f>IF(Checks!$U$232="","",Checks!$U$232)&amp;IF(Checks!$AB$232="","",CHAR(10)&amp;"CA: "&amp;Checks!$AB$232)</f>
        <v/>
      </c>
      <c r="E44" s="124">
        <f>IF(Checks!$V$232="","",Checks!$V$232)&amp;IF(Checks!$AC$232="","",IF(Checks!$V$232="","",CHAR(10))&amp;"N/A just.: "&amp;Checks!$AC$232)&amp;IF(Checks!$W$232="","",CHAR(10)&amp;"Batch: "&amp;Checks!$W$232)&amp;IF(AND(Checks!$X$232="",Checks!$Y$232=""),"",CHAR(10)&amp;"Exp: "&amp;Checks!$X$232&amp;"  /  Act: "&amp;Checks!$Y$232)</f>
        <v/>
      </c>
      <c r="F44" s="124">
        <f>IF(Checks!$Z$232="","","Evidence: "&amp;Checks!$Z$232)&amp;IF(Checks!$AA$232="","",IF(Checks!$Z$232="","",CHAR(10))&amp;"CA: "&amp;Checks!$AA$232)</f>
        <v/>
      </c>
      <c r="G44" s="124">
        <f>IF(ISNUMBER(Checks!$AD$232),TEXT(Checks!$AD$232,"DD-MMM-YY HH:MM")&amp;" "&amp;Checks!$P$232,"")&amp;IF(Checks!$AE$232="","",CHAR(10)&amp;Checks!$AE$232)</f>
        <v/>
      </c>
      <c r="H44" s="125">
        <f>IF(Checks!$AH$232="","",Checks!$AH$232)</f>
        <v/>
      </c>
    </row>
    <row r="45" ht="92" customHeight="1">
      <c r="A45" s="124">
        <f>Checks!$A$233&amp;CHAR(10)&amp;IF(Checks!$I$233="","",Checks!$I$233&amp;": ")&amp;Checks!$J$233</f>
        <v/>
      </c>
      <c r="B45" s="124">
        <f>Checks!$K$233&amp;IF(Checks!$O$233="","",IF(Checks!$K$233="","",CHAR(10))&amp;"Note: "&amp;Checks!$O$233)</f>
        <v/>
      </c>
      <c r="C45" s="124">
        <f>Checks!$N$233&amp;CHAR(10)&amp;IF(ISNUMBER(Checks!$R$233),TEXT(Checks!$R$233,"DD-MMM-YY HH:MM"),"")&amp;" "&amp;Checks!$P$233</f>
        <v/>
      </c>
      <c r="D45" s="124">
        <f>IF(Checks!$U$233="","",Checks!$U$233)&amp;IF(Checks!$AB$233="","",CHAR(10)&amp;"CA: "&amp;Checks!$AB$233)</f>
        <v/>
      </c>
      <c r="E45" s="124">
        <f>IF(Checks!$V$233="","",Checks!$V$233)&amp;IF(Checks!$AC$233="","",IF(Checks!$V$233="","",CHAR(10))&amp;"N/A just.: "&amp;Checks!$AC$233)&amp;IF(Checks!$W$233="","",CHAR(10)&amp;"Batch: "&amp;Checks!$W$233)&amp;IF(AND(Checks!$X$233="",Checks!$Y$233=""),"",CHAR(10)&amp;"Exp: "&amp;Checks!$X$233&amp;"  /  Act: "&amp;Checks!$Y$233)</f>
        <v/>
      </c>
      <c r="F45" s="124">
        <f>IF(Checks!$Z$233="","","Evidence: "&amp;Checks!$Z$233)&amp;IF(Checks!$AA$233="","",IF(Checks!$Z$233="","",CHAR(10))&amp;"CA: "&amp;Checks!$AA$233)</f>
        <v/>
      </c>
      <c r="G45" s="124">
        <f>IF(ISNUMBER(Checks!$AD$233),TEXT(Checks!$AD$233,"DD-MMM-YY HH:MM")&amp;" "&amp;Checks!$P$233,"")&amp;IF(Checks!$AE$233="","",CHAR(10)&amp;Checks!$AE$233)</f>
        <v/>
      </c>
      <c r="H45" s="125">
        <f>IF(Checks!$AH$233="","",Checks!$AH$233)</f>
        <v/>
      </c>
    </row>
    <row r="46" ht="92" customHeight="1">
      <c r="A46" s="124">
        <f>Checks!$A$234&amp;CHAR(10)&amp;IF(Checks!$I$234="","",Checks!$I$234&amp;": ")&amp;Checks!$J$234</f>
        <v/>
      </c>
      <c r="B46" s="124">
        <f>Checks!$K$234&amp;IF(Checks!$O$234="","",IF(Checks!$K$234="","",CHAR(10))&amp;"Note: "&amp;Checks!$O$234)</f>
        <v/>
      </c>
      <c r="C46" s="124">
        <f>Checks!$N$234&amp;CHAR(10)&amp;IF(ISNUMBER(Checks!$R$234),TEXT(Checks!$R$234,"DD-MMM-YY HH:MM"),"")&amp;" "&amp;Checks!$P$234</f>
        <v/>
      </c>
      <c r="D46" s="124">
        <f>IF(Checks!$U$234="","",Checks!$U$234)&amp;IF(Checks!$AB$234="","",CHAR(10)&amp;"CA: "&amp;Checks!$AB$234)</f>
        <v/>
      </c>
      <c r="E46" s="124">
        <f>IF(Checks!$V$234="","",Checks!$V$234)&amp;IF(Checks!$AC$234="","",IF(Checks!$V$234="","",CHAR(10))&amp;"N/A just.: "&amp;Checks!$AC$234)&amp;IF(Checks!$W$234="","",CHAR(10)&amp;"Batch: "&amp;Checks!$W$234)&amp;IF(AND(Checks!$X$234="",Checks!$Y$234=""),"",CHAR(10)&amp;"Exp: "&amp;Checks!$X$234&amp;"  /  Act: "&amp;Checks!$Y$234)</f>
        <v/>
      </c>
      <c r="F46" s="124">
        <f>IF(Checks!$Z$234="","","Evidence: "&amp;Checks!$Z$234)&amp;IF(Checks!$AA$234="","",IF(Checks!$Z$234="","",CHAR(10))&amp;"CA: "&amp;Checks!$AA$234)</f>
        <v/>
      </c>
      <c r="G46" s="124">
        <f>IF(ISNUMBER(Checks!$AD$234),TEXT(Checks!$AD$234,"DD-MMM-YY HH:MM")&amp;" "&amp;Checks!$P$234,"")&amp;IF(Checks!$AE$234="","",CHAR(10)&amp;Checks!$AE$234)</f>
        <v/>
      </c>
      <c r="H46" s="125">
        <f>IF(Checks!$AH$234="","",Checks!$AH$234)</f>
        <v/>
      </c>
    </row>
    <row r="47" ht="92" customHeight="1">
      <c r="A47" s="124">
        <f>Checks!$A$235&amp;CHAR(10)&amp;IF(Checks!$I$235="","",Checks!$I$235&amp;": ")&amp;Checks!$J$235</f>
        <v/>
      </c>
      <c r="B47" s="124">
        <f>Checks!$K$235&amp;IF(Checks!$O$235="","",IF(Checks!$K$235="","",CHAR(10))&amp;"Note: "&amp;Checks!$O$235)</f>
        <v/>
      </c>
      <c r="C47" s="124">
        <f>Checks!$N$235&amp;CHAR(10)&amp;IF(ISNUMBER(Checks!$R$235),TEXT(Checks!$R$235,"DD-MMM-YY HH:MM"),"")&amp;" "&amp;Checks!$P$235</f>
        <v/>
      </c>
      <c r="D47" s="124">
        <f>IF(Checks!$U$235="","",Checks!$U$235)&amp;IF(Checks!$AB$235="","",CHAR(10)&amp;"CA: "&amp;Checks!$AB$235)</f>
        <v/>
      </c>
      <c r="E47" s="124">
        <f>IF(Checks!$V$235="","",Checks!$V$235)&amp;IF(Checks!$AC$235="","",IF(Checks!$V$235="","",CHAR(10))&amp;"N/A just.: "&amp;Checks!$AC$235)&amp;IF(Checks!$W$235="","",CHAR(10)&amp;"Batch: "&amp;Checks!$W$235)&amp;IF(AND(Checks!$X$235="",Checks!$Y$235=""),"",CHAR(10)&amp;"Exp: "&amp;Checks!$X$235&amp;"  /  Act: "&amp;Checks!$Y$235)</f>
        <v/>
      </c>
      <c r="F47" s="124">
        <f>IF(Checks!$Z$235="","","Evidence: "&amp;Checks!$Z$235)&amp;IF(Checks!$AA$235="","",IF(Checks!$Z$235="","",CHAR(10))&amp;"CA: "&amp;Checks!$AA$235)</f>
        <v/>
      </c>
      <c r="G47" s="124">
        <f>IF(ISNUMBER(Checks!$AD$235),TEXT(Checks!$AD$235,"DD-MMM-YY HH:MM")&amp;" "&amp;Checks!$P$235,"")&amp;IF(Checks!$AE$235="","",CHAR(10)&amp;Checks!$AE$235)</f>
        <v/>
      </c>
      <c r="H47" s="125">
        <f>IF(Checks!$AH$235="","",Checks!$AH$235)</f>
        <v/>
      </c>
    </row>
    <row r="48" ht="92" customHeight="1">
      <c r="A48" s="124">
        <f>Checks!$A$236&amp;CHAR(10)&amp;IF(Checks!$I$236="","",Checks!$I$236&amp;": ")&amp;Checks!$J$236</f>
        <v/>
      </c>
      <c r="B48" s="124">
        <f>Checks!$K$236&amp;IF(Checks!$O$236="","",IF(Checks!$K$236="","",CHAR(10))&amp;"Note: "&amp;Checks!$O$236)</f>
        <v/>
      </c>
      <c r="C48" s="124">
        <f>Checks!$N$236&amp;CHAR(10)&amp;IF(ISNUMBER(Checks!$R$236),TEXT(Checks!$R$236,"DD-MMM-YY HH:MM"),"")&amp;" "&amp;Checks!$P$236</f>
        <v/>
      </c>
      <c r="D48" s="124">
        <f>IF(Checks!$U$236="","",Checks!$U$236)&amp;IF(Checks!$AB$236="","",CHAR(10)&amp;"CA: "&amp;Checks!$AB$236)</f>
        <v/>
      </c>
      <c r="E48" s="124">
        <f>IF(Checks!$V$236="","",Checks!$V$236)&amp;IF(Checks!$AC$236="","",IF(Checks!$V$236="","",CHAR(10))&amp;"N/A just.: "&amp;Checks!$AC$236)&amp;IF(Checks!$W$236="","",CHAR(10)&amp;"Batch: "&amp;Checks!$W$236)&amp;IF(AND(Checks!$X$236="",Checks!$Y$236=""),"",CHAR(10)&amp;"Exp: "&amp;Checks!$X$236&amp;"  /  Act: "&amp;Checks!$Y$236)</f>
        <v/>
      </c>
      <c r="F48" s="124">
        <f>IF(Checks!$Z$236="","","Evidence: "&amp;Checks!$Z$236)&amp;IF(Checks!$AA$236="","",IF(Checks!$Z$236="","",CHAR(10))&amp;"CA: "&amp;Checks!$AA$236)</f>
        <v/>
      </c>
      <c r="G48" s="124">
        <f>IF(ISNUMBER(Checks!$AD$236),TEXT(Checks!$AD$236,"DD-MMM-YY HH:MM")&amp;" "&amp;Checks!$P$236,"")&amp;IF(Checks!$AE$236="","",CHAR(10)&amp;Checks!$AE$236)</f>
        <v/>
      </c>
      <c r="H48" s="125">
        <f>IF(Checks!$AH$236="","",Checks!$AH$236)</f>
        <v/>
      </c>
    </row>
    <row r="49" ht="92" customHeight="1">
      <c r="A49" s="124">
        <f>Checks!$A$237&amp;CHAR(10)&amp;IF(Checks!$I$237="","",Checks!$I$237&amp;": ")&amp;Checks!$J$237</f>
        <v/>
      </c>
      <c r="B49" s="124">
        <f>Checks!$K$237&amp;IF(Checks!$O$237="","",IF(Checks!$K$237="","",CHAR(10))&amp;"Note: "&amp;Checks!$O$237)</f>
        <v/>
      </c>
      <c r="C49" s="124">
        <f>Checks!$N$237&amp;CHAR(10)&amp;IF(ISNUMBER(Checks!$R$237),TEXT(Checks!$R$237,"DD-MMM-YY HH:MM"),"")&amp;" "&amp;Checks!$P$237</f>
        <v/>
      </c>
      <c r="D49" s="124">
        <f>IF(Checks!$U$237="","",Checks!$U$237)&amp;IF(Checks!$AB$237="","",CHAR(10)&amp;"CA: "&amp;Checks!$AB$237)</f>
        <v/>
      </c>
      <c r="E49" s="124">
        <f>IF(Checks!$V$237="","",Checks!$V$237)&amp;IF(Checks!$AC$237="","",IF(Checks!$V$237="","",CHAR(10))&amp;"N/A just.: "&amp;Checks!$AC$237)&amp;IF(Checks!$W$237="","",CHAR(10)&amp;"Batch: "&amp;Checks!$W$237)&amp;IF(AND(Checks!$X$237="",Checks!$Y$237=""),"",CHAR(10)&amp;"Exp: "&amp;Checks!$X$237&amp;"  /  Act: "&amp;Checks!$Y$237)</f>
        <v/>
      </c>
      <c r="F49" s="124">
        <f>IF(Checks!$Z$237="","","Evidence: "&amp;Checks!$Z$237)&amp;IF(Checks!$AA$237="","",IF(Checks!$Z$237="","",CHAR(10))&amp;"CA: "&amp;Checks!$AA$237)</f>
        <v/>
      </c>
      <c r="G49" s="124">
        <f>IF(ISNUMBER(Checks!$AD$237),TEXT(Checks!$AD$237,"DD-MMM-YY HH:MM")&amp;" "&amp;Checks!$P$237,"")&amp;IF(Checks!$AE$237="","",CHAR(10)&amp;Checks!$AE$237)</f>
        <v/>
      </c>
      <c r="H49" s="125">
        <f>IF(Checks!$AH$237="","",Checks!$AH$237)</f>
        <v/>
      </c>
    </row>
    <row r="50" ht="92" customHeight="1">
      <c r="A50" s="124">
        <f>Checks!$A$238&amp;CHAR(10)&amp;IF(Checks!$I$238="","",Checks!$I$238&amp;": ")&amp;Checks!$J$238</f>
        <v/>
      </c>
      <c r="B50" s="124">
        <f>Checks!$K$238&amp;IF(Checks!$O$238="","",IF(Checks!$K$238="","",CHAR(10))&amp;"Note: "&amp;Checks!$O$238)</f>
        <v/>
      </c>
      <c r="C50" s="124">
        <f>Checks!$N$238&amp;CHAR(10)&amp;IF(ISNUMBER(Checks!$R$238),TEXT(Checks!$R$238,"DD-MMM-YY HH:MM"),"")&amp;" "&amp;Checks!$P$238</f>
        <v/>
      </c>
      <c r="D50" s="124">
        <f>IF(Checks!$U$238="","",Checks!$U$238)&amp;IF(Checks!$AB$238="","",CHAR(10)&amp;"CA: "&amp;Checks!$AB$238)</f>
        <v/>
      </c>
      <c r="E50" s="124">
        <f>IF(Checks!$V$238="","",Checks!$V$238)&amp;IF(Checks!$AC$238="","",IF(Checks!$V$238="","",CHAR(10))&amp;"N/A just.: "&amp;Checks!$AC$238)&amp;IF(Checks!$W$238="","",CHAR(10)&amp;"Batch: "&amp;Checks!$W$238)&amp;IF(AND(Checks!$X$238="",Checks!$Y$238=""),"",CHAR(10)&amp;"Exp: "&amp;Checks!$X$238&amp;"  /  Act: "&amp;Checks!$Y$238)</f>
        <v/>
      </c>
      <c r="F50" s="124">
        <f>IF(Checks!$Z$238="","","Evidence: "&amp;Checks!$Z$238)&amp;IF(Checks!$AA$238="","",IF(Checks!$Z$238="","",CHAR(10))&amp;"CA: "&amp;Checks!$AA$238)</f>
        <v/>
      </c>
      <c r="G50" s="124">
        <f>IF(ISNUMBER(Checks!$AD$238),TEXT(Checks!$AD$238,"DD-MMM-YY HH:MM")&amp;" "&amp;Checks!$P$238,"")&amp;IF(Checks!$AE$238="","",CHAR(10)&amp;Checks!$AE$238)</f>
        <v/>
      </c>
      <c r="H50" s="125">
        <f>IF(Checks!$AH$238="","",Checks!$AH$238)</f>
        <v/>
      </c>
    </row>
    <row r="51" ht="114" customHeight="1">
      <c r="A51" s="124">
        <f>Checks!$A$239&amp;CHAR(10)&amp;IF(Checks!$I$239="","",Checks!$I$239&amp;": ")&amp;Checks!$J$239</f>
        <v/>
      </c>
      <c r="B51" s="124">
        <f>SUBSTITUTE(Checks!$K$239&amp;IF(Checks!$O$239="","",IF(Checks!$K$239="","",CHAR(10))&amp;"Note: "&amp;Checks!$O$239),"F&amp;B LINEN!","Ref: F&amp;B LINEN!")</f>
        <v/>
      </c>
      <c r="C51" s="124">
        <f>Checks!$N$239&amp;CHAR(10)&amp;IF(ISNUMBER(Checks!$R$239),TEXT(Checks!$R$239,"DD-MMM-YY HH:MM"),"")&amp;" "&amp;Checks!$P$239</f>
        <v/>
      </c>
      <c r="D51" s="124">
        <f>IF(Checks!$U$239="","",Checks!$U$239)&amp;IF(Checks!$AB$239="","",CHAR(10)&amp;"CA: "&amp;Checks!$AB$239)</f>
        <v/>
      </c>
      <c r="E51" s="124">
        <f>IF(Checks!$V$239="","",Checks!$V$239)&amp;IF(Checks!$AC$239="","",IF(Checks!$V$239="","",CHAR(10))&amp;"N/A just.: "&amp;Checks!$AC$239)&amp;IF(Checks!$W$239="","",CHAR(10)&amp;"Batch: "&amp;Checks!$W$239)&amp;IF(AND(Checks!$X$239="",Checks!$Y$239=""),"",CHAR(10)&amp;"Exp: "&amp;Checks!$X$239&amp;"  /  Act: "&amp;Checks!$Y$239)</f>
        <v/>
      </c>
      <c r="F51" s="124">
        <f>IF(Checks!$Z$239="","","Evidence: "&amp;Checks!$Z$239)&amp;IF(Checks!$AA$239="","",IF(Checks!$Z$239="","",CHAR(10))&amp;"CA: "&amp;Checks!$AA$239)</f>
        <v/>
      </c>
      <c r="G51" s="124">
        <f>IF(ISNUMBER(Checks!$AD$239),TEXT(Checks!$AD$239,"DD-MMM-YY HH:MM")&amp;" "&amp;Checks!$P$239,"")&amp;IF(Checks!$AE$239="","",CHAR(10)&amp;Checks!$AE$239)</f>
        <v/>
      </c>
      <c r="H51" s="125">
        <f>IF(Checks!$AH$239="","",Checks!$AH$239)</f>
        <v/>
      </c>
    </row>
    <row r="52" ht="92" customHeight="1">
      <c r="A52" s="124">
        <f>Checks!$A$240&amp;CHAR(10)&amp;IF(Checks!$I$240="","",Checks!$I$240&amp;": ")&amp;Checks!$J$240</f>
        <v/>
      </c>
      <c r="B52" s="124">
        <f>Checks!$K$240&amp;IF(Checks!$O$240="","",IF(Checks!$K$240="","",CHAR(10))&amp;"Note: "&amp;Checks!$O$240)</f>
        <v/>
      </c>
      <c r="C52" s="124">
        <f>Checks!$N$240&amp;CHAR(10)&amp;IF(ISNUMBER(Checks!$R$240),TEXT(Checks!$R$240,"DD-MMM-YY HH:MM"),"")&amp;" "&amp;Checks!$P$240</f>
        <v/>
      </c>
      <c r="D52" s="124">
        <f>IF(Checks!$U$240="","",Checks!$U$240)&amp;IF(Checks!$AB$240="","",CHAR(10)&amp;"CA: "&amp;Checks!$AB$240)</f>
        <v/>
      </c>
      <c r="E52" s="124">
        <f>IF(Checks!$V$240="","",Checks!$V$240)&amp;IF(Checks!$AC$240="","",IF(Checks!$V$240="","",CHAR(10))&amp;"N/A just.: "&amp;Checks!$AC$240)&amp;IF(Checks!$W$240="","",CHAR(10)&amp;"Batch: "&amp;Checks!$W$240)&amp;IF(AND(Checks!$X$240="",Checks!$Y$240=""),"",CHAR(10)&amp;"Exp: "&amp;Checks!$X$240&amp;"  /  Act: "&amp;Checks!$Y$240)</f>
        <v/>
      </c>
      <c r="F52" s="124">
        <f>IF(Checks!$Z$240="","","Evidence: "&amp;Checks!$Z$240)&amp;IF(Checks!$AA$240="","",IF(Checks!$Z$240="","",CHAR(10))&amp;"CA: "&amp;Checks!$AA$240)</f>
        <v/>
      </c>
      <c r="G52" s="124">
        <f>IF(ISNUMBER(Checks!$AD$240),TEXT(Checks!$AD$240,"DD-MMM-YY HH:MM")&amp;" "&amp;Checks!$P$240,"")&amp;IF(Checks!$AE$240="","",CHAR(10)&amp;Checks!$AE$240)</f>
        <v/>
      </c>
      <c r="H52" s="125">
        <f>IF(Checks!$AH$240="","",Checks!$AH$240)</f>
        <v/>
      </c>
    </row>
    <row r="53" ht="92" customHeight="1">
      <c r="A53" s="124">
        <f>Checks!$A$241&amp;CHAR(10)&amp;IF(Checks!$I$241="","",Checks!$I$241&amp;": ")&amp;Checks!$J$241</f>
        <v/>
      </c>
      <c r="B53" s="124">
        <f>Checks!$K$241&amp;IF(Checks!$O$241="","",IF(Checks!$K$241="","",CHAR(10))&amp;"Note: "&amp;Checks!$O$241)</f>
        <v/>
      </c>
      <c r="C53" s="124">
        <f>Checks!$N$241&amp;CHAR(10)&amp;IF(ISNUMBER(Checks!$R$241),TEXT(Checks!$R$241,"DD-MMM-YY HH:MM"),"")&amp;" "&amp;Checks!$P$241</f>
        <v/>
      </c>
      <c r="D53" s="124">
        <f>IF(Checks!$U$241="","",Checks!$U$241)&amp;IF(Checks!$AB$241="","",CHAR(10)&amp;"CA: "&amp;Checks!$AB$241)</f>
        <v/>
      </c>
      <c r="E53" s="124">
        <f>IF(Checks!$V$241="","",Checks!$V$241)&amp;IF(Checks!$AC$241="","",IF(Checks!$V$241="","",CHAR(10))&amp;"N/A just.: "&amp;Checks!$AC$241)&amp;IF(Checks!$W$241="","",CHAR(10)&amp;"Batch: "&amp;Checks!$W$241)&amp;IF(AND(Checks!$X$241="",Checks!$Y$241=""),"",CHAR(10)&amp;"Exp: "&amp;Checks!$X$241&amp;"  /  Act: "&amp;Checks!$Y$241)</f>
        <v/>
      </c>
      <c r="F53" s="124">
        <f>IF(Checks!$Z$241="","","Evidence: "&amp;Checks!$Z$241)&amp;IF(Checks!$AA$241="","",IF(Checks!$Z$241="","",CHAR(10))&amp;"CA: "&amp;Checks!$AA$241)</f>
        <v/>
      </c>
      <c r="G53" s="124">
        <f>IF(ISNUMBER(Checks!$AD$241),TEXT(Checks!$AD$241,"DD-MMM-YY HH:MM")&amp;" "&amp;Checks!$P$241,"")&amp;IF(Checks!$AE$241="","",CHAR(10)&amp;Checks!$AE$241)</f>
        <v/>
      </c>
      <c r="H53" s="125">
        <f>IF(Checks!$AH$241="","",Checks!$AH$241)</f>
        <v/>
      </c>
    </row>
    <row r="54" ht="92" customHeight="1">
      <c r="A54" s="124">
        <f>Checks!$A$242&amp;CHAR(10)&amp;IF(Checks!$I$242="","",Checks!$I$242&amp;": ")&amp;Checks!$J$242</f>
        <v/>
      </c>
      <c r="B54" s="124">
        <f>Checks!$K$242&amp;IF(Checks!$O$242="","",IF(Checks!$K$242="","",CHAR(10))&amp;"Note: "&amp;Checks!$O$242)</f>
        <v/>
      </c>
      <c r="C54" s="124">
        <f>Checks!$N$242&amp;CHAR(10)&amp;IF(ISNUMBER(Checks!$R$242),TEXT(Checks!$R$242,"DD-MMM-YY HH:MM"),"")&amp;" "&amp;Checks!$P$242</f>
        <v/>
      </c>
      <c r="D54" s="124">
        <f>IF(Checks!$U$242="","",Checks!$U$242)&amp;IF(Checks!$AB$242="","",CHAR(10)&amp;"CA: "&amp;Checks!$AB$242)</f>
        <v/>
      </c>
      <c r="E54" s="124">
        <f>IF(Checks!$V$242="","",Checks!$V$242)&amp;IF(Checks!$AC$242="","",IF(Checks!$V$242="","",CHAR(10))&amp;"N/A just.: "&amp;Checks!$AC$242)&amp;IF(Checks!$W$242="","",CHAR(10)&amp;"Batch: "&amp;Checks!$W$242)&amp;IF(AND(Checks!$X$242="",Checks!$Y$242=""),"",CHAR(10)&amp;"Exp: "&amp;Checks!$X$242&amp;"  /  Act: "&amp;Checks!$Y$242)</f>
        <v/>
      </c>
      <c r="F54" s="124">
        <f>IF(Checks!$Z$242="","","Evidence: "&amp;Checks!$Z$242)&amp;IF(Checks!$AA$242="","",IF(Checks!$Z$242="","",CHAR(10))&amp;"CA: "&amp;Checks!$AA$242)</f>
        <v/>
      </c>
      <c r="G54" s="124">
        <f>IF(ISNUMBER(Checks!$AD$242),TEXT(Checks!$AD$242,"DD-MMM-YY HH:MM")&amp;" "&amp;Checks!$P$242,"")&amp;IF(Checks!$AE$242="","",CHAR(10)&amp;Checks!$AE$242)</f>
        <v/>
      </c>
      <c r="H54" s="125">
        <f>IF(Checks!$AH$242="","",Checks!$AH$242)</f>
        <v/>
      </c>
    </row>
    <row r="55" ht="92" customHeight="1">
      <c r="A55" s="124">
        <f>Checks!$A$243&amp;CHAR(10)&amp;IF(Checks!$I$243="","",Checks!$I$243&amp;": ")&amp;Checks!$J$243</f>
        <v/>
      </c>
      <c r="B55" s="124">
        <f>Checks!$K$243&amp;IF(Checks!$O$243="","",IF(Checks!$K$243="","",CHAR(10))&amp;"Note: "&amp;Checks!$O$243)</f>
        <v/>
      </c>
      <c r="C55" s="124">
        <f>Checks!$N$243&amp;CHAR(10)&amp;IF(ISNUMBER(Checks!$R$243),TEXT(Checks!$R$243,"DD-MMM-YY HH:MM"),"")&amp;" "&amp;Checks!$P$243</f>
        <v/>
      </c>
      <c r="D55" s="124">
        <f>IF(Checks!$U$243="","",Checks!$U$243)&amp;IF(Checks!$AB$243="","",CHAR(10)&amp;"CA: "&amp;Checks!$AB$243)</f>
        <v/>
      </c>
      <c r="E55" s="124">
        <f>IF(Checks!$V$243="","",Checks!$V$243)&amp;IF(Checks!$AC$243="","",IF(Checks!$V$243="","",CHAR(10))&amp;"N/A just.: "&amp;Checks!$AC$243)&amp;IF(Checks!$W$243="","",CHAR(10)&amp;"Batch: "&amp;Checks!$W$243)&amp;IF(AND(Checks!$X$243="",Checks!$Y$243=""),"",CHAR(10)&amp;"Exp: "&amp;Checks!$X$243&amp;"  /  Act: "&amp;Checks!$Y$243)</f>
        <v/>
      </c>
      <c r="F55" s="124">
        <f>IF(Checks!$Z$243="","","Evidence: "&amp;Checks!$Z$243)&amp;IF(Checks!$AA$243="","",IF(Checks!$Z$243="","",CHAR(10))&amp;"CA: "&amp;Checks!$AA$243)</f>
        <v/>
      </c>
      <c r="G55" s="124">
        <f>IF(ISNUMBER(Checks!$AD$243),TEXT(Checks!$AD$243,"DD-MMM-YY HH:MM")&amp;" "&amp;Checks!$P$243,"")&amp;IF(Checks!$AE$243="","",CHAR(10)&amp;Checks!$AE$243)</f>
        <v/>
      </c>
      <c r="H55" s="125">
        <f>IF(Checks!$AH$243="","",Checks!$AH$243)</f>
        <v/>
      </c>
    </row>
    <row r="56" ht="125" customHeight="1">
      <c r="A56" s="124">
        <f>Checks!$A$244&amp;CHAR(10)&amp;IF(Checks!$I$244="","",Checks!$I$244&amp;": ")&amp;Checks!$J$244</f>
        <v/>
      </c>
      <c r="B56" s="124">
        <f>Checks!$K$244&amp;IF(Checks!$O$244="","",IF(Checks!$K$244="","",CHAR(10))&amp;"Note: "&amp;Checks!$O$244)</f>
        <v/>
      </c>
      <c r="C56" s="124">
        <f>Checks!$N$244&amp;CHAR(10)&amp;IF(ISNUMBER(Checks!$R$244),TEXT(Checks!$R$244,"DD-MMM-YY HH:MM"),"")&amp;" "&amp;Checks!$P$244</f>
        <v/>
      </c>
      <c r="D56" s="124">
        <f>IF(Checks!$U$244="","",Checks!$U$244)&amp;IF(Checks!$AB$244="","",CHAR(10)&amp;"CA: "&amp;Checks!$AB$244)</f>
        <v/>
      </c>
      <c r="E56" s="124">
        <f>IF(Checks!$V$244="","",Checks!$V$244)&amp;IF(Checks!$AC$244="","",IF(Checks!$V$244="","",CHAR(10))&amp;"N/A just.: "&amp;Checks!$AC$244)&amp;IF(Checks!$W$244="","",CHAR(10)&amp;"Batch: "&amp;Checks!$W$244)&amp;IF(AND(Checks!$X$244="",Checks!$Y$244=""),"",CHAR(10)&amp;"Exp: "&amp;Checks!$X$244&amp;"  /  Act: "&amp;Checks!$Y$244)</f>
        <v/>
      </c>
      <c r="F56" s="124">
        <f>IF(Checks!$Z$244="","","Evidence: "&amp;Checks!$Z$244)&amp;IF(Checks!$AA$244="","",IF(Checks!$Z$244="","",CHAR(10))&amp;"CA: "&amp;Checks!$AA$244)</f>
        <v/>
      </c>
      <c r="G56" s="124">
        <f>IF(ISNUMBER(Checks!$AD$244),TEXT(Checks!$AD$244,"DD-MMM-YY HH:MM")&amp;" "&amp;Checks!$P$244,"")&amp;IF(Checks!$AE$244="","",CHAR(10)&amp;Checks!$AE$244)</f>
        <v/>
      </c>
      <c r="H56" s="125">
        <f>IF(Checks!$AH$244="","",Checks!$AH$244)</f>
        <v/>
      </c>
    </row>
    <row r="57" ht="26" customHeight="1">
      <c r="A57" s="123">
        <f>"UPLIFT — Physical uplift – on-board confirmation before departure  |  Due "&amp;"STD "&amp;IF(ISNUMBER(Flights!$I$11),TEXT(Flights!$I$11,"DD-MMM-YY HH:MM"),"")&amp;" "&amp;Flights!$G$11&amp;" (departure stn)"&amp;" (rows with another due show their own)  |  Complete "&amp;IF(ISNUMBER(Flights!$AM$11),TEXT(Flights!$AM$11,"0%"),Flights!$AM$11)&amp;"  |  17 lines"</f>
        <v/>
      </c>
      <c r="B57" s="97" t="n"/>
      <c r="C57" s="97" t="n"/>
      <c r="D57" s="97" t="n"/>
      <c r="E57" s="97" t="n"/>
      <c r="F57" s="97" t="n"/>
      <c r="G57" s="97" t="n"/>
      <c r="H57" s="98" t="n"/>
    </row>
    <row r="58" ht="81" customHeight="1">
      <c r="A58" s="124">
        <f>Checks!$A$245&amp;CHAR(10)&amp;IF(Checks!$I$245="","",Checks!$I$245&amp;": ")&amp;Checks!$J$245</f>
        <v/>
      </c>
      <c r="B58" s="124">
        <f>Checks!$K$245&amp;IF(Checks!$O$245="","",IF(Checks!$K$245="","",CHAR(10))&amp;"Note: "&amp;Checks!$O$245)</f>
        <v/>
      </c>
      <c r="C58" s="124">
        <f>Checks!$N$245&amp;CHAR(10)&amp;IF(ISNUMBER(Checks!$R$245),TEXT(Checks!$R$245,"DD-MMM-YY HH:MM"),"")&amp;" "&amp;Checks!$P$245</f>
        <v/>
      </c>
      <c r="D58" s="124">
        <f>IF(Checks!$U$245="","",Checks!$U$245)&amp;IF(Checks!$AB$245="","",CHAR(10)&amp;"CA: "&amp;Checks!$AB$245)</f>
        <v/>
      </c>
      <c r="E58" s="124">
        <f>IF(Checks!$V$245="","",Checks!$V$245)&amp;IF(Checks!$AC$245="","",IF(Checks!$V$245="","",CHAR(10))&amp;"N/A just.: "&amp;Checks!$AC$245)&amp;IF(Checks!$W$245="","",CHAR(10)&amp;"Batch: "&amp;Checks!$W$245)&amp;IF(AND(Checks!$X$245="",Checks!$Y$245=""),"",CHAR(10)&amp;"Exp: "&amp;Checks!$X$245&amp;"  /  Act: "&amp;Checks!$Y$245)</f>
        <v/>
      </c>
      <c r="F58" s="124">
        <f>IF(Checks!$Z$245="","","Evidence: "&amp;Checks!$Z$245)&amp;IF(Checks!$AA$245="","",IF(Checks!$Z$245="","",CHAR(10))&amp;"CA: "&amp;Checks!$AA$245)</f>
        <v/>
      </c>
      <c r="G58" s="124">
        <f>IF(ISNUMBER(Checks!$AD$245),TEXT(Checks!$AD$245,"DD-MMM-YY HH:MM")&amp;" "&amp;Checks!$P$245,"")&amp;IF(Checks!$AE$245="","",CHAR(10)&amp;Checks!$AE$245)</f>
        <v/>
      </c>
      <c r="H58" s="125">
        <f>IF(Checks!$AH$245="","",Checks!$AH$245)</f>
        <v/>
      </c>
    </row>
    <row r="59" ht="81" customHeight="1">
      <c r="A59" s="124">
        <f>Checks!$A$246&amp;CHAR(10)&amp;IF(Checks!$I$246="","",Checks!$I$246&amp;": ")&amp;Checks!$J$246</f>
        <v/>
      </c>
      <c r="B59" s="124">
        <f>Checks!$K$246&amp;IF(Checks!$O$246="","",IF(Checks!$K$246="","",CHAR(10))&amp;"Note: "&amp;Checks!$O$246)</f>
        <v/>
      </c>
      <c r="C59" s="124">
        <f>Checks!$N$246&amp;CHAR(10)&amp;IF(ISNUMBER(Checks!$R$246),TEXT(Checks!$R$246,"DD-MMM-YY HH:MM"),"")&amp;" "&amp;Checks!$P$246</f>
        <v/>
      </c>
      <c r="D59" s="124">
        <f>IF(Checks!$U$246="","",Checks!$U$246)&amp;IF(Checks!$AB$246="","",CHAR(10)&amp;"CA: "&amp;Checks!$AB$246)</f>
        <v/>
      </c>
      <c r="E59" s="124">
        <f>IF(Checks!$V$246="","",Checks!$V$246)&amp;IF(Checks!$AC$246="","",IF(Checks!$V$246="","",CHAR(10))&amp;"N/A just.: "&amp;Checks!$AC$246)&amp;IF(Checks!$W$246="","",CHAR(10)&amp;"Batch: "&amp;Checks!$W$246)&amp;IF(AND(Checks!$X$246="",Checks!$Y$246=""),"",CHAR(10)&amp;"Exp: "&amp;Checks!$X$246&amp;"  /  Act: "&amp;Checks!$Y$246)</f>
        <v/>
      </c>
      <c r="F59" s="124">
        <f>IF(Checks!$Z$246="","","Evidence: "&amp;Checks!$Z$246)&amp;IF(Checks!$AA$246="","",IF(Checks!$Z$246="","",CHAR(10))&amp;"CA: "&amp;Checks!$AA$246)</f>
        <v/>
      </c>
      <c r="G59" s="124">
        <f>IF(ISNUMBER(Checks!$AD$246),TEXT(Checks!$AD$246,"DD-MMM-YY HH:MM")&amp;" "&amp;Checks!$P$246,"")&amp;IF(Checks!$AE$246="","",CHAR(10)&amp;Checks!$AE$246)</f>
        <v/>
      </c>
      <c r="H59" s="125">
        <f>IF(Checks!$AH$246="","",Checks!$AH$246)</f>
        <v/>
      </c>
    </row>
    <row r="60" ht="125" customHeight="1">
      <c r="A60" s="124">
        <f>Checks!$A$247&amp;CHAR(10)&amp;IF(Checks!$I$247="","",Checks!$I$247&amp;": ")&amp;Checks!$J$247</f>
        <v/>
      </c>
      <c r="B60" s="124">
        <f>Checks!$K$247&amp;IF(Checks!$O$247="","",IF(Checks!$K$247="","",CHAR(10))&amp;"Note: "&amp;Checks!$O$247)</f>
        <v/>
      </c>
      <c r="C60" s="124">
        <f>Checks!$N$247&amp;CHAR(10)&amp;IF(ISNUMBER(Checks!$R$247),TEXT(Checks!$R$247,"DD-MMM-YY HH:MM"),"")&amp;" "&amp;Checks!$P$247</f>
        <v/>
      </c>
      <c r="D60" s="124">
        <f>IF(Checks!$U$247="","",Checks!$U$247)&amp;IF(Checks!$AB$247="","",CHAR(10)&amp;"CA: "&amp;Checks!$AB$247)</f>
        <v/>
      </c>
      <c r="E60" s="124">
        <f>IF(Checks!$V$247="","",Checks!$V$247)&amp;IF(Checks!$AC$247="","",IF(Checks!$V$247="","",CHAR(10))&amp;"N/A just.: "&amp;Checks!$AC$247)&amp;IF(Checks!$W$247="","",CHAR(10)&amp;"Batch: "&amp;Checks!$W$247)&amp;IF(AND(Checks!$X$247="",Checks!$Y$247=""),"",CHAR(10)&amp;"Exp: "&amp;Checks!$X$247&amp;"  /  Act: "&amp;Checks!$Y$247)</f>
        <v/>
      </c>
      <c r="F60" s="124">
        <f>IF(Checks!$Z$247="","","Evidence: "&amp;Checks!$Z$247)&amp;IF(Checks!$AA$247="","",IF(Checks!$Z$247="","",CHAR(10))&amp;"CA: "&amp;Checks!$AA$247)</f>
        <v/>
      </c>
      <c r="G60" s="124">
        <f>IF(ISNUMBER(Checks!$AD$247),TEXT(Checks!$AD$247,"DD-MMM-YY HH:MM")&amp;" "&amp;Checks!$P$247,"")&amp;IF(Checks!$AE$247="","",CHAR(10)&amp;Checks!$AE$247)</f>
        <v/>
      </c>
      <c r="H60" s="125">
        <f>IF(Checks!$AH$247="","",Checks!$AH$247)</f>
        <v/>
      </c>
    </row>
    <row r="61" ht="81" customHeight="1">
      <c r="A61" s="124">
        <f>Checks!$A$248&amp;CHAR(10)&amp;IF(Checks!$I$248="","",Checks!$I$248&amp;": ")&amp;Checks!$J$248</f>
        <v/>
      </c>
      <c r="B61" s="124">
        <f>Checks!$K$248&amp;IF(Checks!$O$248="","",IF(Checks!$K$248="","",CHAR(10))&amp;"Note: "&amp;Checks!$O$248)</f>
        <v/>
      </c>
      <c r="C61" s="124">
        <f>Checks!$N$248&amp;CHAR(10)&amp;IF(ISNUMBER(Checks!$R$248),TEXT(Checks!$R$248,"DD-MMM-YY HH:MM"),"")&amp;" "&amp;Checks!$P$248</f>
        <v/>
      </c>
      <c r="D61" s="124">
        <f>IF(Checks!$U$248="","",Checks!$U$248)&amp;IF(Checks!$AB$248="","",CHAR(10)&amp;"CA: "&amp;Checks!$AB$248)</f>
        <v/>
      </c>
      <c r="E61" s="124">
        <f>IF(Checks!$V$248="","",Checks!$V$248)&amp;IF(Checks!$AC$248="","",IF(Checks!$V$248="","",CHAR(10))&amp;"N/A just.: "&amp;Checks!$AC$248)&amp;IF(Checks!$W$248="","",CHAR(10)&amp;"Batch: "&amp;Checks!$W$248)&amp;IF(AND(Checks!$X$248="",Checks!$Y$248=""),"",CHAR(10)&amp;"Exp: "&amp;Checks!$X$248&amp;"  /  Act: "&amp;Checks!$Y$248)</f>
        <v/>
      </c>
      <c r="F61" s="124">
        <f>IF(Checks!$Z$248="","","Evidence: "&amp;Checks!$Z$248)&amp;IF(Checks!$AA$248="","",IF(Checks!$Z$248="","",CHAR(10))&amp;"CA: "&amp;Checks!$AA$248)</f>
        <v/>
      </c>
      <c r="G61" s="124">
        <f>IF(ISNUMBER(Checks!$AD$248),TEXT(Checks!$AD$248,"DD-MMM-YY HH:MM")&amp;" "&amp;Checks!$P$248,"")&amp;IF(Checks!$AE$248="","",CHAR(10)&amp;Checks!$AE$248)</f>
        <v/>
      </c>
      <c r="H61" s="125">
        <f>IF(Checks!$AH$248="","",Checks!$AH$248)</f>
        <v/>
      </c>
    </row>
    <row r="62" ht="92" customHeight="1">
      <c r="A62" s="124">
        <f>Checks!$A$249&amp;CHAR(10)&amp;IF(Checks!$I$249="","",Checks!$I$249&amp;": ")&amp;Checks!$J$249</f>
        <v/>
      </c>
      <c r="B62" s="124">
        <f>Checks!$K$249&amp;IF(Checks!$O$249="","",IF(Checks!$K$249="","",CHAR(10))&amp;"Note: "&amp;Checks!$O$249)</f>
        <v/>
      </c>
      <c r="C62" s="124">
        <f>Checks!$N$249&amp;CHAR(10)&amp;IF(ISNUMBER(Checks!$R$249),TEXT(Checks!$R$249,"DD-MMM-YY HH:MM"),"")&amp;" "&amp;Checks!$P$249</f>
        <v/>
      </c>
      <c r="D62" s="124">
        <f>IF(Checks!$U$249="","",Checks!$U$249)&amp;IF(Checks!$AB$249="","",CHAR(10)&amp;"CA: "&amp;Checks!$AB$249)</f>
        <v/>
      </c>
      <c r="E62" s="124">
        <f>IF(Checks!$V$249="","",Checks!$V$249)&amp;IF(Checks!$AC$249="","",IF(Checks!$V$249="","",CHAR(10))&amp;"N/A just.: "&amp;Checks!$AC$249)&amp;IF(Checks!$W$249="","",CHAR(10)&amp;"Batch: "&amp;Checks!$W$249)&amp;IF(AND(Checks!$X$249="",Checks!$Y$249=""),"",CHAR(10)&amp;"Exp: "&amp;Checks!$X$249&amp;"  /  Act: "&amp;Checks!$Y$249)</f>
        <v/>
      </c>
      <c r="F62" s="124">
        <f>IF(Checks!$Z$249="","","Evidence: "&amp;Checks!$Z$249)&amp;IF(Checks!$AA$249="","",IF(Checks!$Z$249="","",CHAR(10))&amp;"CA: "&amp;Checks!$AA$249)</f>
        <v/>
      </c>
      <c r="G62" s="124">
        <f>IF(ISNUMBER(Checks!$AD$249),TEXT(Checks!$AD$249,"DD-MMM-YY HH:MM")&amp;" "&amp;Checks!$P$249,"")&amp;IF(Checks!$AE$249="","",CHAR(10)&amp;Checks!$AE$249)</f>
        <v/>
      </c>
      <c r="H62" s="125">
        <f>IF(Checks!$AH$249="","",Checks!$AH$249)</f>
        <v/>
      </c>
    </row>
    <row r="63" ht="81" customHeight="1">
      <c r="A63" s="124">
        <f>Checks!$A$250&amp;CHAR(10)&amp;IF(Checks!$I$250="","",Checks!$I$250&amp;": ")&amp;Checks!$J$250</f>
        <v/>
      </c>
      <c r="B63" s="124">
        <f>Checks!$K$250&amp;IF(Checks!$O$250="","",IF(Checks!$K$250="","",CHAR(10))&amp;"Note: "&amp;Checks!$O$250)</f>
        <v/>
      </c>
      <c r="C63" s="124">
        <f>Checks!$N$250&amp;CHAR(10)&amp;IF(ISNUMBER(Checks!$R$250),TEXT(Checks!$R$250,"DD-MMM-YY HH:MM"),"")&amp;" "&amp;Checks!$P$250</f>
        <v/>
      </c>
      <c r="D63" s="124">
        <f>IF(Checks!$U$250="","",Checks!$U$250)&amp;IF(Checks!$AB$250="","",CHAR(10)&amp;"CA: "&amp;Checks!$AB$250)</f>
        <v/>
      </c>
      <c r="E63" s="124">
        <f>IF(Checks!$V$250="","",Checks!$V$250)&amp;IF(Checks!$AC$250="","",IF(Checks!$V$250="","",CHAR(10))&amp;"N/A just.: "&amp;Checks!$AC$250)&amp;IF(Checks!$W$250="","",CHAR(10)&amp;"Batch: "&amp;Checks!$W$250)&amp;IF(AND(Checks!$X$250="",Checks!$Y$250=""),"",CHAR(10)&amp;"Exp: "&amp;Checks!$X$250&amp;"  /  Act: "&amp;Checks!$Y$250)</f>
        <v/>
      </c>
      <c r="F63" s="124">
        <f>IF(Checks!$Z$250="","","Evidence: "&amp;Checks!$Z$250)&amp;IF(Checks!$AA$250="","",IF(Checks!$Z$250="","",CHAR(10))&amp;"CA: "&amp;Checks!$AA$250)</f>
        <v/>
      </c>
      <c r="G63" s="124">
        <f>IF(ISNUMBER(Checks!$AD$250),TEXT(Checks!$AD$250,"DD-MMM-YY HH:MM")&amp;" "&amp;Checks!$P$250,"")&amp;IF(Checks!$AE$250="","",CHAR(10)&amp;Checks!$AE$250)</f>
        <v/>
      </c>
      <c r="H63" s="125">
        <f>IF(Checks!$AH$250="","",Checks!$AH$250)</f>
        <v/>
      </c>
    </row>
    <row r="64" ht="81" customHeight="1">
      <c r="A64" s="124">
        <f>Checks!$A$251&amp;CHAR(10)&amp;IF(Checks!$I$251="","",Checks!$I$251&amp;": ")&amp;Checks!$J$251</f>
        <v/>
      </c>
      <c r="B64" s="124">
        <f>Checks!$K$251&amp;IF(Checks!$O$251="","",IF(Checks!$K$251="","",CHAR(10))&amp;"Note: "&amp;Checks!$O$251)</f>
        <v/>
      </c>
      <c r="C64" s="124">
        <f>Checks!$N$251&amp;CHAR(10)&amp;IF(ISNUMBER(Checks!$R$251),TEXT(Checks!$R$251,"DD-MMM-YY HH:MM"),"")&amp;" "&amp;Checks!$P$251</f>
        <v/>
      </c>
      <c r="D64" s="124">
        <f>IF(Checks!$U$251="","",Checks!$U$251)&amp;IF(Checks!$AB$251="","",CHAR(10)&amp;"CA: "&amp;Checks!$AB$251)</f>
        <v/>
      </c>
      <c r="E64" s="124">
        <f>IF(Checks!$V$251="","",Checks!$V$251)&amp;IF(Checks!$AC$251="","",IF(Checks!$V$251="","",CHAR(10))&amp;"N/A just.: "&amp;Checks!$AC$251)&amp;IF(Checks!$W$251="","",CHAR(10)&amp;"Batch: "&amp;Checks!$W$251)&amp;IF(AND(Checks!$X$251="",Checks!$Y$251=""),"",CHAR(10)&amp;"Exp: "&amp;Checks!$X$251&amp;"  /  Act: "&amp;Checks!$Y$251)</f>
        <v/>
      </c>
      <c r="F64" s="124">
        <f>IF(Checks!$Z$251="","","Evidence: "&amp;Checks!$Z$251)&amp;IF(Checks!$AA$251="","",IF(Checks!$Z$251="","",CHAR(10))&amp;"CA: "&amp;Checks!$AA$251)</f>
        <v/>
      </c>
      <c r="G64" s="124">
        <f>IF(ISNUMBER(Checks!$AD$251),TEXT(Checks!$AD$251,"DD-MMM-YY HH:MM")&amp;" "&amp;Checks!$P$251,"")&amp;IF(Checks!$AE$251="","",CHAR(10)&amp;Checks!$AE$251)</f>
        <v/>
      </c>
      <c r="H64" s="125">
        <f>IF(Checks!$AH$251="","",Checks!$AH$251)</f>
        <v/>
      </c>
    </row>
    <row r="65" ht="81" customHeight="1">
      <c r="A65" s="124">
        <f>Checks!$A$252&amp;CHAR(10)&amp;IF(Checks!$I$252="","",Checks!$I$252&amp;": ")&amp;Checks!$J$252</f>
        <v/>
      </c>
      <c r="B65" s="124">
        <f>Checks!$K$252&amp;IF(Checks!$O$252="","",IF(Checks!$K$252="","",CHAR(10))&amp;"Note: "&amp;Checks!$O$252)</f>
        <v/>
      </c>
      <c r="C65" s="124">
        <f>Checks!$N$252&amp;CHAR(10)&amp;IF(ISNUMBER(Checks!$R$252),TEXT(Checks!$R$252,"DD-MMM-YY HH:MM"),"")&amp;" "&amp;Checks!$P$252</f>
        <v/>
      </c>
      <c r="D65" s="124">
        <f>IF(Checks!$U$252="","",Checks!$U$252)&amp;IF(Checks!$AB$252="","",CHAR(10)&amp;"CA: "&amp;Checks!$AB$252)</f>
        <v/>
      </c>
      <c r="E65" s="124">
        <f>IF(Checks!$V$252="","",Checks!$V$252)&amp;IF(Checks!$AC$252="","",IF(Checks!$V$252="","",CHAR(10))&amp;"N/A just.: "&amp;Checks!$AC$252)&amp;IF(Checks!$W$252="","",CHAR(10)&amp;"Batch: "&amp;Checks!$W$252)&amp;IF(AND(Checks!$X$252="",Checks!$Y$252=""),"",CHAR(10)&amp;"Exp: "&amp;Checks!$X$252&amp;"  /  Act: "&amp;Checks!$Y$252)</f>
        <v/>
      </c>
      <c r="F65" s="124">
        <f>IF(Checks!$Z$252="","","Evidence: "&amp;Checks!$Z$252)&amp;IF(Checks!$AA$252="","",IF(Checks!$Z$252="","",CHAR(10))&amp;"CA: "&amp;Checks!$AA$252)</f>
        <v/>
      </c>
      <c r="G65" s="124">
        <f>IF(ISNUMBER(Checks!$AD$252),TEXT(Checks!$AD$252,"DD-MMM-YY HH:MM")&amp;" "&amp;Checks!$P$252,"")&amp;IF(Checks!$AE$252="","",CHAR(10)&amp;Checks!$AE$252)</f>
        <v/>
      </c>
      <c r="H65" s="125">
        <f>IF(Checks!$AH$252="","",Checks!$AH$252)</f>
        <v/>
      </c>
    </row>
    <row r="66" ht="81" customHeight="1">
      <c r="A66" s="124">
        <f>Checks!$A$253&amp;CHAR(10)&amp;IF(Checks!$I$253="","",Checks!$I$253&amp;": ")&amp;Checks!$J$253</f>
        <v/>
      </c>
      <c r="B66" s="124">
        <f>Checks!$K$253&amp;IF(Checks!$O$253="","",IF(Checks!$K$253="","",CHAR(10))&amp;"Note: "&amp;Checks!$O$253)</f>
        <v/>
      </c>
      <c r="C66" s="124">
        <f>Checks!$N$253&amp;CHAR(10)&amp;IF(ISNUMBER(Checks!$R$253),TEXT(Checks!$R$253,"DD-MMM-YY HH:MM"),"")&amp;" "&amp;Checks!$P$253</f>
        <v/>
      </c>
      <c r="D66" s="124">
        <f>IF(Checks!$U$253="","",Checks!$U$253)&amp;IF(Checks!$AB$253="","",CHAR(10)&amp;"CA: "&amp;Checks!$AB$253)</f>
        <v/>
      </c>
      <c r="E66" s="124">
        <f>IF(Checks!$V$253="","",Checks!$V$253)&amp;IF(Checks!$AC$253="","",IF(Checks!$V$253="","",CHAR(10))&amp;"N/A just.: "&amp;Checks!$AC$253)&amp;IF(Checks!$W$253="","",CHAR(10)&amp;"Batch: "&amp;Checks!$W$253)&amp;IF(AND(Checks!$X$253="",Checks!$Y$253=""),"",CHAR(10)&amp;"Exp: "&amp;Checks!$X$253&amp;"  /  Act: "&amp;Checks!$Y$253)</f>
        <v/>
      </c>
      <c r="F66" s="124">
        <f>IF(Checks!$Z$253="","","Evidence: "&amp;Checks!$Z$253)&amp;IF(Checks!$AA$253="","",IF(Checks!$Z$253="","",CHAR(10))&amp;"CA: "&amp;Checks!$AA$253)</f>
        <v/>
      </c>
      <c r="G66" s="124">
        <f>IF(ISNUMBER(Checks!$AD$253),TEXT(Checks!$AD$253,"DD-MMM-YY HH:MM")&amp;" "&amp;Checks!$P$253,"")&amp;IF(Checks!$AE$253="","",CHAR(10)&amp;Checks!$AE$253)</f>
        <v/>
      </c>
      <c r="H66" s="125">
        <f>IF(Checks!$AH$253="","",Checks!$AH$253)</f>
        <v/>
      </c>
    </row>
    <row r="67" ht="81" customHeight="1">
      <c r="A67" s="124">
        <f>Checks!$A$254&amp;CHAR(10)&amp;IF(Checks!$I$254="","",Checks!$I$254&amp;": ")&amp;Checks!$J$254</f>
        <v/>
      </c>
      <c r="B67" s="124">
        <f>Checks!$K$254&amp;IF(Checks!$O$254="","",IF(Checks!$K$254="","",CHAR(10))&amp;"Note: "&amp;Checks!$O$254)</f>
        <v/>
      </c>
      <c r="C67" s="124">
        <f>Checks!$N$254&amp;CHAR(10)&amp;IF(ISNUMBER(Checks!$R$254),TEXT(Checks!$R$254,"DD-MMM-YY HH:MM"),"")&amp;" "&amp;Checks!$P$254</f>
        <v/>
      </c>
      <c r="D67" s="124">
        <f>IF(Checks!$U$254="","",Checks!$U$254)&amp;IF(Checks!$AB$254="","",CHAR(10)&amp;"CA: "&amp;Checks!$AB$254)</f>
        <v/>
      </c>
      <c r="E67" s="124">
        <f>IF(Checks!$V$254="","",Checks!$V$254)&amp;IF(Checks!$AC$254="","",IF(Checks!$V$254="","",CHAR(10))&amp;"N/A just.: "&amp;Checks!$AC$254)&amp;IF(Checks!$W$254="","",CHAR(10)&amp;"Batch: "&amp;Checks!$W$254)&amp;IF(AND(Checks!$X$254="",Checks!$Y$254=""),"",CHAR(10)&amp;"Exp: "&amp;Checks!$X$254&amp;"  /  Act: "&amp;Checks!$Y$254)</f>
        <v/>
      </c>
      <c r="F67" s="124">
        <f>IF(Checks!$Z$254="","","Evidence: "&amp;Checks!$Z$254)&amp;IF(Checks!$AA$254="","",IF(Checks!$Z$254="","",CHAR(10))&amp;"CA: "&amp;Checks!$AA$254)</f>
        <v/>
      </c>
      <c r="G67" s="124">
        <f>IF(ISNUMBER(Checks!$AD$254),TEXT(Checks!$AD$254,"DD-MMM-YY HH:MM")&amp;" "&amp;Checks!$P$254,"")&amp;IF(Checks!$AE$254="","",CHAR(10)&amp;Checks!$AE$254)</f>
        <v/>
      </c>
      <c r="H67" s="125">
        <f>IF(Checks!$AH$254="","",Checks!$AH$254)</f>
        <v/>
      </c>
    </row>
    <row r="68" ht="81" customHeight="1">
      <c r="A68" s="124">
        <f>Checks!$A$255&amp;CHAR(10)&amp;IF(Checks!$I$255="","",Checks!$I$255&amp;": ")&amp;Checks!$J$255</f>
        <v/>
      </c>
      <c r="B68" s="124">
        <f>Checks!$K$255&amp;IF(Checks!$O$255="","",IF(Checks!$K$255="","",CHAR(10))&amp;"Note: "&amp;Checks!$O$255)</f>
        <v/>
      </c>
      <c r="C68" s="124">
        <f>Checks!$N$255&amp;CHAR(10)&amp;IF(ISNUMBER(Checks!$R$255),TEXT(Checks!$R$255,"DD-MMM-YY HH:MM"),"")&amp;" "&amp;Checks!$P$255</f>
        <v/>
      </c>
      <c r="D68" s="124">
        <f>IF(Checks!$U$255="","",Checks!$U$255)&amp;IF(Checks!$AB$255="","",CHAR(10)&amp;"CA: "&amp;Checks!$AB$255)</f>
        <v/>
      </c>
      <c r="E68" s="124">
        <f>IF(Checks!$V$255="","",Checks!$V$255)&amp;IF(Checks!$AC$255="","",IF(Checks!$V$255="","",CHAR(10))&amp;"N/A just.: "&amp;Checks!$AC$255)&amp;IF(Checks!$W$255="","",CHAR(10)&amp;"Batch: "&amp;Checks!$W$255)&amp;IF(AND(Checks!$X$255="",Checks!$Y$255=""),"",CHAR(10)&amp;"Exp: "&amp;Checks!$X$255&amp;"  /  Act: "&amp;Checks!$Y$255)</f>
        <v/>
      </c>
      <c r="F68" s="124">
        <f>IF(Checks!$Z$255="","","Evidence: "&amp;Checks!$Z$255)&amp;IF(Checks!$AA$255="","",IF(Checks!$Z$255="","",CHAR(10))&amp;"CA: "&amp;Checks!$AA$255)</f>
        <v/>
      </c>
      <c r="G68" s="124">
        <f>IF(ISNUMBER(Checks!$AD$255),TEXT(Checks!$AD$255,"DD-MMM-YY HH:MM")&amp;" "&amp;Checks!$P$255,"")&amp;IF(Checks!$AE$255="","",CHAR(10)&amp;Checks!$AE$255)</f>
        <v/>
      </c>
      <c r="H68" s="125">
        <f>IF(Checks!$AH$255="","",Checks!$AH$255)</f>
        <v/>
      </c>
    </row>
    <row r="69" ht="81" customHeight="1">
      <c r="A69" s="124">
        <f>Checks!$A$256&amp;CHAR(10)&amp;IF(Checks!$I$256="","",Checks!$I$256&amp;": ")&amp;Checks!$J$256</f>
        <v/>
      </c>
      <c r="B69" s="124">
        <f>SUBSTITUTE(Checks!$K$256&amp;IF(Checks!$O$256="","",IF(Checks!$K$256="","",CHAR(10))&amp;"Note: "&amp;Checks!$O$256),"F&amp;B LINEN!","Ref: F&amp;B LINEN!")</f>
        <v/>
      </c>
      <c r="C69" s="124">
        <f>Checks!$N$256&amp;CHAR(10)&amp;IF(ISNUMBER(Checks!$R$256),TEXT(Checks!$R$256,"DD-MMM-YY HH:MM"),"")&amp;" "&amp;Checks!$P$256</f>
        <v/>
      </c>
      <c r="D69" s="124">
        <f>IF(Checks!$U$256="","",Checks!$U$256)&amp;IF(Checks!$AB$256="","",CHAR(10)&amp;"CA: "&amp;Checks!$AB$256)</f>
        <v/>
      </c>
      <c r="E69" s="124">
        <f>IF(Checks!$V$256="","",Checks!$V$256)&amp;IF(Checks!$AC$256="","",IF(Checks!$V$256="","",CHAR(10))&amp;"N/A just.: "&amp;Checks!$AC$256)&amp;IF(Checks!$W$256="","",CHAR(10)&amp;"Batch: "&amp;Checks!$W$256)&amp;IF(AND(Checks!$X$256="",Checks!$Y$256=""),"",CHAR(10)&amp;"Exp: "&amp;Checks!$X$256&amp;"  /  Act: "&amp;Checks!$Y$256)</f>
        <v/>
      </c>
      <c r="F69" s="124">
        <f>IF(Checks!$Z$256="","","Evidence: "&amp;Checks!$Z$256)&amp;IF(Checks!$AA$256="","",IF(Checks!$Z$256="","",CHAR(10))&amp;"CA: "&amp;Checks!$AA$256)</f>
        <v/>
      </c>
      <c r="G69" s="124">
        <f>IF(ISNUMBER(Checks!$AD$256),TEXT(Checks!$AD$256,"DD-MMM-YY HH:MM")&amp;" "&amp;Checks!$P$256,"")&amp;IF(Checks!$AE$256="","",CHAR(10)&amp;Checks!$AE$256)</f>
        <v/>
      </c>
      <c r="H69" s="125">
        <f>IF(Checks!$AH$256="","",Checks!$AH$256)</f>
        <v/>
      </c>
    </row>
    <row r="70" ht="81" customHeight="1">
      <c r="A70" s="124">
        <f>Checks!$A$257&amp;CHAR(10)&amp;IF(Checks!$I$257="","",Checks!$I$257&amp;": ")&amp;Checks!$J$257</f>
        <v/>
      </c>
      <c r="B70" s="124">
        <f>Checks!$K$257&amp;IF(Checks!$O$257="","",IF(Checks!$K$257="","",CHAR(10))&amp;"Note: "&amp;Checks!$O$257)</f>
        <v/>
      </c>
      <c r="C70" s="124">
        <f>Checks!$N$257&amp;CHAR(10)&amp;IF(ISNUMBER(Checks!$R$257),TEXT(Checks!$R$257,"DD-MMM-YY HH:MM"),"")&amp;" "&amp;Checks!$P$257</f>
        <v/>
      </c>
      <c r="D70" s="124">
        <f>IF(Checks!$U$257="","",Checks!$U$257)&amp;IF(Checks!$AB$257="","",CHAR(10)&amp;"CA: "&amp;Checks!$AB$257)</f>
        <v/>
      </c>
      <c r="E70" s="124">
        <f>IF(Checks!$V$257="","",Checks!$V$257)&amp;IF(Checks!$AC$257="","",IF(Checks!$V$257="","",CHAR(10))&amp;"N/A just.: "&amp;Checks!$AC$257)&amp;IF(Checks!$W$257="","",CHAR(10)&amp;"Batch: "&amp;Checks!$W$257)&amp;IF(AND(Checks!$X$257="",Checks!$Y$257=""),"",CHAR(10)&amp;"Exp: "&amp;Checks!$X$257&amp;"  /  Act: "&amp;Checks!$Y$257)</f>
        <v/>
      </c>
      <c r="F70" s="124">
        <f>IF(Checks!$Z$257="","","Evidence: "&amp;Checks!$Z$257)&amp;IF(Checks!$AA$257="","",IF(Checks!$Z$257="","",CHAR(10))&amp;"CA: "&amp;Checks!$AA$257)</f>
        <v/>
      </c>
      <c r="G70" s="124">
        <f>IF(ISNUMBER(Checks!$AD$257),TEXT(Checks!$AD$257,"DD-MMM-YY HH:MM")&amp;" "&amp;Checks!$P$257,"")&amp;IF(Checks!$AE$257="","",CHAR(10)&amp;Checks!$AE$257)</f>
        <v/>
      </c>
      <c r="H70" s="125">
        <f>IF(Checks!$AH$257="","",Checks!$AH$257)</f>
        <v/>
      </c>
    </row>
    <row r="71" ht="81" customHeight="1">
      <c r="A71" s="124">
        <f>Checks!$A$258&amp;CHAR(10)&amp;IF(Checks!$I$258="","",Checks!$I$258&amp;": ")&amp;Checks!$J$258</f>
        <v/>
      </c>
      <c r="B71" s="124">
        <f>Checks!$K$258&amp;IF(Checks!$O$258="","",IF(Checks!$K$258="","",CHAR(10))&amp;"Note: "&amp;Checks!$O$258)</f>
        <v/>
      </c>
      <c r="C71" s="124">
        <f>Checks!$N$258&amp;CHAR(10)&amp;IF(ISNUMBER(Checks!$R$258),TEXT(Checks!$R$258,"DD-MMM-YY HH:MM"),"")&amp;" "&amp;Checks!$P$258</f>
        <v/>
      </c>
      <c r="D71" s="124">
        <f>IF(Checks!$U$258="","",Checks!$U$258)&amp;IF(Checks!$AB$258="","",CHAR(10)&amp;"CA: "&amp;Checks!$AB$258)</f>
        <v/>
      </c>
      <c r="E71" s="124">
        <f>IF(Checks!$V$258="","",Checks!$V$258)&amp;IF(Checks!$AC$258="","",IF(Checks!$V$258="","",CHAR(10))&amp;"N/A just.: "&amp;Checks!$AC$258)&amp;IF(Checks!$W$258="","",CHAR(10)&amp;"Batch: "&amp;Checks!$W$258)&amp;IF(AND(Checks!$X$258="",Checks!$Y$258=""),"",CHAR(10)&amp;"Exp: "&amp;Checks!$X$258&amp;"  /  Act: "&amp;Checks!$Y$258)</f>
        <v/>
      </c>
      <c r="F71" s="124">
        <f>IF(Checks!$Z$258="","","Evidence: "&amp;Checks!$Z$258)&amp;IF(Checks!$AA$258="","",IF(Checks!$Z$258="","",CHAR(10))&amp;"CA: "&amp;Checks!$AA$258)</f>
        <v/>
      </c>
      <c r="G71" s="124">
        <f>IF(ISNUMBER(Checks!$AD$258),TEXT(Checks!$AD$258,"DD-MMM-YY HH:MM")&amp;" "&amp;Checks!$P$258,"")&amp;IF(Checks!$AE$258="","",CHAR(10)&amp;Checks!$AE$258)</f>
        <v/>
      </c>
      <c r="H71" s="125">
        <f>IF(Checks!$AH$258="","",Checks!$AH$258)</f>
        <v/>
      </c>
    </row>
    <row r="72" ht="81" customHeight="1">
      <c r="A72" s="124">
        <f>Checks!$A$259&amp;CHAR(10)&amp;IF(Checks!$I$259="","",Checks!$I$259&amp;": ")&amp;Checks!$J$259</f>
        <v/>
      </c>
      <c r="B72" s="124">
        <f>Checks!$K$259&amp;IF(Checks!$O$259="","",IF(Checks!$K$259="","",CHAR(10))&amp;"Note: "&amp;Checks!$O$259)</f>
        <v/>
      </c>
      <c r="C72" s="124">
        <f>Checks!$N$259&amp;CHAR(10)&amp;IF(ISNUMBER(Checks!$R$259),TEXT(Checks!$R$259,"DD-MMM-YY HH:MM"),"")&amp;" "&amp;Checks!$P$259</f>
        <v/>
      </c>
      <c r="D72" s="124">
        <f>IF(Checks!$U$259="","",Checks!$U$259)&amp;IF(Checks!$AB$259="","",CHAR(10)&amp;"CA: "&amp;Checks!$AB$259)</f>
        <v/>
      </c>
      <c r="E72" s="124">
        <f>IF(Checks!$V$259="","",Checks!$V$259)&amp;IF(Checks!$AC$259="","",IF(Checks!$V$259="","",CHAR(10))&amp;"N/A just.: "&amp;Checks!$AC$259)&amp;IF(Checks!$W$259="","",CHAR(10)&amp;"Batch: "&amp;Checks!$W$259)&amp;IF(AND(Checks!$X$259="",Checks!$Y$259=""),"",CHAR(10)&amp;"Exp: "&amp;Checks!$X$259&amp;"  /  Act: "&amp;Checks!$Y$259)</f>
        <v/>
      </c>
      <c r="F72" s="124">
        <f>IF(Checks!$Z$259="","","Evidence: "&amp;Checks!$Z$259)&amp;IF(Checks!$AA$259="","",IF(Checks!$Z$259="","",CHAR(10))&amp;"CA: "&amp;Checks!$AA$259)</f>
        <v/>
      </c>
      <c r="G72" s="124">
        <f>IF(ISNUMBER(Checks!$AD$259),TEXT(Checks!$AD$259,"DD-MMM-YY HH:MM")&amp;" "&amp;Checks!$P$259,"")&amp;IF(Checks!$AE$259="","",CHAR(10)&amp;Checks!$AE$259)</f>
        <v/>
      </c>
      <c r="H72" s="125">
        <f>IF(Checks!$AH$259="","",Checks!$AH$259)</f>
        <v/>
      </c>
    </row>
    <row r="73" ht="81" customHeight="1">
      <c r="A73" s="124">
        <f>Checks!$A$260&amp;CHAR(10)&amp;IF(Checks!$I$260="","",Checks!$I$260&amp;": ")&amp;Checks!$J$260</f>
        <v/>
      </c>
      <c r="B73" s="124">
        <f>Checks!$K$260&amp;IF(Checks!$O$260="","",IF(Checks!$K$260="","",CHAR(10))&amp;"Note: "&amp;Checks!$O$260)</f>
        <v/>
      </c>
      <c r="C73" s="124">
        <f>Checks!$N$260&amp;CHAR(10)&amp;IF(ISNUMBER(Checks!$R$260),TEXT(Checks!$R$260,"DD-MMM-YY HH:MM"),"")&amp;" "&amp;Checks!$P$260</f>
        <v/>
      </c>
      <c r="D73" s="124">
        <f>IF(Checks!$U$260="","",Checks!$U$260)&amp;IF(Checks!$AB$260="","",CHAR(10)&amp;"CA: "&amp;Checks!$AB$260)</f>
        <v/>
      </c>
      <c r="E73" s="124">
        <f>IF(Checks!$V$260="","",Checks!$V$260)&amp;IF(Checks!$AC$260="","",IF(Checks!$V$260="","",CHAR(10))&amp;"N/A just.: "&amp;Checks!$AC$260)&amp;IF(Checks!$W$260="","",CHAR(10)&amp;"Batch: "&amp;Checks!$W$260)&amp;IF(AND(Checks!$X$260="",Checks!$Y$260=""),"",CHAR(10)&amp;"Exp: "&amp;Checks!$X$260&amp;"  /  Act: "&amp;Checks!$Y$260)</f>
        <v/>
      </c>
      <c r="F73" s="124">
        <f>IF(Checks!$Z$260="","","Evidence: "&amp;Checks!$Z$260)&amp;IF(Checks!$AA$260="","",IF(Checks!$Z$260="","",CHAR(10))&amp;"CA: "&amp;Checks!$AA$260)</f>
        <v/>
      </c>
      <c r="G73" s="124">
        <f>IF(ISNUMBER(Checks!$AD$260),TEXT(Checks!$AD$260,"DD-MMM-YY HH:MM")&amp;" "&amp;Checks!$P$260,"")&amp;IF(Checks!$AE$260="","",CHAR(10)&amp;Checks!$AE$260)</f>
        <v/>
      </c>
      <c r="H73" s="125">
        <f>IF(Checks!$AH$260="","",Checks!$AH$260)</f>
        <v/>
      </c>
    </row>
    <row r="74" ht="81" customHeight="1">
      <c r="A74" s="124">
        <f>Checks!$A$261&amp;CHAR(10)&amp;IF(Checks!$I$261="","",Checks!$I$261&amp;": ")&amp;Checks!$J$261</f>
        <v/>
      </c>
      <c r="B74" s="124">
        <f>Checks!$K$261&amp;IF(Checks!$O$261="","",IF(Checks!$K$261="","",CHAR(10))&amp;"Note: "&amp;Checks!$O$261)</f>
        <v/>
      </c>
      <c r="C74" s="124">
        <f>Checks!$N$261&amp;CHAR(10)&amp;IF(ISNUMBER(Checks!$R$261),TEXT(Checks!$R$261,"DD-MMM-YY HH:MM"),"")&amp;" "&amp;Checks!$P$261</f>
        <v/>
      </c>
      <c r="D74" s="124">
        <f>IF(Checks!$U$261="","",Checks!$U$261)&amp;IF(Checks!$AB$261="","",CHAR(10)&amp;"CA: "&amp;Checks!$AB$261)</f>
        <v/>
      </c>
      <c r="E74" s="124">
        <f>IF(Checks!$V$261="","",Checks!$V$261)&amp;IF(Checks!$AC$261="","",IF(Checks!$V$261="","",CHAR(10))&amp;"N/A just.: "&amp;Checks!$AC$261)&amp;IF(Checks!$W$261="","",CHAR(10)&amp;"Batch: "&amp;Checks!$W$261)&amp;IF(AND(Checks!$X$261="",Checks!$Y$261=""),"",CHAR(10)&amp;"Exp: "&amp;Checks!$X$261&amp;"  /  Act: "&amp;Checks!$Y$261)</f>
        <v/>
      </c>
      <c r="F74" s="124">
        <f>IF(Checks!$Z$261="","","Evidence: "&amp;Checks!$Z$261)&amp;IF(Checks!$AA$261="","",IF(Checks!$Z$261="","",CHAR(10))&amp;"CA: "&amp;Checks!$AA$261)</f>
        <v/>
      </c>
      <c r="G74" s="124">
        <f>IF(ISNUMBER(Checks!$AD$261),TEXT(Checks!$AD$261,"DD-MMM-YY HH:MM")&amp;" "&amp;Checks!$P$261,"")&amp;IF(Checks!$AE$261="","",CHAR(10)&amp;Checks!$AE$261)</f>
        <v/>
      </c>
      <c r="H74" s="125">
        <f>IF(Checks!$AH$261="","",Checks!$AH$261)</f>
        <v/>
      </c>
    </row>
    <row r="76" ht="24" customHeight="1">
      <c r="A76" s="126" t="inlineStr">
        <is>
          <t>EXCEL INSERTION AREA (on-screen only, not printed) – A1 Galley Loading Diagram: Insert &gt; Picture here. On paper: staple behind this sheet as page A1.</t>
        </is>
      </c>
      <c r="B76" s="127" t="n"/>
      <c r="C76" s="127" t="n"/>
      <c r="D76" s="128" t="n"/>
      <c r="E76" s="126" t="inlineStr">
        <is>
          <t>EXCEL INSERTION AREA (on-screen only, not printed) – A2 Menu Checklist: Insert &gt; Picture here. On paper: staple behind this sheet as page A2.</t>
        </is>
      </c>
      <c r="F76" s="127" t="n"/>
      <c r="G76" s="127" t="n"/>
      <c r="H76" s="128" t="n"/>
    </row>
    <row r="77" ht="22" customHeight="1">
      <c r="A77" s="129" t="n"/>
      <c r="B77" s="130" t="n"/>
      <c r="C77" s="130" t="n"/>
      <c r="D77" s="131" t="n"/>
      <c r="E77" s="129"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2" t="n"/>
      <c r="B80" s="130" t="n"/>
      <c r="C80" s="130" t="n"/>
      <c r="D80" s="131" t="n"/>
      <c r="E80" s="132" t="n"/>
      <c r="F80" s="130" t="n"/>
      <c r="G80" s="130" t="n"/>
      <c r="H80" s="131" t="n"/>
    </row>
    <row r="81" ht="22" customHeight="1">
      <c r="A81" s="132" t="n"/>
      <c r="B81" s="130" t="n"/>
      <c r="C81" s="130" t="n"/>
      <c r="D81" s="131" t="n"/>
      <c r="E81" s="132" t="n"/>
      <c r="F81" s="130" t="n"/>
      <c r="G81" s="130" t="n"/>
      <c r="H81" s="131" t="n"/>
    </row>
    <row r="82" ht="22" customHeight="1">
      <c r="A82" s="132" t="n"/>
      <c r="B82" s="130" t="n"/>
      <c r="C82" s="130" t="n"/>
      <c r="D82" s="131" t="n"/>
      <c r="E82" s="132" t="n"/>
      <c r="F82" s="130" t="n"/>
      <c r="G82" s="130" t="n"/>
      <c r="H82" s="131" t="n"/>
    </row>
    <row r="83" ht="22" customHeight="1">
      <c r="A83" s="132" t="n"/>
      <c r="B83" s="130" t="n"/>
      <c r="C83" s="130" t="n"/>
      <c r="D83" s="131" t="n"/>
      <c r="E83" s="132" t="n"/>
      <c r="F83" s="130" t="n"/>
      <c r="G83" s="130" t="n"/>
      <c r="H83" s="131" t="n"/>
    </row>
    <row r="84" ht="22" customHeight="1">
      <c r="A84" s="132" t="n"/>
      <c r="B84" s="130" t="n"/>
      <c r="C84" s="130" t="n"/>
      <c r="D84" s="131" t="n"/>
      <c r="E84" s="132" t="n"/>
      <c r="F84" s="130" t="n"/>
      <c r="G84" s="130" t="n"/>
      <c r="H84" s="131" t="n"/>
    </row>
    <row r="85" ht="22" customHeight="1">
      <c r="A85" s="132" t="n"/>
      <c r="B85" s="130" t="n"/>
      <c r="C85" s="130" t="n"/>
      <c r="D85" s="131" t="n"/>
      <c r="E85" s="132" t="n"/>
      <c r="F85" s="130" t="n"/>
      <c r="G85" s="130" t="n"/>
      <c r="H85" s="131" t="n"/>
    </row>
    <row r="86" ht="22" customHeight="1">
      <c r="A86" s="133" t="n"/>
      <c r="B86" s="134" t="n"/>
      <c r="C86" s="134" t="n"/>
      <c r="D86" s="135" t="n"/>
      <c r="E86" s="133" t="n"/>
      <c r="F86" s="134" t="n"/>
      <c r="G86" s="134" t="n"/>
      <c r="H86" s="135" t="n"/>
    </row>
  </sheetData>
  <mergeCells count="46">
    <mergeCell ref="B11:D11"/>
    <mergeCell ref="F18:H18"/>
    <mergeCell ref="C15:D15"/>
    <mergeCell ref="B8:D8"/>
    <mergeCell ref="G11:H11"/>
    <mergeCell ref="C14:D14"/>
    <mergeCell ref="E76:H76"/>
    <mergeCell ref="F2:H2"/>
    <mergeCell ref="F17:H17"/>
    <mergeCell ref="A1:H1"/>
    <mergeCell ref="G8:H8"/>
    <mergeCell ref="B10:D10"/>
    <mergeCell ref="G7:H7"/>
    <mergeCell ref="F13:H13"/>
    <mergeCell ref="A77:D86"/>
    <mergeCell ref="B16:E16"/>
    <mergeCell ref="B9:D9"/>
    <mergeCell ref="C17:E17"/>
    <mergeCell ref="G6:H6"/>
    <mergeCell ref="A18:B18"/>
    <mergeCell ref="B6:D6"/>
    <mergeCell ref="G3:H3"/>
    <mergeCell ref="B5:D5"/>
    <mergeCell ref="F14:H14"/>
    <mergeCell ref="C19:E19"/>
    <mergeCell ref="A57:H57"/>
    <mergeCell ref="B4:D4"/>
    <mergeCell ref="G5:H5"/>
    <mergeCell ref="C18:E18"/>
    <mergeCell ref="A33:H33"/>
    <mergeCell ref="A17:B17"/>
    <mergeCell ref="B7:D7"/>
    <mergeCell ref="A22:H22"/>
    <mergeCell ref="G4:H4"/>
    <mergeCell ref="F16:H16"/>
    <mergeCell ref="B3:D3"/>
    <mergeCell ref="F19:H19"/>
    <mergeCell ref="A35:H35"/>
    <mergeCell ref="A12:D12"/>
    <mergeCell ref="A19:B19"/>
    <mergeCell ref="A20:H20"/>
    <mergeCell ref="E77:H86"/>
    <mergeCell ref="C13:D13"/>
    <mergeCell ref="F15:H15"/>
    <mergeCell ref="A76:D76"/>
    <mergeCell ref="B2:D2"/>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74">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74">
    <cfRule type="expression" priority="16" dxfId="20">
      <formula>LEFT($H23,3)="N/A"</formula>
    </cfRule>
  </conditionalFormatting>
  <conditionalFormatting sqref="D23:D74">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F07 MH0003 09-Oct-26 LHR-KUL Class BC</oddHeader>
    <oddFooter>&amp;L&amp;"Arial,Bold"&amp;8 F07 MH0003 09-Oct-26 LHR-KUL Class BC&amp;C&amp;"Arial"&amp;8 Printed: ____________________&amp;R&amp;"Arial"&amp;8 F07  Page &amp;P of &amp;N</oddFooter>
    <evenHeader/>
    <evenFooter/>
    <firstHeader/>
    <firstFooter/>
  </headerFooter>
  <rowBreaks count="2" manualBreakCount="2">
    <brk id="20" min="0" max="16383" man="1"/>
    <brk id="56" min="0" max="16383" man="1"/>
  </rowBreaks>
</worksheet>
</file>

<file path=xl/worksheets/sheet16.xml><?xml version="1.0" encoding="utf-8"?>
<worksheet xmlns="http://schemas.openxmlformats.org/spreadsheetml/2006/main">
  <sheetPr>
    <tabColor rgb="001F3864"/>
    <outlinePr summaryBelow="1" summaryRight="1"/>
    <pageSetUpPr fitToPage="1"/>
  </sheetPr>
  <dimension ref="A1:H58"/>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F08  "&amp;Flights!$F$12&amp;"  "&amp;TEXT(Flights!$D$12,"DD-MMM-YY")&amp;" ("&amp;Flights!$E$12&amp;")  "&amp;Flights!$G$12&amp;" → "&amp;Flights!$H$12&amp;"  |  Class "&amp;Flights!$K$12</f>
        <v/>
      </c>
      <c r="B1" s="97" t="n"/>
      <c r="C1" s="97" t="n"/>
      <c r="D1" s="97" t="n"/>
      <c r="E1" s="97" t="n"/>
      <c r="F1" s="97" t="n"/>
      <c r="G1" s="97" t="n"/>
      <c r="H1" s="98" t="n"/>
    </row>
    <row r="2" ht="13" customHeight="1">
      <c r="A2" s="99" t="inlineStr">
        <is>
          <t>Flight / date</t>
        </is>
      </c>
      <c r="B2" s="100">
        <f>Flights!$F$12&amp;"   "&amp;TEXT(Flights!$D$12,"DD-MMM-YY")&amp;" ("&amp;Flights!$E$12&amp;")"</f>
        <v/>
      </c>
      <c r="C2" s="97" t="n"/>
      <c r="D2" s="98" t="n"/>
      <c r="E2" s="101" t="inlineStr">
        <is>
          <t>READINESS STATUS</t>
        </is>
      </c>
      <c r="F2" s="102">
        <f>Flights!$AT$12</f>
        <v/>
      </c>
      <c r="G2" s="97" t="n"/>
      <c r="H2" s="98" t="n"/>
    </row>
    <row r="3" ht="24" customHeight="1">
      <c r="A3" s="99" t="inlineStr">
        <is>
          <t>Sector / class / seat</t>
        </is>
      </c>
      <c r="B3" s="100">
        <f>Flights!$G$12&amp;" → "&amp;Flights!$H$12&amp;"   Class "&amp;Flights!$K$12&amp;"   Seat "&amp;Flights!$O$12</f>
        <v/>
      </c>
      <c r="C3" s="97" t="n"/>
      <c r="D3" s="98" t="n"/>
      <c r="E3" s="101" t="inlineStr">
        <is>
          <t>Checkpoint</t>
        </is>
      </c>
      <c r="F3" s="101" t="inlineStr">
        <is>
          <t>Due (local)</t>
        </is>
      </c>
      <c r="G3" s="103" t="inlineStr">
        <is>
          <t>% complete</t>
        </is>
      </c>
      <c r="H3" s="98" t="n"/>
    </row>
    <row r="4" ht="13" customHeight="1">
      <c r="A4" s="99" t="inlineStr">
        <is>
          <t>STD → STA (local)</t>
        </is>
      </c>
      <c r="B4" s="100">
        <f>IF(ISNUMBER(Flights!$I$12),TEXT(Flights!$I$12,"DD-MMM-YY HH:MM"),"")&amp;" "&amp;Flights!$G$12&amp;"  →  "&amp;IF(ISNUMBER(Flights!$J$12),TEXT(Flights!$J$12,"DD-MMM-YY HH:MM"),"")&amp;" "&amp;Flights!$H$12</f>
        <v/>
      </c>
      <c r="C4" s="97" t="n"/>
      <c r="D4" s="98" t="n"/>
      <c r="E4" s="99" t="inlineStr">
        <is>
          <t>T-7D – 7 days before departure</t>
        </is>
      </c>
      <c r="F4" s="104">
        <f>IF(ISNUMBER(Flights!$AG$12),TEXT(Flights!$AG$12,"DD-MMM-YY HH:MM"),"")&amp;" "&amp;Flights!$V$12</f>
        <v/>
      </c>
      <c r="G4" s="105">
        <f>Flights!$AJ$12</f>
        <v/>
      </c>
      <c r="H4" s="98" t="n"/>
    </row>
    <row r="5" ht="24" customHeight="1">
      <c r="A5" s="99" t="inlineStr">
        <is>
          <t>Fleet / aircraft ref</t>
        </is>
      </c>
      <c r="B5" s="100">
        <f>Flights!$L$12&amp;" – "&amp;Flights!$M$12</f>
        <v/>
      </c>
      <c r="C5" s="97" t="n"/>
      <c r="D5" s="98" t="n"/>
      <c r="E5" s="99" t="inlineStr">
        <is>
          <t>T-24H – production batch sensory</t>
        </is>
      </c>
      <c r="F5" s="104">
        <f>IF(ISNUMBER(Flights!$AH$12),TEXT(Flights!$AH$12,"DD-MMM-YY HH:MM"),"")&amp;" "&amp;Flights!$V$12</f>
        <v/>
      </c>
      <c r="G5" s="105">
        <f>Flights!$AK$12</f>
        <v/>
      </c>
      <c r="H5" s="98" t="n"/>
    </row>
    <row r="6" ht="13" customHeight="1">
      <c r="A6" s="99" t="inlineStr">
        <is>
          <t>Tail / Reg</t>
        </is>
      </c>
      <c r="B6" s="100">
        <f>IF(TRIM(Flights!$N$12)="","__________________",Flights!$N$12)</f>
        <v/>
      </c>
      <c r="C6" s="97" t="n"/>
      <c r="D6" s="98" t="n"/>
      <c r="E6" s="99" t="inlineStr">
        <is>
          <t>T-12H PREP – caterer prep only</t>
        </is>
      </c>
      <c r="F6" s="104">
        <f>IF(ISNUMBER(Flights!$AI$12),TEXT(Flights!$AI$12,"DD-MMM-YY HH:MM"),"")&amp;" "&amp;Flights!$V$12&amp;IF(Flights!$AI$12=Flights!$AH$12,"  (= T-24H due)","")</f>
        <v/>
      </c>
      <c r="G6" s="105">
        <f>Flights!$AL$12</f>
        <v/>
      </c>
      <c r="H6" s="98" t="n"/>
    </row>
    <row r="7" ht="13" customHeight="1">
      <c r="A7" s="99" t="inlineStr">
        <is>
          <t>Service type</t>
        </is>
      </c>
      <c r="B7" s="100">
        <f>Flights!$T$12</f>
        <v/>
      </c>
      <c r="C7" s="97" t="n"/>
      <c r="D7" s="98" t="n"/>
      <c r="E7" s="99" t="inlineStr">
        <is>
          <t>UPLIFT – on-board confirmation</t>
        </is>
      </c>
      <c r="F7" s="104">
        <f>"STD "&amp;IF(ISNUMBER(Flights!$I$12),TEXT(Flights!$I$12,"DD-MMM-YY HH:MM"),"")&amp;" "&amp;Flights!$G$12&amp;" (dep stn)"</f>
        <v/>
      </c>
      <c r="G7" s="105">
        <f>Flights!$AM$12</f>
        <v/>
      </c>
      <c r="H7" s="98" t="n"/>
    </row>
    <row r="8" ht="13" customHeight="1">
      <c r="A8" s="99" t="inlineStr">
        <is>
          <t>Meal uplift stn</t>
        </is>
      </c>
      <c r="B8" s="100">
        <f>Flights!$V$12&amp;"   (reference uplift stns: "&amp;Flights!$U$12&amp;")"</f>
        <v/>
      </c>
      <c r="C8" s="97" t="n"/>
      <c r="D8" s="98" t="n"/>
      <c r="E8" s="99" t="inlineStr">
        <is>
          <t>OVERALL (all checkpoints)</t>
        </is>
      </c>
      <c r="F8" s="106" t="inlineStr">
        <is>
          <t>–</t>
        </is>
      </c>
      <c r="G8" s="105">
        <f>Flights!$AN$12</f>
        <v/>
      </c>
      <c r="H8" s="98" t="n"/>
    </row>
    <row r="9" ht="13" customHeight="1">
      <c r="A9" s="99" t="inlineStr">
        <is>
          <t>Transit / remark</t>
        </is>
      </c>
      <c r="B9" s="100">
        <f>TRIM(Flights!$P$12&amp;"  "&amp;Flights!$Q$12)</f>
        <v/>
      </c>
      <c r="C9" s="97" t="n"/>
      <c r="D9" s="98" t="n"/>
      <c r="E9" s="99" t="inlineStr">
        <is>
          <t>Overdue / discrep. / invalid</t>
        </is>
      </c>
      <c r="F9" s="107">
        <f>Flights!$AP$12</f>
        <v/>
      </c>
      <c r="G9" s="107">
        <f>Flights!$AQ$12</f>
        <v/>
      </c>
      <c r="H9" s="107">
        <f>Flights!$AU$12</f>
        <v/>
      </c>
    </row>
    <row r="10" ht="13" customHeight="1">
      <c r="A10" s="99" t="inlineStr">
        <is>
          <t>Caterer</t>
        </is>
      </c>
      <c r="B10" s="100">
        <f>IF(TRIM(Flights!$X$12)="","__________________",Flights!$X$12)</f>
        <v/>
      </c>
      <c r="C10" s="97" t="n"/>
      <c r="D10" s="98" t="n"/>
      <c r="E10" s="99" t="inlineStr">
        <is>
          <t>Open reqd / clarif. / docs out</t>
        </is>
      </c>
      <c r="F10" s="107">
        <f>Flights!$AO$12</f>
        <v/>
      </c>
      <c r="G10" s="107">
        <f>Flights!$AS$12</f>
        <v/>
      </c>
      <c r="H10" s="107">
        <f>Flights!$AR$12</f>
        <v/>
      </c>
    </row>
    <row r="11" ht="13" customHeight="1">
      <c r="A11" s="99" t="inlineStr">
        <is>
          <t>Flight PIC</t>
        </is>
      </c>
      <c r="B11" s="100">
        <f>IF(TRIM(Flights!$Y$12)="","__________________",Flights!$Y$12)</f>
        <v/>
      </c>
      <c r="C11" s="97" t="n"/>
      <c r="D11" s="98" t="n"/>
      <c r="E11" s="99" t="inlineStr">
        <is>
          <t>Done / in scope | as of UTC</t>
        </is>
      </c>
      <c r="F11" s="107">
        <f>Flights!$AV$12&amp;" / "&amp;Flights!$AW$12</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IF(Documents!$F$12="","",Documents!$F$12)</f>
        <v/>
      </c>
      <c r="C14" s="115">
        <f>IF(Documents!$G$12="","",Documents!$G$12)&amp;IF(ISNUMBER(Documents!$H$12),"  "&amp;TEXT(Documents!$H$12,"DD-MMM-YY"),"")</f>
        <v/>
      </c>
      <c r="D14" s="98" t="n"/>
      <c r="E14" s="116">
        <f>IF(Documents!$J$12="OUTSTANDING","OUTSTANDING – attach before T-7D (due "&amp;IF(ISNUMBER(Flights!$AG$12),TEXT(Flights!$AG$12,"DD-MMM-YY HH:MM"),"")&amp;" "&amp;Flights!$V$12&amp;")",IF(Documents!$J$12="","Status not recorded",Documents!$J$12))</f>
        <v/>
      </c>
      <c r="F14" s="117">
        <f>"Staple behind this sheet as page A1."&amp;IF(Documents!$I$12="",""," Location: "&amp;Documents!$I$12)</f>
        <v/>
      </c>
      <c r="G14" s="97" t="n"/>
      <c r="H14" s="98" t="n"/>
    </row>
    <row r="15" ht="25" customHeight="1">
      <c r="A15" s="99" t="inlineStr">
        <is>
          <t>A2  Menu Checklist</t>
        </is>
      </c>
      <c r="B15" s="114">
        <f>IF(Documents!$K$12="","",Documents!$K$12)</f>
        <v/>
      </c>
      <c r="C15" s="115">
        <f>IF(Documents!$L$12="","",Documents!$L$12)&amp;IF(ISNUMBER(Documents!$M$12),"  "&amp;TEXT(Documents!$M$12,"DD-MMM-YY"),"")</f>
        <v/>
      </c>
      <c r="D15" s="98" t="n"/>
      <c r="E15" s="116">
        <f>IF(Documents!$O$12="OUTSTANDING","OUTSTANDING – attach before T-7D (due "&amp;IF(ISNUMBER(Flights!$AG$12),TEXT(Flights!$AG$12,"DD-MMM-YY HH:MM"),"")&amp;" "&amp;Flights!$V$12&amp;")",IF(Documents!$O$12="","Status not recorded",Documents!$O$12))</f>
        <v/>
      </c>
      <c r="F15" s="117">
        <f>"Staple behind this sheet as page A2."&amp;IF(Documents!$N$12="",""," Location: "&amp;Documents!$N$12)</f>
        <v/>
      </c>
      <c r="G15" s="97" t="n"/>
      <c r="H15" s="98" t="n"/>
    </row>
    <row r="16" ht="33" customHeight="1">
      <c r="A16" s="99" t="inlineStr">
        <is>
          <t>Document notes</t>
        </is>
      </c>
      <c r="B16" s="118">
        <f>IF(Documents!$Q$12="","",Documents!$Q$12)</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"&amp;IF(TRIM(Flights!$Y$12)="","__________________",Flights!$Y$12)</f>
        <v/>
      </c>
      <c r="B18" s="98" t="n"/>
      <c r="C18" s="100">
        <f>"Name: __________________"</f>
        <v/>
      </c>
      <c r="D18" s="97" t="n"/>
      <c r="E18" s="98" t="n"/>
      <c r="F18" s="100">
        <f>"Name: __________________"&amp;"   Station: "&amp;Flights!$V$12</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"&amp;IF(ISNUMBER(Flights!$AG$12),TEXT(Flights!$AG$12,"DD-MMM-YY HH:MM"),"")&amp;" "&amp;Flights!$V$12&amp;" (meal uplift stn)"&amp;" (rows with another due show their own)  |  Complete "&amp;IF(ISNUMBER(Flights!$AJ$12),TEXT(Flights!$AJ$12,"0%"),Flights!$AJ$12)&amp;"  |  9 lines"</f>
        <v/>
      </c>
      <c r="B22" s="97" t="n"/>
      <c r="C22" s="97" t="n"/>
      <c r="D22" s="97" t="n"/>
      <c r="E22" s="97" t="n"/>
      <c r="F22" s="97" t="n"/>
      <c r="G22" s="97" t="n"/>
      <c r="H22" s="98" t="n"/>
    </row>
    <row r="23" ht="81" customHeight="1">
      <c r="A23" s="124">
        <f>Checks!$A$262&amp;CHAR(10)&amp;IF(Checks!$I$262="","",Checks!$I$262&amp;": ")&amp;Checks!$J$262</f>
        <v/>
      </c>
      <c r="B23" s="124">
        <f>Checks!$K$262&amp;IF(Checks!$O$262="","",IF(Checks!$K$262="","",CHAR(10))&amp;"Note: "&amp;Checks!$O$262)</f>
        <v/>
      </c>
      <c r="C23" s="124">
        <f>Checks!$N$262&amp;CHAR(10)&amp;IF(ISNUMBER(Checks!$R$262),TEXT(Checks!$R$262,"DD-MMM-YY HH:MM"),"")&amp;" "&amp;Checks!$P$262</f>
        <v/>
      </c>
      <c r="D23" s="124">
        <f>IF(Checks!$U$262="","",Checks!$U$262)&amp;IF(Checks!$AB$262="","",CHAR(10)&amp;"CA: "&amp;Checks!$AB$262)</f>
        <v/>
      </c>
      <c r="E23" s="124">
        <f>IF(Checks!$V$262="","",Checks!$V$262)&amp;IF(Checks!$AC$262="","",IF(Checks!$V$262="","",CHAR(10))&amp;"N/A just.: "&amp;Checks!$AC$262)&amp;IF(Checks!$W$262="","",CHAR(10)&amp;"Batch: "&amp;Checks!$W$262)&amp;IF(AND(Checks!$X$262="",Checks!$Y$262=""),"",CHAR(10)&amp;"Exp: "&amp;Checks!$X$262&amp;"  /  Act: "&amp;Checks!$Y$262)</f>
        <v/>
      </c>
      <c r="F23" s="124">
        <f>IF(Checks!$Z$262="","","Evidence: "&amp;Checks!$Z$262)&amp;IF(Checks!$AA$262="","",IF(Checks!$Z$262="","",CHAR(10))&amp;"CA: "&amp;Checks!$AA$262)</f>
        <v/>
      </c>
      <c r="G23" s="124">
        <f>IF(ISNUMBER(Checks!$AD$262),TEXT(Checks!$AD$262,"DD-MMM-YY HH:MM")&amp;" "&amp;Checks!$P$262,"")&amp;IF(Checks!$AE$262="","",CHAR(10)&amp;Checks!$AE$262)</f>
        <v/>
      </c>
      <c r="H23" s="125">
        <f>IF(Checks!$AH$262="","",Checks!$AH$262)</f>
        <v/>
      </c>
    </row>
    <row r="24" ht="81" customHeight="1">
      <c r="A24" s="124">
        <f>Checks!$A$263&amp;CHAR(10)&amp;IF(Checks!$I$263="","",Checks!$I$263&amp;": ")&amp;Checks!$J$263</f>
        <v/>
      </c>
      <c r="B24" s="124">
        <f>Checks!$K$263&amp;IF(Checks!$O$263="","",IF(Checks!$K$263="","",CHAR(10))&amp;"Note: "&amp;Checks!$O$263)</f>
        <v/>
      </c>
      <c r="C24" s="124">
        <f>Checks!$N$263&amp;CHAR(10)&amp;IF(ISNUMBER(Checks!$R$263),TEXT(Checks!$R$263,"DD-MMM-YY HH:MM"),"")&amp;" "&amp;Checks!$P$263</f>
        <v/>
      </c>
      <c r="D24" s="124">
        <f>IF(Checks!$U$263="","",Checks!$U$263)&amp;IF(Checks!$AB$263="","",CHAR(10)&amp;"CA: "&amp;Checks!$AB$263)</f>
        <v/>
      </c>
      <c r="E24" s="124">
        <f>IF(Checks!$V$263="","",Checks!$V$263)&amp;IF(Checks!$AC$263="","",IF(Checks!$V$263="","",CHAR(10))&amp;"N/A just.: "&amp;Checks!$AC$263)&amp;IF(Checks!$W$263="","",CHAR(10)&amp;"Batch: "&amp;Checks!$W$263)&amp;IF(AND(Checks!$X$263="",Checks!$Y$263=""),"",CHAR(10)&amp;"Exp: "&amp;Checks!$X$263&amp;"  /  Act: "&amp;Checks!$Y$263)</f>
        <v/>
      </c>
      <c r="F24" s="124">
        <f>IF(Checks!$Z$263="","","Evidence: "&amp;Checks!$Z$263)&amp;IF(Checks!$AA$263="","",IF(Checks!$Z$263="","",CHAR(10))&amp;"CA: "&amp;Checks!$AA$263)</f>
        <v/>
      </c>
      <c r="G24" s="124">
        <f>IF(ISNUMBER(Checks!$AD$263),TEXT(Checks!$AD$263,"DD-MMM-YY HH:MM")&amp;" "&amp;Checks!$P$263,"")&amp;IF(Checks!$AE$263="","",CHAR(10)&amp;Checks!$AE$263)</f>
        <v/>
      </c>
      <c r="H24" s="125">
        <f>IF(Checks!$AH$263="","",Checks!$AH$263)</f>
        <v/>
      </c>
    </row>
    <row r="25" ht="92" customHeight="1">
      <c r="A25" s="124">
        <f>Checks!$A$264&amp;CHAR(10)&amp;IF(Checks!$I$264="","",Checks!$I$264&amp;": ")&amp;Checks!$J$264</f>
        <v/>
      </c>
      <c r="B25" s="124">
        <f>Checks!$K$264&amp;IF(Checks!$O$264="","",IF(Checks!$K$264="","",CHAR(10))&amp;"Note: "&amp;Checks!$O$264)</f>
        <v/>
      </c>
      <c r="C25" s="124">
        <f>Checks!$N$264&amp;CHAR(10)&amp;IF(ISNUMBER(Checks!$R$264),TEXT(Checks!$R$264,"DD-MMM-YY HH:MM"),"")&amp;" "&amp;Checks!$P$264</f>
        <v/>
      </c>
      <c r="D25" s="124">
        <f>IF(Checks!$U$264="","",Checks!$U$264)&amp;IF(Checks!$AB$264="","",CHAR(10)&amp;"CA: "&amp;Checks!$AB$264)</f>
        <v/>
      </c>
      <c r="E25" s="124">
        <f>IF(Checks!$V$264="","",Checks!$V$264)&amp;IF(Checks!$AC$264="","",IF(Checks!$V$264="","",CHAR(10))&amp;"N/A just.: "&amp;Checks!$AC$264)&amp;IF(Checks!$W$264="","",CHAR(10)&amp;"Batch: "&amp;Checks!$W$264)&amp;IF(AND(Checks!$X$264="",Checks!$Y$264=""),"",CHAR(10)&amp;"Exp: "&amp;Checks!$X$264&amp;"  /  Act: "&amp;Checks!$Y$264)</f>
        <v/>
      </c>
      <c r="F25" s="124">
        <f>IF(Checks!$Z$264="","","Evidence: "&amp;Checks!$Z$264)&amp;IF(Checks!$AA$264="","",IF(Checks!$Z$264="","",CHAR(10))&amp;"CA: "&amp;Checks!$AA$264)</f>
        <v/>
      </c>
      <c r="G25" s="124">
        <f>IF(ISNUMBER(Checks!$AD$264),TEXT(Checks!$AD$264,"DD-MMM-YY HH:MM")&amp;" "&amp;Checks!$P$264,"")&amp;IF(Checks!$AE$264="","",CHAR(10)&amp;Checks!$AE$264)</f>
        <v/>
      </c>
      <c r="H25" s="125">
        <f>IF(Checks!$AH$264="","",Checks!$AH$264)</f>
        <v/>
      </c>
    </row>
    <row r="26" ht="81" customHeight="1">
      <c r="A26" s="124">
        <f>Checks!$A$265&amp;CHAR(10)&amp;IF(Checks!$I$265="","",Checks!$I$265&amp;": ")&amp;Checks!$J$265</f>
        <v/>
      </c>
      <c r="B26" s="124">
        <f>Checks!$K$265&amp;IF(Checks!$O$265="","",IF(Checks!$K$265="","",CHAR(10))&amp;"Note: "&amp;Checks!$O$265)</f>
        <v/>
      </c>
      <c r="C26" s="124">
        <f>Checks!$N$265&amp;CHAR(10)&amp;IF(ISNUMBER(Checks!$R$265),TEXT(Checks!$R$265,"DD-MMM-YY HH:MM"),"")&amp;" "&amp;Checks!$P$265</f>
        <v/>
      </c>
      <c r="D26" s="124">
        <f>IF(Checks!$U$265="","",Checks!$U$265)&amp;IF(Checks!$AB$265="","",CHAR(10)&amp;"CA: "&amp;Checks!$AB$265)</f>
        <v/>
      </c>
      <c r="E26" s="124">
        <f>IF(Checks!$V$265="","",Checks!$V$265)&amp;IF(Checks!$AC$265="","",IF(Checks!$V$265="","",CHAR(10))&amp;"N/A just.: "&amp;Checks!$AC$265)&amp;IF(Checks!$W$265="","",CHAR(10)&amp;"Batch: "&amp;Checks!$W$265)&amp;IF(AND(Checks!$X$265="",Checks!$Y$265=""),"",CHAR(10)&amp;"Exp: "&amp;Checks!$X$265&amp;"  /  Act: "&amp;Checks!$Y$265)</f>
        <v/>
      </c>
      <c r="F26" s="124">
        <f>IF(Checks!$Z$265="","","Evidence: "&amp;Checks!$Z$265)&amp;IF(Checks!$AA$265="","",IF(Checks!$Z$265="","",CHAR(10))&amp;"CA: "&amp;Checks!$AA$265)</f>
        <v/>
      </c>
      <c r="G26" s="124">
        <f>IF(ISNUMBER(Checks!$AD$265),TEXT(Checks!$AD$265,"DD-MMM-YY HH:MM")&amp;" "&amp;Checks!$P$265,"")&amp;IF(Checks!$AE$265="","",CHAR(10)&amp;Checks!$AE$265)</f>
        <v/>
      </c>
      <c r="H26" s="125">
        <f>IF(Checks!$AH$265="","",Checks!$AH$265)</f>
        <v/>
      </c>
    </row>
    <row r="27" ht="81" customHeight="1">
      <c r="A27" s="124">
        <f>Checks!$A$266&amp;CHAR(10)&amp;IF(Checks!$I$266="","",Checks!$I$266&amp;": ")&amp;Checks!$J$266</f>
        <v/>
      </c>
      <c r="B27" s="124">
        <f>Checks!$K$266&amp;IF(Checks!$O$266="","",IF(Checks!$K$266="","",CHAR(10))&amp;"Note: "&amp;Checks!$O$266)</f>
        <v/>
      </c>
      <c r="C27" s="124">
        <f>Checks!$N$266&amp;CHAR(10)&amp;IF(ISNUMBER(Checks!$R$266),TEXT(Checks!$R$266,"DD-MMM-YY HH:MM"),"")&amp;" "&amp;Checks!$P$266</f>
        <v/>
      </c>
      <c r="D27" s="124">
        <f>IF(Checks!$U$266="","",Checks!$U$266)&amp;IF(Checks!$AB$266="","",CHAR(10)&amp;"CA: "&amp;Checks!$AB$266)</f>
        <v/>
      </c>
      <c r="E27" s="124">
        <f>IF(Checks!$V$266="","",Checks!$V$266)&amp;IF(Checks!$AC$266="","",IF(Checks!$V$266="","",CHAR(10))&amp;"N/A just.: "&amp;Checks!$AC$266)&amp;IF(Checks!$W$266="","",CHAR(10)&amp;"Batch: "&amp;Checks!$W$266)&amp;IF(AND(Checks!$X$266="",Checks!$Y$266=""),"",CHAR(10)&amp;"Exp: "&amp;Checks!$X$266&amp;"  /  Act: "&amp;Checks!$Y$266)</f>
        <v/>
      </c>
      <c r="F27" s="124">
        <f>IF(Checks!$Z$266="","","Evidence: "&amp;Checks!$Z$266)&amp;IF(Checks!$AA$266="","",IF(Checks!$Z$266="","",CHAR(10))&amp;"CA: "&amp;Checks!$AA$266)</f>
        <v/>
      </c>
      <c r="G27" s="124">
        <f>IF(ISNUMBER(Checks!$AD$266),TEXT(Checks!$AD$266,"DD-MMM-YY HH:MM")&amp;" "&amp;Checks!$P$266,"")&amp;IF(Checks!$AE$266="","",CHAR(10)&amp;Checks!$AE$266)</f>
        <v/>
      </c>
      <c r="H27" s="125">
        <f>IF(Checks!$AH$266="","",Checks!$AH$266)</f>
        <v/>
      </c>
    </row>
    <row r="28" ht="81" customHeight="1">
      <c r="A28" s="124">
        <f>Checks!$A$267&amp;CHAR(10)&amp;IF(Checks!$I$267="","",Checks!$I$267&amp;": ")&amp;Checks!$J$267</f>
        <v/>
      </c>
      <c r="B28" s="124">
        <f>Checks!$K$267&amp;IF(Checks!$O$267="","",IF(Checks!$K$267="","",CHAR(10))&amp;"Note: "&amp;Checks!$O$267)</f>
        <v/>
      </c>
      <c r="C28" s="124">
        <f>Checks!$N$267&amp;CHAR(10)&amp;IF(ISNUMBER(Checks!$R$267),TEXT(Checks!$R$267,"DD-MMM-YY HH:MM"),"")&amp;" "&amp;Checks!$P$267</f>
        <v/>
      </c>
      <c r="D28" s="124">
        <f>IF(Checks!$U$267="","",Checks!$U$267)&amp;IF(Checks!$AB$267="","",CHAR(10)&amp;"CA: "&amp;Checks!$AB$267)</f>
        <v/>
      </c>
      <c r="E28" s="124">
        <f>IF(Checks!$V$267="","",Checks!$V$267)&amp;IF(Checks!$AC$267="","",IF(Checks!$V$267="","",CHAR(10))&amp;"N/A just.: "&amp;Checks!$AC$267)&amp;IF(Checks!$W$267="","",CHAR(10)&amp;"Batch: "&amp;Checks!$W$267)&amp;IF(AND(Checks!$X$267="",Checks!$Y$267=""),"",CHAR(10)&amp;"Exp: "&amp;Checks!$X$267&amp;"  /  Act: "&amp;Checks!$Y$267)</f>
        <v/>
      </c>
      <c r="F28" s="124">
        <f>IF(Checks!$Z$267="","","Evidence: "&amp;Checks!$Z$267)&amp;IF(Checks!$AA$267="","",IF(Checks!$Z$267="","",CHAR(10))&amp;"CA: "&amp;Checks!$AA$267)</f>
        <v/>
      </c>
      <c r="G28" s="124">
        <f>IF(ISNUMBER(Checks!$AD$267),TEXT(Checks!$AD$267,"DD-MMM-YY HH:MM")&amp;" "&amp;Checks!$P$267,"")&amp;IF(Checks!$AE$267="","",CHAR(10)&amp;Checks!$AE$267)</f>
        <v/>
      </c>
      <c r="H28" s="125">
        <f>IF(Checks!$AH$267="","",Checks!$AH$267)</f>
        <v/>
      </c>
    </row>
    <row r="29" ht="81" customHeight="1">
      <c r="A29" s="124">
        <f>Checks!$A$268&amp;CHAR(10)&amp;IF(Checks!$I$268="","",Checks!$I$268&amp;": ")&amp;Checks!$J$268</f>
        <v/>
      </c>
      <c r="B29" s="124">
        <f>Checks!$K$268&amp;IF(Checks!$O$268="","",IF(Checks!$K$268="","",CHAR(10))&amp;"Note: "&amp;Checks!$O$268)</f>
        <v/>
      </c>
      <c r="C29" s="124">
        <f>Checks!$N$268&amp;CHAR(10)&amp;IF(ISNUMBER(Checks!$R$268),TEXT(Checks!$R$268,"DD-MMM-YY HH:MM"),"")&amp;" "&amp;Checks!$P$268</f>
        <v/>
      </c>
      <c r="D29" s="124">
        <f>IF(Checks!$U$268="","",Checks!$U$268)&amp;IF(Checks!$AB$268="","",CHAR(10)&amp;"CA: "&amp;Checks!$AB$268)</f>
        <v/>
      </c>
      <c r="E29" s="124">
        <f>IF(Checks!$V$268="","",Checks!$V$268)&amp;IF(Checks!$AC$268="","",IF(Checks!$V$268="","",CHAR(10))&amp;"N/A just.: "&amp;Checks!$AC$268)&amp;IF(Checks!$W$268="","",CHAR(10)&amp;"Batch: "&amp;Checks!$W$268)&amp;IF(AND(Checks!$X$268="",Checks!$Y$268=""),"",CHAR(10)&amp;"Exp: "&amp;Checks!$X$268&amp;"  /  Act: "&amp;Checks!$Y$268)</f>
        <v/>
      </c>
      <c r="F29" s="124">
        <f>IF(Checks!$Z$268="","","Evidence: "&amp;Checks!$Z$268)&amp;IF(Checks!$AA$268="","",IF(Checks!$Z$268="","",CHAR(10))&amp;"CA: "&amp;Checks!$AA$268)</f>
        <v/>
      </c>
      <c r="G29" s="124">
        <f>IF(ISNUMBER(Checks!$AD$268),TEXT(Checks!$AD$268,"DD-MMM-YY HH:MM")&amp;" "&amp;Checks!$P$268,"")&amp;IF(Checks!$AE$268="","",CHAR(10)&amp;Checks!$AE$268)</f>
        <v/>
      </c>
      <c r="H29" s="125">
        <f>IF(Checks!$AH$268="","",Checks!$AH$268)</f>
        <v/>
      </c>
    </row>
    <row r="30" ht="81" customHeight="1">
      <c r="A30" s="124">
        <f>Checks!$A$269&amp;CHAR(10)&amp;IF(Checks!$I$269="","",Checks!$I$269&amp;": ")&amp;Checks!$J$269</f>
        <v/>
      </c>
      <c r="B30" s="124">
        <f>Checks!$K$269&amp;IF(Checks!$O$269="","",IF(Checks!$K$269="","",CHAR(10))&amp;"Note: "&amp;Checks!$O$269)</f>
        <v/>
      </c>
      <c r="C30" s="124">
        <f>Checks!$N$269&amp;CHAR(10)&amp;IF(ISNUMBER(Checks!$R$269),TEXT(Checks!$R$269,"DD-MMM-YY HH:MM"),"")&amp;" "&amp;Checks!$P$269</f>
        <v/>
      </c>
      <c r="D30" s="124">
        <f>IF(Checks!$U$269="","",Checks!$U$269)&amp;IF(Checks!$AB$269="","",CHAR(10)&amp;"CA: "&amp;Checks!$AB$269)</f>
        <v/>
      </c>
      <c r="E30" s="124">
        <f>IF(Checks!$V$269="","",Checks!$V$269)&amp;IF(Checks!$AC$269="","",IF(Checks!$V$269="","",CHAR(10))&amp;"N/A just.: "&amp;Checks!$AC$269)&amp;IF(Checks!$W$269="","",CHAR(10)&amp;"Batch: "&amp;Checks!$W$269)&amp;IF(AND(Checks!$X$269="",Checks!$Y$269=""),"",CHAR(10)&amp;"Exp: "&amp;Checks!$X$269&amp;"  /  Act: "&amp;Checks!$Y$269)</f>
        <v/>
      </c>
      <c r="F30" s="124">
        <f>IF(Checks!$Z$269="","","Evidence: "&amp;Checks!$Z$269)&amp;IF(Checks!$AA$269="","",IF(Checks!$Z$269="","",CHAR(10))&amp;"CA: "&amp;Checks!$AA$269)</f>
        <v/>
      </c>
      <c r="G30" s="124">
        <f>IF(ISNUMBER(Checks!$AD$269),TEXT(Checks!$AD$269,"DD-MMM-YY HH:MM")&amp;" "&amp;Checks!$P$269,"")&amp;IF(Checks!$AE$269="","",CHAR(10)&amp;Checks!$AE$269)</f>
        <v/>
      </c>
      <c r="H30" s="125">
        <f>IF(Checks!$AH$269="","",Checks!$AH$269)</f>
        <v/>
      </c>
    </row>
    <row r="31" ht="81" customHeight="1">
      <c r="A31" s="124">
        <f>Checks!$A$270&amp;CHAR(10)&amp;IF(Checks!$I$270="","",Checks!$I$270&amp;": ")&amp;Checks!$J$270</f>
        <v/>
      </c>
      <c r="B31" s="124">
        <f>Checks!$K$270&amp;IF(Checks!$O$270="","",IF(Checks!$K$270="","",CHAR(10))&amp;"Note: "&amp;Checks!$O$270)</f>
        <v/>
      </c>
      <c r="C31" s="124">
        <f>Checks!$N$270&amp;CHAR(10)&amp;IF(ISNUMBER(Checks!$R$270),TEXT(Checks!$R$270,"DD-MMM-YY HH:MM"),"")&amp;" "&amp;Checks!$P$270</f>
        <v/>
      </c>
      <c r="D31" s="124">
        <f>IF(Checks!$U$270="","",Checks!$U$270)&amp;IF(Checks!$AB$270="","",CHAR(10)&amp;"CA: "&amp;Checks!$AB$270)</f>
        <v/>
      </c>
      <c r="E31" s="124">
        <f>IF(Checks!$V$270="","",Checks!$V$270)&amp;IF(Checks!$AC$270="","",IF(Checks!$V$270="","",CHAR(10))&amp;"N/A just.: "&amp;Checks!$AC$270)&amp;IF(Checks!$W$270="","",CHAR(10)&amp;"Batch: "&amp;Checks!$W$270)&amp;IF(AND(Checks!$X$270="",Checks!$Y$270=""),"",CHAR(10)&amp;"Exp: "&amp;Checks!$X$270&amp;"  /  Act: "&amp;Checks!$Y$270)</f>
        <v/>
      </c>
      <c r="F31" s="124">
        <f>IF(Checks!$Z$270="","","Evidence: "&amp;Checks!$Z$270)&amp;IF(Checks!$AA$270="","",IF(Checks!$Z$270="","",CHAR(10))&amp;"CA: "&amp;Checks!$AA$270)</f>
        <v/>
      </c>
      <c r="G31" s="124">
        <f>IF(ISNUMBER(Checks!$AD$270),TEXT(Checks!$AD$270,"DD-MMM-YY HH:MM")&amp;" "&amp;Checks!$P$270,"")&amp;IF(Checks!$AE$270="","",CHAR(10)&amp;Checks!$AE$270)</f>
        <v/>
      </c>
      <c r="H31" s="125">
        <f>IF(Checks!$AH$270="","",Checks!$AH$270)</f>
        <v/>
      </c>
    </row>
    <row r="32" ht="26" customHeight="1">
      <c r="A32" s="123">
        <f>"T-24H — Production batch sensory  |  Due "&amp;IF(ISNUMBER(Flights!$AH$12),TEXT(Flights!$AH$12,"DD-MMM-YY HH:MM"),"")&amp;" "&amp;Flights!$V$12&amp;" (meal uplift stn)"&amp;" (rows with another due show their own)  |  Complete "&amp;IF(ISNUMBER(Flights!$AK$12),TEXT(Flights!$AK$12,"0%"),Flights!$AK$12)&amp;"  |  1 lines"</f>
        <v/>
      </c>
      <c r="B32" s="97" t="n"/>
      <c r="C32" s="97" t="n"/>
      <c r="D32" s="97" t="n"/>
      <c r="E32" s="97" t="n"/>
      <c r="F32" s="97" t="n"/>
      <c r="G32" s="97" t="n"/>
      <c r="H32" s="98" t="n"/>
    </row>
    <row r="33" ht="81" customHeight="1">
      <c r="A33" s="124">
        <f>Checks!$A$271&amp;CHAR(10)&amp;IF(Checks!$I$271="","",Checks!$I$271&amp;": ")&amp;Checks!$J$271</f>
        <v/>
      </c>
      <c r="B33" s="124">
        <f>Checks!$K$271&amp;IF(Checks!$O$271="","",IF(Checks!$K$271="","",CHAR(10))&amp;"Note: "&amp;Checks!$O$271)</f>
        <v/>
      </c>
      <c r="C33" s="124">
        <f>Checks!$N$271&amp;CHAR(10)&amp;IF(ISNUMBER(Checks!$R$271),TEXT(Checks!$R$271,"DD-MMM-YY HH:MM"),"")&amp;" "&amp;Checks!$P$271</f>
        <v/>
      </c>
      <c r="D33" s="124">
        <f>IF(Checks!$U$271="","",Checks!$U$271)&amp;IF(Checks!$AB$271="","",CHAR(10)&amp;"CA: "&amp;Checks!$AB$271)</f>
        <v/>
      </c>
      <c r="E33" s="124">
        <f>IF(Checks!$V$271="","",Checks!$V$271)&amp;IF(Checks!$AC$271="","",IF(Checks!$V$271="","",CHAR(10))&amp;"N/A just.: "&amp;Checks!$AC$271)&amp;IF(Checks!$W$271="","",CHAR(10)&amp;"Batch: "&amp;Checks!$W$271)&amp;IF(AND(Checks!$X$271="",Checks!$Y$271=""),"",CHAR(10)&amp;"Exp: "&amp;Checks!$X$271&amp;"  /  Act: "&amp;Checks!$Y$271)</f>
        <v/>
      </c>
      <c r="F33" s="124">
        <f>IF(Checks!$Z$271="","","Evidence: "&amp;Checks!$Z$271)&amp;IF(Checks!$AA$271="","",IF(Checks!$Z$271="","",CHAR(10))&amp;"CA: "&amp;Checks!$AA$271)</f>
        <v/>
      </c>
      <c r="G33" s="124">
        <f>IF(ISNUMBER(Checks!$AD$271),TEXT(Checks!$AD$271,"DD-MMM-YY HH:MM")&amp;" "&amp;Checks!$P$271,"")&amp;IF(Checks!$AE$271="","",CHAR(10)&amp;Checks!$AE$271)</f>
        <v/>
      </c>
      <c r="H33" s="125">
        <f>IF(Checks!$AH$271="","",Checks!$AH$271)</f>
        <v/>
      </c>
    </row>
    <row r="34" ht="26" customHeight="1">
      <c r="A34" s="123">
        <f>"T-12H PREP — Preparation check at caterer (does NOT confirm loading)  |  Due "&amp;IF(ISNUMBER(Flights!$AI$12),TEXT(Flights!$AI$12,"DD-MMM-YY HH:MM"),"")&amp;" "&amp;Flights!$V$12&amp;" (meal uplift stn)"&amp;" (rows with another due show their own)  |  Complete "&amp;IF(ISNUMBER(Flights!$AL$12),TEXT(Flights!$AL$12,"0%"),Flights!$AL$12)&amp;"  |  8 lines"</f>
        <v/>
      </c>
      <c r="B34" s="97" t="n"/>
      <c r="C34" s="97" t="n"/>
      <c r="D34" s="97" t="n"/>
      <c r="E34" s="97" t="n"/>
      <c r="F34" s="97" t="n"/>
      <c r="G34" s="97" t="n"/>
      <c r="H34" s="98" t="n"/>
    </row>
    <row r="35" ht="81" customHeight="1">
      <c r="A35" s="124">
        <f>Checks!$A$272&amp;CHAR(10)&amp;IF(Checks!$I$272="","",Checks!$I$272&amp;": ")&amp;Checks!$J$272</f>
        <v/>
      </c>
      <c r="B35" s="124">
        <f>Checks!$K$272&amp;IF(Checks!$O$272="","",IF(Checks!$K$272="","",CHAR(10))&amp;"Note: "&amp;Checks!$O$272)</f>
        <v/>
      </c>
      <c r="C35" s="124">
        <f>Checks!$N$272&amp;CHAR(10)&amp;IF(ISNUMBER(Checks!$R$272),TEXT(Checks!$R$272,"DD-MMM-YY HH:MM"),"")&amp;" "&amp;Checks!$P$272</f>
        <v/>
      </c>
      <c r="D35" s="124">
        <f>IF(Checks!$U$272="","",Checks!$U$272)&amp;IF(Checks!$AB$272="","",CHAR(10)&amp;"CA: "&amp;Checks!$AB$272)</f>
        <v/>
      </c>
      <c r="E35" s="124">
        <f>IF(Checks!$V$272="","",Checks!$V$272)&amp;IF(Checks!$AC$272="","",IF(Checks!$V$272="","",CHAR(10))&amp;"N/A just.: "&amp;Checks!$AC$272)&amp;IF(Checks!$W$272="","",CHAR(10)&amp;"Batch: "&amp;Checks!$W$272)&amp;IF(AND(Checks!$X$272="",Checks!$Y$272=""),"",CHAR(10)&amp;"Exp: "&amp;Checks!$X$272&amp;"  /  Act: "&amp;Checks!$Y$272)</f>
        <v/>
      </c>
      <c r="F35" s="124">
        <f>IF(Checks!$Z$272="","","Evidence: "&amp;Checks!$Z$272)&amp;IF(Checks!$AA$272="","",IF(Checks!$Z$272="","",CHAR(10))&amp;"CA: "&amp;Checks!$AA$272)</f>
        <v/>
      </c>
      <c r="G35" s="124">
        <f>IF(ISNUMBER(Checks!$AD$272),TEXT(Checks!$AD$272,"DD-MMM-YY HH:MM")&amp;" "&amp;Checks!$P$272,"")&amp;IF(Checks!$AE$272="","",CHAR(10)&amp;Checks!$AE$272)</f>
        <v/>
      </c>
      <c r="H35" s="125">
        <f>IF(Checks!$AH$272="","",Checks!$AH$272)</f>
        <v/>
      </c>
    </row>
    <row r="36" ht="81" customHeight="1">
      <c r="A36" s="124">
        <f>Checks!$A$273&amp;CHAR(10)&amp;IF(Checks!$I$273="","",Checks!$I$273&amp;": ")&amp;Checks!$J$273</f>
        <v/>
      </c>
      <c r="B36" s="124">
        <f>Checks!$K$273&amp;IF(Checks!$O$273="","",IF(Checks!$K$273="","",CHAR(10))&amp;"Note: "&amp;Checks!$O$273)</f>
        <v/>
      </c>
      <c r="C36" s="124">
        <f>Checks!$N$273&amp;CHAR(10)&amp;IF(ISNUMBER(Checks!$R$273),TEXT(Checks!$R$273,"DD-MMM-YY HH:MM"),"")&amp;" "&amp;Checks!$P$273</f>
        <v/>
      </c>
      <c r="D36" s="124">
        <f>IF(Checks!$U$273="","",Checks!$U$273)&amp;IF(Checks!$AB$273="","",CHAR(10)&amp;"CA: "&amp;Checks!$AB$273)</f>
        <v/>
      </c>
      <c r="E36" s="124">
        <f>IF(Checks!$V$273="","",Checks!$V$273)&amp;IF(Checks!$AC$273="","",IF(Checks!$V$273="","",CHAR(10))&amp;"N/A just.: "&amp;Checks!$AC$273)&amp;IF(Checks!$W$273="","",CHAR(10)&amp;"Batch: "&amp;Checks!$W$273)&amp;IF(AND(Checks!$X$273="",Checks!$Y$273=""),"",CHAR(10)&amp;"Exp: "&amp;Checks!$X$273&amp;"  /  Act: "&amp;Checks!$Y$273)</f>
        <v/>
      </c>
      <c r="F36" s="124">
        <f>IF(Checks!$Z$273="","","Evidence: "&amp;Checks!$Z$273)&amp;IF(Checks!$AA$273="","",IF(Checks!$Z$273="","",CHAR(10))&amp;"CA: "&amp;Checks!$AA$273)</f>
        <v/>
      </c>
      <c r="G36" s="124">
        <f>IF(ISNUMBER(Checks!$AD$273),TEXT(Checks!$AD$273,"DD-MMM-YY HH:MM")&amp;" "&amp;Checks!$P$273,"")&amp;IF(Checks!$AE$273="","",CHAR(10)&amp;Checks!$AE$273)</f>
        <v/>
      </c>
      <c r="H36" s="125">
        <f>IF(Checks!$AH$273="","",Checks!$AH$273)</f>
        <v/>
      </c>
    </row>
    <row r="37" ht="81" customHeight="1">
      <c r="A37" s="124">
        <f>Checks!$A$274&amp;CHAR(10)&amp;IF(Checks!$I$274="","",Checks!$I$274&amp;": ")&amp;Checks!$J$274</f>
        <v/>
      </c>
      <c r="B37" s="124">
        <f>Checks!$K$274&amp;IF(Checks!$O$274="","",IF(Checks!$K$274="","",CHAR(10))&amp;"Note: "&amp;Checks!$O$274)</f>
        <v/>
      </c>
      <c r="C37" s="124">
        <f>Checks!$N$274&amp;CHAR(10)&amp;IF(ISNUMBER(Checks!$R$274),TEXT(Checks!$R$274,"DD-MMM-YY HH:MM"),"")&amp;" "&amp;Checks!$P$274</f>
        <v/>
      </c>
      <c r="D37" s="124">
        <f>IF(Checks!$U$274="","",Checks!$U$274)&amp;IF(Checks!$AB$274="","",CHAR(10)&amp;"CA: "&amp;Checks!$AB$274)</f>
        <v/>
      </c>
      <c r="E37" s="124">
        <f>IF(Checks!$V$274="","",Checks!$V$274)&amp;IF(Checks!$AC$274="","",IF(Checks!$V$274="","",CHAR(10))&amp;"N/A just.: "&amp;Checks!$AC$274)&amp;IF(Checks!$W$274="","",CHAR(10)&amp;"Batch: "&amp;Checks!$W$274)&amp;IF(AND(Checks!$X$274="",Checks!$Y$274=""),"",CHAR(10)&amp;"Exp: "&amp;Checks!$X$274&amp;"  /  Act: "&amp;Checks!$Y$274)</f>
        <v/>
      </c>
      <c r="F37" s="124">
        <f>IF(Checks!$Z$274="","","Evidence: "&amp;Checks!$Z$274)&amp;IF(Checks!$AA$274="","",IF(Checks!$Z$274="","",CHAR(10))&amp;"CA: "&amp;Checks!$AA$274)</f>
        <v/>
      </c>
      <c r="G37" s="124">
        <f>IF(ISNUMBER(Checks!$AD$274),TEXT(Checks!$AD$274,"DD-MMM-YY HH:MM")&amp;" "&amp;Checks!$P$274,"")&amp;IF(Checks!$AE$274="","",CHAR(10)&amp;Checks!$AE$274)</f>
        <v/>
      </c>
      <c r="H37" s="125">
        <f>IF(Checks!$AH$274="","",Checks!$AH$274)</f>
        <v/>
      </c>
    </row>
    <row r="38" ht="81" customHeight="1">
      <c r="A38" s="124">
        <f>Checks!$A$275&amp;CHAR(10)&amp;IF(Checks!$I$275="","",Checks!$I$275&amp;": ")&amp;Checks!$J$275</f>
        <v/>
      </c>
      <c r="B38" s="124">
        <f>Checks!$K$275&amp;IF(Checks!$O$275="","",IF(Checks!$K$275="","",CHAR(10))&amp;"Note: "&amp;Checks!$O$275)</f>
        <v/>
      </c>
      <c r="C38" s="124">
        <f>Checks!$N$275&amp;CHAR(10)&amp;IF(ISNUMBER(Checks!$R$275),TEXT(Checks!$R$275,"DD-MMM-YY HH:MM"),"")&amp;" "&amp;Checks!$P$275</f>
        <v/>
      </c>
      <c r="D38" s="124">
        <f>IF(Checks!$U$275="","",Checks!$U$275)&amp;IF(Checks!$AB$275="","",CHAR(10)&amp;"CA: "&amp;Checks!$AB$275)</f>
        <v/>
      </c>
      <c r="E38" s="124">
        <f>IF(Checks!$V$275="","",Checks!$V$275)&amp;IF(Checks!$AC$275="","",IF(Checks!$V$275="","",CHAR(10))&amp;"N/A just.: "&amp;Checks!$AC$275)&amp;IF(Checks!$W$275="","",CHAR(10)&amp;"Batch: "&amp;Checks!$W$275)&amp;IF(AND(Checks!$X$275="",Checks!$Y$275=""),"",CHAR(10)&amp;"Exp: "&amp;Checks!$X$275&amp;"  /  Act: "&amp;Checks!$Y$275)</f>
        <v/>
      </c>
      <c r="F38" s="124">
        <f>IF(Checks!$Z$275="","","Evidence: "&amp;Checks!$Z$275)&amp;IF(Checks!$AA$275="","",IF(Checks!$Z$275="","",CHAR(10))&amp;"CA: "&amp;Checks!$AA$275)</f>
        <v/>
      </c>
      <c r="G38" s="124">
        <f>IF(ISNUMBER(Checks!$AD$275),TEXT(Checks!$AD$275,"DD-MMM-YY HH:MM")&amp;" "&amp;Checks!$P$275,"")&amp;IF(Checks!$AE$275="","",CHAR(10)&amp;Checks!$AE$275)</f>
        <v/>
      </c>
      <c r="H38" s="125">
        <f>IF(Checks!$AH$275="","",Checks!$AH$275)</f>
        <v/>
      </c>
    </row>
    <row r="39" ht="81" customHeight="1">
      <c r="A39" s="124">
        <f>Checks!$A$276&amp;CHAR(10)&amp;IF(Checks!$I$276="","",Checks!$I$276&amp;": ")&amp;Checks!$J$276</f>
        <v/>
      </c>
      <c r="B39" s="124">
        <f>Checks!$K$276&amp;IF(Checks!$O$276="","",IF(Checks!$K$276="","",CHAR(10))&amp;"Note: "&amp;Checks!$O$276)</f>
        <v/>
      </c>
      <c r="C39" s="124">
        <f>Checks!$N$276&amp;CHAR(10)&amp;IF(ISNUMBER(Checks!$R$276),TEXT(Checks!$R$276,"DD-MMM-YY HH:MM"),"")&amp;" "&amp;Checks!$P$276</f>
        <v/>
      </c>
      <c r="D39" s="124">
        <f>IF(Checks!$U$276="","",Checks!$U$276)&amp;IF(Checks!$AB$276="","",CHAR(10)&amp;"CA: "&amp;Checks!$AB$276)</f>
        <v/>
      </c>
      <c r="E39" s="124">
        <f>IF(Checks!$V$276="","",Checks!$V$276)&amp;IF(Checks!$AC$276="","",IF(Checks!$V$276="","",CHAR(10))&amp;"N/A just.: "&amp;Checks!$AC$276)&amp;IF(Checks!$W$276="","",CHAR(10)&amp;"Batch: "&amp;Checks!$W$276)&amp;IF(AND(Checks!$X$276="",Checks!$Y$276=""),"",CHAR(10)&amp;"Exp: "&amp;Checks!$X$276&amp;"  /  Act: "&amp;Checks!$Y$276)</f>
        <v/>
      </c>
      <c r="F39" s="124">
        <f>IF(Checks!$Z$276="","","Evidence: "&amp;Checks!$Z$276)&amp;IF(Checks!$AA$276="","",IF(Checks!$Z$276="","",CHAR(10))&amp;"CA: "&amp;Checks!$AA$276)</f>
        <v/>
      </c>
      <c r="G39" s="124">
        <f>IF(ISNUMBER(Checks!$AD$276),TEXT(Checks!$AD$276,"DD-MMM-YY HH:MM")&amp;" "&amp;Checks!$P$276,"")&amp;IF(Checks!$AE$276="","",CHAR(10)&amp;Checks!$AE$276)</f>
        <v/>
      </c>
      <c r="H39" s="125">
        <f>IF(Checks!$AH$276="","",Checks!$AH$276)</f>
        <v/>
      </c>
    </row>
    <row r="40" ht="158" customHeight="1">
      <c r="A40" s="124">
        <f>Checks!$A$277&amp;CHAR(10)&amp;IF(Checks!$I$277="","",Checks!$I$277&amp;": ")&amp;Checks!$J$277</f>
        <v/>
      </c>
      <c r="B40" s="124">
        <f>SUBSTITUTE(Checks!$K$277&amp;IF(Checks!$O$277="","",IF(Checks!$K$277="","",CHAR(10))&amp;"Note: "&amp;Checks!$O$277),"AIRCRAFT TYPE!","Ref: AIRCRAFT TYPE!")</f>
        <v/>
      </c>
      <c r="C40" s="124">
        <f>Checks!$N$277&amp;CHAR(10)&amp;IF(ISNUMBER(Checks!$R$277),TEXT(Checks!$R$277,"DD-MMM-YY HH:MM"),"")&amp;" "&amp;Checks!$P$277</f>
        <v/>
      </c>
      <c r="D40" s="124">
        <f>IF(Checks!$U$277="","",Checks!$U$277)&amp;IF(Checks!$AB$277="","",CHAR(10)&amp;"CA: "&amp;Checks!$AB$277)</f>
        <v/>
      </c>
      <c r="E40" s="124">
        <f>IF(Checks!$V$277="","",Checks!$V$277)&amp;IF(Checks!$AC$277="","",IF(Checks!$V$277="","",CHAR(10))&amp;"N/A just.: "&amp;Checks!$AC$277)&amp;IF(Checks!$W$277="","",CHAR(10)&amp;"Batch: "&amp;Checks!$W$277)&amp;IF(AND(Checks!$X$277="",Checks!$Y$277=""),"",CHAR(10)&amp;"Exp: "&amp;Checks!$X$277&amp;"  /  Act: "&amp;Checks!$Y$277)</f>
        <v/>
      </c>
      <c r="F40" s="124">
        <f>IF(Checks!$Z$277="","","Evidence: "&amp;Checks!$Z$277)&amp;IF(Checks!$AA$277="","",IF(Checks!$Z$277="","",CHAR(10))&amp;"CA: "&amp;Checks!$AA$277)</f>
        <v/>
      </c>
      <c r="G40" s="124">
        <f>IF(ISNUMBER(Checks!$AD$277),TEXT(Checks!$AD$277,"DD-MMM-YY HH:MM")&amp;" "&amp;Checks!$P$277,"")&amp;IF(Checks!$AE$277="","",CHAR(10)&amp;Checks!$AE$277)</f>
        <v/>
      </c>
      <c r="H40" s="125">
        <f>IF(Checks!$AH$277="","",Checks!$AH$277)</f>
        <v/>
      </c>
    </row>
    <row r="41" ht="81" customHeight="1">
      <c r="A41" s="124">
        <f>Checks!$A$278&amp;CHAR(10)&amp;IF(Checks!$I$278="","",Checks!$I$278&amp;": ")&amp;Checks!$J$278</f>
        <v/>
      </c>
      <c r="B41" s="124">
        <f>Checks!$K$278&amp;IF(Checks!$O$278="","",IF(Checks!$K$278="","",CHAR(10))&amp;"Note: "&amp;Checks!$O$278)</f>
        <v/>
      </c>
      <c r="C41" s="124">
        <f>Checks!$N$278&amp;CHAR(10)&amp;IF(ISNUMBER(Checks!$R$278),TEXT(Checks!$R$278,"DD-MMM-YY HH:MM"),"")&amp;" "&amp;Checks!$P$278</f>
        <v/>
      </c>
      <c r="D41" s="124">
        <f>IF(Checks!$U$278="","",Checks!$U$278)&amp;IF(Checks!$AB$278="","",CHAR(10)&amp;"CA: "&amp;Checks!$AB$278)</f>
        <v/>
      </c>
      <c r="E41" s="124">
        <f>IF(Checks!$V$278="","",Checks!$V$278)&amp;IF(Checks!$AC$278="","",IF(Checks!$V$278="","",CHAR(10))&amp;"N/A just.: "&amp;Checks!$AC$278)&amp;IF(Checks!$W$278="","",CHAR(10)&amp;"Batch: "&amp;Checks!$W$278)&amp;IF(AND(Checks!$X$278="",Checks!$Y$278=""),"",CHAR(10)&amp;"Exp: "&amp;Checks!$X$278&amp;"  /  Act: "&amp;Checks!$Y$278)</f>
        <v/>
      </c>
      <c r="F41" s="124">
        <f>IF(Checks!$Z$278="","","Evidence: "&amp;Checks!$Z$278)&amp;IF(Checks!$AA$278="","",IF(Checks!$Z$278="","",CHAR(10))&amp;"CA: "&amp;Checks!$AA$278)</f>
        <v/>
      </c>
      <c r="G41" s="124">
        <f>IF(ISNUMBER(Checks!$AD$278),TEXT(Checks!$AD$278,"DD-MMM-YY HH:MM")&amp;" "&amp;Checks!$P$278,"")&amp;IF(Checks!$AE$278="","",CHAR(10)&amp;Checks!$AE$278)</f>
        <v/>
      </c>
      <c r="H41" s="125">
        <f>IF(Checks!$AH$278="","",Checks!$AH$278)</f>
        <v/>
      </c>
    </row>
    <row r="42" ht="92" customHeight="1">
      <c r="A42" s="124">
        <f>Checks!$A$279&amp;CHAR(10)&amp;IF(Checks!$I$279="","",Checks!$I$279&amp;": ")&amp;Checks!$J$279</f>
        <v/>
      </c>
      <c r="B42" s="124">
        <f>Checks!$K$279&amp;IF(Checks!$O$279="","",IF(Checks!$K$279="","",CHAR(10))&amp;"Note: "&amp;Checks!$O$279)</f>
        <v/>
      </c>
      <c r="C42" s="124">
        <f>Checks!$N$279&amp;CHAR(10)&amp;IF(ISNUMBER(Checks!$R$279),TEXT(Checks!$R$279,"DD-MMM-YY HH:MM"),"")&amp;" "&amp;Checks!$P$279</f>
        <v/>
      </c>
      <c r="D42" s="124">
        <f>IF(Checks!$U$279="","",Checks!$U$279)&amp;IF(Checks!$AB$279="","",CHAR(10)&amp;"CA: "&amp;Checks!$AB$279)</f>
        <v/>
      </c>
      <c r="E42" s="124">
        <f>IF(Checks!$V$279="","",Checks!$V$279)&amp;IF(Checks!$AC$279="","",IF(Checks!$V$279="","",CHAR(10))&amp;"N/A just.: "&amp;Checks!$AC$279)&amp;IF(Checks!$W$279="","",CHAR(10)&amp;"Batch: "&amp;Checks!$W$279)&amp;IF(AND(Checks!$X$279="",Checks!$Y$279=""),"",CHAR(10)&amp;"Exp: "&amp;Checks!$X$279&amp;"  /  Act: "&amp;Checks!$Y$279)</f>
        <v/>
      </c>
      <c r="F42" s="124">
        <f>IF(Checks!$Z$279="","","Evidence: "&amp;Checks!$Z$279)&amp;IF(Checks!$AA$279="","",IF(Checks!$Z$279="","",CHAR(10))&amp;"CA: "&amp;Checks!$AA$279)</f>
        <v/>
      </c>
      <c r="G42" s="124">
        <f>IF(ISNUMBER(Checks!$AD$279),TEXT(Checks!$AD$279,"DD-MMM-YY HH:MM")&amp;" "&amp;Checks!$P$279,"")&amp;IF(Checks!$AE$279="","",CHAR(10)&amp;Checks!$AE$279)</f>
        <v/>
      </c>
      <c r="H42" s="125">
        <f>IF(Checks!$AH$279="","",Checks!$AH$279)</f>
        <v/>
      </c>
    </row>
    <row r="43" ht="26" customHeight="1">
      <c r="A43" s="123">
        <f>"UPLIFT — Physical uplift – on-board confirmation before departure  |  Due "&amp;"STD "&amp;IF(ISNUMBER(Flights!$I$12),TEXT(Flights!$I$12,"DD-MMM-YY HH:MM"),"")&amp;" "&amp;Flights!$G$12&amp;" (departure stn)"&amp;" (rows with another due show their own)  |  Complete "&amp;IF(ISNUMBER(Flights!$AM$12),TEXT(Flights!$AM$12,"0%"),Flights!$AM$12)&amp;"  |  3 lines"</f>
        <v/>
      </c>
      <c r="B43" s="97" t="n"/>
      <c r="C43" s="97" t="n"/>
      <c r="D43" s="97" t="n"/>
      <c r="E43" s="97" t="n"/>
      <c r="F43" s="97" t="n"/>
      <c r="G43" s="97" t="n"/>
      <c r="H43" s="98" t="n"/>
    </row>
    <row r="44" ht="81" customHeight="1">
      <c r="A44" s="124">
        <f>Checks!$A$280&amp;CHAR(10)&amp;IF(Checks!$I$280="","",Checks!$I$280&amp;": ")&amp;Checks!$J$280</f>
        <v/>
      </c>
      <c r="B44" s="124">
        <f>Checks!$K$280&amp;IF(Checks!$O$280="","",IF(Checks!$K$280="","",CHAR(10))&amp;"Note: "&amp;Checks!$O$280)</f>
        <v/>
      </c>
      <c r="C44" s="124">
        <f>Checks!$N$280&amp;CHAR(10)&amp;IF(ISNUMBER(Checks!$R$280),TEXT(Checks!$R$280,"DD-MMM-YY HH:MM"),"")&amp;" "&amp;Checks!$P$280</f>
        <v/>
      </c>
      <c r="D44" s="124">
        <f>IF(Checks!$U$280="","",Checks!$U$280)&amp;IF(Checks!$AB$280="","",CHAR(10)&amp;"CA: "&amp;Checks!$AB$280)</f>
        <v/>
      </c>
      <c r="E44" s="124">
        <f>IF(Checks!$V$280="","",Checks!$V$280)&amp;IF(Checks!$AC$280="","",IF(Checks!$V$280="","",CHAR(10))&amp;"N/A just.: "&amp;Checks!$AC$280)&amp;IF(Checks!$W$280="","",CHAR(10)&amp;"Batch: "&amp;Checks!$W$280)&amp;IF(AND(Checks!$X$280="",Checks!$Y$280=""),"",CHAR(10)&amp;"Exp: "&amp;Checks!$X$280&amp;"  /  Act: "&amp;Checks!$Y$280)</f>
        <v/>
      </c>
      <c r="F44" s="124">
        <f>IF(Checks!$Z$280="","","Evidence: "&amp;Checks!$Z$280)&amp;IF(Checks!$AA$280="","",IF(Checks!$Z$280="","",CHAR(10))&amp;"CA: "&amp;Checks!$AA$280)</f>
        <v/>
      </c>
      <c r="G44" s="124">
        <f>IF(ISNUMBER(Checks!$AD$280),TEXT(Checks!$AD$280,"DD-MMM-YY HH:MM")&amp;" "&amp;Checks!$P$280,"")&amp;IF(Checks!$AE$280="","",CHAR(10)&amp;Checks!$AE$280)</f>
        <v/>
      </c>
      <c r="H44" s="125">
        <f>IF(Checks!$AH$280="","",Checks!$AH$280)</f>
        <v/>
      </c>
    </row>
    <row r="45" ht="81" customHeight="1">
      <c r="A45" s="124">
        <f>Checks!$A$281&amp;CHAR(10)&amp;IF(Checks!$I$281="","",Checks!$I$281&amp;": ")&amp;Checks!$J$281</f>
        <v/>
      </c>
      <c r="B45" s="124">
        <f>Checks!$K$281&amp;IF(Checks!$O$281="","",IF(Checks!$K$281="","",CHAR(10))&amp;"Note: "&amp;Checks!$O$281)</f>
        <v/>
      </c>
      <c r="C45" s="124">
        <f>Checks!$N$281&amp;CHAR(10)&amp;IF(ISNUMBER(Checks!$R$281),TEXT(Checks!$R$281,"DD-MMM-YY HH:MM"),"")&amp;" "&amp;Checks!$P$281</f>
        <v/>
      </c>
      <c r="D45" s="124">
        <f>IF(Checks!$U$281="","",Checks!$U$281)&amp;IF(Checks!$AB$281="","",CHAR(10)&amp;"CA: "&amp;Checks!$AB$281)</f>
        <v/>
      </c>
      <c r="E45" s="124">
        <f>IF(Checks!$V$281="","",Checks!$V$281)&amp;IF(Checks!$AC$281="","",IF(Checks!$V$281="","",CHAR(10))&amp;"N/A just.: "&amp;Checks!$AC$281)&amp;IF(Checks!$W$281="","",CHAR(10)&amp;"Batch: "&amp;Checks!$W$281)&amp;IF(AND(Checks!$X$281="",Checks!$Y$281=""),"",CHAR(10)&amp;"Exp: "&amp;Checks!$X$281&amp;"  /  Act: "&amp;Checks!$Y$281)</f>
        <v/>
      </c>
      <c r="F45" s="124">
        <f>IF(Checks!$Z$281="","","Evidence: "&amp;Checks!$Z$281)&amp;IF(Checks!$AA$281="","",IF(Checks!$Z$281="","",CHAR(10))&amp;"CA: "&amp;Checks!$AA$281)</f>
        <v/>
      </c>
      <c r="G45" s="124">
        <f>IF(ISNUMBER(Checks!$AD$281),TEXT(Checks!$AD$281,"DD-MMM-YY HH:MM")&amp;" "&amp;Checks!$P$281,"")&amp;IF(Checks!$AE$281="","",CHAR(10)&amp;Checks!$AE$281)</f>
        <v/>
      </c>
      <c r="H45" s="125">
        <f>IF(Checks!$AH$281="","",Checks!$AH$281)</f>
        <v/>
      </c>
    </row>
    <row r="46" ht="81" customHeight="1">
      <c r="A46" s="124">
        <f>Checks!$A$282&amp;CHAR(10)&amp;IF(Checks!$I$282="","",Checks!$I$282&amp;": ")&amp;Checks!$J$282</f>
        <v/>
      </c>
      <c r="B46" s="124">
        <f>Checks!$K$282&amp;IF(Checks!$O$282="","",IF(Checks!$K$282="","",CHAR(10))&amp;"Note: "&amp;Checks!$O$282)</f>
        <v/>
      </c>
      <c r="C46" s="124">
        <f>Checks!$N$282&amp;CHAR(10)&amp;IF(ISNUMBER(Checks!$R$282),TEXT(Checks!$R$282,"DD-MMM-YY HH:MM"),"")&amp;" "&amp;Checks!$P$282</f>
        <v/>
      </c>
      <c r="D46" s="124">
        <f>IF(Checks!$U$282="","",Checks!$U$282)&amp;IF(Checks!$AB$282="","",CHAR(10)&amp;"CA: "&amp;Checks!$AB$282)</f>
        <v/>
      </c>
      <c r="E46" s="124">
        <f>IF(Checks!$V$282="","",Checks!$V$282)&amp;IF(Checks!$AC$282="","",IF(Checks!$V$282="","",CHAR(10))&amp;"N/A just.: "&amp;Checks!$AC$282)&amp;IF(Checks!$W$282="","",CHAR(10)&amp;"Batch: "&amp;Checks!$W$282)&amp;IF(AND(Checks!$X$282="",Checks!$Y$282=""),"",CHAR(10)&amp;"Exp: "&amp;Checks!$X$282&amp;"  /  Act: "&amp;Checks!$Y$282)</f>
        <v/>
      </c>
      <c r="F46" s="124">
        <f>IF(Checks!$Z$282="","","Evidence: "&amp;Checks!$Z$282)&amp;IF(Checks!$AA$282="","",IF(Checks!$Z$282="","",CHAR(10))&amp;"CA: "&amp;Checks!$AA$282)</f>
        <v/>
      </c>
      <c r="G46" s="124">
        <f>IF(ISNUMBER(Checks!$AD$282),TEXT(Checks!$AD$282,"DD-MMM-YY HH:MM")&amp;" "&amp;Checks!$P$282,"")&amp;IF(Checks!$AE$282="","",CHAR(10)&amp;Checks!$AE$282)</f>
        <v/>
      </c>
      <c r="H46" s="125">
        <f>IF(Checks!$AH$282="","",Checks!$AH$282)</f>
        <v/>
      </c>
    </row>
    <row r="48" ht="24" customHeight="1">
      <c r="A48" s="126" t="inlineStr">
        <is>
          <t>EXCEL INSERTION AREA (on-screen only, not printed) – A1 Galley Loading Diagram: Insert &gt; Picture here. On paper: staple behind this sheet as page A1.</t>
        </is>
      </c>
      <c r="B48" s="127" t="n"/>
      <c r="C48" s="127" t="n"/>
      <c r="D48" s="128" t="n"/>
      <c r="E48" s="126" t="inlineStr">
        <is>
          <t>EXCEL INSERTION AREA (on-screen only, not printed) – A2 Menu Checklist: Insert &gt; Picture here. On paper: staple behind this sheet as page A2.</t>
        </is>
      </c>
      <c r="F48" s="127" t="n"/>
      <c r="G48" s="127" t="n"/>
      <c r="H48" s="128" t="n"/>
    </row>
    <row r="49" ht="22" customHeight="1">
      <c r="A49" s="129" t="n"/>
      <c r="B49" s="130" t="n"/>
      <c r="C49" s="130" t="n"/>
      <c r="D49" s="131" t="n"/>
      <c r="E49" s="129" t="n"/>
      <c r="F49" s="130" t="n"/>
      <c r="G49" s="130" t="n"/>
      <c r="H49" s="131" t="n"/>
    </row>
    <row r="50" ht="22" customHeight="1">
      <c r="A50" s="132" t="n"/>
      <c r="B50" s="130" t="n"/>
      <c r="C50" s="130" t="n"/>
      <c r="D50" s="131" t="n"/>
      <c r="E50" s="132" t="n"/>
      <c r="F50" s="130" t="n"/>
      <c r="G50" s="130" t="n"/>
      <c r="H50" s="131" t="n"/>
    </row>
    <row r="51" ht="22" customHeight="1">
      <c r="A51" s="132" t="n"/>
      <c r="B51" s="130" t="n"/>
      <c r="C51" s="130" t="n"/>
      <c r="D51" s="131" t="n"/>
      <c r="E51" s="132" t="n"/>
      <c r="F51" s="130" t="n"/>
      <c r="G51" s="130" t="n"/>
      <c r="H51" s="131" t="n"/>
    </row>
    <row r="52" ht="22" customHeight="1">
      <c r="A52" s="132" t="n"/>
      <c r="B52" s="130" t="n"/>
      <c r="C52" s="130" t="n"/>
      <c r="D52" s="131" t="n"/>
      <c r="E52" s="132" t="n"/>
      <c r="F52" s="130" t="n"/>
      <c r="G52" s="130" t="n"/>
      <c r="H52" s="131" t="n"/>
    </row>
    <row r="53" ht="22" customHeight="1">
      <c r="A53" s="132" t="n"/>
      <c r="B53" s="130" t="n"/>
      <c r="C53" s="130" t="n"/>
      <c r="D53" s="131" t="n"/>
      <c r="E53" s="132"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3" t="n"/>
      <c r="B58" s="134" t="n"/>
      <c r="C58" s="134" t="n"/>
      <c r="D58" s="135" t="n"/>
      <c r="E58" s="133" t="n"/>
      <c r="F58" s="134" t="n"/>
      <c r="G58" s="134" t="n"/>
      <c r="H58" s="135" t="n"/>
    </row>
  </sheetData>
  <mergeCells count="46">
    <mergeCell ref="B11:D11"/>
    <mergeCell ref="F18:H18"/>
    <mergeCell ref="C15:D15"/>
    <mergeCell ref="B8:D8"/>
    <mergeCell ref="G11:H11"/>
    <mergeCell ref="C14:D14"/>
    <mergeCell ref="F2:H2"/>
    <mergeCell ref="F17:H17"/>
    <mergeCell ref="A1:H1"/>
    <mergeCell ref="G8:H8"/>
    <mergeCell ref="B10:D10"/>
    <mergeCell ref="A49:D58"/>
    <mergeCell ref="G7:H7"/>
    <mergeCell ref="F13:H13"/>
    <mergeCell ref="A48:D48"/>
    <mergeCell ref="B16:E16"/>
    <mergeCell ref="B9:D9"/>
    <mergeCell ref="C17:E17"/>
    <mergeCell ref="G6:H6"/>
    <mergeCell ref="A18:B18"/>
    <mergeCell ref="B6:D6"/>
    <mergeCell ref="G3:H3"/>
    <mergeCell ref="E48:H48"/>
    <mergeCell ref="B5:D5"/>
    <mergeCell ref="F14:H14"/>
    <mergeCell ref="C19:E19"/>
    <mergeCell ref="B4:D4"/>
    <mergeCell ref="G5:H5"/>
    <mergeCell ref="C18:E18"/>
    <mergeCell ref="A17:B17"/>
    <mergeCell ref="B7:D7"/>
    <mergeCell ref="A32:H32"/>
    <mergeCell ref="A22:H22"/>
    <mergeCell ref="G4:H4"/>
    <mergeCell ref="F16:H16"/>
    <mergeCell ref="B3:D3"/>
    <mergeCell ref="E49:H58"/>
    <mergeCell ref="F19:H19"/>
    <mergeCell ref="A12:D12"/>
    <mergeCell ref="A19:B19"/>
    <mergeCell ref="A20:H20"/>
    <mergeCell ref="A43:H43"/>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46">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46">
    <cfRule type="expression" priority="16" dxfId="20">
      <formula>LEFT($H23,3)="N/A"</formula>
    </cfRule>
  </conditionalFormatting>
  <conditionalFormatting sqref="D23:D46">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F08 MH0752 10-Oct-26 KUL-HAN Class EY</oddHeader>
    <oddFooter>&amp;L&amp;"Arial,Bold"&amp;8 F08 MH0752 10-Oct-26 KUL-HAN Class EY&amp;C&amp;"Arial"&amp;8 Printed: ____________________&amp;R&amp;"Arial"&amp;8 F08  Page &amp;P of &amp;N</oddFooter>
    <evenHeader/>
    <evenFooter/>
    <firstHeader/>
    <firstFooter/>
  </headerFooter>
  <rowBreaks count="2" manualBreakCount="2">
    <brk id="20" min="0" max="16383" man="1"/>
    <brk id="33" min="0" max="16383" man="1"/>
  </rowBreaks>
</worksheet>
</file>

<file path=xl/worksheets/sheet17.xml><?xml version="1.0" encoding="utf-8"?>
<worksheet xmlns="http://schemas.openxmlformats.org/spreadsheetml/2006/main">
  <sheetPr>
    <tabColor rgb="001F3864"/>
    <outlinePr summaryBelow="1" summaryRight="1"/>
    <pageSetUpPr fitToPage="1"/>
  </sheetPr>
  <dimension ref="A1:H76"/>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F09  "&amp;Flights!$F$13&amp;"  "&amp;TEXT(Flights!$D$13,"DD-MMM-YY")&amp;" ("&amp;Flights!$E$13&amp;")  "&amp;Flights!$G$13&amp;" → "&amp;Flights!$H$13&amp;"  |  Class "&amp;Flights!$K$13</f>
        <v/>
      </c>
      <c r="B1" s="97" t="n"/>
      <c r="C1" s="97" t="n"/>
      <c r="D1" s="97" t="n"/>
      <c r="E1" s="97" t="n"/>
      <c r="F1" s="97" t="n"/>
      <c r="G1" s="97" t="n"/>
      <c r="H1" s="98" t="n"/>
    </row>
    <row r="2" ht="13" customHeight="1">
      <c r="A2" s="99" t="inlineStr">
        <is>
          <t>Flight / date</t>
        </is>
      </c>
      <c r="B2" s="100">
        <f>Flights!$F$13&amp;"   "&amp;TEXT(Flights!$D$13,"DD-MMM-YY")&amp;" ("&amp;Flights!$E$13&amp;")"</f>
        <v/>
      </c>
      <c r="C2" s="97" t="n"/>
      <c r="D2" s="98" t="n"/>
      <c r="E2" s="101" t="inlineStr">
        <is>
          <t>READINESS STATUS</t>
        </is>
      </c>
      <c r="F2" s="102">
        <f>Flights!$AT$13</f>
        <v/>
      </c>
      <c r="G2" s="97" t="n"/>
      <c r="H2" s="98" t="n"/>
    </row>
    <row r="3" ht="24" customHeight="1">
      <c r="A3" s="99" t="inlineStr">
        <is>
          <t>Sector / class / seat</t>
        </is>
      </c>
      <c r="B3" s="100">
        <f>Flights!$G$13&amp;" → "&amp;Flights!$H$13&amp;"   Class "&amp;Flights!$K$13&amp;"   Seat "&amp;Flights!$O$13</f>
        <v/>
      </c>
      <c r="C3" s="97" t="n"/>
      <c r="D3" s="98" t="n"/>
      <c r="E3" s="101" t="inlineStr">
        <is>
          <t>Checkpoint</t>
        </is>
      </c>
      <c r="F3" s="101" t="inlineStr">
        <is>
          <t>Due (local)</t>
        </is>
      </c>
      <c r="G3" s="103" t="inlineStr">
        <is>
          <t>% complete</t>
        </is>
      </c>
      <c r="H3" s="98" t="n"/>
    </row>
    <row r="4" ht="13" customHeight="1">
      <c r="A4" s="99" t="inlineStr">
        <is>
          <t>STD → STA (local)</t>
        </is>
      </c>
      <c r="B4" s="100">
        <f>IF(ISNUMBER(Flights!$I$13),TEXT(Flights!$I$13,"DD-MMM-YY HH:MM"),"")&amp;" "&amp;Flights!$G$13&amp;"  →  "&amp;IF(ISNUMBER(Flights!$J$13),TEXT(Flights!$J$13,"DD-MMM-YY HH:MM"),"")&amp;" "&amp;Flights!$H$13</f>
        <v/>
      </c>
      <c r="C4" s="97" t="n"/>
      <c r="D4" s="98" t="n"/>
      <c r="E4" s="99" t="inlineStr">
        <is>
          <t>T-7D – 7 days before departure</t>
        </is>
      </c>
      <c r="F4" s="104">
        <f>IF(ISNUMBER(Flights!$AG$13),TEXT(Flights!$AG$13,"DD-MMM-YY HH:MM"),"")&amp;" "&amp;Flights!$V$13</f>
        <v/>
      </c>
      <c r="G4" s="105">
        <f>Flights!$AJ$13</f>
        <v/>
      </c>
      <c r="H4" s="98" t="n"/>
    </row>
    <row r="5" ht="24" customHeight="1">
      <c r="A5" s="99" t="inlineStr">
        <is>
          <t>Fleet / aircraft ref</t>
        </is>
      </c>
      <c r="B5" s="100">
        <f>Flights!$L$13&amp;" – "&amp;Flights!$M$13</f>
        <v/>
      </c>
      <c r="C5" s="97" t="n"/>
      <c r="D5" s="98" t="n"/>
      <c r="E5" s="99" t="inlineStr">
        <is>
          <t>T-24H – production batch sensory</t>
        </is>
      </c>
      <c r="F5" s="104">
        <f>IF(ISNUMBER(Flights!$AH$13),TEXT(Flights!$AH$13,"DD-MMM-YY HH:MM"),"")&amp;" "&amp;Flights!$V$13</f>
        <v/>
      </c>
      <c r="G5" s="105">
        <f>Flights!$AK$13</f>
        <v/>
      </c>
      <c r="H5" s="98" t="n"/>
    </row>
    <row r="6" ht="13" customHeight="1">
      <c r="A6" s="99" t="inlineStr">
        <is>
          <t>Tail / Reg</t>
        </is>
      </c>
      <c r="B6" s="100">
        <f>IF(TRIM(Flights!$N$13)="","__________________",Flights!$N$13)</f>
        <v/>
      </c>
      <c r="C6" s="97" t="n"/>
      <c r="D6" s="98" t="n"/>
      <c r="E6" s="99" t="inlineStr">
        <is>
          <t>T-12H PREP – caterer prep only</t>
        </is>
      </c>
      <c r="F6" s="104">
        <f>IF(ISNUMBER(Flights!$AI$13),TEXT(Flights!$AI$13,"DD-MMM-YY HH:MM"),"")&amp;" "&amp;Flights!$V$13&amp;IF(Flights!$AI$13=Flights!$AH$13,"  (= T-24H due)","")</f>
        <v/>
      </c>
      <c r="G6" s="105">
        <f>Flights!$AL$13</f>
        <v/>
      </c>
      <c r="H6" s="98" t="n"/>
    </row>
    <row r="7" ht="13" customHeight="1">
      <c r="A7" s="99" t="inlineStr">
        <is>
          <t>Service type</t>
        </is>
      </c>
      <c r="B7" s="100">
        <f>Flights!$T$13</f>
        <v/>
      </c>
      <c r="C7" s="97" t="n"/>
      <c r="D7" s="98" t="n"/>
      <c r="E7" s="99" t="inlineStr">
        <is>
          <t>UPLIFT – on-board confirmation</t>
        </is>
      </c>
      <c r="F7" s="104">
        <f>"STD "&amp;IF(ISNUMBER(Flights!$I$13),TEXT(Flights!$I$13,"DD-MMM-YY HH:MM"),"")&amp;" "&amp;Flights!$G$13&amp;" (dep stn)"</f>
        <v/>
      </c>
      <c r="G7" s="105">
        <f>Flights!$AM$13</f>
        <v/>
      </c>
      <c r="H7" s="98" t="n"/>
    </row>
    <row r="8" ht="13" customHeight="1">
      <c r="A8" s="99" t="inlineStr">
        <is>
          <t>Meal uplift stn</t>
        </is>
      </c>
      <c r="B8" s="100">
        <f>Flights!$V$13&amp;"   (reference uplift stns: "&amp;Flights!$U$13&amp;")"</f>
        <v/>
      </c>
      <c r="C8" s="97" t="n"/>
      <c r="D8" s="98" t="n"/>
      <c r="E8" s="99" t="inlineStr">
        <is>
          <t>OVERALL (all checkpoints)</t>
        </is>
      </c>
      <c r="F8" s="106" t="inlineStr">
        <is>
          <t>–</t>
        </is>
      </c>
      <c r="G8" s="105">
        <f>Flights!$AN$13</f>
        <v/>
      </c>
      <c r="H8" s="98" t="n"/>
    </row>
    <row r="9" ht="13" customHeight="1">
      <c r="A9" s="99" t="inlineStr">
        <is>
          <t>Transit / remark</t>
        </is>
      </c>
      <c r="B9" s="100">
        <f>TRIM(Flights!$P$13&amp;"  "&amp;Flights!$Q$13)</f>
        <v/>
      </c>
      <c r="C9" s="97" t="n"/>
      <c r="D9" s="98" t="n"/>
      <c r="E9" s="99" t="inlineStr">
        <is>
          <t>Overdue / discrep. / invalid</t>
        </is>
      </c>
      <c r="F9" s="107">
        <f>Flights!$AP$13</f>
        <v/>
      </c>
      <c r="G9" s="107">
        <f>Flights!$AQ$13</f>
        <v/>
      </c>
      <c r="H9" s="107">
        <f>Flights!$AU$13</f>
        <v/>
      </c>
    </row>
    <row r="10" ht="13" customHeight="1">
      <c r="A10" s="99" t="inlineStr">
        <is>
          <t>Caterer</t>
        </is>
      </c>
      <c r="B10" s="100">
        <f>IF(TRIM(Flights!$X$13)="","__________________",Flights!$X$13)</f>
        <v/>
      </c>
      <c r="C10" s="97" t="n"/>
      <c r="D10" s="98" t="n"/>
      <c r="E10" s="99" t="inlineStr">
        <is>
          <t>Open reqd / clarif. / docs out</t>
        </is>
      </c>
      <c r="F10" s="107">
        <f>Flights!$AO$13</f>
        <v/>
      </c>
      <c r="G10" s="107">
        <f>Flights!$AS$13</f>
        <v/>
      </c>
      <c r="H10" s="107">
        <f>Flights!$AR$13</f>
        <v/>
      </c>
    </row>
    <row r="11" ht="13" customHeight="1">
      <c r="A11" s="99" t="inlineStr">
        <is>
          <t>Flight PIC</t>
        </is>
      </c>
      <c r="B11" s="100">
        <f>IF(TRIM(Flights!$Y$13)="","__________________",Flights!$Y$13)</f>
        <v/>
      </c>
      <c r="C11" s="97" t="n"/>
      <c r="D11" s="98" t="n"/>
      <c r="E11" s="99" t="inlineStr">
        <is>
          <t>Done / in scope | as of UTC</t>
        </is>
      </c>
      <c r="F11" s="107">
        <f>Flights!$AV$13&amp;" / "&amp;Flights!$AW$13</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IF(Documents!$F$13="","",Documents!$F$13)</f>
        <v/>
      </c>
      <c r="C14" s="115">
        <f>IF(Documents!$G$13="","",Documents!$G$13)&amp;IF(ISNUMBER(Documents!$H$13),"  "&amp;TEXT(Documents!$H$13,"DD-MMM-YY"),"")</f>
        <v/>
      </c>
      <c r="D14" s="98" t="n"/>
      <c r="E14" s="116">
        <f>IF(Documents!$J$13="OUTSTANDING","OUTSTANDING – attach before T-7D (due "&amp;IF(ISNUMBER(Flights!$AG$13),TEXT(Flights!$AG$13,"DD-MMM-YY HH:MM"),"")&amp;" "&amp;Flights!$V$13&amp;")",IF(Documents!$J$13="","Status not recorded",Documents!$J$13))</f>
        <v/>
      </c>
      <c r="F14" s="117">
        <f>"Staple behind this sheet as page A1."&amp;IF(Documents!$I$13="",""," Location: "&amp;Documents!$I$13)</f>
        <v/>
      </c>
      <c r="G14" s="97" t="n"/>
      <c r="H14" s="98" t="n"/>
    </row>
    <row r="15" ht="25" customHeight="1">
      <c r="A15" s="99" t="inlineStr">
        <is>
          <t>A2  Menu Checklist</t>
        </is>
      </c>
      <c r="B15" s="114">
        <f>IF(Documents!$K$13="","",Documents!$K$13)</f>
        <v/>
      </c>
      <c r="C15" s="115">
        <f>IF(Documents!$L$13="","",Documents!$L$13)&amp;IF(ISNUMBER(Documents!$M$13),"  "&amp;TEXT(Documents!$M$13,"DD-MMM-YY"),"")</f>
        <v/>
      </c>
      <c r="D15" s="98" t="n"/>
      <c r="E15" s="116">
        <f>IF(Documents!$O$13="OUTSTANDING","OUTSTANDING – attach before T-7D (due "&amp;IF(ISNUMBER(Flights!$AG$13),TEXT(Flights!$AG$13,"DD-MMM-YY HH:MM"),"")&amp;" "&amp;Flights!$V$13&amp;")",IF(Documents!$O$13="","Status not recorded",Documents!$O$13))</f>
        <v/>
      </c>
      <c r="F15" s="117">
        <f>"Staple behind this sheet as page A2."&amp;IF(Documents!$N$13="",""," Location: "&amp;Documents!$N$13)</f>
        <v/>
      </c>
      <c r="G15" s="97" t="n"/>
      <c r="H15" s="98" t="n"/>
    </row>
    <row r="16" ht="33" customHeight="1">
      <c r="A16" s="99" t="inlineStr">
        <is>
          <t>Document notes</t>
        </is>
      </c>
      <c r="B16" s="118">
        <f>IF(Documents!$Q$13="","",Documents!$Q$13)</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"&amp;IF(TRIM(Flights!$Y$13)="","__________________",Flights!$Y$13)</f>
        <v/>
      </c>
      <c r="B18" s="98" t="n"/>
      <c r="C18" s="100">
        <f>"Name: __________________"</f>
        <v/>
      </c>
      <c r="D18" s="97" t="n"/>
      <c r="E18" s="98" t="n"/>
      <c r="F18" s="100">
        <f>"Name: __________________"&amp;"   Station: "&amp;Flights!$V$13</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"&amp;IF(ISNUMBER(Flights!$AG$13),TEXT(Flights!$AG$13,"DD-MMM-YY HH:MM"),"")&amp;" "&amp;Flights!$V$13&amp;" (meal uplift stn)"&amp;" (rows with another due show their own)  |  Complete "&amp;IF(ISNUMBER(Flights!$AJ$13),TEXT(Flights!$AJ$13,"0%"),Flights!$AJ$13)&amp;"  |  9 lines"</f>
        <v/>
      </c>
      <c r="B22" s="97" t="n"/>
      <c r="C22" s="97" t="n"/>
      <c r="D22" s="97" t="n"/>
      <c r="E22" s="97" t="n"/>
      <c r="F22" s="97" t="n"/>
      <c r="G22" s="97" t="n"/>
      <c r="H22" s="98" t="n"/>
    </row>
    <row r="23" ht="81" customHeight="1">
      <c r="A23" s="124">
        <f>Checks!$A$283&amp;CHAR(10)&amp;IF(Checks!$I$283="","",Checks!$I$283&amp;": ")&amp;Checks!$J$283</f>
        <v/>
      </c>
      <c r="B23" s="124">
        <f>Checks!$K$283&amp;IF(Checks!$O$283="","",IF(Checks!$K$283="","",CHAR(10))&amp;"Note: "&amp;Checks!$O$283)</f>
        <v/>
      </c>
      <c r="C23" s="124">
        <f>Checks!$N$283&amp;CHAR(10)&amp;IF(ISNUMBER(Checks!$R$283),TEXT(Checks!$R$283,"DD-MMM-YY HH:MM"),"")&amp;" "&amp;Checks!$P$283</f>
        <v/>
      </c>
      <c r="D23" s="124">
        <f>IF(Checks!$U$283="","",Checks!$U$283)&amp;IF(Checks!$AB$283="","",CHAR(10)&amp;"CA: "&amp;Checks!$AB$283)</f>
        <v/>
      </c>
      <c r="E23" s="124">
        <f>IF(Checks!$V$283="","",Checks!$V$283)&amp;IF(Checks!$AC$283="","",IF(Checks!$V$283="","",CHAR(10))&amp;"N/A just.: "&amp;Checks!$AC$283)&amp;IF(Checks!$W$283="","",CHAR(10)&amp;"Batch: "&amp;Checks!$W$283)&amp;IF(AND(Checks!$X$283="",Checks!$Y$283=""),"",CHAR(10)&amp;"Exp: "&amp;Checks!$X$283&amp;"  /  Act: "&amp;Checks!$Y$283)</f>
        <v/>
      </c>
      <c r="F23" s="124">
        <f>IF(Checks!$Z$283="","","Evidence: "&amp;Checks!$Z$283)&amp;IF(Checks!$AA$283="","",IF(Checks!$Z$283="","",CHAR(10))&amp;"CA: "&amp;Checks!$AA$283)</f>
        <v/>
      </c>
      <c r="G23" s="124">
        <f>IF(ISNUMBER(Checks!$AD$283),TEXT(Checks!$AD$283,"DD-MMM-YY HH:MM")&amp;" "&amp;Checks!$P$283,"")&amp;IF(Checks!$AE$283="","",CHAR(10)&amp;Checks!$AE$283)</f>
        <v/>
      </c>
      <c r="H23" s="125">
        <f>IF(Checks!$AH$283="","",Checks!$AH$283)</f>
        <v/>
      </c>
    </row>
    <row r="24" ht="81" customHeight="1">
      <c r="A24" s="124">
        <f>Checks!$A$284&amp;CHAR(10)&amp;IF(Checks!$I$284="","",Checks!$I$284&amp;": ")&amp;Checks!$J$284</f>
        <v/>
      </c>
      <c r="B24" s="124">
        <f>Checks!$K$284&amp;IF(Checks!$O$284="","",IF(Checks!$K$284="","",CHAR(10))&amp;"Note: "&amp;Checks!$O$284)</f>
        <v/>
      </c>
      <c r="C24" s="124">
        <f>Checks!$N$284&amp;CHAR(10)&amp;IF(ISNUMBER(Checks!$R$284),TEXT(Checks!$R$284,"DD-MMM-YY HH:MM"),"")&amp;" "&amp;Checks!$P$284</f>
        <v/>
      </c>
      <c r="D24" s="124">
        <f>IF(Checks!$U$284="","",Checks!$U$284)&amp;IF(Checks!$AB$284="","",CHAR(10)&amp;"CA: "&amp;Checks!$AB$284)</f>
        <v/>
      </c>
      <c r="E24" s="124">
        <f>IF(Checks!$V$284="","",Checks!$V$284)&amp;IF(Checks!$AC$284="","",IF(Checks!$V$284="","",CHAR(10))&amp;"N/A just.: "&amp;Checks!$AC$284)&amp;IF(Checks!$W$284="","",CHAR(10)&amp;"Batch: "&amp;Checks!$W$284)&amp;IF(AND(Checks!$X$284="",Checks!$Y$284=""),"",CHAR(10)&amp;"Exp: "&amp;Checks!$X$284&amp;"  /  Act: "&amp;Checks!$Y$284)</f>
        <v/>
      </c>
      <c r="F24" s="124">
        <f>IF(Checks!$Z$284="","","Evidence: "&amp;Checks!$Z$284)&amp;IF(Checks!$AA$284="","",IF(Checks!$Z$284="","",CHAR(10))&amp;"CA: "&amp;Checks!$AA$284)</f>
        <v/>
      </c>
      <c r="G24" s="124">
        <f>IF(ISNUMBER(Checks!$AD$284),TEXT(Checks!$AD$284,"DD-MMM-YY HH:MM")&amp;" "&amp;Checks!$P$284,"")&amp;IF(Checks!$AE$284="","",CHAR(10)&amp;Checks!$AE$284)</f>
        <v/>
      </c>
      <c r="H24" s="125">
        <f>IF(Checks!$AH$284="","",Checks!$AH$284)</f>
        <v/>
      </c>
    </row>
    <row r="25" ht="92" customHeight="1">
      <c r="A25" s="124">
        <f>Checks!$A$285&amp;CHAR(10)&amp;IF(Checks!$I$285="","",Checks!$I$285&amp;": ")&amp;Checks!$J$285</f>
        <v/>
      </c>
      <c r="B25" s="124">
        <f>Checks!$K$285&amp;IF(Checks!$O$285="","",IF(Checks!$K$285="","",CHAR(10))&amp;"Note: "&amp;Checks!$O$285)</f>
        <v/>
      </c>
      <c r="C25" s="124">
        <f>Checks!$N$285&amp;CHAR(10)&amp;IF(ISNUMBER(Checks!$R$285),TEXT(Checks!$R$285,"DD-MMM-YY HH:MM"),"")&amp;" "&amp;Checks!$P$285</f>
        <v/>
      </c>
      <c r="D25" s="124">
        <f>IF(Checks!$U$285="","",Checks!$U$285)&amp;IF(Checks!$AB$285="","",CHAR(10)&amp;"CA: "&amp;Checks!$AB$285)</f>
        <v/>
      </c>
      <c r="E25" s="124">
        <f>IF(Checks!$V$285="","",Checks!$V$285)&amp;IF(Checks!$AC$285="","",IF(Checks!$V$285="","",CHAR(10))&amp;"N/A just.: "&amp;Checks!$AC$285)&amp;IF(Checks!$W$285="","",CHAR(10)&amp;"Batch: "&amp;Checks!$W$285)&amp;IF(AND(Checks!$X$285="",Checks!$Y$285=""),"",CHAR(10)&amp;"Exp: "&amp;Checks!$X$285&amp;"  /  Act: "&amp;Checks!$Y$285)</f>
        <v/>
      </c>
      <c r="F25" s="124">
        <f>IF(Checks!$Z$285="","","Evidence: "&amp;Checks!$Z$285)&amp;IF(Checks!$AA$285="","",IF(Checks!$Z$285="","",CHAR(10))&amp;"CA: "&amp;Checks!$AA$285)</f>
        <v/>
      </c>
      <c r="G25" s="124">
        <f>IF(ISNUMBER(Checks!$AD$285),TEXT(Checks!$AD$285,"DD-MMM-YY HH:MM")&amp;" "&amp;Checks!$P$285,"")&amp;IF(Checks!$AE$285="","",CHAR(10)&amp;Checks!$AE$285)</f>
        <v/>
      </c>
      <c r="H25" s="125">
        <f>IF(Checks!$AH$285="","",Checks!$AH$285)</f>
        <v/>
      </c>
    </row>
    <row r="26" ht="81" customHeight="1">
      <c r="A26" s="124">
        <f>Checks!$A$286&amp;CHAR(10)&amp;IF(Checks!$I$286="","",Checks!$I$286&amp;": ")&amp;Checks!$J$286</f>
        <v/>
      </c>
      <c r="B26" s="124">
        <f>Checks!$K$286&amp;IF(Checks!$O$286="","",IF(Checks!$K$286="","",CHAR(10))&amp;"Note: "&amp;Checks!$O$286)</f>
        <v/>
      </c>
      <c r="C26" s="124">
        <f>Checks!$N$286&amp;CHAR(10)&amp;IF(ISNUMBER(Checks!$R$286),TEXT(Checks!$R$286,"DD-MMM-YY HH:MM"),"")&amp;" "&amp;Checks!$P$286</f>
        <v/>
      </c>
      <c r="D26" s="124">
        <f>IF(Checks!$U$286="","",Checks!$U$286)&amp;IF(Checks!$AB$286="","",CHAR(10)&amp;"CA: "&amp;Checks!$AB$286)</f>
        <v/>
      </c>
      <c r="E26" s="124">
        <f>IF(Checks!$V$286="","",Checks!$V$286)&amp;IF(Checks!$AC$286="","",IF(Checks!$V$286="","",CHAR(10))&amp;"N/A just.: "&amp;Checks!$AC$286)&amp;IF(Checks!$W$286="","",CHAR(10)&amp;"Batch: "&amp;Checks!$W$286)&amp;IF(AND(Checks!$X$286="",Checks!$Y$286=""),"",CHAR(10)&amp;"Exp: "&amp;Checks!$X$286&amp;"  /  Act: "&amp;Checks!$Y$286)</f>
        <v/>
      </c>
      <c r="F26" s="124">
        <f>IF(Checks!$Z$286="","","Evidence: "&amp;Checks!$Z$286)&amp;IF(Checks!$AA$286="","",IF(Checks!$Z$286="","",CHAR(10))&amp;"CA: "&amp;Checks!$AA$286)</f>
        <v/>
      </c>
      <c r="G26" s="124">
        <f>IF(ISNUMBER(Checks!$AD$286),TEXT(Checks!$AD$286,"DD-MMM-YY HH:MM")&amp;" "&amp;Checks!$P$286,"")&amp;IF(Checks!$AE$286="","",CHAR(10)&amp;Checks!$AE$286)</f>
        <v/>
      </c>
      <c r="H26" s="125">
        <f>IF(Checks!$AH$286="","",Checks!$AH$286)</f>
        <v/>
      </c>
    </row>
    <row r="27" ht="81" customHeight="1">
      <c r="A27" s="124">
        <f>Checks!$A$287&amp;CHAR(10)&amp;IF(Checks!$I$287="","",Checks!$I$287&amp;": ")&amp;Checks!$J$287</f>
        <v/>
      </c>
      <c r="B27" s="124">
        <f>Checks!$K$287&amp;IF(Checks!$O$287="","",IF(Checks!$K$287="","",CHAR(10))&amp;"Note: "&amp;Checks!$O$287)</f>
        <v/>
      </c>
      <c r="C27" s="124">
        <f>Checks!$N$287&amp;CHAR(10)&amp;IF(ISNUMBER(Checks!$R$287),TEXT(Checks!$R$287,"DD-MMM-YY HH:MM"),"")&amp;" "&amp;Checks!$P$287</f>
        <v/>
      </c>
      <c r="D27" s="124">
        <f>IF(Checks!$U$287="","",Checks!$U$287)&amp;IF(Checks!$AB$287="","",CHAR(10)&amp;"CA: "&amp;Checks!$AB$287)</f>
        <v/>
      </c>
      <c r="E27" s="124">
        <f>IF(Checks!$V$287="","",Checks!$V$287)&amp;IF(Checks!$AC$287="","",IF(Checks!$V$287="","",CHAR(10))&amp;"N/A just.: "&amp;Checks!$AC$287)&amp;IF(Checks!$W$287="","",CHAR(10)&amp;"Batch: "&amp;Checks!$W$287)&amp;IF(AND(Checks!$X$287="",Checks!$Y$287=""),"",CHAR(10)&amp;"Exp: "&amp;Checks!$X$287&amp;"  /  Act: "&amp;Checks!$Y$287)</f>
        <v/>
      </c>
      <c r="F27" s="124">
        <f>IF(Checks!$Z$287="","","Evidence: "&amp;Checks!$Z$287)&amp;IF(Checks!$AA$287="","",IF(Checks!$Z$287="","",CHAR(10))&amp;"CA: "&amp;Checks!$AA$287)</f>
        <v/>
      </c>
      <c r="G27" s="124">
        <f>IF(ISNUMBER(Checks!$AD$287),TEXT(Checks!$AD$287,"DD-MMM-YY HH:MM")&amp;" "&amp;Checks!$P$287,"")&amp;IF(Checks!$AE$287="","",CHAR(10)&amp;Checks!$AE$287)</f>
        <v/>
      </c>
      <c r="H27" s="125">
        <f>IF(Checks!$AH$287="","",Checks!$AH$287)</f>
        <v/>
      </c>
    </row>
    <row r="28" ht="81" customHeight="1">
      <c r="A28" s="124">
        <f>Checks!$A$288&amp;CHAR(10)&amp;IF(Checks!$I$288="","",Checks!$I$288&amp;": ")&amp;Checks!$J$288</f>
        <v/>
      </c>
      <c r="B28" s="124">
        <f>Checks!$K$288&amp;IF(Checks!$O$288="","",IF(Checks!$K$288="","",CHAR(10))&amp;"Note: "&amp;Checks!$O$288)</f>
        <v/>
      </c>
      <c r="C28" s="124">
        <f>Checks!$N$288&amp;CHAR(10)&amp;IF(ISNUMBER(Checks!$R$288),TEXT(Checks!$R$288,"DD-MMM-YY HH:MM"),"")&amp;" "&amp;Checks!$P$288</f>
        <v/>
      </c>
      <c r="D28" s="124">
        <f>IF(Checks!$U$288="","",Checks!$U$288)&amp;IF(Checks!$AB$288="","",CHAR(10)&amp;"CA: "&amp;Checks!$AB$288)</f>
        <v/>
      </c>
      <c r="E28" s="124">
        <f>IF(Checks!$V$288="","",Checks!$V$288)&amp;IF(Checks!$AC$288="","",IF(Checks!$V$288="","",CHAR(10))&amp;"N/A just.: "&amp;Checks!$AC$288)&amp;IF(Checks!$W$288="","",CHAR(10)&amp;"Batch: "&amp;Checks!$W$288)&amp;IF(AND(Checks!$X$288="",Checks!$Y$288=""),"",CHAR(10)&amp;"Exp: "&amp;Checks!$X$288&amp;"  /  Act: "&amp;Checks!$Y$288)</f>
        <v/>
      </c>
      <c r="F28" s="124">
        <f>IF(Checks!$Z$288="","","Evidence: "&amp;Checks!$Z$288)&amp;IF(Checks!$AA$288="","",IF(Checks!$Z$288="","",CHAR(10))&amp;"CA: "&amp;Checks!$AA$288)</f>
        <v/>
      </c>
      <c r="G28" s="124">
        <f>IF(ISNUMBER(Checks!$AD$288),TEXT(Checks!$AD$288,"DD-MMM-YY HH:MM")&amp;" "&amp;Checks!$P$288,"")&amp;IF(Checks!$AE$288="","",CHAR(10)&amp;Checks!$AE$288)</f>
        <v/>
      </c>
      <c r="H28" s="125">
        <f>IF(Checks!$AH$288="","",Checks!$AH$288)</f>
        <v/>
      </c>
    </row>
    <row r="29" ht="81" customHeight="1">
      <c r="A29" s="124">
        <f>Checks!$A$289&amp;CHAR(10)&amp;IF(Checks!$I$289="","",Checks!$I$289&amp;": ")&amp;Checks!$J$289</f>
        <v/>
      </c>
      <c r="B29" s="124">
        <f>Checks!$K$289&amp;IF(Checks!$O$289="","",IF(Checks!$K$289="","",CHAR(10))&amp;"Note: "&amp;Checks!$O$289)</f>
        <v/>
      </c>
      <c r="C29" s="124">
        <f>Checks!$N$289&amp;CHAR(10)&amp;IF(ISNUMBER(Checks!$R$289),TEXT(Checks!$R$289,"DD-MMM-YY HH:MM"),"")&amp;" "&amp;Checks!$P$289</f>
        <v/>
      </c>
      <c r="D29" s="124">
        <f>IF(Checks!$U$289="","",Checks!$U$289)&amp;IF(Checks!$AB$289="","",CHAR(10)&amp;"CA: "&amp;Checks!$AB$289)</f>
        <v/>
      </c>
      <c r="E29" s="124">
        <f>IF(Checks!$V$289="","",Checks!$V$289)&amp;IF(Checks!$AC$289="","",IF(Checks!$V$289="","",CHAR(10))&amp;"N/A just.: "&amp;Checks!$AC$289)&amp;IF(Checks!$W$289="","",CHAR(10)&amp;"Batch: "&amp;Checks!$W$289)&amp;IF(AND(Checks!$X$289="",Checks!$Y$289=""),"",CHAR(10)&amp;"Exp: "&amp;Checks!$X$289&amp;"  /  Act: "&amp;Checks!$Y$289)</f>
        <v/>
      </c>
      <c r="F29" s="124">
        <f>IF(Checks!$Z$289="","","Evidence: "&amp;Checks!$Z$289)&amp;IF(Checks!$AA$289="","",IF(Checks!$Z$289="","",CHAR(10))&amp;"CA: "&amp;Checks!$AA$289)</f>
        <v/>
      </c>
      <c r="G29" s="124">
        <f>IF(ISNUMBER(Checks!$AD$289),TEXT(Checks!$AD$289,"DD-MMM-YY HH:MM")&amp;" "&amp;Checks!$P$289,"")&amp;IF(Checks!$AE$289="","",CHAR(10)&amp;Checks!$AE$289)</f>
        <v/>
      </c>
      <c r="H29" s="125">
        <f>IF(Checks!$AH$289="","",Checks!$AH$289)</f>
        <v/>
      </c>
    </row>
    <row r="30" ht="81" customHeight="1">
      <c r="A30" s="124">
        <f>Checks!$A$290&amp;CHAR(10)&amp;IF(Checks!$I$290="","",Checks!$I$290&amp;": ")&amp;Checks!$J$290</f>
        <v/>
      </c>
      <c r="B30" s="124">
        <f>Checks!$K$290&amp;IF(Checks!$O$290="","",IF(Checks!$K$290="","",CHAR(10))&amp;"Note: "&amp;Checks!$O$290)</f>
        <v/>
      </c>
      <c r="C30" s="124">
        <f>Checks!$N$290&amp;CHAR(10)&amp;IF(ISNUMBER(Checks!$R$290),TEXT(Checks!$R$290,"DD-MMM-YY HH:MM"),"")&amp;" "&amp;Checks!$P$290</f>
        <v/>
      </c>
      <c r="D30" s="124">
        <f>IF(Checks!$U$290="","",Checks!$U$290)&amp;IF(Checks!$AB$290="","",CHAR(10)&amp;"CA: "&amp;Checks!$AB$290)</f>
        <v/>
      </c>
      <c r="E30" s="124">
        <f>IF(Checks!$V$290="","",Checks!$V$290)&amp;IF(Checks!$AC$290="","",IF(Checks!$V$290="","",CHAR(10))&amp;"N/A just.: "&amp;Checks!$AC$290)&amp;IF(Checks!$W$290="","",CHAR(10)&amp;"Batch: "&amp;Checks!$W$290)&amp;IF(AND(Checks!$X$290="",Checks!$Y$290=""),"",CHAR(10)&amp;"Exp: "&amp;Checks!$X$290&amp;"  /  Act: "&amp;Checks!$Y$290)</f>
        <v/>
      </c>
      <c r="F30" s="124">
        <f>IF(Checks!$Z$290="","","Evidence: "&amp;Checks!$Z$290)&amp;IF(Checks!$AA$290="","",IF(Checks!$Z$290="","",CHAR(10))&amp;"CA: "&amp;Checks!$AA$290)</f>
        <v/>
      </c>
      <c r="G30" s="124">
        <f>IF(ISNUMBER(Checks!$AD$290),TEXT(Checks!$AD$290,"DD-MMM-YY HH:MM")&amp;" "&amp;Checks!$P$290,"")&amp;IF(Checks!$AE$290="","",CHAR(10)&amp;Checks!$AE$290)</f>
        <v/>
      </c>
      <c r="H30" s="125">
        <f>IF(Checks!$AH$290="","",Checks!$AH$290)</f>
        <v/>
      </c>
    </row>
    <row r="31" ht="81" customHeight="1">
      <c r="A31" s="124">
        <f>Checks!$A$291&amp;CHAR(10)&amp;IF(Checks!$I$291="","",Checks!$I$291&amp;": ")&amp;Checks!$J$291</f>
        <v/>
      </c>
      <c r="B31" s="124">
        <f>Checks!$K$291&amp;IF(Checks!$O$291="","",IF(Checks!$K$291="","",CHAR(10))&amp;"Note: "&amp;Checks!$O$291)</f>
        <v/>
      </c>
      <c r="C31" s="124">
        <f>Checks!$N$291&amp;CHAR(10)&amp;IF(ISNUMBER(Checks!$R$291),TEXT(Checks!$R$291,"DD-MMM-YY HH:MM"),"")&amp;" "&amp;Checks!$P$291</f>
        <v/>
      </c>
      <c r="D31" s="124">
        <f>IF(Checks!$U$291="","",Checks!$U$291)&amp;IF(Checks!$AB$291="","",CHAR(10)&amp;"CA: "&amp;Checks!$AB$291)</f>
        <v/>
      </c>
      <c r="E31" s="124">
        <f>IF(Checks!$V$291="","",Checks!$V$291)&amp;IF(Checks!$AC$291="","",IF(Checks!$V$291="","",CHAR(10))&amp;"N/A just.: "&amp;Checks!$AC$291)&amp;IF(Checks!$W$291="","",CHAR(10)&amp;"Batch: "&amp;Checks!$W$291)&amp;IF(AND(Checks!$X$291="",Checks!$Y$291=""),"",CHAR(10)&amp;"Exp: "&amp;Checks!$X$291&amp;"  /  Act: "&amp;Checks!$Y$291)</f>
        <v/>
      </c>
      <c r="F31" s="124">
        <f>IF(Checks!$Z$291="","","Evidence: "&amp;Checks!$Z$291)&amp;IF(Checks!$AA$291="","",IF(Checks!$Z$291="","",CHAR(10))&amp;"CA: "&amp;Checks!$AA$291)</f>
        <v/>
      </c>
      <c r="G31" s="124">
        <f>IF(ISNUMBER(Checks!$AD$291),TEXT(Checks!$AD$291,"DD-MMM-YY HH:MM")&amp;" "&amp;Checks!$P$291,"")&amp;IF(Checks!$AE$291="","",CHAR(10)&amp;Checks!$AE$291)</f>
        <v/>
      </c>
      <c r="H31" s="125">
        <f>IF(Checks!$AH$291="","",Checks!$AH$291)</f>
        <v/>
      </c>
    </row>
    <row r="32" ht="26" customHeight="1">
      <c r="A32" s="123">
        <f>"T-24H — Production batch sensory  |  Due "&amp;IF(ISNUMBER(Flights!$AH$13),TEXT(Flights!$AH$13,"DD-MMM-YY HH:MM"),"")&amp;" "&amp;Flights!$V$13&amp;" (meal uplift stn)"&amp;" (rows with another due show their own)  |  Complete "&amp;IF(ISNUMBER(Flights!$AK$13),TEXT(Flights!$AK$13,"0%"),Flights!$AK$13)&amp;"  |  1 lines"</f>
        <v/>
      </c>
      <c r="B32" s="97" t="n"/>
      <c r="C32" s="97" t="n"/>
      <c r="D32" s="97" t="n"/>
      <c r="E32" s="97" t="n"/>
      <c r="F32" s="97" t="n"/>
      <c r="G32" s="97" t="n"/>
      <c r="H32" s="98" t="n"/>
    </row>
    <row r="33" ht="81" customHeight="1">
      <c r="A33" s="124">
        <f>Checks!$A$292&amp;CHAR(10)&amp;IF(Checks!$I$292="","",Checks!$I$292&amp;": ")&amp;Checks!$J$292</f>
        <v/>
      </c>
      <c r="B33" s="124">
        <f>Checks!$K$292&amp;IF(Checks!$O$292="","",IF(Checks!$K$292="","",CHAR(10))&amp;"Note: "&amp;Checks!$O$292)</f>
        <v/>
      </c>
      <c r="C33" s="124">
        <f>Checks!$N$292&amp;CHAR(10)&amp;IF(ISNUMBER(Checks!$R$292),TEXT(Checks!$R$292,"DD-MMM-YY HH:MM"),"")&amp;" "&amp;Checks!$P$292</f>
        <v/>
      </c>
      <c r="D33" s="124">
        <f>IF(Checks!$U$292="","",Checks!$U$292)&amp;IF(Checks!$AB$292="","",CHAR(10)&amp;"CA: "&amp;Checks!$AB$292)</f>
        <v/>
      </c>
      <c r="E33" s="124">
        <f>IF(Checks!$V$292="","",Checks!$V$292)&amp;IF(Checks!$AC$292="","",IF(Checks!$V$292="","",CHAR(10))&amp;"N/A just.: "&amp;Checks!$AC$292)&amp;IF(Checks!$W$292="","",CHAR(10)&amp;"Batch: "&amp;Checks!$W$292)&amp;IF(AND(Checks!$X$292="",Checks!$Y$292=""),"",CHAR(10)&amp;"Exp: "&amp;Checks!$X$292&amp;"  /  Act: "&amp;Checks!$Y$292)</f>
        <v/>
      </c>
      <c r="F33" s="124">
        <f>IF(Checks!$Z$292="","","Evidence: "&amp;Checks!$Z$292)&amp;IF(Checks!$AA$292="","",IF(Checks!$Z$292="","",CHAR(10))&amp;"CA: "&amp;Checks!$AA$292)</f>
        <v/>
      </c>
      <c r="G33" s="124">
        <f>IF(ISNUMBER(Checks!$AD$292),TEXT(Checks!$AD$292,"DD-MMM-YY HH:MM")&amp;" "&amp;Checks!$P$292,"")&amp;IF(Checks!$AE$292="","",CHAR(10)&amp;Checks!$AE$292)</f>
        <v/>
      </c>
      <c r="H33" s="125">
        <f>IF(Checks!$AH$292="","",Checks!$AH$292)</f>
        <v/>
      </c>
    </row>
    <row r="34" ht="26" customHeight="1">
      <c r="A34" s="123">
        <f>"T-12H PREP — Preparation check at caterer (does NOT confirm loading)  |  Due "&amp;IF(ISNUMBER(Flights!$AI$13),TEXT(Flights!$AI$13,"DD-MMM-YY HH:MM"),"")&amp;" "&amp;Flights!$V$13&amp;" (meal uplift stn)"&amp;" (rows with another due show their own)  |  Complete "&amp;IF(ISNUMBER(Flights!$AL$13),TEXT(Flights!$AL$13,"0%"),Flights!$AL$13)&amp;"  |  17 lines"</f>
        <v/>
      </c>
      <c r="B34" s="97" t="n"/>
      <c r="C34" s="97" t="n"/>
      <c r="D34" s="97" t="n"/>
      <c r="E34" s="97" t="n"/>
      <c r="F34" s="97" t="n"/>
      <c r="G34" s="97" t="n"/>
      <c r="H34" s="98" t="n"/>
    </row>
    <row r="35" ht="81" customHeight="1">
      <c r="A35" s="124">
        <f>Checks!$A$293&amp;CHAR(10)&amp;IF(Checks!$I$293="","",Checks!$I$293&amp;": ")&amp;Checks!$J$293</f>
        <v/>
      </c>
      <c r="B35" s="124">
        <f>Checks!$K$293&amp;IF(Checks!$O$293="","",IF(Checks!$K$293="","",CHAR(10))&amp;"Note: "&amp;Checks!$O$293)</f>
        <v/>
      </c>
      <c r="C35" s="124">
        <f>Checks!$N$293&amp;CHAR(10)&amp;IF(ISNUMBER(Checks!$R$293),TEXT(Checks!$R$293,"DD-MMM-YY HH:MM"),"")&amp;" "&amp;Checks!$P$293</f>
        <v/>
      </c>
      <c r="D35" s="124">
        <f>IF(Checks!$U$293="","",Checks!$U$293)&amp;IF(Checks!$AB$293="","",CHAR(10)&amp;"CA: "&amp;Checks!$AB$293)</f>
        <v/>
      </c>
      <c r="E35" s="124">
        <f>IF(Checks!$V$293="","",Checks!$V$293)&amp;IF(Checks!$AC$293="","",IF(Checks!$V$293="","",CHAR(10))&amp;"N/A just.: "&amp;Checks!$AC$293)&amp;IF(Checks!$W$293="","",CHAR(10)&amp;"Batch: "&amp;Checks!$W$293)&amp;IF(AND(Checks!$X$293="",Checks!$Y$293=""),"",CHAR(10)&amp;"Exp: "&amp;Checks!$X$293&amp;"  /  Act: "&amp;Checks!$Y$293)</f>
        <v/>
      </c>
      <c r="F35" s="124">
        <f>IF(Checks!$Z$293="","","Evidence: "&amp;Checks!$Z$293)&amp;IF(Checks!$AA$293="","",IF(Checks!$Z$293="","",CHAR(10))&amp;"CA: "&amp;Checks!$AA$293)</f>
        <v/>
      </c>
      <c r="G35" s="124">
        <f>IF(ISNUMBER(Checks!$AD$293),TEXT(Checks!$AD$293,"DD-MMM-YY HH:MM")&amp;" "&amp;Checks!$P$293,"")&amp;IF(Checks!$AE$293="","",CHAR(10)&amp;Checks!$AE$293)</f>
        <v/>
      </c>
      <c r="H35" s="125">
        <f>IF(Checks!$AH$293="","",Checks!$AH$293)</f>
        <v/>
      </c>
    </row>
    <row r="36" ht="81" customHeight="1">
      <c r="A36" s="124">
        <f>Checks!$A$294&amp;CHAR(10)&amp;IF(Checks!$I$294="","",Checks!$I$294&amp;": ")&amp;Checks!$J$294</f>
        <v/>
      </c>
      <c r="B36" s="124">
        <f>Checks!$K$294&amp;IF(Checks!$O$294="","",IF(Checks!$K$294="","",CHAR(10))&amp;"Note: "&amp;Checks!$O$294)</f>
        <v/>
      </c>
      <c r="C36" s="124">
        <f>Checks!$N$294&amp;CHAR(10)&amp;IF(ISNUMBER(Checks!$R$294),TEXT(Checks!$R$294,"DD-MMM-YY HH:MM"),"")&amp;" "&amp;Checks!$P$294</f>
        <v/>
      </c>
      <c r="D36" s="124">
        <f>IF(Checks!$U$294="","",Checks!$U$294)&amp;IF(Checks!$AB$294="","",CHAR(10)&amp;"CA: "&amp;Checks!$AB$294)</f>
        <v/>
      </c>
      <c r="E36" s="124">
        <f>IF(Checks!$V$294="","",Checks!$V$294)&amp;IF(Checks!$AC$294="","",IF(Checks!$V$294="","",CHAR(10))&amp;"N/A just.: "&amp;Checks!$AC$294)&amp;IF(Checks!$W$294="","",CHAR(10)&amp;"Batch: "&amp;Checks!$W$294)&amp;IF(AND(Checks!$X$294="",Checks!$Y$294=""),"",CHAR(10)&amp;"Exp: "&amp;Checks!$X$294&amp;"  /  Act: "&amp;Checks!$Y$294)</f>
        <v/>
      </c>
      <c r="F36" s="124">
        <f>IF(Checks!$Z$294="","","Evidence: "&amp;Checks!$Z$294)&amp;IF(Checks!$AA$294="","",IF(Checks!$Z$294="","",CHAR(10))&amp;"CA: "&amp;Checks!$AA$294)</f>
        <v/>
      </c>
      <c r="G36" s="124">
        <f>IF(ISNUMBER(Checks!$AD$294),TEXT(Checks!$AD$294,"DD-MMM-YY HH:MM")&amp;" "&amp;Checks!$P$294,"")&amp;IF(Checks!$AE$294="","",CHAR(10)&amp;Checks!$AE$294)</f>
        <v/>
      </c>
      <c r="H36" s="125">
        <f>IF(Checks!$AH$294="","",Checks!$AH$294)</f>
        <v/>
      </c>
    </row>
    <row r="37" ht="81" customHeight="1">
      <c r="A37" s="124">
        <f>Checks!$A$295&amp;CHAR(10)&amp;IF(Checks!$I$295="","",Checks!$I$295&amp;": ")&amp;Checks!$J$295</f>
        <v/>
      </c>
      <c r="B37" s="124">
        <f>Checks!$K$295&amp;IF(Checks!$O$295="","",IF(Checks!$K$295="","",CHAR(10))&amp;"Note: "&amp;Checks!$O$295)</f>
        <v/>
      </c>
      <c r="C37" s="124">
        <f>Checks!$N$295&amp;CHAR(10)&amp;IF(ISNUMBER(Checks!$R$295),TEXT(Checks!$R$295,"DD-MMM-YY HH:MM"),"")&amp;" "&amp;Checks!$P$295</f>
        <v/>
      </c>
      <c r="D37" s="124">
        <f>IF(Checks!$U$295="","",Checks!$U$295)&amp;IF(Checks!$AB$295="","",CHAR(10)&amp;"CA: "&amp;Checks!$AB$295)</f>
        <v/>
      </c>
      <c r="E37" s="124">
        <f>IF(Checks!$V$295="","",Checks!$V$295)&amp;IF(Checks!$AC$295="","",IF(Checks!$V$295="","",CHAR(10))&amp;"N/A just.: "&amp;Checks!$AC$295)&amp;IF(Checks!$W$295="","",CHAR(10)&amp;"Batch: "&amp;Checks!$W$295)&amp;IF(AND(Checks!$X$295="",Checks!$Y$295=""),"",CHAR(10)&amp;"Exp: "&amp;Checks!$X$295&amp;"  /  Act: "&amp;Checks!$Y$295)</f>
        <v/>
      </c>
      <c r="F37" s="124">
        <f>IF(Checks!$Z$295="","","Evidence: "&amp;Checks!$Z$295)&amp;IF(Checks!$AA$295="","",IF(Checks!$Z$295="","",CHAR(10))&amp;"CA: "&amp;Checks!$AA$295)</f>
        <v/>
      </c>
      <c r="G37" s="124">
        <f>IF(ISNUMBER(Checks!$AD$295),TEXT(Checks!$AD$295,"DD-MMM-YY HH:MM")&amp;" "&amp;Checks!$P$295,"")&amp;IF(Checks!$AE$295="","",CHAR(10)&amp;Checks!$AE$295)</f>
        <v/>
      </c>
      <c r="H37" s="125">
        <f>IF(Checks!$AH$295="","",Checks!$AH$295)</f>
        <v/>
      </c>
    </row>
    <row r="38" ht="81" customHeight="1">
      <c r="A38" s="124">
        <f>Checks!$A$296&amp;CHAR(10)&amp;IF(Checks!$I$296="","",Checks!$I$296&amp;": ")&amp;Checks!$J$296</f>
        <v/>
      </c>
      <c r="B38" s="124">
        <f>Checks!$K$296&amp;IF(Checks!$O$296="","",IF(Checks!$K$296="","",CHAR(10))&amp;"Note: "&amp;Checks!$O$296)</f>
        <v/>
      </c>
      <c r="C38" s="124">
        <f>Checks!$N$296&amp;CHAR(10)&amp;IF(ISNUMBER(Checks!$R$296),TEXT(Checks!$R$296,"DD-MMM-YY HH:MM"),"")&amp;" "&amp;Checks!$P$296</f>
        <v/>
      </c>
      <c r="D38" s="124">
        <f>IF(Checks!$U$296="","",Checks!$U$296)&amp;IF(Checks!$AB$296="","",CHAR(10)&amp;"CA: "&amp;Checks!$AB$296)</f>
        <v/>
      </c>
      <c r="E38" s="124">
        <f>IF(Checks!$V$296="","",Checks!$V$296)&amp;IF(Checks!$AC$296="","",IF(Checks!$V$296="","",CHAR(10))&amp;"N/A just.: "&amp;Checks!$AC$296)&amp;IF(Checks!$W$296="","",CHAR(10)&amp;"Batch: "&amp;Checks!$W$296)&amp;IF(AND(Checks!$X$296="",Checks!$Y$296=""),"",CHAR(10)&amp;"Exp: "&amp;Checks!$X$296&amp;"  /  Act: "&amp;Checks!$Y$296)</f>
        <v/>
      </c>
      <c r="F38" s="124">
        <f>IF(Checks!$Z$296="","","Evidence: "&amp;Checks!$Z$296)&amp;IF(Checks!$AA$296="","",IF(Checks!$Z$296="","",CHAR(10))&amp;"CA: "&amp;Checks!$AA$296)</f>
        <v/>
      </c>
      <c r="G38" s="124">
        <f>IF(ISNUMBER(Checks!$AD$296),TEXT(Checks!$AD$296,"DD-MMM-YY HH:MM")&amp;" "&amp;Checks!$P$296,"")&amp;IF(Checks!$AE$296="","",CHAR(10)&amp;Checks!$AE$296)</f>
        <v/>
      </c>
      <c r="H38" s="125">
        <f>IF(Checks!$AH$296="","",Checks!$AH$296)</f>
        <v/>
      </c>
    </row>
    <row r="39" ht="81" customHeight="1">
      <c r="A39" s="124">
        <f>Checks!$A$297&amp;CHAR(10)&amp;IF(Checks!$I$297="","",Checks!$I$297&amp;": ")&amp;Checks!$J$297</f>
        <v/>
      </c>
      <c r="B39" s="124">
        <f>Checks!$K$297&amp;IF(Checks!$O$297="","",IF(Checks!$K$297="","",CHAR(10))&amp;"Note: "&amp;Checks!$O$297)</f>
        <v/>
      </c>
      <c r="C39" s="124">
        <f>Checks!$N$297&amp;CHAR(10)&amp;IF(ISNUMBER(Checks!$R$297),TEXT(Checks!$R$297,"DD-MMM-YY HH:MM"),"")&amp;" "&amp;Checks!$P$297</f>
        <v/>
      </c>
      <c r="D39" s="124">
        <f>IF(Checks!$U$297="","",Checks!$U$297)&amp;IF(Checks!$AB$297="","",CHAR(10)&amp;"CA: "&amp;Checks!$AB$297)</f>
        <v/>
      </c>
      <c r="E39" s="124">
        <f>IF(Checks!$V$297="","",Checks!$V$297)&amp;IF(Checks!$AC$297="","",IF(Checks!$V$297="","",CHAR(10))&amp;"N/A just.: "&amp;Checks!$AC$297)&amp;IF(Checks!$W$297="","",CHAR(10)&amp;"Batch: "&amp;Checks!$W$297)&amp;IF(AND(Checks!$X$297="",Checks!$Y$297=""),"",CHAR(10)&amp;"Exp: "&amp;Checks!$X$297&amp;"  /  Act: "&amp;Checks!$Y$297)</f>
        <v/>
      </c>
      <c r="F39" s="124">
        <f>IF(Checks!$Z$297="","","Evidence: "&amp;Checks!$Z$297)&amp;IF(Checks!$AA$297="","",IF(Checks!$Z$297="","",CHAR(10))&amp;"CA: "&amp;Checks!$AA$297)</f>
        <v/>
      </c>
      <c r="G39" s="124">
        <f>IF(ISNUMBER(Checks!$AD$297),TEXT(Checks!$AD$297,"DD-MMM-YY HH:MM")&amp;" "&amp;Checks!$P$297,"")&amp;IF(Checks!$AE$297="","",CHAR(10)&amp;Checks!$AE$297)</f>
        <v/>
      </c>
      <c r="H39" s="125">
        <f>IF(Checks!$AH$297="","",Checks!$AH$297)</f>
        <v/>
      </c>
    </row>
    <row r="40" ht="158" customHeight="1">
      <c r="A40" s="124">
        <f>Checks!$A$298&amp;CHAR(10)&amp;IF(Checks!$I$298="","",Checks!$I$298&amp;": ")&amp;Checks!$J$298</f>
        <v/>
      </c>
      <c r="B40" s="124">
        <f>SUBSTITUTE(Checks!$K$298&amp;IF(Checks!$O$298="","",IF(Checks!$K$298="","",CHAR(10))&amp;"Note: "&amp;Checks!$O$298),"AIRCRAFT TYPE!","Ref: AIRCRAFT TYPE!")</f>
        <v/>
      </c>
      <c r="C40" s="124">
        <f>Checks!$N$298&amp;CHAR(10)&amp;IF(ISNUMBER(Checks!$R$298),TEXT(Checks!$R$298,"DD-MMM-YY HH:MM"),"")&amp;" "&amp;Checks!$P$298</f>
        <v/>
      </c>
      <c r="D40" s="124">
        <f>IF(Checks!$U$298="","",Checks!$U$298)&amp;IF(Checks!$AB$298="","",CHAR(10)&amp;"CA: "&amp;Checks!$AB$298)</f>
        <v/>
      </c>
      <c r="E40" s="124">
        <f>IF(Checks!$V$298="","",Checks!$V$298)&amp;IF(Checks!$AC$298="","",IF(Checks!$V$298="","",CHAR(10))&amp;"N/A just.: "&amp;Checks!$AC$298)&amp;IF(Checks!$W$298="","",CHAR(10)&amp;"Batch: "&amp;Checks!$W$298)&amp;IF(AND(Checks!$X$298="",Checks!$Y$298=""),"",CHAR(10)&amp;"Exp: "&amp;Checks!$X$298&amp;"  /  Act: "&amp;Checks!$Y$298)</f>
        <v/>
      </c>
      <c r="F40" s="124">
        <f>IF(Checks!$Z$298="","","Evidence: "&amp;Checks!$Z$298)&amp;IF(Checks!$AA$298="","",IF(Checks!$Z$298="","",CHAR(10))&amp;"CA: "&amp;Checks!$AA$298)</f>
        <v/>
      </c>
      <c r="G40" s="124">
        <f>IF(ISNUMBER(Checks!$AD$298),TEXT(Checks!$AD$298,"DD-MMM-YY HH:MM")&amp;" "&amp;Checks!$P$298,"")&amp;IF(Checks!$AE$298="","",CHAR(10)&amp;Checks!$AE$298)</f>
        <v/>
      </c>
      <c r="H40" s="125">
        <f>IF(Checks!$AH$298="","",Checks!$AH$298)</f>
        <v/>
      </c>
    </row>
    <row r="41" ht="81" customHeight="1">
      <c r="A41" s="124">
        <f>Checks!$A$299&amp;CHAR(10)&amp;IF(Checks!$I$299="","",Checks!$I$299&amp;": ")&amp;Checks!$J$299</f>
        <v/>
      </c>
      <c r="B41" s="124">
        <f>Checks!$K$299&amp;IF(Checks!$O$299="","",IF(Checks!$K$299="","",CHAR(10))&amp;"Note: "&amp;Checks!$O$299)</f>
        <v/>
      </c>
      <c r="C41" s="124">
        <f>Checks!$N$299&amp;CHAR(10)&amp;IF(ISNUMBER(Checks!$R$299),TEXT(Checks!$R$299,"DD-MMM-YY HH:MM"),"")&amp;" "&amp;Checks!$P$299</f>
        <v/>
      </c>
      <c r="D41" s="124">
        <f>IF(Checks!$U$299="","",Checks!$U$299)&amp;IF(Checks!$AB$299="","",CHAR(10)&amp;"CA: "&amp;Checks!$AB$299)</f>
        <v/>
      </c>
      <c r="E41" s="124">
        <f>IF(Checks!$V$299="","",Checks!$V$299)&amp;IF(Checks!$AC$299="","",IF(Checks!$V$299="","",CHAR(10))&amp;"N/A just.: "&amp;Checks!$AC$299)&amp;IF(Checks!$W$299="","",CHAR(10)&amp;"Batch: "&amp;Checks!$W$299)&amp;IF(AND(Checks!$X$299="",Checks!$Y$299=""),"",CHAR(10)&amp;"Exp: "&amp;Checks!$X$299&amp;"  /  Act: "&amp;Checks!$Y$299)</f>
        <v/>
      </c>
      <c r="F41" s="124">
        <f>IF(Checks!$Z$299="","","Evidence: "&amp;Checks!$Z$299)&amp;IF(Checks!$AA$299="","",IF(Checks!$Z$299="","",CHAR(10))&amp;"CA: "&amp;Checks!$AA$299)</f>
        <v/>
      </c>
      <c r="G41" s="124">
        <f>IF(ISNUMBER(Checks!$AD$299),TEXT(Checks!$AD$299,"DD-MMM-YY HH:MM")&amp;" "&amp;Checks!$P$299,"")&amp;IF(Checks!$AE$299="","",CHAR(10)&amp;Checks!$AE$299)</f>
        <v/>
      </c>
      <c r="H41" s="125">
        <f>IF(Checks!$AH$299="","",Checks!$AH$299)</f>
        <v/>
      </c>
    </row>
    <row r="42" ht="147" customHeight="1">
      <c r="A42" s="124">
        <f>Checks!$A$300&amp;CHAR(10)&amp;IF(Checks!$I$300="","",Checks!$I$300&amp;": ")&amp;Checks!$J$300</f>
        <v/>
      </c>
      <c r="B42" s="124">
        <f>Checks!$K$300&amp;IF(Checks!$O$300="","",IF(Checks!$K$300="","",CHAR(10))&amp;"Note: "&amp;Checks!$O$300)</f>
        <v/>
      </c>
      <c r="C42" s="124">
        <f>Checks!$N$300&amp;CHAR(10)&amp;IF(ISNUMBER(Checks!$R$300),TEXT(Checks!$R$300,"DD-MMM-YY HH:MM"),"")&amp;" "&amp;Checks!$P$300</f>
        <v/>
      </c>
      <c r="D42" s="124">
        <f>IF(Checks!$U$300="","",Checks!$U$300)&amp;IF(Checks!$AB$300="","",CHAR(10)&amp;"CA: "&amp;Checks!$AB$300)</f>
        <v/>
      </c>
      <c r="E42" s="124">
        <f>IF(Checks!$V$300="","",Checks!$V$300)&amp;IF(Checks!$AC$300="","",IF(Checks!$V$300="","",CHAR(10))&amp;"N/A just.: "&amp;Checks!$AC$300)&amp;IF(Checks!$W$300="","",CHAR(10)&amp;"Batch: "&amp;Checks!$W$300)&amp;IF(AND(Checks!$X$300="",Checks!$Y$300=""),"",CHAR(10)&amp;"Exp: "&amp;Checks!$X$300&amp;"  /  Act: "&amp;Checks!$Y$300)</f>
        <v/>
      </c>
      <c r="F42" s="124">
        <f>IF(Checks!$Z$300="","","Evidence: "&amp;Checks!$Z$300)&amp;IF(Checks!$AA$300="","",IF(Checks!$Z$300="","",CHAR(10))&amp;"CA: "&amp;Checks!$AA$300)</f>
        <v/>
      </c>
      <c r="G42" s="124">
        <f>IF(ISNUMBER(Checks!$AD$300),TEXT(Checks!$AD$300,"DD-MMM-YY HH:MM")&amp;" "&amp;Checks!$P$300,"")&amp;IF(Checks!$AE$300="","",CHAR(10)&amp;Checks!$AE$300)</f>
        <v/>
      </c>
      <c r="H42" s="125">
        <f>IF(Checks!$AH$300="","",Checks!$AH$300)</f>
        <v/>
      </c>
    </row>
    <row r="43" ht="92" customHeight="1">
      <c r="A43" s="124">
        <f>Checks!$A$301&amp;CHAR(10)&amp;IF(Checks!$I$301="","",Checks!$I$301&amp;": ")&amp;Checks!$J$301</f>
        <v/>
      </c>
      <c r="B43" s="124">
        <f>Checks!$K$301&amp;IF(Checks!$O$301="","",IF(Checks!$K$301="","",CHAR(10))&amp;"Note: "&amp;Checks!$O$301)</f>
        <v/>
      </c>
      <c r="C43" s="124">
        <f>Checks!$N$301&amp;CHAR(10)&amp;IF(ISNUMBER(Checks!$R$301),TEXT(Checks!$R$301,"DD-MMM-YY HH:MM"),"")&amp;" "&amp;Checks!$P$301</f>
        <v/>
      </c>
      <c r="D43" s="124">
        <f>IF(Checks!$U$301="","",Checks!$U$301)&amp;IF(Checks!$AB$301="","",CHAR(10)&amp;"CA: "&amp;Checks!$AB$301)</f>
        <v/>
      </c>
      <c r="E43" s="124">
        <f>IF(Checks!$V$301="","",Checks!$V$301)&amp;IF(Checks!$AC$301="","",IF(Checks!$V$301="","",CHAR(10))&amp;"N/A just.: "&amp;Checks!$AC$301)&amp;IF(Checks!$W$301="","",CHAR(10)&amp;"Batch: "&amp;Checks!$W$301)&amp;IF(AND(Checks!$X$301="",Checks!$Y$301=""),"",CHAR(10)&amp;"Exp: "&amp;Checks!$X$301&amp;"  /  Act: "&amp;Checks!$Y$301)</f>
        <v/>
      </c>
      <c r="F43" s="124">
        <f>IF(Checks!$Z$301="","","Evidence: "&amp;Checks!$Z$301)&amp;IF(Checks!$AA$301="","",IF(Checks!$Z$301="","",CHAR(10))&amp;"CA: "&amp;Checks!$AA$301)</f>
        <v/>
      </c>
      <c r="G43" s="124">
        <f>IF(ISNUMBER(Checks!$AD$301),TEXT(Checks!$AD$301,"DD-MMM-YY HH:MM")&amp;" "&amp;Checks!$P$301,"")&amp;IF(Checks!$AE$301="","",CHAR(10)&amp;Checks!$AE$301)</f>
        <v/>
      </c>
      <c r="H43" s="125">
        <f>IF(Checks!$AH$301="","",Checks!$AH$301)</f>
        <v/>
      </c>
    </row>
    <row r="44" ht="92" customHeight="1">
      <c r="A44" s="124">
        <f>Checks!$A$302&amp;CHAR(10)&amp;IF(Checks!$I$302="","",Checks!$I$302&amp;": ")&amp;Checks!$J$302</f>
        <v/>
      </c>
      <c r="B44" s="124">
        <f>Checks!$K$302&amp;IF(Checks!$O$302="","",IF(Checks!$K$302="","",CHAR(10))&amp;"Note: "&amp;Checks!$O$302)</f>
        <v/>
      </c>
      <c r="C44" s="124">
        <f>Checks!$N$302&amp;CHAR(10)&amp;IF(ISNUMBER(Checks!$R$302),TEXT(Checks!$R$302,"DD-MMM-YY HH:MM"),"")&amp;" "&amp;Checks!$P$302</f>
        <v/>
      </c>
      <c r="D44" s="124">
        <f>IF(Checks!$U$302="","",Checks!$U$302)&amp;IF(Checks!$AB$302="","",CHAR(10)&amp;"CA: "&amp;Checks!$AB$302)</f>
        <v/>
      </c>
      <c r="E44" s="124">
        <f>IF(Checks!$V$302="","",Checks!$V$302)&amp;IF(Checks!$AC$302="","",IF(Checks!$V$302="","",CHAR(10))&amp;"N/A just.: "&amp;Checks!$AC$302)&amp;IF(Checks!$W$302="","",CHAR(10)&amp;"Batch: "&amp;Checks!$W$302)&amp;IF(AND(Checks!$X$302="",Checks!$Y$302=""),"",CHAR(10)&amp;"Exp: "&amp;Checks!$X$302&amp;"  /  Act: "&amp;Checks!$Y$302)</f>
        <v/>
      </c>
      <c r="F44" s="124">
        <f>IF(Checks!$Z$302="","","Evidence: "&amp;Checks!$Z$302)&amp;IF(Checks!$AA$302="","",IF(Checks!$Z$302="","",CHAR(10))&amp;"CA: "&amp;Checks!$AA$302)</f>
        <v/>
      </c>
      <c r="G44" s="124">
        <f>IF(ISNUMBER(Checks!$AD$302),TEXT(Checks!$AD$302,"DD-MMM-YY HH:MM")&amp;" "&amp;Checks!$P$302,"")&amp;IF(Checks!$AE$302="","",CHAR(10)&amp;Checks!$AE$302)</f>
        <v/>
      </c>
      <c r="H44" s="125">
        <f>IF(Checks!$AH$302="","",Checks!$AH$302)</f>
        <v/>
      </c>
    </row>
    <row r="45" ht="92" customHeight="1">
      <c r="A45" s="124">
        <f>Checks!$A$303&amp;CHAR(10)&amp;IF(Checks!$I$303="","",Checks!$I$303&amp;": ")&amp;Checks!$J$303</f>
        <v/>
      </c>
      <c r="B45" s="124">
        <f>Checks!$K$303&amp;IF(Checks!$O$303="","",IF(Checks!$K$303="","",CHAR(10))&amp;"Note: "&amp;Checks!$O$303)</f>
        <v/>
      </c>
      <c r="C45" s="124">
        <f>Checks!$N$303&amp;CHAR(10)&amp;IF(ISNUMBER(Checks!$R$303),TEXT(Checks!$R$303,"DD-MMM-YY HH:MM"),"")&amp;" "&amp;Checks!$P$303</f>
        <v/>
      </c>
      <c r="D45" s="124">
        <f>IF(Checks!$U$303="","",Checks!$U$303)&amp;IF(Checks!$AB$303="","",CHAR(10)&amp;"CA: "&amp;Checks!$AB$303)</f>
        <v/>
      </c>
      <c r="E45" s="124">
        <f>IF(Checks!$V$303="","",Checks!$V$303)&amp;IF(Checks!$AC$303="","",IF(Checks!$V$303="","",CHAR(10))&amp;"N/A just.: "&amp;Checks!$AC$303)&amp;IF(Checks!$W$303="","",CHAR(10)&amp;"Batch: "&amp;Checks!$W$303)&amp;IF(AND(Checks!$X$303="",Checks!$Y$303=""),"",CHAR(10)&amp;"Exp: "&amp;Checks!$X$303&amp;"  /  Act: "&amp;Checks!$Y$303)</f>
        <v/>
      </c>
      <c r="F45" s="124">
        <f>IF(Checks!$Z$303="","","Evidence: "&amp;Checks!$Z$303)&amp;IF(Checks!$AA$303="","",IF(Checks!$Z$303="","",CHAR(10))&amp;"CA: "&amp;Checks!$AA$303)</f>
        <v/>
      </c>
      <c r="G45" s="124">
        <f>IF(ISNUMBER(Checks!$AD$303),TEXT(Checks!$AD$303,"DD-MMM-YY HH:MM")&amp;" "&amp;Checks!$P$303,"")&amp;IF(Checks!$AE$303="","",CHAR(10)&amp;Checks!$AE$303)</f>
        <v/>
      </c>
      <c r="H45" s="125">
        <f>IF(Checks!$AH$303="","",Checks!$AH$303)</f>
        <v/>
      </c>
    </row>
    <row r="46" ht="246" customHeight="1">
      <c r="A46" s="124">
        <f>Checks!$A$304&amp;CHAR(10)&amp;IF(Checks!$I$304="","",Checks!$I$304&amp;": ")&amp;Checks!$J$304</f>
        <v/>
      </c>
      <c r="B46" s="124">
        <f>SUBSTITUTE(Checks!$K$304&amp;IF(Checks!$O$304="","",IF(Checks!$K$304="","",CHAR(10))&amp;"Note: "&amp;Checks!$O$304),"F&amp;B LINEN!","Ref: F&amp;B LINEN!")</f>
        <v/>
      </c>
      <c r="C46" s="124">
        <f>Checks!$N$304&amp;CHAR(10)&amp;IF(ISNUMBER(Checks!$R$304),TEXT(Checks!$R$304,"DD-MMM-YY HH:MM"),"")&amp;" "&amp;Checks!$P$304</f>
        <v/>
      </c>
      <c r="D46" s="124">
        <f>IF(Checks!$U$304="","",Checks!$U$304)&amp;IF(Checks!$AB$304="","",CHAR(10)&amp;"CA: "&amp;Checks!$AB$304)</f>
        <v/>
      </c>
      <c r="E46" s="124">
        <f>IF(Checks!$V$304="","",Checks!$V$304)&amp;IF(Checks!$AC$304="","",IF(Checks!$V$304="","",CHAR(10))&amp;"N/A just.: "&amp;Checks!$AC$304)&amp;IF(Checks!$W$304="","",CHAR(10)&amp;"Batch: "&amp;Checks!$W$304)&amp;IF(AND(Checks!$X$304="",Checks!$Y$304=""),"",CHAR(10)&amp;"Exp: "&amp;Checks!$X$304&amp;"  /  Act: "&amp;Checks!$Y$304)</f>
        <v/>
      </c>
      <c r="F46" s="124">
        <f>IF(Checks!$Z$304="","","Evidence: "&amp;Checks!$Z$304)&amp;IF(Checks!$AA$304="","",IF(Checks!$Z$304="","",CHAR(10))&amp;"CA: "&amp;Checks!$AA$304)</f>
        <v/>
      </c>
      <c r="G46" s="124">
        <f>IF(ISNUMBER(Checks!$AD$304),TEXT(Checks!$AD$304,"DD-MMM-YY HH:MM")&amp;" "&amp;Checks!$P$304,"")&amp;IF(Checks!$AE$304="","",CHAR(10)&amp;Checks!$AE$304)</f>
        <v/>
      </c>
      <c r="H46" s="125">
        <f>IF(Checks!$AH$304="","",Checks!$AH$304)</f>
        <v/>
      </c>
    </row>
    <row r="47" ht="246" customHeight="1">
      <c r="A47" s="124">
        <f>Checks!$A$305&amp;CHAR(10)&amp;IF(Checks!$I$305="","",Checks!$I$305&amp;": ")&amp;Checks!$J$305</f>
        <v/>
      </c>
      <c r="B47" s="124">
        <f>SUBSTITUTE(Checks!$K$305&amp;IF(Checks!$O$305="","",IF(Checks!$K$305="","",CHAR(10))&amp;"Note: "&amp;Checks!$O$305),"F&amp;B LINEN!","Ref: F&amp;B LINEN!")</f>
        <v/>
      </c>
      <c r="C47" s="124">
        <f>Checks!$N$305&amp;CHAR(10)&amp;IF(ISNUMBER(Checks!$R$305),TEXT(Checks!$R$305,"DD-MMM-YY HH:MM"),"")&amp;" "&amp;Checks!$P$305</f>
        <v/>
      </c>
      <c r="D47" s="124">
        <f>IF(Checks!$U$305="","",Checks!$U$305)&amp;IF(Checks!$AB$305="","",CHAR(10)&amp;"CA: "&amp;Checks!$AB$305)</f>
        <v/>
      </c>
      <c r="E47" s="124">
        <f>IF(Checks!$V$305="","",Checks!$V$305)&amp;IF(Checks!$AC$305="","",IF(Checks!$V$305="","",CHAR(10))&amp;"N/A just.: "&amp;Checks!$AC$305)&amp;IF(Checks!$W$305="","",CHAR(10)&amp;"Batch: "&amp;Checks!$W$305)&amp;IF(AND(Checks!$X$305="",Checks!$Y$305=""),"",CHAR(10)&amp;"Exp: "&amp;Checks!$X$305&amp;"  /  Act: "&amp;Checks!$Y$305)</f>
        <v/>
      </c>
      <c r="F47" s="124">
        <f>IF(Checks!$Z$305="","","Evidence: "&amp;Checks!$Z$305)&amp;IF(Checks!$AA$305="","",IF(Checks!$Z$305="","",CHAR(10))&amp;"CA: "&amp;Checks!$AA$305)</f>
        <v/>
      </c>
      <c r="G47" s="124">
        <f>IF(ISNUMBER(Checks!$AD$305),TEXT(Checks!$AD$305,"DD-MMM-YY HH:MM")&amp;" "&amp;Checks!$P$305,"")&amp;IF(Checks!$AE$305="","",CHAR(10)&amp;Checks!$AE$305)</f>
        <v/>
      </c>
      <c r="H47" s="125">
        <f>IF(Checks!$AH$305="","",Checks!$AH$305)</f>
        <v/>
      </c>
    </row>
    <row r="48" ht="103" customHeight="1">
      <c r="A48" s="124">
        <f>Checks!$A$306&amp;CHAR(10)&amp;IF(Checks!$I$306="","",Checks!$I$306&amp;": ")&amp;Checks!$J$306</f>
        <v/>
      </c>
      <c r="B48" s="124">
        <f>SUBSTITUTE(Checks!$K$306&amp;IF(Checks!$O$306="","",IF(Checks!$K$306="","",CHAR(10))&amp;"Note: "&amp;Checks!$O$306),"F&amp;B LINEN!","Ref: F&amp;B LINEN!")</f>
        <v/>
      </c>
      <c r="C48" s="124">
        <f>Checks!$N$306&amp;CHAR(10)&amp;IF(ISNUMBER(Checks!$R$306),TEXT(Checks!$R$306,"DD-MMM-YY HH:MM"),"")&amp;" "&amp;Checks!$P$306</f>
        <v/>
      </c>
      <c r="D48" s="124">
        <f>IF(Checks!$U$306="","",Checks!$U$306)&amp;IF(Checks!$AB$306="","",CHAR(10)&amp;"CA: "&amp;Checks!$AB$306)</f>
        <v/>
      </c>
      <c r="E48" s="124">
        <f>IF(Checks!$V$306="","",Checks!$V$306)&amp;IF(Checks!$AC$306="","",IF(Checks!$V$306="","",CHAR(10))&amp;"N/A just.: "&amp;Checks!$AC$306)&amp;IF(Checks!$W$306="","",CHAR(10)&amp;"Batch: "&amp;Checks!$W$306)&amp;IF(AND(Checks!$X$306="",Checks!$Y$306=""),"",CHAR(10)&amp;"Exp: "&amp;Checks!$X$306&amp;"  /  Act: "&amp;Checks!$Y$306)</f>
        <v/>
      </c>
      <c r="F48" s="124">
        <f>IF(Checks!$Z$306="","","Evidence: "&amp;Checks!$Z$306)&amp;IF(Checks!$AA$306="","",IF(Checks!$Z$306="","",CHAR(10))&amp;"CA: "&amp;Checks!$AA$306)</f>
        <v/>
      </c>
      <c r="G48" s="124">
        <f>IF(ISNUMBER(Checks!$AD$306),TEXT(Checks!$AD$306,"DD-MMM-YY HH:MM")&amp;" "&amp;Checks!$P$306,"")&amp;IF(Checks!$AE$306="","",CHAR(10)&amp;Checks!$AE$306)</f>
        <v/>
      </c>
      <c r="H48" s="125">
        <f>IF(Checks!$AH$306="","",Checks!$AH$306)</f>
        <v/>
      </c>
    </row>
    <row r="49" ht="92" customHeight="1">
      <c r="A49" s="124">
        <f>Checks!$A$307&amp;CHAR(10)&amp;IF(Checks!$I$307="","",Checks!$I$307&amp;": ")&amp;Checks!$J$307</f>
        <v/>
      </c>
      <c r="B49" s="124">
        <f>Checks!$K$307&amp;IF(Checks!$O$307="","",IF(Checks!$K$307="","",CHAR(10))&amp;"Note: "&amp;Checks!$O$307)</f>
        <v/>
      </c>
      <c r="C49" s="124">
        <f>Checks!$N$307&amp;CHAR(10)&amp;IF(ISNUMBER(Checks!$R$307),TEXT(Checks!$R$307,"DD-MMM-YY HH:MM"),"")&amp;" "&amp;Checks!$P$307</f>
        <v/>
      </c>
      <c r="D49" s="124">
        <f>IF(Checks!$U$307="","",Checks!$U$307)&amp;IF(Checks!$AB$307="","",CHAR(10)&amp;"CA: "&amp;Checks!$AB$307)</f>
        <v/>
      </c>
      <c r="E49" s="124">
        <f>IF(Checks!$V$307="","",Checks!$V$307)&amp;IF(Checks!$AC$307="","",IF(Checks!$V$307="","",CHAR(10))&amp;"N/A just.: "&amp;Checks!$AC$307)&amp;IF(Checks!$W$307="","",CHAR(10)&amp;"Batch: "&amp;Checks!$W$307)&amp;IF(AND(Checks!$X$307="",Checks!$Y$307=""),"",CHAR(10)&amp;"Exp: "&amp;Checks!$X$307&amp;"  /  Act: "&amp;Checks!$Y$307)</f>
        <v/>
      </c>
      <c r="F49" s="124">
        <f>IF(Checks!$Z$307="","","Evidence: "&amp;Checks!$Z$307)&amp;IF(Checks!$AA$307="","",IF(Checks!$Z$307="","",CHAR(10))&amp;"CA: "&amp;Checks!$AA$307)</f>
        <v/>
      </c>
      <c r="G49" s="124">
        <f>IF(ISNUMBER(Checks!$AD$307),TEXT(Checks!$AD$307,"DD-MMM-YY HH:MM")&amp;" "&amp;Checks!$P$307,"")&amp;IF(Checks!$AE$307="","",CHAR(10)&amp;Checks!$AE$307)</f>
        <v/>
      </c>
      <c r="H49" s="125">
        <f>IF(Checks!$AH$307="","",Checks!$AH$307)</f>
        <v/>
      </c>
    </row>
    <row r="50" ht="92" customHeight="1">
      <c r="A50" s="124">
        <f>Checks!$A$308&amp;CHAR(10)&amp;IF(Checks!$I$308="","",Checks!$I$308&amp;": ")&amp;Checks!$J$308</f>
        <v/>
      </c>
      <c r="B50" s="124">
        <f>Checks!$K$308&amp;IF(Checks!$O$308="","",IF(Checks!$K$308="","",CHAR(10))&amp;"Note: "&amp;Checks!$O$308)</f>
        <v/>
      </c>
      <c r="C50" s="124">
        <f>Checks!$N$308&amp;CHAR(10)&amp;IF(ISNUMBER(Checks!$R$308),TEXT(Checks!$R$308,"DD-MMM-YY HH:MM"),"")&amp;" "&amp;Checks!$P$308</f>
        <v/>
      </c>
      <c r="D50" s="124">
        <f>IF(Checks!$U$308="","",Checks!$U$308)&amp;IF(Checks!$AB$308="","",CHAR(10)&amp;"CA: "&amp;Checks!$AB$308)</f>
        <v/>
      </c>
      <c r="E50" s="124">
        <f>IF(Checks!$V$308="","",Checks!$V$308)&amp;IF(Checks!$AC$308="","",IF(Checks!$V$308="","",CHAR(10))&amp;"N/A just.: "&amp;Checks!$AC$308)&amp;IF(Checks!$W$308="","",CHAR(10)&amp;"Batch: "&amp;Checks!$W$308)&amp;IF(AND(Checks!$X$308="",Checks!$Y$308=""),"",CHAR(10)&amp;"Exp: "&amp;Checks!$X$308&amp;"  /  Act: "&amp;Checks!$Y$308)</f>
        <v/>
      </c>
      <c r="F50" s="124">
        <f>IF(Checks!$Z$308="","","Evidence: "&amp;Checks!$Z$308)&amp;IF(Checks!$AA$308="","",IF(Checks!$Z$308="","",CHAR(10))&amp;"CA: "&amp;Checks!$AA$308)</f>
        <v/>
      </c>
      <c r="G50" s="124">
        <f>IF(ISNUMBER(Checks!$AD$308),TEXT(Checks!$AD$308,"DD-MMM-YY HH:MM")&amp;" "&amp;Checks!$P$308,"")&amp;IF(Checks!$AE$308="","",CHAR(10)&amp;Checks!$AE$308)</f>
        <v/>
      </c>
      <c r="H50" s="125">
        <f>IF(Checks!$AH$308="","",Checks!$AH$308)</f>
        <v/>
      </c>
    </row>
    <row r="51" ht="92" customHeight="1">
      <c r="A51" s="124">
        <f>Checks!$A$309&amp;CHAR(10)&amp;IF(Checks!$I$309="","",Checks!$I$309&amp;": ")&amp;Checks!$J$309</f>
        <v/>
      </c>
      <c r="B51" s="124">
        <f>Checks!$K$309&amp;IF(Checks!$O$309="","",IF(Checks!$K$309="","",CHAR(10))&amp;"Note: "&amp;Checks!$O$309)</f>
        <v/>
      </c>
      <c r="C51" s="124">
        <f>Checks!$N$309&amp;CHAR(10)&amp;IF(ISNUMBER(Checks!$R$309),TEXT(Checks!$R$309,"DD-MMM-YY HH:MM"),"")&amp;" "&amp;Checks!$P$309</f>
        <v/>
      </c>
      <c r="D51" s="124">
        <f>IF(Checks!$U$309="","",Checks!$U$309)&amp;IF(Checks!$AB$309="","",CHAR(10)&amp;"CA: "&amp;Checks!$AB$309)</f>
        <v/>
      </c>
      <c r="E51" s="124">
        <f>IF(Checks!$V$309="","",Checks!$V$309)&amp;IF(Checks!$AC$309="","",IF(Checks!$V$309="","",CHAR(10))&amp;"N/A just.: "&amp;Checks!$AC$309)&amp;IF(Checks!$W$309="","",CHAR(10)&amp;"Batch: "&amp;Checks!$W$309)&amp;IF(AND(Checks!$X$309="",Checks!$Y$309=""),"",CHAR(10)&amp;"Exp: "&amp;Checks!$X$309&amp;"  /  Act: "&amp;Checks!$Y$309)</f>
        <v/>
      </c>
      <c r="F51" s="124">
        <f>IF(Checks!$Z$309="","","Evidence: "&amp;Checks!$Z$309)&amp;IF(Checks!$AA$309="","",IF(Checks!$Z$309="","",CHAR(10))&amp;"CA: "&amp;Checks!$AA$309)</f>
        <v/>
      </c>
      <c r="G51" s="124">
        <f>IF(ISNUMBER(Checks!$AD$309),TEXT(Checks!$AD$309,"DD-MMM-YY HH:MM")&amp;" "&amp;Checks!$P$309,"")&amp;IF(Checks!$AE$309="","",CHAR(10)&amp;Checks!$AE$309)</f>
        <v/>
      </c>
      <c r="H51" s="125">
        <f>IF(Checks!$AH$309="","",Checks!$AH$309)</f>
        <v/>
      </c>
    </row>
    <row r="52" ht="26" customHeight="1">
      <c r="A52" s="123">
        <f>"UPLIFT — Physical uplift – on-board confirmation before departure  |  Due "&amp;"STD "&amp;IF(ISNUMBER(Flights!$I$13),TEXT(Flights!$I$13,"DD-MMM-YY HH:MM"),"")&amp;" "&amp;Flights!$G$13&amp;" (departure stn)"&amp;" (rows with another due show their own)  |  Complete "&amp;IF(ISNUMBER(Flights!$AM$13),TEXT(Flights!$AM$13,"0%"),Flights!$AM$13)&amp;"  |  12 lines"</f>
        <v/>
      </c>
      <c r="B52" s="97" t="n"/>
      <c r="C52" s="97" t="n"/>
      <c r="D52" s="97" t="n"/>
      <c r="E52" s="97" t="n"/>
      <c r="F52" s="97" t="n"/>
      <c r="G52" s="97" t="n"/>
      <c r="H52" s="98" t="n"/>
    </row>
    <row r="53" ht="81" customHeight="1">
      <c r="A53" s="124">
        <f>Checks!$A$310&amp;CHAR(10)&amp;IF(Checks!$I$310="","",Checks!$I$310&amp;": ")&amp;Checks!$J$310</f>
        <v/>
      </c>
      <c r="B53" s="124">
        <f>Checks!$K$310&amp;IF(Checks!$O$310="","",IF(Checks!$K$310="","",CHAR(10))&amp;"Note: "&amp;Checks!$O$310)</f>
        <v/>
      </c>
      <c r="C53" s="124">
        <f>Checks!$N$310&amp;CHAR(10)&amp;IF(ISNUMBER(Checks!$R$310),TEXT(Checks!$R$310,"DD-MMM-YY HH:MM"),"")&amp;" "&amp;Checks!$P$310</f>
        <v/>
      </c>
      <c r="D53" s="124">
        <f>IF(Checks!$U$310="","",Checks!$U$310)&amp;IF(Checks!$AB$310="","",CHAR(10)&amp;"CA: "&amp;Checks!$AB$310)</f>
        <v/>
      </c>
      <c r="E53" s="124">
        <f>IF(Checks!$V$310="","",Checks!$V$310)&amp;IF(Checks!$AC$310="","",IF(Checks!$V$310="","",CHAR(10))&amp;"N/A just.: "&amp;Checks!$AC$310)&amp;IF(Checks!$W$310="","",CHAR(10)&amp;"Batch: "&amp;Checks!$W$310)&amp;IF(AND(Checks!$X$310="",Checks!$Y$310=""),"",CHAR(10)&amp;"Exp: "&amp;Checks!$X$310&amp;"  /  Act: "&amp;Checks!$Y$310)</f>
        <v/>
      </c>
      <c r="F53" s="124">
        <f>IF(Checks!$Z$310="","","Evidence: "&amp;Checks!$Z$310)&amp;IF(Checks!$AA$310="","",IF(Checks!$Z$310="","",CHAR(10))&amp;"CA: "&amp;Checks!$AA$310)</f>
        <v/>
      </c>
      <c r="G53" s="124">
        <f>IF(ISNUMBER(Checks!$AD$310),TEXT(Checks!$AD$310,"DD-MMM-YY HH:MM")&amp;" "&amp;Checks!$P$310,"")&amp;IF(Checks!$AE$310="","",CHAR(10)&amp;Checks!$AE$310)</f>
        <v/>
      </c>
      <c r="H53" s="125">
        <f>IF(Checks!$AH$310="","",Checks!$AH$310)</f>
        <v/>
      </c>
    </row>
    <row r="54" ht="81" customHeight="1">
      <c r="A54" s="124">
        <f>Checks!$A$311&amp;CHAR(10)&amp;IF(Checks!$I$311="","",Checks!$I$311&amp;": ")&amp;Checks!$J$311</f>
        <v/>
      </c>
      <c r="B54" s="124">
        <f>Checks!$K$311&amp;IF(Checks!$O$311="","",IF(Checks!$K$311="","",CHAR(10))&amp;"Note: "&amp;Checks!$O$311)</f>
        <v/>
      </c>
      <c r="C54" s="124">
        <f>Checks!$N$311&amp;CHAR(10)&amp;IF(ISNUMBER(Checks!$R$311),TEXT(Checks!$R$311,"DD-MMM-YY HH:MM"),"")&amp;" "&amp;Checks!$P$311</f>
        <v/>
      </c>
      <c r="D54" s="124">
        <f>IF(Checks!$U$311="","",Checks!$U$311)&amp;IF(Checks!$AB$311="","",CHAR(10)&amp;"CA: "&amp;Checks!$AB$311)</f>
        <v/>
      </c>
      <c r="E54" s="124">
        <f>IF(Checks!$V$311="","",Checks!$V$311)&amp;IF(Checks!$AC$311="","",IF(Checks!$V$311="","",CHAR(10))&amp;"N/A just.: "&amp;Checks!$AC$311)&amp;IF(Checks!$W$311="","",CHAR(10)&amp;"Batch: "&amp;Checks!$W$311)&amp;IF(AND(Checks!$X$311="",Checks!$Y$311=""),"",CHAR(10)&amp;"Exp: "&amp;Checks!$X$311&amp;"  /  Act: "&amp;Checks!$Y$311)</f>
        <v/>
      </c>
      <c r="F54" s="124">
        <f>IF(Checks!$Z$311="","","Evidence: "&amp;Checks!$Z$311)&amp;IF(Checks!$AA$311="","",IF(Checks!$Z$311="","",CHAR(10))&amp;"CA: "&amp;Checks!$AA$311)</f>
        <v/>
      </c>
      <c r="G54" s="124">
        <f>IF(ISNUMBER(Checks!$AD$311),TEXT(Checks!$AD$311,"DD-MMM-YY HH:MM")&amp;" "&amp;Checks!$P$311,"")&amp;IF(Checks!$AE$311="","",CHAR(10)&amp;Checks!$AE$311)</f>
        <v/>
      </c>
      <c r="H54" s="125">
        <f>IF(Checks!$AH$311="","",Checks!$AH$311)</f>
        <v/>
      </c>
    </row>
    <row r="55" ht="81" customHeight="1">
      <c r="A55" s="124">
        <f>Checks!$A$312&amp;CHAR(10)&amp;IF(Checks!$I$312="","",Checks!$I$312&amp;": ")&amp;Checks!$J$312</f>
        <v/>
      </c>
      <c r="B55" s="124">
        <f>Checks!$K$312&amp;IF(Checks!$O$312="","",IF(Checks!$K$312="","",CHAR(10))&amp;"Note: "&amp;Checks!$O$312)</f>
        <v/>
      </c>
      <c r="C55" s="124">
        <f>Checks!$N$312&amp;CHAR(10)&amp;IF(ISNUMBER(Checks!$R$312),TEXT(Checks!$R$312,"DD-MMM-YY HH:MM"),"")&amp;" "&amp;Checks!$P$312</f>
        <v/>
      </c>
      <c r="D55" s="124">
        <f>IF(Checks!$U$312="","",Checks!$U$312)&amp;IF(Checks!$AB$312="","",CHAR(10)&amp;"CA: "&amp;Checks!$AB$312)</f>
        <v/>
      </c>
      <c r="E55" s="124">
        <f>IF(Checks!$V$312="","",Checks!$V$312)&amp;IF(Checks!$AC$312="","",IF(Checks!$V$312="","",CHAR(10))&amp;"N/A just.: "&amp;Checks!$AC$312)&amp;IF(Checks!$W$312="","",CHAR(10)&amp;"Batch: "&amp;Checks!$W$312)&amp;IF(AND(Checks!$X$312="",Checks!$Y$312=""),"",CHAR(10)&amp;"Exp: "&amp;Checks!$X$312&amp;"  /  Act: "&amp;Checks!$Y$312)</f>
        <v/>
      </c>
      <c r="F55" s="124">
        <f>IF(Checks!$Z$312="","","Evidence: "&amp;Checks!$Z$312)&amp;IF(Checks!$AA$312="","",IF(Checks!$Z$312="","",CHAR(10))&amp;"CA: "&amp;Checks!$AA$312)</f>
        <v/>
      </c>
      <c r="G55" s="124">
        <f>IF(ISNUMBER(Checks!$AD$312),TEXT(Checks!$AD$312,"DD-MMM-YY HH:MM")&amp;" "&amp;Checks!$P$312,"")&amp;IF(Checks!$AE$312="","",CHAR(10)&amp;Checks!$AE$312)</f>
        <v/>
      </c>
      <c r="H55" s="125">
        <f>IF(Checks!$AH$312="","",Checks!$AH$312)</f>
        <v/>
      </c>
    </row>
    <row r="56" ht="81" customHeight="1">
      <c r="A56" s="124">
        <f>Checks!$A$313&amp;CHAR(10)&amp;IF(Checks!$I$313="","",Checks!$I$313&amp;": ")&amp;Checks!$J$313</f>
        <v/>
      </c>
      <c r="B56" s="124">
        <f>Checks!$K$313&amp;IF(Checks!$O$313="","",IF(Checks!$K$313="","",CHAR(10))&amp;"Note: "&amp;Checks!$O$313)</f>
        <v/>
      </c>
      <c r="C56" s="124">
        <f>Checks!$N$313&amp;CHAR(10)&amp;IF(ISNUMBER(Checks!$R$313),TEXT(Checks!$R$313,"DD-MMM-YY HH:MM"),"")&amp;" "&amp;Checks!$P$313</f>
        <v/>
      </c>
      <c r="D56" s="124">
        <f>IF(Checks!$U$313="","",Checks!$U$313)&amp;IF(Checks!$AB$313="","",CHAR(10)&amp;"CA: "&amp;Checks!$AB$313)</f>
        <v/>
      </c>
      <c r="E56" s="124">
        <f>IF(Checks!$V$313="","",Checks!$V$313)&amp;IF(Checks!$AC$313="","",IF(Checks!$V$313="","",CHAR(10))&amp;"N/A just.: "&amp;Checks!$AC$313)&amp;IF(Checks!$W$313="","",CHAR(10)&amp;"Batch: "&amp;Checks!$W$313)&amp;IF(AND(Checks!$X$313="",Checks!$Y$313=""),"",CHAR(10)&amp;"Exp: "&amp;Checks!$X$313&amp;"  /  Act: "&amp;Checks!$Y$313)</f>
        <v/>
      </c>
      <c r="F56" s="124">
        <f>IF(Checks!$Z$313="","","Evidence: "&amp;Checks!$Z$313)&amp;IF(Checks!$AA$313="","",IF(Checks!$Z$313="","",CHAR(10))&amp;"CA: "&amp;Checks!$AA$313)</f>
        <v/>
      </c>
      <c r="G56" s="124">
        <f>IF(ISNUMBER(Checks!$AD$313),TEXT(Checks!$AD$313,"DD-MMM-YY HH:MM")&amp;" "&amp;Checks!$P$313,"")&amp;IF(Checks!$AE$313="","",CHAR(10)&amp;Checks!$AE$313)</f>
        <v/>
      </c>
      <c r="H56" s="125">
        <f>IF(Checks!$AH$313="","",Checks!$AH$313)</f>
        <v/>
      </c>
    </row>
    <row r="57" ht="81" customHeight="1">
      <c r="A57" s="124">
        <f>Checks!$A$314&amp;CHAR(10)&amp;IF(Checks!$I$314="","",Checks!$I$314&amp;": ")&amp;Checks!$J$314</f>
        <v/>
      </c>
      <c r="B57" s="124">
        <f>Checks!$K$314&amp;IF(Checks!$O$314="","",IF(Checks!$K$314="","",CHAR(10))&amp;"Note: "&amp;Checks!$O$314)</f>
        <v/>
      </c>
      <c r="C57" s="124">
        <f>Checks!$N$314&amp;CHAR(10)&amp;IF(ISNUMBER(Checks!$R$314),TEXT(Checks!$R$314,"DD-MMM-YY HH:MM"),"")&amp;" "&amp;Checks!$P$314</f>
        <v/>
      </c>
      <c r="D57" s="124">
        <f>IF(Checks!$U$314="","",Checks!$U$314)&amp;IF(Checks!$AB$314="","",CHAR(10)&amp;"CA: "&amp;Checks!$AB$314)</f>
        <v/>
      </c>
      <c r="E57" s="124">
        <f>IF(Checks!$V$314="","",Checks!$V$314)&amp;IF(Checks!$AC$314="","",IF(Checks!$V$314="","",CHAR(10))&amp;"N/A just.: "&amp;Checks!$AC$314)&amp;IF(Checks!$W$314="","",CHAR(10)&amp;"Batch: "&amp;Checks!$W$314)&amp;IF(AND(Checks!$X$314="",Checks!$Y$314=""),"",CHAR(10)&amp;"Exp: "&amp;Checks!$X$314&amp;"  /  Act: "&amp;Checks!$Y$314)</f>
        <v/>
      </c>
      <c r="F57" s="124">
        <f>IF(Checks!$Z$314="","","Evidence: "&amp;Checks!$Z$314)&amp;IF(Checks!$AA$314="","",IF(Checks!$Z$314="","",CHAR(10))&amp;"CA: "&amp;Checks!$AA$314)</f>
        <v/>
      </c>
      <c r="G57" s="124">
        <f>IF(ISNUMBER(Checks!$AD$314),TEXT(Checks!$AD$314,"DD-MMM-YY HH:MM")&amp;" "&amp;Checks!$P$314,"")&amp;IF(Checks!$AE$314="","",CHAR(10)&amp;Checks!$AE$314)</f>
        <v/>
      </c>
      <c r="H57" s="125">
        <f>IF(Checks!$AH$314="","",Checks!$AH$314)</f>
        <v/>
      </c>
    </row>
    <row r="58" ht="81" customHeight="1">
      <c r="A58" s="124">
        <f>Checks!$A$315&amp;CHAR(10)&amp;IF(Checks!$I$315="","",Checks!$I$315&amp;": ")&amp;Checks!$J$315</f>
        <v/>
      </c>
      <c r="B58" s="124">
        <f>Checks!$K$315&amp;IF(Checks!$O$315="","",IF(Checks!$K$315="","",CHAR(10))&amp;"Note: "&amp;Checks!$O$315)</f>
        <v/>
      </c>
      <c r="C58" s="124">
        <f>Checks!$N$315&amp;CHAR(10)&amp;IF(ISNUMBER(Checks!$R$315),TEXT(Checks!$R$315,"DD-MMM-YY HH:MM"),"")&amp;" "&amp;Checks!$P$315</f>
        <v/>
      </c>
      <c r="D58" s="124">
        <f>IF(Checks!$U$315="","",Checks!$U$315)&amp;IF(Checks!$AB$315="","",CHAR(10)&amp;"CA: "&amp;Checks!$AB$315)</f>
        <v/>
      </c>
      <c r="E58" s="124">
        <f>IF(Checks!$V$315="","",Checks!$V$315)&amp;IF(Checks!$AC$315="","",IF(Checks!$V$315="","",CHAR(10))&amp;"N/A just.: "&amp;Checks!$AC$315)&amp;IF(Checks!$W$315="","",CHAR(10)&amp;"Batch: "&amp;Checks!$W$315)&amp;IF(AND(Checks!$X$315="",Checks!$Y$315=""),"",CHAR(10)&amp;"Exp: "&amp;Checks!$X$315&amp;"  /  Act: "&amp;Checks!$Y$315)</f>
        <v/>
      </c>
      <c r="F58" s="124">
        <f>IF(Checks!$Z$315="","","Evidence: "&amp;Checks!$Z$315)&amp;IF(Checks!$AA$315="","",IF(Checks!$Z$315="","",CHAR(10))&amp;"CA: "&amp;Checks!$AA$315)</f>
        <v/>
      </c>
      <c r="G58" s="124">
        <f>IF(ISNUMBER(Checks!$AD$315),TEXT(Checks!$AD$315,"DD-MMM-YY HH:MM")&amp;" "&amp;Checks!$P$315,"")&amp;IF(Checks!$AE$315="","",CHAR(10)&amp;Checks!$AE$315)</f>
        <v/>
      </c>
      <c r="H58" s="125">
        <f>IF(Checks!$AH$315="","",Checks!$AH$315)</f>
        <v/>
      </c>
    </row>
    <row r="59" ht="180" customHeight="1">
      <c r="A59" s="124">
        <f>Checks!$A$316&amp;CHAR(10)&amp;IF(Checks!$I$316="","",Checks!$I$316&amp;": ")&amp;Checks!$J$316</f>
        <v/>
      </c>
      <c r="B59" s="124">
        <f>SUBSTITUTE(Checks!$K$316&amp;IF(Checks!$O$316="","",IF(Checks!$K$316="","",CHAR(10))&amp;"Note: "&amp;Checks!$O$316),"F&amp;B LINEN!","Ref: F&amp;B LINEN!")</f>
        <v/>
      </c>
      <c r="C59" s="124">
        <f>Checks!$N$316&amp;CHAR(10)&amp;IF(ISNUMBER(Checks!$R$316),TEXT(Checks!$R$316,"DD-MMM-YY HH:MM"),"")&amp;" "&amp;Checks!$P$316</f>
        <v/>
      </c>
      <c r="D59" s="124">
        <f>IF(Checks!$U$316="","",Checks!$U$316)&amp;IF(Checks!$AB$316="","",CHAR(10)&amp;"CA: "&amp;Checks!$AB$316)</f>
        <v/>
      </c>
      <c r="E59" s="124">
        <f>IF(Checks!$V$316="","",Checks!$V$316)&amp;IF(Checks!$AC$316="","",IF(Checks!$V$316="","",CHAR(10))&amp;"N/A just.: "&amp;Checks!$AC$316)&amp;IF(Checks!$W$316="","",CHAR(10)&amp;"Batch: "&amp;Checks!$W$316)&amp;IF(AND(Checks!$X$316="",Checks!$Y$316=""),"",CHAR(10)&amp;"Exp: "&amp;Checks!$X$316&amp;"  /  Act: "&amp;Checks!$Y$316)</f>
        <v/>
      </c>
      <c r="F59" s="124">
        <f>IF(Checks!$Z$316="","","Evidence: "&amp;Checks!$Z$316)&amp;IF(Checks!$AA$316="","",IF(Checks!$Z$316="","",CHAR(10))&amp;"CA: "&amp;Checks!$AA$316)</f>
        <v/>
      </c>
      <c r="G59" s="124">
        <f>IF(ISNUMBER(Checks!$AD$316),TEXT(Checks!$AD$316,"DD-MMM-YY HH:MM")&amp;" "&amp;Checks!$P$316,"")&amp;IF(Checks!$AE$316="","",CHAR(10)&amp;Checks!$AE$316)</f>
        <v/>
      </c>
      <c r="H59" s="125">
        <f>IF(Checks!$AH$316="","",Checks!$AH$316)</f>
        <v/>
      </c>
    </row>
    <row r="60" ht="180" customHeight="1">
      <c r="A60" s="124">
        <f>Checks!$A$317&amp;CHAR(10)&amp;IF(Checks!$I$317="","",Checks!$I$317&amp;": ")&amp;Checks!$J$317</f>
        <v/>
      </c>
      <c r="B60" s="124">
        <f>SUBSTITUTE(Checks!$K$317&amp;IF(Checks!$O$317="","",IF(Checks!$K$317="","",CHAR(10))&amp;"Note: "&amp;Checks!$O$317),"F&amp;B LINEN!","Ref: F&amp;B LINEN!")</f>
        <v/>
      </c>
      <c r="C60" s="124">
        <f>Checks!$N$317&amp;CHAR(10)&amp;IF(ISNUMBER(Checks!$R$317),TEXT(Checks!$R$317,"DD-MMM-YY HH:MM"),"")&amp;" "&amp;Checks!$P$317</f>
        <v/>
      </c>
      <c r="D60" s="124">
        <f>IF(Checks!$U$317="","",Checks!$U$317)&amp;IF(Checks!$AB$317="","",CHAR(10)&amp;"CA: "&amp;Checks!$AB$317)</f>
        <v/>
      </c>
      <c r="E60" s="124">
        <f>IF(Checks!$V$317="","",Checks!$V$317)&amp;IF(Checks!$AC$317="","",IF(Checks!$V$317="","",CHAR(10))&amp;"N/A just.: "&amp;Checks!$AC$317)&amp;IF(Checks!$W$317="","",CHAR(10)&amp;"Batch: "&amp;Checks!$W$317)&amp;IF(AND(Checks!$X$317="",Checks!$Y$317=""),"",CHAR(10)&amp;"Exp: "&amp;Checks!$X$317&amp;"  /  Act: "&amp;Checks!$Y$317)</f>
        <v/>
      </c>
      <c r="F60" s="124">
        <f>IF(Checks!$Z$317="","","Evidence: "&amp;Checks!$Z$317)&amp;IF(Checks!$AA$317="","",IF(Checks!$Z$317="","",CHAR(10))&amp;"CA: "&amp;Checks!$AA$317)</f>
        <v/>
      </c>
      <c r="G60" s="124">
        <f>IF(ISNUMBER(Checks!$AD$317),TEXT(Checks!$AD$317,"DD-MMM-YY HH:MM")&amp;" "&amp;Checks!$P$317,"")&amp;IF(Checks!$AE$317="","",CHAR(10)&amp;Checks!$AE$317)</f>
        <v/>
      </c>
      <c r="H60" s="125">
        <f>IF(Checks!$AH$317="","",Checks!$AH$317)</f>
        <v/>
      </c>
    </row>
    <row r="61" ht="81" customHeight="1">
      <c r="A61" s="124">
        <f>Checks!$A$318&amp;CHAR(10)&amp;IF(Checks!$I$318="","",Checks!$I$318&amp;": ")&amp;Checks!$J$318</f>
        <v/>
      </c>
      <c r="B61" s="124">
        <f>SUBSTITUTE(Checks!$K$318&amp;IF(Checks!$O$318="","",IF(Checks!$K$318="","",CHAR(10))&amp;"Note: "&amp;Checks!$O$318),"F&amp;B LINEN!","Ref: F&amp;B LINEN!")</f>
        <v/>
      </c>
      <c r="C61" s="124">
        <f>Checks!$N$318&amp;CHAR(10)&amp;IF(ISNUMBER(Checks!$R$318),TEXT(Checks!$R$318,"DD-MMM-YY HH:MM"),"")&amp;" "&amp;Checks!$P$318</f>
        <v/>
      </c>
      <c r="D61" s="124">
        <f>IF(Checks!$U$318="","",Checks!$U$318)&amp;IF(Checks!$AB$318="","",CHAR(10)&amp;"CA: "&amp;Checks!$AB$318)</f>
        <v/>
      </c>
      <c r="E61" s="124">
        <f>IF(Checks!$V$318="","",Checks!$V$318)&amp;IF(Checks!$AC$318="","",IF(Checks!$V$318="","",CHAR(10))&amp;"N/A just.: "&amp;Checks!$AC$318)&amp;IF(Checks!$W$318="","",CHAR(10)&amp;"Batch: "&amp;Checks!$W$318)&amp;IF(AND(Checks!$X$318="",Checks!$Y$318=""),"",CHAR(10)&amp;"Exp: "&amp;Checks!$X$318&amp;"  /  Act: "&amp;Checks!$Y$318)</f>
        <v/>
      </c>
      <c r="F61" s="124">
        <f>IF(Checks!$Z$318="","","Evidence: "&amp;Checks!$Z$318)&amp;IF(Checks!$AA$318="","",IF(Checks!$Z$318="","",CHAR(10))&amp;"CA: "&amp;Checks!$AA$318)</f>
        <v/>
      </c>
      <c r="G61" s="124">
        <f>IF(ISNUMBER(Checks!$AD$318),TEXT(Checks!$AD$318,"DD-MMM-YY HH:MM")&amp;" "&amp;Checks!$P$318,"")&amp;IF(Checks!$AE$318="","",CHAR(10)&amp;Checks!$AE$318)</f>
        <v/>
      </c>
      <c r="H61" s="125">
        <f>IF(Checks!$AH$318="","",Checks!$AH$318)</f>
        <v/>
      </c>
    </row>
    <row r="62" ht="81" customHeight="1">
      <c r="A62" s="124">
        <f>Checks!$A$319&amp;CHAR(10)&amp;IF(Checks!$I$319="","",Checks!$I$319&amp;": ")&amp;Checks!$J$319</f>
        <v/>
      </c>
      <c r="B62" s="124">
        <f>Checks!$K$319&amp;IF(Checks!$O$319="","",IF(Checks!$K$319="","",CHAR(10))&amp;"Note: "&amp;Checks!$O$319)</f>
        <v/>
      </c>
      <c r="C62" s="124">
        <f>Checks!$N$319&amp;CHAR(10)&amp;IF(ISNUMBER(Checks!$R$319),TEXT(Checks!$R$319,"DD-MMM-YY HH:MM"),"")&amp;" "&amp;Checks!$P$319</f>
        <v/>
      </c>
      <c r="D62" s="124">
        <f>IF(Checks!$U$319="","",Checks!$U$319)&amp;IF(Checks!$AB$319="","",CHAR(10)&amp;"CA: "&amp;Checks!$AB$319)</f>
        <v/>
      </c>
      <c r="E62" s="124">
        <f>IF(Checks!$V$319="","",Checks!$V$319)&amp;IF(Checks!$AC$319="","",IF(Checks!$V$319="","",CHAR(10))&amp;"N/A just.: "&amp;Checks!$AC$319)&amp;IF(Checks!$W$319="","",CHAR(10)&amp;"Batch: "&amp;Checks!$W$319)&amp;IF(AND(Checks!$X$319="",Checks!$Y$319=""),"",CHAR(10)&amp;"Exp: "&amp;Checks!$X$319&amp;"  /  Act: "&amp;Checks!$Y$319)</f>
        <v/>
      </c>
      <c r="F62" s="124">
        <f>IF(Checks!$Z$319="","","Evidence: "&amp;Checks!$Z$319)&amp;IF(Checks!$AA$319="","",IF(Checks!$Z$319="","",CHAR(10))&amp;"CA: "&amp;Checks!$AA$319)</f>
        <v/>
      </c>
      <c r="G62" s="124">
        <f>IF(ISNUMBER(Checks!$AD$319),TEXT(Checks!$AD$319,"DD-MMM-YY HH:MM")&amp;" "&amp;Checks!$P$319,"")&amp;IF(Checks!$AE$319="","",CHAR(10)&amp;Checks!$AE$319)</f>
        <v/>
      </c>
      <c r="H62" s="125">
        <f>IF(Checks!$AH$319="","",Checks!$AH$319)</f>
        <v/>
      </c>
    </row>
    <row r="63" ht="81" customHeight="1">
      <c r="A63" s="124">
        <f>Checks!$A$320&amp;CHAR(10)&amp;IF(Checks!$I$320="","",Checks!$I$320&amp;": ")&amp;Checks!$J$320</f>
        <v/>
      </c>
      <c r="B63" s="124">
        <f>Checks!$K$320&amp;IF(Checks!$O$320="","",IF(Checks!$K$320="","",CHAR(10))&amp;"Note: "&amp;Checks!$O$320)</f>
        <v/>
      </c>
      <c r="C63" s="124">
        <f>Checks!$N$320&amp;CHAR(10)&amp;IF(ISNUMBER(Checks!$R$320),TEXT(Checks!$R$320,"DD-MMM-YY HH:MM"),"")&amp;" "&amp;Checks!$P$320</f>
        <v/>
      </c>
      <c r="D63" s="124">
        <f>IF(Checks!$U$320="","",Checks!$U$320)&amp;IF(Checks!$AB$320="","",CHAR(10)&amp;"CA: "&amp;Checks!$AB$320)</f>
        <v/>
      </c>
      <c r="E63" s="124">
        <f>IF(Checks!$V$320="","",Checks!$V$320)&amp;IF(Checks!$AC$320="","",IF(Checks!$V$320="","",CHAR(10))&amp;"N/A just.: "&amp;Checks!$AC$320)&amp;IF(Checks!$W$320="","",CHAR(10)&amp;"Batch: "&amp;Checks!$W$320)&amp;IF(AND(Checks!$X$320="",Checks!$Y$320=""),"",CHAR(10)&amp;"Exp: "&amp;Checks!$X$320&amp;"  /  Act: "&amp;Checks!$Y$320)</f>
        <v/>
      </c>
      <c r="F63" s="124">
        <f>IF(Checks!$Z$320="","","Evidence: "&amp;Checks!$Z$320)&amp;IF(Checks!$AA$320="","",IF(Checks!$Z$320="","",CHAR(10))&amp;"CA: "&amp;Checks!$AA$320)</f>
        <v/>
      </c>
      <c r="G63" s="124">
        <f>IF(ISNUMBER(Checks!$AD$320),TEXT(Checks!$AD$320,"DD-MMM-YY HH:MM")&amp;" "&amp;Checks!$P$320,"")&amp;IF(Checks!$AE$320="","",CHAR(10)&amp;Checks!$AE$320)</f>
        <v/>
      </c>
      <c r="H63" s="125">
        <f>IF(Checks!$AH$320="","",Checks!$AH$320)</f>
        <v/>
      </c>
    </row>
    <row r="64" ht="81" customHeight="1">
      <c r="A64" s="124">
        <f>Checks!$A$321&amp;CHAR(10)&amp;IF(Checks!$I$321="","",Checks!$I$321&amp;": ")&amp;Checks!$J$321</f>
        <v/>
      </c>
      <c r="B64" s="124">
        <f>Checks!$K$321&amp;IF(Checks!$O$321="","",IF(Checks!$K$321="","",CHAR(10))&amp;"Note: "&amp;Checks!$O$321)</f>
        <v/>
      </c>
      <c r="C64" s="124">
        <f>Checks!$N$321&amp;CHAR(10)&amp;IF(ISNUMBER(Checks!$R$321),TEXT(Checks!$R$321,"DD-MMM-YY HH:MM"),"")&amp;" "&amp;Checks!$P$321</f>
        <v/>
      </c>
      <c r="D64" s="124">
        <f>IF(Checks!$U$321="","",Checks!$U$321)&amp;IF(Checks!$AB$321="","",CHAR(10)&amp;"CA: "&amp;Checks!$AB$321)</f>
        <v/>
      </c>
      <c r="E64" s="124">
        <f>IF(Checks!$V$321="","",Checks!$V$321)&amp;IF(Checks!$AC$321="","",IF(Checks!$V$321="","",CHAR(10))&amp;"N/A just.: "&amp;Checks!$AC$321)&amp;IF(Checks!$W$321="","",CHAR(10)&amp;"Batch: "&amp;Checks!$W$321)&amp;IF(AND(Checks!$X$321="",Checks!$Y$321=""),"",CHAR(10)&amp;"Exp: "&amp;Checks!$X$321&amp;"  /  Act: "&amp;Checks!$Y$321)</f>
        <v/>
      </c>
      <c r="F64" s="124">
        <f>IF(Checks!$Z$321="","","Evidence: "&amp;Checks!$Z$321)&amp;IF(Checks!$AA$321="","",IF(Checks!$Z$321="","",CHAR(10))&amp;"CA: "&amp;Checks!$AA$321)</f>
        <v/>
      </c>
      <c r="G64" s="124">
        <f>IF(ISNUMBER(Checks!$AD$321),TEXT(Checks!$AD$321,"DD-MMM-YY HH:MM")&amp;" "&amp;Checks!$P$321,"")&amp;IF(Checks!$AE$321="","",CHAR(10)&amp;Checks!$AE$321)</f>
        <v/>
      </c>
      <c r="H64" s="125">
        <f>IF(Checks!$AH$321="","",Checks!$AH$321)</f>
        <v/>
      </c>
    </row>
    <row r="66" ht="24" customHeight="1">
      <c r="A66" s="126" t="inlineStr">
        <is>
          <t>EXCEL INSERTION AREA (on-screen only, not printed) – A1 Galley Loading Diagram: Insert &gt; Picture here. On paper: staple behind this sheet as page A1.</t>
        </is>
      </c>
      <c r="B66" s="127" t="n"/>
      <c r="C66" s="127" t="n"/>
      <c r="D66" s="128" t="n"/>
      <c r="E66" s="126" t="inlineStr">
        <is>
          <t>EXCEL INSERTION AREA (on-screen only, not printed) – A2 Menu Checklist: Insert &gt; Picture here. On paper: staple behind this sheet as page A2.</t>
        </is>
      </c>
      <c r="F66" s="127" t="n"/>
      <c r="G66" s="127" t="n"/>
      <c r="H66" s="128" t="n"/>
    </row>
    <row r="67" ht="22" customHeight="1">
      <c r="A67" s="129" t="n"/>
      <c r="B67" s="130" t="n"/>
      <c r="C67" s="130" t="n"/>
      <c r="D67" s="131" t="n"/>
      <c r="E67" s="129" t="n"/>
      <c r="F67" s="130" t="n"/>
      <c r="G67" s="130" t="n"/>
      <c r="H67" s="131" t="n"/>
    </row>
    <row r="68" ht="22" customHeight="1">
      <c r="A68" s="132" t="n"/>
      <c r="B68" s="130" t="n"/>
      <c r="C68" s="130" t="n"/>
      <c r="D68" s="131" t="n"/>
      <c r="E68" s="132" t="n"/>
      <c r="F68" s="130" t="n"/>
      <c r="G68" s="130" t="n"/>
      <c r="H68" s="131" t="n"/>
    </row>
    <row r="69" ht="22" customHeight="1">
      <c r="A69" s="132" t="n"/>
      <c r="B69" s="130" t="n"/>
      <c r="C69" s="130" t="n"/>
      <c r="D69" s="131" t="n"/>
      <c r="E69" s="132" t="n"/>
      <c r="F69" s="130" t="n"/>
      <c r="G69" s="130" t="n"/>
      <c r="H69" s="131" t="n"/>
    </row>
    <row r="70" ht="22" customHeight="1">
      <c r="A70" s="132" t="n"/>
      <c r="B70" s="130" t="n"/>
      <c r="C70" s="130" t="n"/>
      <c r="D70" s="131" t="n"/>
      <c r="E70" s="132" t="n"/>
      <c r="F70" s="130" t="n"/>
      <c r="G70" s="130" t="n"/>
      <c r="H70" s="131" t="n"/>
    </row>
    <row r="71" ht="22" customHeight="1">
      <c r="A71" s="132" t="n"/>
      <c r="B71" s="130" t="n"/>
      <c r="C71" s="130" t="n"/>
      <c r="D71" s="131" t="n"/>
      <c r="E71" s="132" t="n"/>
      <c r="F71" s="130" t="n"/>
      <c r="G71" s="130" t="n"/>
      <c r="H71" s="131" t="n"/>
    </row>
    <row r="72" ht="22" customHeight="1">
      <c r="A72" s="132" t="n"/>
      <c r="B72" s="130" t="n"/>
      <c r="C72" s="130" t="n"/>
      <c r="D72" s="131" t="n"/>
      <c r="E72" s="132" t="n"/>
      <c r="F72" s="130" t="n"/>
      <c r="G72" s="130" t="n"/>
      <c r="H72" s="131" t="n"/>
    </row>
    <row r="73" ht="22" customHeight="1">
      <c r="A73" s="132" t="n"/>
      <c r="B73" s="130" t="n"/>
      <c r="C73" s="130" t="n"/>
      <c r="D73" s="131" t="n"/>
      <c r="E73" s="132" t="n"/>
      <c r="F73" s="130" t="n"/>
      <c r="G73" s="130" t="n"/>
      <c r="H73" s="131" t="n"/>
    </row>
    <row r="74" ht="22" customHeight="1">
      <c r="A74" s="132" t="n"/>
      <c r="B74" s="130" t="n"/>
      <c r="C74" s="130" t="n"/>
      <c r="D74" s="131" t="n"/>
      <c r="E74" s="132" t="n"/>
      <c r="F74" s="130" t="n"/>
      <c r="G74" s="130" t="n"/>
      <c r="H74" s="131" t="n"/>
    </row>
    <row r="75" ht="22" customHeight="1">
      <c r="A75" s="132" t="n"/>
      <c r="B75" s="130" t="n"/>
      <c r="C75" s="130" t="n"/>
      <c r="D75" s="131" t="n"/>
      <c r="E75" s="132" t="n"/>
      <c r="F75" s="130" t="n"/>
      <c r="G75" s="130" t="n"/>
      <c r="H75" s="131" t="n"/>
    </row>
    <row r="76" ht="22" customHeight="1">
      <c r="A76" s="133" t="n"/>
      <c r="B76" s="134" t="n"/>
      <c r="C76" s="134" t="n"/>
      <c r="D76" s="135" t="n"/>
      <c r="E76" s="133" t="n"/>
      <c r="F76" s="134" t="n"/>
      <c r="G76" s="134" t="n"/>
      <c r="H76" s="135" t="n"/>
    </row>
  </sheetData>
  <mergeCells count="46">
    <mergeCell ref="B11:D11"/>
    <mergeCell ref="F18:H18"/>
    <mergeCell ref="C15:D15"/>
    <mergeCell ref="B8:D8"/>
    <mergeCell ref="G11:H11"/>
    <mergeCell ref="C14:D14"/>
    <mergeCell ref="F2:H2"/>
    <mergeCell ref="F17:H17"/>
    <mergeCell ref="A1:H1"/>
    <mergeCell ref="G8:H8"/>
    <mergeCell ref="A67:D76"/>
    <mergeCell ref="B10:D10"/>
    <mergeCell ref="E66:H66"/>
    <mergeCell ref="E67:H76"/>
    <mergeCell ref="G7:H7"/>
    <mergeCell ref="F13:H13"/>
    <mergeCell ref="B16:E16"/>
    <mergeCell ref="B9:D9"/>
    <mergeCell ref="C17:E17"/>
    <mergeCell ref="G6:H6"/>
    <mergeCell ref="A18:B18"/>
    <mergeCell ref="B6:D6"/>
    <mergeCell ref="G3:H3"/>
    <mergeCell ref="B5:D5"/>
    <mergeCell ref="F14:H14"/>
    <mergeCell ref="C19:E19"/>
    <mergeCell ref="B4:D4"/>
    <mergeCell ref="G5:H5"/>
    <mergeCell ref="C18:E18"/>
    <mergeCell ref="A17:B17"/>
    <mergeCell ref="B7:D7"/>
    <mergeCell ref="A32:H32"/>
    <mergeCell ref="A22:H22"/>
    <mergeCell ref="A66:D66"/>
    <mergeCell ref="G4:H4"/>
    <mergeCell ref="F16:H16"/>
    <mergeCell ref="B3:D3"/>
    <mergeCell ref="F19:H19"/>
    <mergeCell ref="A12:D12"/>
    <mergeCell ref="A19:B19"/>
    <mergeCell ref="A20:H20"/>
    <mergeCell ref="A52:H52"/>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64">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64">
    <cfRule type="expression" priority="16" dxfId="20">
      <formula>LEFT($H23,3)="N/A"</formula>
    </cfRule>
  </conditionalFormatting>
  <conditionalFormatting sqref="D23:D64">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F09 MH0753 11-Oct-26 HAN-KUL Class BC</oddHeader>
    <oddFooter>&amp;L&amp;"Arial,Bold"&amp;8 F09 MH0753 11-Oct-26 HAN-KUL Class BC&amp;C&amp;"Arial"&amp;8 Printed: ____________________&amp;R&amp;"Arial"&amp;8 F09  Page &amp;P of &amp;N</oddFooter>
    <evenHeader/>
    <evenFooter/>
    <firstHeader/>
    <firstFooter/>
  </headerFooter>
  <rowBreaks count="2" manualBreakCount="2">
    <brk id="20" min="0" max="16383" man="1"/>
    <brk id="33" min="0" max="16383" man="1"/>
  </rowBreaks>
</worksheet>
</file>

<file path=xl/worksheets/sheet18.xml><?xml version="1.0" encoding="utf-8"?>
<worksheet xmlns="http://schemas.openxmlformats.org/spreadsheetml/2006/main">
  <sheetPr>
    <tabColor rgb="001F3864"/>
    <outlinePr summaryBelow="1" summaryRight="1"/>
    <pageSetUpPr fitToPage="1"/>
  </sheetPr>
  <dimension ref="A1:H7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F10  "&amp;Flights!$F$14&amp;"  "&amp;TEXT(Flights!$D$14,"DD-MMM-YY")&amp;" ("&amp;Flights!$E$14&amp;")  "&amp;Flights!$G$14&amp;" → "&amp;Flights!$H$14&amp;"  |  Class "&amp;Flights!$K$14</f>
        <v/>
      </c>
      <c r="B1" s="97" t="n"/>
      <c r="C1" s="97" t="n"/>
      <c r="D1" s="97" t="n"/>
      <c r="E1" s="97" t="n"/>
      <c r="F1" s="97" t="n"/>
      <c r="G1" s="97" t="n"/>
      <c r="H1" s="98" t="n"/>
    </row>
    <row r="2" ht="13" customHeight="1">
      <c r="A2" s="99" t="inlineStr">
        <is>
          <t>Flight / date</t>
        </is>
      </c>
      <c r="B2" s="100">
        <f>Flights!$F$14&amp;"   "&amp;TEXT(Flights!$D$14,"DD-MMM-YY")&amp;" ("&amp;Flights!$E$14&amp;")"</f>
        <v/>
      </c>
      <c r="C2" s="97" t="n"/>
      <c r="D2" s="98" t="n"/>
      <c r="E2" s="101" t="inlineStr">
        <is>
          <t>READINESS STATUS</t>
        </is>
      </c>
      <c r="F2" s="102">
        <f>Flights!$AT$14</f>
        <v/>
      </c>
      <c r="G2" s="97" t="n"/>
      <c r="H2" s="98" t="n"/>
    </row>
    <row r="3" ht="24" customHeight="1">
      <c r="A3" s="99" t="inlineStr">
        <is>
          <t>Sector / class / seat</t>
        </is>
      </c>
      <c r="B3" s="100">
        <f>Flights!$G$14&amp;" → "&amp;Flights!$H$14&amp;"   Class "&amp;Flights!$K$14&amp;"   Seat "&amp;Flights!$O$14</f>
        <v/>
      </c>
      <c r="C3" s="97" t="n"/>
      <c r="D3" s="98" t="n"/>
      <c r="E3" s="101" t="inlineStr">
        <is>
          <t>Checkpoint</t>
        </is>
      </c>
      <c r="F3" s="101" t="inlineStr">
        <is>
          <t>Due (local)</t>
        </is>
      </c>
      <c r="G3" s="103" t="inlineStr">
        <is>
          <t>% complete</t>
        </is>
      </c>
      <c r="H3" s="98" t="n"/>
    </row>
    <row r="4" ht="13" customHeight="1">
      <c r="A4" s="99" t="inlineStr">
        <is>
          <t>STD → STA (local)</t>
        </is>
      </c>
      <c r="B4" s="100">
        <f>IF(ISNUMBER(Flights!$I$14),TEXT(Flights!$I$14,"DD-MMM-YY HH:MM"),"")&amp;" "&amp;Flights!$G$14&amp;"  →  "&amp;IF(ISNUMBER(Flights!$J$14),TEXT(Flights!$J$14,"DD-MMM-YY HH:MM"),"")&amp;" "&amp;Flights!$H$14</f>
        <v/>
      </c>
      <c r="C4" s="97" t="n"/>
      <c r="D4" s="98" t="n"/>
      <c r="E4" s="99" t="inlineStr">
        <is>
          <t>T-7D – 7 days before departure</t>
        </is>
      </c>
      <c r="F4" s="104">
        <f>IF(ISNUMBER(Flights!$AG$14),TEXT(Flights!$AG$14,"DD-MMM-YY HH:MM"),"")&amp;" "&amp;Flights!$V$14</f>
        <v/>
      </c>
      <c r="G4" s="105">
        <f>Flights!$AJ$14</f>
        <v/>
      </c>
      <c r="H4" s="98" t="n"/>
    </row>
    <row r="5" ht="24" customHeight="1">
      <c r="A5" s="99" t="inlineStr">
        <is>
          <t>Fleet / aircraft ref</t>
        </is>
      </c>
      <c r="B5" s="100">
        <f>Flights!$L$14&amp;" – "&amp;Flights!$M$14</f>
        <v/>
      </c>
      <c r="C5" s="97" t="n"/>
      <c r="D5" s="98" t="n"/>
      <c r="E5" s="99" t="inlineStr">
        <is>
          <t>T-24H – production batch sensory</t>
        </is>
      </c>
      <c r="F5" s="104">
        <f>IF(ISNUMBER(Flights!$AH$14),TEXT(Flights!$AH$14,"DD-MMM-YY HH:MM"),"")&amp;" "&amp;Flights!$V$14</f>
        <v/>
      </c>
      <c r="G5" s="105">
        <f>Flights!$AK$14</f>
        <v/>
      </c>
      <c r="H5" s="98" t="n"/>
    </row>
    <row r="6" ht="13" customHeight="1">
      <c r="A6" s="99" t="inlineStr">
        <is>
          <t>Tail / Reg</t>
        </is>
      </c>
      <c r="B6" s="100">
        <f>IF(TRIM(Flights!$N$14)="","__________________",Flights!$N$14)</f>
        <v/>
      </c>
      <c r="C6" s="97" t="n"/>
      <c r="D6" s="98" t="n"/>
      <c r="E6" s="99" t="inlineStr">
        <is>
          <t>T-12H PREP – caterer prep only</t>
        </is>
      </c>
      <c r="F6" s="104">
        <f>IF(ISNUMBER(Flights!$AI$14),TEXT(Flights!$AI$14,"DD-MMM-YY HH:MM"),"")&amp;" "&amp;Flights!$V$14&amp;IF(Flights!$AI$14=Flights!$AH$14,"  (= T-24H due)","")</f>
        <v/>
      </c>
      <c r="G6" s="105">
        <f>Flights!$AL$14</f>
        <v/>
      </c>
      <c r="H6" s="98" t="n"/>
    </row>
    <row r="7" ht="13" customHeight="1">
      <c r="A7" s="99" t="inlineStr">
        <is>
          <t>Service type</t>
        </is>
      </c>
      <c r="B7" s="100">
        <f>Flights!$T$14</f>
        <v/>
      </c>
      <c r="C7" s="97" t="n"/>
      <c r="D7" s="98" t="n"/>
      <c r="E7" s="99" t="inlineStr">
        <is>
          <t>UPLIFT – on-board confirmation</t>
        </is>
      </c>
      <c r="F7" s="104">
        <f>"STD "&amp;IF(ISNUMBER(Flights!$I$14),TEXT(Flights!$I$14,"DD-MMM-YY HH:MM"),"")&amp;" "&amp;Flights!$G$14&amp;" (dep stn)"</f>
        <v/>
      </c>
      <c r="G7" s="105">
        <f>Flights!$AM$14</f>
        <v/>
      </c>
      <c r="H7" s="98" t="n"/>
    </row>
    <row r="8" ht="13" customHeight="1">
      <c r="A8" s="99" t="inlineStr">
        <is>
          <t>Meal uplift stn</t>
        </is>
      </c>
      <c r="B8" s="100">
        <f>Flights!$V$14&amp;"   (reference uplift stns: "&amp;Flights!$U$14&amp;")"</f>
        <v/>
      </c>
      <c r="C8" s="97" t="n"/>
      <c r="D8" s="98" t="n"/>
      <c r="E8" s="99" t="inlineStr">
        <is>
          <t>OVERALL (all checkpoints)</t>
        </is>
      </c>
      <c r="F8" s="106" t="inlineStr">
        <is>
          <t>–</t>
        </is>
      </c>
      <c r="G8" s="105">
        <f>Flights!$AN$14</f>
        <v/>
      </c>
      <c r="H8" s="98" t="n"/>
    </row>
    <row r="9" ht="13" customHeight="1">
      <c r="A9" s="99" t="inlineStr">
        <is>
          <t>Transit / remark</t>
        </is>
      </c>
      <c r="B9" s="100">
        <f>TRIM(Flights!$P$14&amp;"  "&amp;Flights!$Q$14)</f>
        <v/>
      </c>
      <c r="C9" s="97" t="n"/>
      <c r="D9" s="98" t="n"/>
      <c r="E9" s="99" t="inlineStr">
        <is>
          <t>Overdue / discrep. / invalid</t>
        </is>
      </c>
      <c r="F9" s="107">
        <f>Flights!$AP$14</f>
        <v/>
      </c>
      <c r="G9" s="107">
        <f>Flights!$AQ$14</f>
        <v/>
      </c>
      <c r="H9" s="107">
        <f>Flights!$AU$14</f>
        <v/>
      </c>
    </row>
    <row r="10" ht="13" customHeight="1">
      <c r="A10" s="99" t="inlineStr">
        <is>
          <t>Caterer</t>
        </is>
      </c>
      <c r="B10" s="100">
        <f>IF(TRIM(Flights!$X$14)="","__________________",Flights!$X$14)</f>
        <v/>
      </c>
      <c r="C10" s="97" t="n"/>
      <c r="D10" s="98" t="n"/>
      <c r="E10" s="99" t="inlineStr">
        <is>
          <t>Open reqd / clarif. / docs out</t>
        </is>
      </c>
      <c r="F10" s="107">
        <f>Flights!$AO$14</f>
        <v/>
      </c>
      <c r="G10" s="107">
        <f>Flights!$AS$14</f>
        <v/>
      </c>
      <c r="H10" s="107">
        <f>Flights!$AR$14</f>
        <v/>
      </c>
    </row>
    <row r="11" ht="13" customHeight="1">
      <c r="A11" s="99" t="inlineStr">
        <is>
          <t>Flight PIC</t>
        </is>
      </c>
      <c r="B11" s="100">
        <f>IF(TRIM(Flights!$Y$14)="","__________________",Flights!$Y$14)</f>
        <v/>
      </c>
      <c r="C11" s="97" t="n"/>
      <c r="D11" s="98" t="n"/>
      <c r="E11" s="99" t="inlineStr">
        <is>
          <t>Done / in scope | as of UTC</t>
        </is>
      </c>
      <c r="F11" s="107">
        <f>Flights!$AV$14&amp;" / "&amp;Flights!$AW$14</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IF(Documents!$F$14="","",Documents!$F$14)</f>
        <v/>
      </c>
      <c r="C14" s="115">
        <f>IF(Documents!$G$14="","",Documents!$G$14)&amp;IF(ISNUMBER(Documents!$H$14),"  "&amp;TEXT(Documents!$H$14,"DD-MMM-YY"),"")</f>
        <v/>
      </c>
      <c r="D14" s="98" t="n"/>
      <c r="E14" s="116">
        <f>IF(Documents!$J$14="OUTSTANDING","OUTSTANDING – attach before T-7D (due "&amp;IF(ISNUMBER(Flights!$AG$14),TEXT(Flights!$AG$14,"DD-MMM-YY HH:MM"),"")&amp;" "&amp;Flights!$V$14&amp;")",IF(Documents!$J$14="","Status not recorded",Documents!$J$14))</f>
        <v/>
      </c>
      <c r="F14" s="117">
        <f>"Staple behind this sheet as page A1."&amp;IF(Documents!$I$14="",""," Location: "&amp;Documents!$I$14)</f>
        <v/>
      </c>
      <c r="G14" s="97" t="n"/>
      <c r="H14" s="98" t="n"/>
    </row>
    <row r="15" ht="25" customHeight="1">
      <c r="A15" s="99" t="inlineStr">
        <is>
          <t>A2  Menu Checklist</t>
        </is>
      </c>
      <c r="B15" s="114">
        <f>IF(Documents!$K$14="","",Documents!$K$14)</f>
        <v/>
      </c>
      <c r="C15" s="115">
        <f>IF(Documents!$L$14="","",Documents!$L$14)&amp;IF(ISNUMBER(Documents!$M$14),"  "&amp;TEXT(Documents!$M$14,"DD-MMM-YY"),"")</f>
        <v/>
      </c>
      <c r="D15" s="98" t="n"/>
      <c r="E15" s="116">
        <f>IF(Documents!$O$14="OUTSTANDING","OUTSTANDING – attach before T-7D (due "&amp;IF(ISNUMBER(Flights!$AG$14),TEXT(Flights!$AG$14,"DD-MMM-YY HH:MM"),"")&amp;" "&amp;Flights!$V$14&amp;")",IF(Documents!$O$14="","Status not recorded",Documents!$O$14))</f>
        <v/>
      </c>
      <c r="F15" s="117">
        <f>"Staple behind this sheet as page A2."&amp;IF(Documents!$N$14="",""," Location: "&amp;Documents!$N$14)</f>
        <v/>
      </c>
      <c r="G15" s="97" t="n"/>
      <c r="H15" s="98" t="n"/>
    </row>
    <row r="16" ht="33" customHeight="1">
      <c r="A16" s="99" t="inlineStr">
        <is>
          <t>Document notes</t>
        </is>
      </c>
      <c r="B16" s="118">
        <f>IF(Documents!$Q$14="","",Documents!$Q$14)</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"&amp;IF(TRIM(Flights!$Y$14)="","__________________",Flights!$Y$14)</f>
        <v/>
      </c>
      <c r="B18" s="98" t="n"/>
      <c r="C18" s="100">
        <f>"Name: __________________"</f>
        <v/>
      </c>
      <c r="D18" s="97" t="n"/>
      <c r="E18" s="98" t="n"/>
      <c r="F18" s="100">
        <f>"Name: __________________"&amp;"   Station: "&amp;Flights!$V$14</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"&amp;IF(ISNUMBER(Flights!$AG$14),TEXT(Flights!$AG$14,"DD-MMM-YY HH:MM"),"")&amp;" "&amp;Flights!$V$14&amp;" (meal uplift stn)"&amp;" (rows with another due show their own)  |  Complete "&amp;IF(ISNUMBER(Flights!$AJ$14),TEXT(Flights!$AJ$14,"0%"),Flights!$AJ$14)&amp;"  |  9 lines"</f>
        <v/>
      </c>
      <c r="B22" s="97" t="n"/>
      <c r="C22" s="97" t="n"/>
      <c r="D22" s="97" t="n"/>
      <c r="E22" s="97" t="n"/>
      <c r="F22" s="97" t="n"/>
      <c r="G22" s="97" t="n"/>
      <c r="H22" s="98" t="n"/>
    </row>
    <row r="23" ht="81" customHeight="1">
      <c r="A23" s="124">
        <f>Checks!$A$322&amp;CHAR(10)&amp;IF(Checks!$I$322="","",Checks!$I$322&amp;": ")&amp;Checks!$J$322</f>
        <v/>
      </c>
      <c r="B23" s="124">
        <f>Checks!$K$322&amp;IF(Checks!$O$322="","",IF(Checks!$K$322="","",CHAR(10))&amp;"Note: "&amp;Checks!$O$322)</f>
        <v/>
      </c>
      <c r="C23" s="124">
        <f>Checks!$N$322&amp;CHAR(10)&amp;IF(ISNUMBER(Checks!$R$322),TEXT(Checks!$R$322,"DD-MMM-YY HH:MM"),"")&amp;" "&amp;Checks!$P$322</f>
        <v/>
      </c>
      <c r="D23" s="124">
        <f>IF(Checks!$U$322="","",Checks!$U$322)&amp;IF(Checks!$AB$322="","",CHAR(10)&amp;"CA: "&amp;Checks!$AB$322)</f>
        <v/>
      </c>
      <c r="E23" s="124">
        <f>IF(Checks!$V$322="","",Checks!$V$322)&amp;IF(Checks!$AC$322="","",IF(Checks!$V$322="","",CHAR(10))&amp;"N/A just.: "&amp;Checks!$AC$322)&amp;IF(Checks!$W$322="","",CHAR(10)&amp;"Batch: "&amp;Checks!$W$322)&amp;IF(AND(Checks!$X$322="",Checks!$Y$322=""),"",CHAR(10)&amp;"Exp: "&amp;Checks!$X$322&amp;"  /  Act: "&amp;Checks!$Y$322)</f>
        <v/>
      </c>
      <c r="F23" s="124">
        <f>IF(Checks!$Z$322="","","Evidence: "&amp;Checks!$Z$322)&amp;IF(Checks!$AA$322="","",IF(Checks!$Z$322="","",CHAR(10))&amp;"CA: "&amp;Checks!$AA$322)</f>
        <v/>
      </c>
      <c r="G23" s="124">
        <f>IF(ISNUMBER(Checks!$AD$322),TEXT(Checks!$AD$322,"DD-MMM-YY HH:MM")&amp;" "&amp;Checks!$P$322,"")&amp;IF(Checks!$AE$322="","",CHAR(10)&amp;Checks!$AE$322)</f>
        <v/>
      </c>
      <c r="H23" s="125">
        <f>IF(Checks!$AH$322="","",Checks!$AH$322)</f>
        <v/>
      </c>
    </row>
    <row r="24" ht="114" customHeight="1">
      <c r="A24" s="124">
        <f>Checks!$A$323&amp;CHAR(10)&amp;IF(Checks!$I$323="","",Checks!$I$323&amp;": ")&amp;Checks!$J$323</f>
        <v/>
      </c>
      <c r="B24" s="124">
        <f>Checks!$K$323&amp;IF(Checks!$O$323="","",IF(Checks!$K$323="","",CHAR(10))&amp;"Note: "&amp;Checks!$O$323)</f>
        <v/>
      </c>
      <c r="C24" s="124">
        <f>Checks!$N$323&amp;CHAR(10)&amp;IF(ISNUMBER(Checks!$R$323),TEXT(Checks!$R$323,"DD-MMM-YY HH:MM"),"")&amp;" "&amp;Checks!$P$323</f>
        <v/>
      </c>
      <c r="D24" s="124">
        <f>IF(Checks!$U$323="","",Checks!$U$323)&amp;IF(Checks!$AB$323="","",CHAR(10)&amp;"CA: "&amp;Checks!$AB$323)</f>
        <v/>
      </c>
      <c r="E24" s="124">
        <f>IF(Checks!$V$323="","",Checks!$V$323)&amp;IF(Checks!$AC$323="","",IF(Checks!$V$323="","",CHAR(10))&amp;"N/A just.: "&amp;Checks!$AC$323)&amp;IF(Checks!$W$323="","",CHAR(10)&amp;"Batch: "&amp;Checks!$W$323)&amp;IF(AND(Checks!$X$323="",Checks!$Y$323=""),"",CHAR(10)&amp;"Exp: "&amp;Checks!$X$323&amp;"  /  Act: "&amp;Checks!$Y$323)</f>
        <v/>
      </c>
      <c r="F24" s="124">
        <f>IF(Checks!$Z$323="","","Evidence: "&amp;Checks!$Z$323)&amp;IF(Checks!$AA$323="","",IF(Checks!$Z$323="","",CHAR(10))&amp;"CA: "&amp;Checks!$AA$323)</f>
        <v/>
      </c>
      <c r="G24" s="124">
        <f>IF(ISNUMBER(Checks!$AD$323),TEXT(Checks!$AD$323,"DD-MMM-YY HH:MM")&amp;" "&amp;Checks!$P$323,"")&amp;IF(Checks!$AE$323="","",CHAR(10)&amp;Checks!$AE$323)</f>
        <v/>
      </c>
      <c r="H24" s="125">
        <f>IF(Checks!$AH$323="","",Checks!$AH$323)</f>
        <v/>
      </c>
    </row>
    <row r="25" ht="92" customHeight="1">
      <c r="A25" s="124">
        <f>Checks!$A$324&amp;CHAR(10)&amp;IF(Checks!$I$324="","",Checks!$I$324&amp;": ")&amp;Checks!$J$324</f>
        <v/>
      </c>
      <c r="B25" s="124">
        <f>Checks!$K$324&amp;IF(Checks!$O$324="","",IF(Checks!$K$324="","",CHAR(10))&amp;"Note: "&amp;Checks!$O$324)</f>
        <v/>
      </c>
      <c r="C25" s="124">
        <f>Checks!$N$324&amp;CHAR(10)&amp;IF(ISNUMBER(Checks!$R$324),TEXT(Checks!$R$324,"DD-MMM-YY HH:MM"),"")&amp;" "&amp;Checks!$P$324</f>
        <v/>
      </c>
      <c r="D25" s="124">
        <f>IF(Checks!$U$324="","",Checks!$U$324)&amp;IF(Checks!$AB$324="","",CHAR(10)&amp;"CA: "&amp;Checks!$AB$324)</f>
        <v/>
      </c>
      <c r="E25" s="124">
        <f>IF(Checks!$V$324="","",Checks!$V$324)&amp;IF(Checks!$AC$324="","",IF(Checks!$V$324="","",CHAR(10))&amp;"N/A just.: "&amp;Checks!$AC$324)&amp;IF(Checks!$W$324="","",CHAR(10)&amp;"Batch: "&amp;Checks!$W$324)&amp;IF(AND(Checks!$X$324="",Checks!$Y$324=""),"",CHAR(10)&amp;"Exp: "&amp;Checks!$X$324&amp;"  /  Act: "&amp;Checks!$Y$324)</f>
        <v/>
      </c>
      <c r="F25" s="124">
        <f>IF(Checks!$Z$324="","","Evidence: "&amp;Checks!$Z$324)&amp;IF(Checks!$AA$324="","",IF(Checks!$Z$324="","",CHAR(10))&amp;"CA: "&amp;Checks!$AA$324)</f>
        <v/>
      </c>
      <c r="G25" s="124">
        <f>IF(ISNUMBER(Checks!$AD$324),TEXT(Checks!$AD$324,"DD-MMM-YY HH:MM")&amp;" "&amp;Checks!$P$324,"")&amp;IF(Checks!$AE$324="","",CHAR(10)&amp;Checks!$AE$324)</f>
        <v/>
      </c>
      <c r="H25" s="125">
        <f>IF(Checks!$AH$324="","",Checks!$AH$324)</f>
        <v/>
      </c>
    </row>
    <row r="26" ht="81" customHeight="1">
      <c r="A26" s="124">
        <f>Checks!$A$325&amp;CHAR(10)&amp;IF(Checks!$I$325="","",Checks!$I$325&amp;": ")&amp;Checks!$J$325</f>
        <v/>
      </c>
      <c r="B26" s="124">
        <f>Checks!$K$325&amp;IF(Checks!$O$325="","",IF(Checks!$K$325="","",CHAR(10))&amp;"Note: "&amp;Checks!$O$325)</f>
        <v/>
      </c>
      <c r="C26" s="124">
        <f>Checks!$N$325&amp;CHAR(10)&amp;IF(ISNUMBER(Checks!$R$325),TEXT(Checks!$R$325,"DD-MMM-YY HH:MM"),"")&amp;" "&amp;Checks!$P$325</f>
        <v/>
      </c>
      <c r="D26" s="124">
        <f>IF(Checks!$U$325="","",Checks!$U$325)&amp;IF(Checks!$AB$325="","",CHAR(10)&amp;"CA: "&amp;Checks!$AB$325)</f>
        <v/>
      </c>
      <c r="E26" s="124">
        <f>IF(Checks!$V$325="","",Checks!$V$325)&amp;IF(Checks!$AC$325="","",IF(Checks!$V$325="","",CHAR(10))&amp;"N/A just.: "&amp;Checks!$AC$325)&amp;IF(Checks!$W$325="","",CHAR(10)&amp;"Batch: "&amp;Checks!$W$325)&amp;IF(AND(Checks!$X$325="",Checks!$Y$325=""),"",CHAR(10)&amp;"Exp: "&amp;Checks!$X$325&amp;"  /  Act: "&amp;Checks!$Y$325)</f>
        <v/>
      </c>
      <c r="F26" s="124">
        <f>IF(Checks!$Z$325="","","Evidence: "&amp;Checks!$Z$325)&amp;IF(Checks!$AA$325="","",IF(Checks!$Z$325="","",CHAR(10))&amp;"CA: "&amp;Checks!$AA$325)</f>
        <v/>
      </c>
      <c r="G26" s="124">
        <f>IF(ISNUMBER(Checks!$AD$325),TEXT(Checks!$AD$325,"DD-MMM-YY HH:MM")&amp;" "&amp;Checks!$P$325,"")&amp;IF(Checks!$AE$325="","",CHAR(10)&amp;Checks!$AE$325)</f>
        <v/>
      </c>
      <c r="H26" s="125">
        <f>IF(Checks!$AH$325="","",Checks!$AH$325)</f>
        <v/>
      </c>
    </row>
    <row r="27" ht="81" customHeight="1">
      <c r="A27" s="124">
        <f>Checks!$A$326&amp;CHAR(10)&amp;IF(Checks!$I$326="","",Checks!$I$326&amp;": ")&amp;Checks!$J$326</f>
        <v/>
      </c>
      <c r="B27" s="124">
        <f>Checks!$K$326&amp;IF(Checks!$O$326="","",IF(Checks!$K$326="","",CHAR(10))&amp;"Note: "&amp;Checks!$O$326)</f>
        <v/>
      </c>
      <c r="C27" s="124">
        <f>Checks!$N$326&amp;CHAR(10)&amp;IF(ISNUMBER(Checks!$R$326),TEXT(Checks!$R$326,"DD-MMM-YY HH:MM"),"")&amp;" "&amp;Checks!$P$326</f>
        <v/>
      </c>
      <c r="D27" s="124">
        <f>IF(Checks!$U$326="","",Checks!$U$326)&amp;IF(Checks!$AB$326="","",CHAR(10)&amp;"CA: "&amp;Checks!$AB$326)</f>
        <v/>
      </c>
      <c r="E27" s="124">
        <f>IF(Checks!$V$326="","",Checks!$V$326)&amp;IF(Checks!$AC$326="","",IF(Checks!$V$326="","",CHAR(10))&amp;"N/A just.: "&amp;Checks!$AC$326)&amp;IF(Checks!$W$326="","",CHAR(10)&amp;"Batch: "&amp;Checks!$W$326)&amp;IF(AND(Checks!$X$326="",Checks!$Y$326=""),"",CHAR(10)&amp;"Exp: "&amp;Checks!$X$326&amp;"  /  Act: "&amp;Checks!$Y$326)</f>
        <v/>
      </c>
      <c r="F27" s="124">
        <f>IF(Checks!$Z$326="","","Evidence: "&amp;Checks!$Z$326)&amp;IF(Checks!$AA$326="","",IF(Checks!$Z$326="","",CHAR(10))&amp;"CA: "&amp;Checks!$AA$326)</f>
        <v/>
      </c>
      <c r="G27" s="124">
        <f>IF(ISNUMBER(Checks!$AD$326),TEXT(Checks!$AD$326,"DD-MMM-YY HH:MM")&amp;" "&amp;Checks!$P$326,"")&amp;IF(Checks!$AE$326="","",CHAR(10)&amp;Checks!$AE$326)</f>
        <v/>
      </c>
      <c r="H27" s="125">
        <f>IF(Checks!$AH$326="","",Checks!$AH$326)</f>
        <v/>
      </c>
    </row>
    <row r="28" ht="81" customHeight="1">
      <c r="A28" s="124">
        <f>Checks!$A$327&amp;CHAR(10)&amp;IF(Checks!$I$327="","",Checks!$I$327&amp;": ")&amp;Checks!$J$327</f>
        <v/>
      </c>
      <c r="B28" s="124">
        <f>Checks!$K$327&amp;IF(Checks!$O$327="","",IF(Checks!$K$327="","",CHAR(10))&amp;"Note: "&amp;Checks!$O$327)</f>
        <v/>
      </c>
      <c r="C28" s="124">
        <f>Checks!$N$327&amp;CHAR(10)&amp;IF(ISNUMBER(Checks!$R$327),TEXT(Checks!$R$327,"DD-MMM-YY HH:MM"),"")&amp;" "&amp;Checks!$P$327</f>
        <v/>
      </c>
      <c r="D28" s="124">
        <f>IF(Checks!$U$327="","",Checks!$U$327)&amp;IF(Checks!$AB$327="","",CHAR(10)&amp;"CA: "&amp;Checks!$AB$327)</f>
        <v/>
      </c>
      <c r="E28" s="124">
        <f>IF(Checks!$V$327="","",Checks!$V$327)&amp;IF(Checks!$AC$327="","",IF(Checks!$V$327="","",CHAR(10))&amp;"N/A just.: "&amp;Checks!$AC$327)&amp;IF(Checks!$W$327="","",CHAR(10)&amp;"Batch: "&amp;Checks!$W$327)&amp;IF(AND(Checks!$X$327="",Checks!$Y$327=""),"",CHAR(10)&amp;"Exp: "&amp;Checks!$X$327&amp;"  /  Act: "&amp;Checks!$Y$327)</f>
        <v/>
      </c>
      <c r="F28" s="124">
        <f>IF(Checks!$Z$327="","","Evidence: "&amp;Checks!$Z$327)&amp;IF(Checks!$AA$327="","",IF(Checks!$Z$327="","",CHAR(10))&amp;"CA: "&amp;Checks!$AA$327)</f>
        <v/>
      </c>
      <c r="G28" s="124">
        <f>IF(ISNUMBER(Checks!$AD$327),TEXT(Checks!$AD$327,"DD-MMM-YY HH:MM")&amp;" "&amp;Checks!$P$327,"")&amp;IF(Checks!$AE$327="","",CHAR(10)&amp;Checks!$AE$327)</f>
        <v/>
      </c>
      <c r="H28" s="125">
        <f>IF(Checks!$AH$327="","",Checks!$AH$327)</f>
        <v/>
      </c>
    </row>
    <row r="29" ht="81" customHeight="1">
      <c r="A29" s="124">
        <f>Checks!$A$328&amp;CHAR(10)&amp;IF(Checks!$I$328="","",Checks!$I$328&amp;": ")&amp;Checks!$J$328</f>
        <v/>
      </c>
      <c r="B29" s="124">
        <f>Checks!$K$328&amp;IF(Checks!$O$328="","",IF(Checks!$K$328="","",CHAR(10))&amp;"Note: "&amp;Checks!$O$328)</f>
        <v/>
      </c>
      <c r="C29" s="124">
        <f>Checks!$N$328&amp;CHAR(10)&amp;IF(ISNUMBER(Checks!$R$328),TEXT(Checks!$R$328,"DD-MMM-YY HH:MM"),"")&amp;" "&amp;Checks!$P$328</f>
        <v/>
      </c>
      <c r="D29" s="124">
        <f>IF(Checks!$U$328="","",Checks!$U$328)&amp;IF(Checks!$AB$328="","",CHAR(10)&amp;"CA: "&amp;Checks!$AB$328)</f>
        <v/>
      </c>
      <c r="E29" s="124">
        <f>IF(Checks!$V$328="","",Checks!$V$328)&amp;IF(Checks!$AC$328="","",IF(Checks!$V$328="","",CHAR(10))&amp;"N/A just.: "&amp;Checks!$AC$328)&amp;IF(Checks!$W$328="","",CHAR(10)&amp;"Batch: "&amp;Checks!$W$328)&amp;IF(AND(Checks!$X$328="",Checks!$Y$328=""),"",CHAR(10)&amp;"Exp: "&amp;Checks!$X$328&amp;"  /  Act: "&amp;Checks!$Y$328)</f>
        <v/>
      </c>
      <c r="F29" s="124">
        <f>IF(Checks!$Z$328="","","Evidence: "&amp;Checks!$Z$328)&amp;IF(Checks!$AA$328="","",IF(Checks!$Z$328="","",CHAR(10))&amp;"CA: "&amp;Checks!$AA$328)</f>
        <v/>
      </c>
      <c r="G29" s="124">
        <f>IF(ISNUMBER(Checks!$AD$328),TEXT(Checks!$AD$328,"DD-MMM-YY HH:MM")&amp;" "&amp;Checks!$P$328,"")&amp;IF(Checks!$AE$328="","",CHAR(10)&amp;Checks!$AE$328)</f>
        <v/>
      </c>
      <c r="H29" s="125">
        <f>IF(Checks!$AH$328="","",Checks!$AH$328)</f>
        <v/>
      </c>
    </row>
    <row r="30" ht="81" customHeight="1">
      <c r="A30" s="124">
        <f>Checks!$A$329&amp;CHAR(10)&amp;IF(Checks!$I$329="","",Checks!$I$329&amp;": ")&amp;Checks!$J$329</f>
        <v/>
      </c>
      <c r="B30" s="124">
        <f>Checks!$K$329&amp;IF(Checks!$O$329="","",IF(Checks!$K$329="","",CHAR(10))&amp;"Note: "&amp;Checks!$O$329)</f>
        <v/>
      </c>
      <c r="C30" s="124">
        <f>Checks!$N$329&amp;CHAR(10)&amp;IF(ISNUMBER(Checks!$R$329),TEXT(Checks!$R$329,"DD-MMM-YY HH:MM"),"")&amp;" "&amp;Checks!$P$329</f>
        <v/>
      </c>
      <c r="D30" s="124">
        <f>IF(Checks!$U$329="","",Checks!$U$329)&amp;IF(Checks!$AB$329="","",CHAR(10)&amp;"CA: "&amp;Checks!$AB$329)</f>
        <v/>
      </c>
      <c r="E30" s="124">
        <f>IF(Checks!$V$329="","",Checks!$V$329)&amp;IF(Checks!$AC$329="","",IF(Checks!$V$329="","",CHAR(10))&amp;"N/A just.: "&amp;Checks!$AC$329)&amp;IF(Checks!$W$329="","",CHAR(10)&amp;"Batch: "&amp;Checks!$W$329)&amp;IF(AND(Checks!$X$329="",Checks!$Y$329=""),"",CHAR(10)&amp;"Exp: "&amp;Checks!$X$329&amp;"  /  Act: "&amp;Checks!$Y$329)</f>
        <v/>
      </c>
      <c r="F30" s="124">
        <f>IF(Checks!$Z$329="","","Evidence: "&amp;Checks!$Z$329)&amp;IF(Checks!$AA$329="","",IF(Checks!$Z$329="","",CHAR(10))&amp;"CA: "&amp;Checks!$AA$329)</f>
        <v/>
      </c>
      <c r="G30" s="124">
        <f>IF(ISNUMBER(Checks!$AD$329),TEXT(Checks!$AD$329,"DD-MMM-YY HH:MM")&amp;" "&amp;Checks!$P$329,"")&amp;IF(Checks!$AE$329="","",CHAR(10)&amp;Checks!$AE$329)</f>
        <v/>
      </c>
      <c r="H30" s="125">
        <f>IF(Checks!$AH$329="","",Checks!$AH$329)</f>
        <v/>
      </c>
    </row>
    <row r="31" ht="81" customHeight="1">
      <c r="A31" s="124">
        <f>Checks!$A$330&amp;CHAR(10)&amp;IF(Checks!$I$330="","",Checks!$I$330&amp;": ")&amp;Checks!$J$330</f>
        <v/>
      </c>
      <c r="B31" s="124">
        <f>Checks!$K$330&amp;IF(Checks!$O$330="","",IF(Checks!$K$330="","",CHAR(10))&amp;"Note: "&amp;Checks!$O$330)</f>
        <v/>
      </c>
      <c r="C31" s="124">
        <f>Checks!$N$330&amp;CHAR(10)&amp;IF(ISNUMBER(Checks!$R$330),TEXT(Checks!$R$330,"DD-MMM-YY HH:MM"),"")&amp;" "&amp;Checks!$P$330</f>
        <v/>
      </c>
      <c r="D31" s="124">
        <f>IF(Checks!$U$330="","",Checks!$U$330)&amp;IF(Checks!$AB$330="","",CHAR(10)&amp;"CA: "&amp;Checks!$AB$330)</f>
        <v/>
      </c>
      <c r="E31" s="124">
        <f>IF(Checks!$V$330="","",Checks!$V$330)&amp;IF(Checks!$AC$330="","",IF(Checks!$V$330="","",CHAR(10))&amp;"N/A just.: "&amp;Checks!$AC$330)&amp;IF(Checks!$W$330="","",CHAR(10)&amp;"Batch: "&amp;Checks!$W$330)&amp;IF(AND(Checks!$X$330="",Checks!$Y$330=""),"",CHAR(10)&amp;"Exp: "&amp;Checks!$X$330&amp;"  /  Act: "&amp;Checks!$Y$330)</f>
        <v/>
      </c>
      <c r="F31" s="124">
        <f>IF(Checks!$Z$330="","","Evidence: "&amp;Checks!$Z$330)&amp;IF(Checks!$AA$330="","",IF(Checks!$Z$330="","",CHAR(10))&amp;"CA: "&amp;Checks!$AA$330)</f>
        <v/>
      </c>
      <c r="G31" s="124">
        <f>IF(ISNUMBER(Checks!$AD$330),TEXT(Checks!$AD$330,"DD-MMM-YY HH:MM")&amp;" "&amp;Checks!$P$330,"")&amp;IF(Checks!$AE$330="","",CHAR(10)&amp;Checks!$AE$330)</f>
        <v/>
      </c>
      <c r="H31" s="125">
        <f>IF(Checks!$AH$330="","",Checks!$AH$330)</f>
        <v/>
      </c>
    </row>
    <row r="32" ht="26" customHeight="1">
      <c r="A32" s="123">
        <f>"T-24H — Production batch sensory  |  Due "&amp;IF(ISNUMBER(Flights!$AH$14),TEXT(Flights!$AH$14,"DD-MMM-YY HH:MM"),"")&amp;" "&amp;Flights!$V$14&amp;" (meal uplift stn)"&amp;" (rows with another due show their own)  |  Complete "&amp;IF(ISNUMBER(Flights!$AK$14),TEXT(Flights!$AK$14,"0%"),Flights!$AK$14)&amp;"  |  1 lines"</f>
        <v/>
      </c>
      <c r="B32" s="97" t="n"/>
      <c r="C32" s="97" t="n"/>
      <c r="D32" s="97" t="n"/>
      <c r="E32" s="97" t="n"/>
      <c r="F32" s="97" t="n"/>
      <c r="G32" s="97" t="n"/>
      <c r="H32" s="98" t="n"/>
    </row>
    <row r="33" ht="81" customHeight="1">
      <c r="A33" s="124">
        <f>Checks!$A$331&amp;CHAR(10)&amp;IF(Checks!$I$331="","",Checks!$I$331&amp;": ")&amp;Checks!$J$331</f>
        <v/>
      </c>
      <c r="B33" s="124">
        <f>Checks!$K$331&amp;IF(Checks!$O$331="","",IF(Checks!$K$331="","",CHAR(10))&amp;"Note: "&amp;Checks!$O$331)</f>
        <v/>
      </c>
      <c r="C33" s="124">
        <f>Checks!$N$331&amp;CHAR(10)&amp;IF(ISNUMBER(Checks!$R$331),TEXT(Checks!$R$331,"DD-MMM-YY HH:MM"),"")&amp;" "&amp;Checks!$P$331</f>
        <v/>
      </c>
      <c r="D33" s="124">
        <f>IF(Checks!$U$331="","",Checks!$U$331)&amp;IF(Checks!$AB$331="","",CHAR(10)&amp;"CA: "&amp;Checks!$AB$331)</f>
        <v/>
      </c>
      <c r="E33" s="124">
        <f>IF(Checks!$V$331="","",Checks!$V$331)&amp;IF(Checks!$AC$331="","",IF(Checks!$V$331="","",CHAR(10))&amp;"N/A just.: "&amp;Checks!$AC$331)&amp;IF(Checks!$W$331="","",CHAR(10)&amp;"Batch: "&amp;Checks!$W$331)&amp;IF(AND(Checks!$X$331="",Checks!$Y$331=""),"",CHAR(10)&amp;"Exp: "&amp;Checks!$X$331&amp;"  /  Act: "&amp;Checks!$Y$331)</f>
        <v/>
      </c>
      <c r="F33" s="124">
        <f>IF(Checks!$Z$331="","","Evidence: "&amp;Checks!$Z$331)&amp;IF(Checks!$AA$331="","",IF(Checks!$Z$331="","",CHAR(10))&amp;"CA: "&amp;Checks!$AA$331)</f>
        <v/>
      </c>
      <c r="G33" s="124">
        <f>IF(ISNUMBER(Checks!$AD$331),TEXT(Checks!$AD$331,"DD-MMM-YY HH:MM")&amp;" "&amp;Checks!$P$331,"")&amp;IF(Checks!$AE$331="","",CHAR(10)&amp;Checks!$AE$331)</f>
        <v/>
      </c>
      <c r="H33" s="125">
        <f>IF(Checks!$AH$331="","",Checks!$AH$331)</f>
        <v/>
      </c>
    </row>
    <row r="34" ht="26" customHeight="1">
      <c r="A34" s="123">
        <f>"T-12H PREP — Preparation check at caterer (does NOT confirm loading)  |  Due "&amp;IF(ISNUMBER(Flights!$AI$14),TEXT(Flights!$AI$14,"DD-MMM-YY HH:MM"),"")&amp;" "&amp;Flights!$V$14&amp;" (meal uplift stn)"&amp;" (rows with another due show their own)  |  Complete "&amp;IF(ISNUMBER(Flights!$AL$14),TEXT(Flights!$AL$14,"0%"),Flights!$AL$14)&amp;"  |  15 lines"</f>
        <v/>
      </c>
      <c r="B34" s="97" t="n"/>
      <c r="C34" s="97" t="n"/>
      <c r="D34" s="97" t="n"/>
      <c r="E34" s="97" t="n"/>
      <c r="F34" s="97" t="n"/>
      <c r="G34" s="97" t="n"/>
      <c r="H34" s="98" t="n"/>
    </row>
    <row r="35" ht="81" customHeight="1">
      <c r="A35" s="124">
        <f>Checks!$A$332&amp;CHAR(10)&amp;IF(Checks!$I$332="","",Checks!$I$332&amp;": ")&amp;Checks!$J$332</f>
        <v/>
      </c>
      <c r="B35" s="124">
        <f>Checks!$K$332&amp;IF(Checks!$O$332="","",IF(Checks!$K$332="","",CHAR(10))&amp;"Note: "&amp;Checks!$O$332)</f>
        <v/>
      </c>
      <c r="C35" s="124">
        <f>Checks!$N$332&amp;CHAR(10)&amp;IF(ISNUMBER(Checks!$R$332),TEXT(Checks!$R$332,"DD-MMM-YY HH:MM"),"")&amp;" "&amp;Checks!$P$332</f>
        <v/>
      </c>
      <c r="D35" s="124">
        <f>IF(Checks!$U$332="","",Checks!$U$332)&amp;IF(Checks!$AB$332="","",CHAR(10)&amp;"CA: "&amp;Checks!$AB$332)</f>
        <v/>
      </c>
      <c r="E35" s="124">
        <f>IF(Checks!$V$332="","",Checks!$V$332)&amp;IF(Checks!$AC$332="","",IF(Checks!$V$332="","",CHAR(10))&amp;"N/A just.: "&amp;Checks!$AC$332)&amp;IF(Checks!$W$332="","",CHAR(10)&amp;"Batch: "&amp;Checks!$W$332)&amp;IF(AND(Checks!$X$332="",Checks!$Y$332=""),"",CHAR(10)&amp;"Exp: "&amp;Checks!$X$332&amp;"  /  Act: "&amp;Checks!$Y$332)</f>
        <v/>
      </c>
      <c r="F35" s="124">
        <f>IF(Checks!$Z$332="","","Evidence: "&amp;Checks!$Z$332)&amp;IF(Checks!$AA$332="","",IF(Checks!$Z$332="","",CHAR(10))&amp;"CA: "&amp;Checks!$AA$332)</f>
        <v/>
      </c>
      <c r="G35" s="124">
        <f>IF(ISNUMBER(Checks!$AD$332),TEXT(Checks!$AD$332,"DD-MMM-YY HH:MM")&amp;" "&amp;Checks!$P$332,"")&amp;IF(Checks!$AE$332="","",CHAR(10)&amp;Checks!$AE$332)</f>
        <v/>
      </c>
      <c r="H35" s="125">
        <f>IF(Checks!$AH$332="","",Checks!$AH$332)</f>
        <v/>
      </c>
    </row>
    <row r="36" ht="81" customHeight="1">
      <c r="A36" s="124">
        <f>Checks!$A$333&amp;CHAR(10)&amp;IF(Checks!$I$333="","",Checks!$I$333&amp;": ")&amp;Checks!$J$333</f>
        <v/>
      </c>
      <c r="B36" s="124">
        <f>Checks!$K$333&amp;IF(Checks!$O$333="","",IF(Checks!$K$333="","",CHAR(10))&amp;"Note: "&amp;Checks!$O$333)</f>
        <v/>
      </c>
      <c r="C36" s="124">
        <f>Checks!$N$333&amp;CHAR(10)&amp;IF(ISNUMBER(Checks!$R$333),TEXT(Checks!$R$333,"DD-MMM-YY HH:MM"),"")&amp;" "&amp;Checks!$P$333</f>
        <v/>
      </c>
      <c r="D36" s="124">
        <f>IF(Checks!$U$333="","",Checks!$U$333)&amp;IF(Checks!$AB$333="","",CHAR(10)&amp;"CA: "&amp;Checks!$AB$333)</f>
        <v/>
      </c>
      <c r="E36" s="124">
        <f>IF(Checks!$V$333="","",Checks!$V$333)&amp;IF(Checks!$AC$333="","",IF(Checks!$V$333="","",CHAR(10))&amp;"N/A just.: "&amp;Checks!$AC$333)&amp;IF(Checks!$W$333="","",CHAR(10)&amp;"Batch: "&amp;Checks!$W$333)&amp;IF(AND(Checks!$X$333="",Checks!$Y$333=""),"",CHAR(10)&amp;"Exp: "&amp;Checks!$X$333&amp;"  /  Act: "&amp;Checks!$Y$333)</f>
        <v/>
      </c>
      <c r="F36" s="124">
        <f>IF(Checks!$Z$333="","","Evidence: "&amp;Checks!$Z$333)&amp;IF(Checks!$AA$333="","",IF(Checks!$Z$333="","",CHAR(10))&amp;"CA: "&amp;Checks!$AA$333)</f>
        <v/>
      </c>
      <c r="G36" s="124">
        <f>IF(ISNUMBER(Checks!$AD$333),TEXT(Checks!$AD$333,"DD-MMM-YY HH:MM")&amp;" "&amp;Checks!$P$333,"")&amp;IF(Checks!$AE$333="","",CHAR(10)&amp;Checks!$AE$333)</f>
        <v/>
      </c>
      <c r="H36" s="125">
        <f>IF(Checks!$AH$333="","",Checks!$AH$333)</f>
        <v/>
      </c>
    </row>
    <row r="37" ht="81" customHeight="1">
      <c r="A37" s="124">
        <f>Checks!$A$334&amp;CHAR(10)&amp;IF(Checks!$I$334="","",Checks!$I$334&amp;": ")&amp;Checks!$J$334</f>
        <v/>
      </c>
      <c r="B37" s="124">
        <f>Checks!$K$334&amp;IF(Checks!$O$334="","",IF(Checks!$K$334="","",CHAR(10))&amp;"Note: "&amp;Checks!$O$334)</f>
        <v/>
      </c>
      <c r="C37" s="124">
        <f>Checks!$N$334&amp;CHAR(10)&amp;IF(ISNUMBER(Checks!$R$334),TEXT(Checks!$R$334,"DD-MMM-YY HH:MM"),"")&amp;" "&amp;Checks!$P$334</f>
        <v/>
      </c>
      <c r="D37" s="124">
        <f>IF(Checks!$U$334="","",Checks!$U$334)&amp;IF(Checks!$AB$334="","",CHAR(10)&amp;"CA: "&amp;Checks!$AB$334)</f>
        <v/>
      </c>
      <c r="E37" s="124">
        <f>IF(Checks!$V$334="","",Checks!$V$334)&amp;IF(Checks!$AC$334="","",IF(Checks!$V$334="","",CHAR(10))&amp;"N/A just.: "&amp;Checks!$AC$334)&amp;IF(Checks!$W$334="","",CHAR(10)&amp;"Batch: "&amp;Checks!$W$334)&amp;IF(AND(Checks!$X$334="",Checks!$Y$334=""),"",CHAR(10)&amp;"Exp: "&amp;Checks!$X$334&amp;"  /  Act: "&amp;Checks!$Y$334)</f>
        <v/>
      </c>
      <c r="F37" s="124">
        <f>IF(Checks!$Z$334="","","Evidence: "&amp;Checks!$Z$334)&amp;IF(Checks!$AA$334="","",IF(Checks!$Z$334="","",CHAR(10))&amp;"CA: "&amp;Checks!$AA$334)</f>
        <v/>
      </c>
      <c r="G37" s="124">
        <f>IF(ISNUMBER(Checks!$AD$334),TEXT(Checks!$AD$334,"DD-MMM-YY HH:MM")&amp;" "&amp;Checks!$P$334,"")&amp;IF(Checks!$AE$334="","",CHAR(10)&amp;Checks!$AE$334)</f>
        <v/>
      </c>
      <c r="H37" s="125">
        <f>IF(Checks!$AH$334="","",Checks!$AH$334)</f>
        <v/>
      </c>
    </row>
    <row r="38" ht="81" customHeight="1">
      <c r="A38" s="124">
        <f>Checks!$A$335&amp;CHAR(10)&amp;IF(Checks!$I$335="","",Checks!$I$335&amp;": ")&amp;Checks!$J$335</f>
        <v/>
      </c>
      <c r="B38" s="124">
        <f>Checks!$K$335&amp;IF(Checks!$O$335="","",IF(Checks!$K$335="","",CHAR(10))&amp;"Note: "&amp;Checks!$O$335)</f>
        <v/>
      </c>
      <c r="C38" s="124">
        <f>Checks!$N$335&amp;CHAR(10)&amp;IF(ISNUMBER(Checks!$R$335),TEXT(Checks!$R$335,"DD-MMM-YY HH:MM"),"")&amp;" "&amp;Checks!$P$335</f>
        <v/>
      </c>
      <c r="D38" s="124">
        <f>IF(Checks!$U$335="","",Checks!$U$335)&amp;IF(Checks!$AB$335="","",CHAR(10)&amp;"CA: "&amp;Checks!$AB$335)</f>
        <v/>
      </c>
      <c r="E38" s="124">
        <f>IF(Checks!$V$335="","",Checks!$V$335)&amp;IF(Checks!$AC$335="","",IF(Checks!$V$335="","",CHAR(10))&amp;"N/A just.: "&amp;Checks!$AC$335)&amp;IF(Checks!$W$335="","",CHAR(10)&amp;"Batch: "&amp;Checks!$W$335)&amp;IF(AND(Checks!$X$335="",Checks!$Y$335=""),"",CHAR(10)&amp;"Exp: "&amp;Checks!$X$335&amp;"  /  Act: "&amp;Checks!$Y$335)</f>
        <v/>
      </c>
      <c r="F38" s="124">
        <f>IF(Checks!$Z$335="","","Evidence: "&amp;Checks!$Z$335)&amp;IF(Checks!$AA$335="","",IF(Checks!$Z$335="","",CHAR(10))&amp;"CA: "&amp;Checks!$AA$335)</f>
        <v/>
      </c>
      <c r="G38" s="124">
        <f>IF(ISNUMBER(Checks!$AD$335),TEXT(Checks!$AD$335,"DD-MMM-YY HH:MM")&amp;" "&amp;Checks!$P$335,"")&amp;IF(Checks!$AE$335="","",CHAR(10)&amp;Checks!$AE$335)</f>
        <v/>
      </c>
      <c r="H38" s="125">
        <f>IF(Checks!$AH$335="","",Checks!$AH$335)</f>
        <v/>
      </c>
    </row>
    <row r="39" ht="81" customHeight="1">
      <c r="A39" s="124">
        <f>Checks!$A$336&amp;CHAR(10)&amp;IF(Checks!$I$336="","",Checks!$I$336&amp;": ")&amp;Checks!$J$336</f>
        <v/>
      </c>
      <c r="B39" s="124">
        <f>Checks!$K$336&amp;IF(Checks!$O$336="","",IF(Checks!$K$336="","",CHAR(10))&amp;"Note: "&amp;Checks!$O$336)</f>
        <v/>
      </c>
      <c r="C39" s="124">
        <f>Checks!$N$336&amp;CHAR(10)&amp;IF(ISNUMBER(Checks!$R$336),TEXT(Checks!$R$336,"DD-MMM-YY HH:MM"),"")&amp;" "&amp;Checks!$P$336</f>
        <v/>
      </c>
      <c r="D39" s="124">
        <f>IF(Checks!$U$336="","",Checks!$U$336)&amp;IF(Checks!$AB$336="","",CHAR(10)&amp;"CA: "&amp;Checks!$AB$336)</f>
        <v/>
      </c>
      <c r="E39" s="124">
        <f>IF(Checks!$V$336="","",Checks!$V$336)&amp;IF(Checks!$AC$336="","",IF(Checks!$V$336="","",CHAR(10))&amp;"N/A just.: "&amp;Checks!$AC$336)&amp;IF(Checks!$W$336="","",CHAR(10)&amp;"Batch: "&amp;Checks!$W$336)&amp;IF(AND(Checks!$X$336="",Checks!$Y$336=""),"",CHAR(10)&amp;"Exp: "&amp;Checks!$X$336&amp;"  /  Act: "&amp;Checks!$Y$336)</f>
        <v/>
      </c>
      <c r="F39" s="124">
        <f>IF(Checks!$Z$336="","","Evidence: "&amp;Checks!$Z$336)&amp;IF(Checks!$AA$336="","",IF(Checks!$Z$336="","",CHAR(10))&amp;"CA: "&amp;Checks!$AA$336)</f>
        <v/>
      </c>
      <c r="G39" s="124">
        <f>IF(ISNUMBER(Checks!$AD$336),TEXT(Checks!$AD$336,"DD-MMM-YY HH:MM")&amp;" "&amp;Checks!$P$336,"")&amp;IF(Checks!$AE$336="","",CHAR(10)&amp;Checks!$AE$336)</f>
        <v/>
      </c>
      <c r="H39" s="125">
        <f>IF(Checks!$AH$336="","",Checks!$AH$336)</f>
        <v/>
      </c>
    </row>
    <row r="40" ht="158" customHeight="1">
      <c r="A40" s="124">
        <f>Checks!$A$337&amp;CHAR(10)&amp;IF(Checks!$I$337="","",Checks!$I$337&amp;": ")&amp;Checks!$J$337</f>
        <v/>
      </c>
      <c r="B40" s="124">
        <f>SUBSTITUTE(Checks!$K$337&amp;IF(Checks!$O$337="","",IF(Checks!$K$337="","",CHAR(10))&amp;"Note: "&amp;Checks!$O$337),"AIRCRAFT TYPE!","Ref: AIRCRAFT TYPE!")</f>
        <v/>
      </c>
      <c r="C40" s="124">
        <f>Checks!$N$337&amp;CHAR(10)&amp;IF(ISNUMBER(Checks!$R$337),TEXT(Checks!$R$337,"DD-MMM-YY HH:MM"),"")&amp;" "&amp;Checks!$P$337</f>
        <v/>
      </c>
      <c r="D40" s="124">
        <f>IF(Checks!$U$337="","",Checks!$U$337)&amp;IF(Checks!$AB$337="","",CHAR(10)&amp;"CA: "&amp;Checks!$AB$337)</f>
        <v/>
      </c>
      <c r="E40" s="124">
        <f>IF(Checks!$V$337="","",Checks!$V$337)&amp;IF(Checks!$AC$337="","",IF(Checks!$V$337="","",CHAR(10))&amp;"N/A just.: "&amp;Checks!$AC$337)&amp;IF(Checks!$W$337="","",CHAR(10)&amp;"Batch: "&amp;Checks!$W$337)&amp;IF(AND(Checks!$X$337="",Checks!$Y$337=""),"",CHAR(10)&amp;"Exp: "&amp;Checks!$X$337&amp;"  /  Act: "&amp;Checks!$Y$337)</f>
        <v/>
      </c>
      <c r="F40" s="124">
        <f>IF(Checks!$Z$337="","","Evidence: "&amp;Checks!$Z$337)&amp;IF(Checks!$AA$337="","",IF(Checks!$Z$337="","",CHAR(10))&amp;"CA: "&amp;Checks!$AA$337)</f>
        <v/>
      </c>
      <c r="G40" s="124">
        <f>IF(ISNUMBER(Checks!$AD$337),TEXT(Checks!$AD$337,"DD-MMM-YY HH:MM")&amp;" "&amp;Checks!$P$337,"")&amp;IF(Checks!$AE$337="","",CHAR(10)&amp;Checks!$AE$337)</f>
        <v/>
      </c>
      <c r="H40" s="125">
        <f>IF(Checks!$AH$337="","",Checks!$AH$337)</f>
        <v/>
      </c>
    </row>
    <row r="41" ht="81" customHeight="1">
      <c r="A41" s="124">
        <f>Checks!$A$338&amp;CHAR(10)&amp;IF(Checks!$I$338="","",Checks!$I$338&amp;": ")&amp;Checks!$J$338</f>
        <v/>
      </c>
      <c r="B41" s="124">
        <f>Checks!$K$338&amp;IF(Checks!$O$338="","",IF(Checks!$K$338="","",CHAR(10))&amp;"Note: "&amp;Checks!$O$338)</f>
        <v/>
      </c>
      <c r="C41" s="124">
        <f>Checks!$N$338&amp;CHAR(10)&amp;IF(ISNUMBER(Checks!$R$338),TEXT(Checks!$R$338,"DD-MMM-YY HH:MM"),"")&amp;" "&amp;Checks!$P$338</f>
        <v/>
      </c>
      <c r="D41" s="124">
        <f>IF(Checks!$U$338="","",Checks!$U$338)&amp;IF(Checks!$AB$338="","",CHAR(10)&amp;"CA: "&amp;Checks!$AB$338)</f>
        <v/>
      </c>
      <c r="E41" s="124">
        <f>IF(Checks!$V$338="","",Checks!$V$338)&amp;IF(Checks!$AC$338="","",IF(Checks!$V$338="","",CHAR(10))&amp;"N/A just.: "&amp;Checks!$AC$338)&amp;IF(Checks!$W$338="","",CHAR(10)&amp;"Batch: "&amp;Checks!$W$338)&amp;IF(AND(Checks!$X$338="",Checks!$Y$338=""),"",CHAR(10)&amp;"Exp: "&amp;Checks!$X$338&amp;"  /  Act: "&amp;Checks!$Y$338)</f>
        <v/>
      </c>
      <c r="F41" s="124">
        <f>IF(Checks!$Z$338="","","Evidence: "&amp;Checks!$Z$338)&amp;IF(Checks!$AA$338="","",IF(Checks!$Z$338="","",CHAR(10))&amp;"CA: "&amp;Checks!$AA$338)</f>
        <v/>
      </c>
      <c r="G41" s="124">
        <f>IF(ISNUMBER(Checks!$AD$338),TEXT(Checks!$AD$338,"DD-MMM-YY HH:MM")&amp;" "&amp;Checks!$P$338,"")&amp;IF(Checks!$AE$338="","",CHAR(10)&amp;Checks!$AE$338)</f>
        <v/>
      </c>
      <c r="H41" s="125">
        <f>IF(Checks!$AH$338="","",Checks!$AH$338)</f>
        <v/>
      </c>
    </row>
    <row r="42" ht="147" customHeight="1">
      <c r="A42" s="124">
        <f>Checks!$A$339&amp;CHAR(10)&amp;IF(Checks!$I$339="","",Checks!$I$339&amp;": ")&amp;Checks!$J$339</f>
        <v/>
      </c>
      <c r="B42" s="124">
        <f>Checks!$K$339&amp;IF(Checks!$O$339="","",IF(Checks!$K$339="","",CHAR(10))&amp;"Note: "&amp;Checks!$O$339)</f>
        <v/>
      </c>
      <c r="C42" s="124">
        <f>Checks!$N$339&amp;CHAR(10)&amp;IF(ISNUMBER(Checks!$R$339),TEXT(Checks!$R$339,"DD-MMM-YY HH:MM"),"")&amp;" "&amp;Checks!$P$339</f>
        <v/>
      </c>
      <c r="D42" s="124">
        <f>IF(Checks!$U$339="","",Checks!$U$339)&amp;IF(Checks!$AB$339="","",CHAR(10)&amp;"CA: "&amp;Checks!$AB$339)</f>
        <v/>
      </c>
      <c r="E42" s="124">
        <f>IF(Checks!$V$339="","",Checks!$V$339)&amp;IF(Checks!$AC$339="","",IF(Checks!$V$339="","",CHAR(10))&amp;"N/A just.: "&amp;Checks!$AC$339)&amp;IF(Checks!$W$339="","",CHAR(10)&amp;"Batch: "&amp;Checks!$W$339)&amp;IF(AND(Checks!$X$339="",Checks!$Y$339=""),"",CHAR(10)&amp;"Exp: "&amp;Checks!$X$339&amp;"  /  Act: "&amp;Checks!$Y$339)</f>
        <v/>
      </c>
      <c r="F42" s="124">
        <f>IF(Checks!$Z$339="","","Evidence: "&amp;Checks!$Z$339)&amp;IF(Checks!$AA$339="","",IF(Checks!$Z$339="","",CHAR(10))&amp;"CA: "&amp;Checks!$AA$339)</f>
        <v/>
      </c>
      <c r="G42" s="124">
        <f>IF(ISNUMBER(Checks!$AD$339),TEXT(Checks!$AD$339,"DD-MMM-YY HH:MM")&amp;" "&amp;Checks!$P$339,"")&amp;IF(Checks!$AE$339="","",CHAR(10)&amp;Checks!$AE$339)</f>
        <v/>
      </c>
      <c r="H42" s="125">
        <f>IF(Checks!$AH$339="","",Checks!$AH$339)</f>
        <v/>
      </c>
    </row>
    <row r="43" ht="92" customHeight="1">
      <c r="A43" s="124">
        <f>Checks!$A$340&amp;CHAR(10)&amp;IF(Checks!$I$340="","",Checks!$I$340&amp;": ")&amp;Checks!$J$340</f>
        <v/>
      </c>
      <c r="B43" s="124">
        <f>Checks!$K$340&amp;IF(Checks!$O$340="","",IF(Checks!$K$340="","",CHAR(10))&amp;"Note: "&amp;Checks!$O$340)</f>
        <v/>
      </c>
      <c r="C43" s="124">
        <f>Checks!$N$340&amp;CHAR(10)&amp;IF(ISNUMBER(Checks!$R$340),TEXT(Checks!$R$340,"DD-MMM-YY HH:MM"),"")&amp;" "&amp;Checks!$P$340</f>
        <v/>
      </c>
      <c r="D43" s="124">
        <f>IF(Checks!$U$340="","",Checks!$U$340)&amp;IF(Checks!$AB$340="","",CHAR(10)&amp;"CA: "&amp;Checks!$AB$340)</f>
        <v/>
      </c>
      <c r="E43" s="124">
        <f>IF(Checks!$V$340="","",Checks!$V$340)&amp;IF(Checks!$AC$340="","",IF(Checks!$V$340="","",CHAR(10))&amp;"N/A just.: "&amp;Checks!$AC$340)&amp;IF(Checks!$W$340="","",CHAR(10)&amp;"Batch: "&amp;Checks!$W$340)&amp;IF(AND(Checks!$X$340="",Checks!$Y$340=""),"",CHAR(10)&amp;"Exp: "&amp;Checks!$X$340&amp;"  /  Act: "&amp;Checks!$Y$340)</f>
        <v/>
      </c>
      <c r="F43" s="124">
        <f>IF(Checks!$Z$340="","","Evidence: "&amp;Checks!$Z$340)&amp;IF(Checks!$AA$340="","",IF(Checks!$Z$340="","",CHAR(10))&amp;"CA: "&amp;Checks!$AA$340)</f>
        <v/>
      </c>
      <c r="G43" s="124">
        <f>IF(ISNUMBER(Checks!$AD$340),TEXT(Checks!$AD$340,"DD-MMM-YY HH:MM")&amp;" "&amp;Checks!$P$340,"")&amp;IF(Checks!$AE$340="","",CHAR(10)&amp;Checks!$AE$340)</f>
        <v/>
      </c>
      <c r="H43" s="125">
        <f>IF(Checks!$AH$340="","",Checks!$AH$340)</f>
        <v/>
      </c>
    </row>
    <row r="44" ht="92" customHeight="1">
      <c r="A44" s="124">
        <f>Checks!$A$341&amp;CHAR(10)&amp;IF(Checks!$I$341="","",Checks!$I$341&amp;": ")&amp;Checks!$J$341</f>
        <v/>
      </c>
      <c r="B44" s="124">
        <f>Checks!$K$341&amp;IF(Checks!$O$341="","",IF(Checks!$K$341="","",CHAR(10))&amp;"Note: "&amp;Checks!$O$341)</f>
        <v/>
      </c>
      <c r="C44" s="124">
        <f>Checks!$N$341&amp;CHAR(10)&amp;IF(ISNUMBER(Checks!$R$341),TEXT(Checks!$R$341,"DD-MMM-YY HH:MM"),"")&amp;" "&amp;Checks!$P$341</f>
        <v/>
      </c>
      <c r="D44" s="124">
        <f>IF(Checks!$U$341="","",Checks!$U$341)&amp;IF(Checks!$AB$341="","",CHAR(10)&amp;"CA: "&amp;Checks!$AB$341)</f>
        <v/>
      </c>
      <c r="E44" s="124">
        <f>IF(Checks!$V$341="","",Checks!$V$341)&amp;IF(Checks!$AC$341="","",IF(Checks!$V$341="","",CHAR(10))&amp;"N/A just.: "&amp;Checks!$AC$341)&amp;IF(Checks!$W$341="","",CHAR(10)&amp;"Batch: "&amp;Checks!$W$341)&amp;IF(AND(Checks!$X$341="",Checks!$Y$341=""),"",CHAR(10)&amp;"Exp: "&amp;Checks!$X$341&amp;"  /  Act: "&amp;Checks!$Y$341)</f>
        <v/>
      </c>
      <c r="F44" s="124">
        <f>IF(Checks!$Z$341="","","Evidence: "&amp;Checks!$Z$341)&amp;IF(Checks!$AA$341="","",IF(Checks!$Z$341="","",CHAR(10))&amp;"CA: "&amp;Checks!$AA$341)</f>
        <v/>
      </c>
      <c r="G44" s="124">
        <f>IF(ISNUMBER(Checks!$AD$341),TEXT(Checks!$AD$341,"DD-MMM-YY HH:MM")&amp;" "&amp;Checks!$P$341,"")&amp;IF(Checks!$AE$341="","",CHAR(10)&amp;Checks!$AE$341)</f>
        <v/>
      </c>
      <c r="H44" s="125">
        <f>IF(Checks!$AH$341="","",Checks!$AH$341)</f>
        <v/>
      </c>
    </row>
    <row r="45" ht="92" customHeight="1">
      <c r="A45" s="124">
        <f>Checks!$A$342&amp;CHAR(10)&amp;IF(Checks!$I$342="","",Checks!$I$342&amp;": ")&amp;Checks!$J$342</f>
        <v/>
      </c>
      <c r="B45" s="124">
        <f>Checks!$K$342&amp;IF(Checks!$O$342="","",IF(Checks!$K$342="","",CHAR(10))&amp;"Note: "&amp;Checks!$O$342)</f>
        <v/>
      </c>
      <c r="C45" s="124">
        <f>Checks!$N$342&amp;CHAR(10)&amp;IF(ISNUMBER(Checks!$R$342),TEXT(Checks!$R$342,"DD-MMM-YY HH:MM"),"")&amp;" "&amp;Checks!$P$342</f>
        <v/>
      </c>
      <c r="D45" s="124">
        <f>IF(Checks!$U$342="","",Checks!$U$342)&amp;IF(Checks!$AB$342="","",CHAR(10)&amp;"CA: "&amp;Checks!$AB$342)</f>
        <v/>
      </c>
      <c r="E45" s="124">
        <f>IF(Checks!$V$342="","",Checks!$V$342)&amp;IF(Checks!$AC$342="","",IF(Checks!$V$342="","",CHAR(10))&amp;"N/A just.: "&amp;Checks!$AC$342)&amp;IF(Checks!$W$342="","",CHAR(10)&amp;"Batch: "&amp;Checks!$W$342)&amp;IF(AND(Checks!$X$342="",Checks!$Y$342=""),"",CHAR(10)&amp;"Exp: "&amp;Checks!$X$342&amp;"  /  Act: "&amp;Checks!$Y$342)</f>
        <v/>
      </c>
      <c r="F45" s="124">
        <f>IF(Checks!$Z$342="","","Evidence: "&amp;Checks!$Z$342)&amp;IF(Checks!$AA$342="","",IF(Checks!$Z$342="","",CHAR(10))&amp;"CA: "&amp;Checks!$AA$342)</f>
        <v/>
      </c>
      <c r="G45" s="124">
        <f>IF(ISNUMBER(Checks!$AD$342),TEXT(Checks!$AD$342,"DD-MMM-YY HH:MM")&amp;" "&amp;Checks!$P$342,"")&amp;IF(Checks!$AE$342="","",CHAR(10)&amp;Checks!$AE$342)</f>
        <v/>
      </c>
      <c r="H45" s="125">
        <f>IF(Checks!$AH$342="","",Checks!$AH$342)</f>
        <v/>
      </c>
    </row>
    <row r="46" ht="103" customHeight="1">
      <c r="A46" s="124">
        <f>Checks!$A$343&amp;CHAR(10)&amp;IF(Checks!$I$343="","",Checks!$I$343&amp;": ")&amp;Checks!$J$343</f>
        <v/>
      </c>
      <c r="B46" s="124">
        <f>SUBSTITUTE(Checks!$K$343&amp;IF(Checks!$O$343="","",IF(Checks!$K$343="","",CHAR(10))&amp;"Note: "&amp;Checks!$O$343),"F&amp;B LINEN!","Ref: F&amp;B LINEN!")</f>
        <v/>
      </c>
      <c r="C46" s="124">
        <f>Checks!$N$343&amp;CHAR(10)&amp;IF(ISNUMBER(Checks!$R$343),TEXT(Checks!$R$343,"DD-MMM-YY HH:MM"),"")&amp;" "&amp;Checks!$P$343</f>
        <v/>
      </c>
      <c r="D46" s="124">
        <f>IF(Checks!$U$343="","",Checks!$U$343)&amp;IF(Checks!$AB$343="","",CHAR(10)&amp;"CA: "&amp;Checks!$AB$343)</f>
        <v/>
      </c>
      <c r="E46" s="124">
        <f>IF(Checks!$V$343="","",Checks!$V$343)&amp;IF(Checks!$AC$343="","",IF(Checks!$V$343="","",CHAR(10))&amp;"N/A just.: "&amp;Checks!$AC$343)&amp;IF(Checks!$W$343="","",CHAR(10)&amp;"Batch: "&amp;Checks!$W$343)&amp;IF(AND(Checks!$X$343="",Checks!$Y$343=""),"",CHAR(10)&amp;"Exp: "&amp;Checks!$X$343&amp;"  /  Act: "&amp;Checks!$Y$343)</f>
        <v/>
      </c>
      <c r="F46" s="124">
        <f>IF(Checks!$Z$343="","","Evidence: "&amp;Checks!$Z$343)&amp;IF(Checks!$AA$343="","",IF(Checks!$Z$343="","",CHAR(10))&amp;"CA: "&amp;Checks!$AA$343)</f>
        <v/>
      </c>
      <c r="G46" s="124">
        <f>IF(ISNUMBER(Checks!$AD$343),TEXT(Checks!$AD$343,"DD-MMM-YY HH:MM")&amp;" "&amp;Checks!$P$343,"")&amp;IF(Checks!$AE$343="","",CHAR(10)&amp;Checks!$AE$343)</f>
        <v/>
      </c>
      <c r="H46" s="125">
        <f>IF(Checks!$AH$343="","",Checks!$AH$343)</f>
        <v/>
      </c>
    </row>
    <row r="47" ht="92" customHeight="1">
      <c r="A47" s="124">
        <f>Checks!$A$344&amp;CHAR(10)&amp;IF(Checks!$I$344="","",Checks!$I$344&amp;": ")&amp;Checks!$J$344</f>
        <v/>
      </c>
      <c r="B47" s="124">
        <f>Checks!$K$344&amp;IF(Checks!$O$344="","",IF(Checks!$K$344="","",CHAR(10))&amp;"Note: "&amp;Checks!$O$344)</f>
        <v/>
      </c>
      <c r="C47" s="124">
        <f>Checks!$N$344&amp;CHAR(10)&amp;IF(ISNUMBER(Checks!$R$344),TEXT(Checks!$R$344,"DD-MMM-YY HH:MM"),"")&amp;" "&amp;Checks!$P$344</f>
        <v/>
      </c>
      <c r="D47" s="124">
        <f>IF(Checks!$U$344="","",Checks!$U$344)&amp;IF(Checks!$AB$344="","",CHAR(10)&amp;"CA: "&amp;Checks!$AB$344)</f>
        <v/>
      </c>
      <c r="E47" s="124">
        <f>IF(Checks!$V$344="","",Checks!$V$344)&amp;IF(Checks!$AC$344="","",IF(Checks!$V$344="","",CHAR(10))&amp;"N/A just.: "&amp;Checks!$AC$344)&amp;IF(Checks!$W$344="","",CHAR(10)&amp;"Batch: "&amp;Checks!$W$344)&amp;IF(AND(Checks!$X$344="",Checks!$Y$344=""),"",CHAR(10)&amp;"Exp: "&amp;Checks!$X$344&amp;"  /  Act: "&amp;Checks!$Y$344)</f>
        <v/>
      </c>
      <c r="F47" s="124">
        <f>IF(Checks!$Z$344="","","Evidence: "&amp;Checks!$Z$344)&amp;IF(Checks!$AA$344="","",IF(Checks!$Z$344="","",CHAR(10))&amp;"CA: "&amp;Checks!$AA$344)</f>
        <v/>
      </c>
      <c r="G47" s="124">
        <f>IF(ISNUMBER(Checks!$AD$344),TEXT(Checks!$AD$344,"DD-MMM-YY HH:MM")&amp;" "&amp;Checks!$P$344,"")&amp;IF(Checks!$AE$344="","",CHAR(10)&amp;Checks!$AE$344)</f>
        <v/>
      </c>
      <c r="H47" s="125">
        <f>IF(Checks!$AH$344="","",Checks!$AH$344)</f>
        <v/>
      </c>
    </row>
    <row r="48" ht="92" customHeight="1">
      <c r="A48" s="124">
        <f>Checks!$A$345&amp;CHAR(10)&amp;IF(Checks!$I$345="","",Checks!$I$345&amp;": ")&amp;Checks!$J$345</f>
        <v/>
      </c>
      <c r="B48" s="124">
        <f>Checks!$K$345&amp;IF(Checks!$O$345="","",IF(Checks!$K$345="","",CHAR(10))&amp;"Note: "&amp;Checks!$O$345)</f>
        <v/>
      </c>
      <c r="C48" s="124">
        <f>Checks!$N$345&amp;CHAR(10)&amp;IF(ISNUMBER(Checks!$R$345),TEXT(Checks!$R$345,"DD-MMM-YY HH:MM"),"")&amp;" "&amp;Checks!$P$345</f>
        <v/>
      </c>
      <c r="D48" s="124">
        <f>IF(Checks!$U$345="","",Checks!$U$345)&amp;IF(Checks!$AB$345="","",CHAR(10)&amp;"CA: "&amp;Checks!$AB$345)</f>
        <v/>
      </c>
      <c r="E48" s="124">
        <f>IF(Checks!$V$345="","",Checks!$V$345)&amp;IF(Checks!$AC$345="","",IF(Checks!$V$345="","",CHAR(10))&amp;"N/A just.: "&amp;Checks!$AC$345)&amp;IF(Checks!$W$345="","",CHAR(10)&amp;"Batch: "&amp;Checks!$W$345)&amp;IF(AND(Checks!$X$345="",Checks!$Y$345=""),"",CHAR(10)&amp;"Exp: "&amp;Checks!$X$345&amp;"  /  Act: "&amp;Checks!$Y$345)</f>
        <v/>
      </c>
      <c r="F48" s="124">
        <f>IF(Checks!$Z$345="","","Evidence: "&amp;Checks!$Z$345)&amp;IF(Checks!$AA$345="","",IF(Checks!$Z$345="","",CHAR(10))&amp;"CA: "&amp;Checks!$AA$345)</f>
        <v/>
      </c>
      <c r="G48" s="124">
        <f>IF(ISNUMBER(Checks!$AD$345),TEXT(Checks!$AD$345,"DD-MMM-YY HH:MM")&amp;" "&amp;Checks!$P$345,"")&amp;IF(Checks!$AE$345="","",CHAR(10)&amp;Checks!$AE$345)</f>
        <v/>
      </c>
      <c r="H48" s="125">
        <f>IF(Checks!$AH$345="","",Checks!$AH$345)</f>
        <v/>
      </c>
    </row>
    <row r="49" ht="92" customHeight="1">
      <c r="A49" s="124">
        <f>Checks!$A$346&amp;CHAR(10)&amp;IF(Checks!$I$346="","",Checks!$I$346&amp;": ")&amp;Checks!$J$346</f>
        <v/>
      </c>
      <c r="B49" s="124">
        <f>Checks!$K$346&amp;IF(Checks!$O$346="","",IF(Checks!$K$346="","",CHAR(10))&amp;"Note: "&amp;Checks!$O$346)</f>
        <v/>
      </c>
      <c r="C49" s="124">
        <f>Checks!$N$346&amp;CHAR(10)&amp;IF(ISNUMBER(Checks!$R$346),TEXT(Checks!$R$346,"DD-MMM-YY HH:MM"),"")&amp;" "&amp;Checks!$P$346</f>
        <v/>
      </c>
      <c r="D49" s="124">
        <f>IF(Checks!$U$346="","",Checks!$U$346)&amp;IF(Checks!$AB$346="","",CHAR(10)&amp;"CA: "&amp;Checks!$AB$346)</f>
        <v/>
      </c>
      <c r="E49" s="124">
        <f>IF(Checks!$V$346="","",Checks!$V$346)&amp;IF(Checks!$AC$346="","",IF(Checks!$V$346="","",CHAR(10))&amp;"N/A just.: "&amp;Checks!$AC$346)&amp;IF(Checks!$W$346="","",CHAR(10)&amp;"Batch: "&amp;Checks!$W$346)&amp;IF(AND(Checks!$X$346="",Checks!$Y$346=""),"",CHAR(10)&amp;"Exp: "&amp;Checks!$X$346&amp;"  /  Act: "&amp;Checks!$Y$346)</f>
        <v/>
      </c>
      <c r="F49" s="124">
        <f>IF(Checks!$Z$346="","","Evidence: "&amp;Checks!$Z$346)&amp;IF(Checks!$AA$346="","",IF(Checks!$Z$346="","",CHAR(10))&amp;"CA: "&amp;Checks!$AA$346)</f>
        <v/>
      </c>
      <c r="G49" s="124">
        <f>IF(ISNUMBER(Checks!$AD$346),TEXT(Checks!$AD$346,"DD-MMM-YY HH:MM")&amp;" "&amp;Checks!$P$346,"")&amp;IF(Checks!$AE$346="","",CHAR(10)&amp;Checks!$AE$346)</f>
        <v/>
      </c>
      <c r="H49" s="125">
        <f>IF(Checks!$AH$346="","",Checks!$AH$346)</f>
        <v/>
      </c>
    </row>
    <row r="50" ht="26" customHeight="1">
      <c r="A50" s="123">
        <f>"UPLIFT — Physical uplift – on-board confirmation before departure  |  Due "&amp;"STD "&amp;IF(ISNUMBER(Flights!$I$14),TEXT(Flights!$I$14,"DD-MMM-YY HH:MM"),"")&amp;" "&amp;Flights!$G$14&amp;" (departure stn)"&amp;" (rows with another due show their own)  |  Complete "&amp;IF(ISNUMBER(Flights!$AM$14),TEXT(Flights!$AM$14,"0%"),Flights!$AM$14)&amp;"  |  10 lines"</f>
        <v/>
      </c>
      <c r="B50" s="97" t="n"/>
      <c r="C50" s="97" t="n"/>
      <c r="D50" s="97" t="n"/>
      <c r="E50" s="97" t="n"/>
      <c r="F50" s="97" t="n"/>
      <c r="G50" s="97" t="n"/>
      <c r="H50" s="98" t="n"/>
    </row>
    <row r="51" ht="81" customHeight="1">
      <c r="A51" s="124">
        <f>Checks!$A$347&amp;CHAR(10)&amp;IF(Checks!$I$347="","",Checks!$I$347&amp;": ")&amp;Checks!$J$347</f>
        <v/>
      </c>
      <c r="B51" s="124">
        <f>Checks!$K$347&amp;IF(Checks!$O$347="","",IF(Checks!$K$347="","",CHAR(10))&amp;"Note: "&amp;Checks!$O$347)</f>
        <v/>
      </c>
      <c r="C51" s="124">
        <f>Checks!$N$347&amp;CHAR(10)&amp;IF(ISNUMBER(Checks!$R$347),TEXT(Checks!$R$347,"DD-MMM-YY HH:MM"),"")&amp;" "&amp;Checks!$P$347</f>
        <v/>
      </c>
      <c r="D51" s="124">
        <f>IF(Checks!$U$347="","",Checks!$U$347)&amp;IF(Checks!$AB$347="","",CHAR(10)&amp;"CA: "&amp;Checks!$AB$347)</f>
        <v/>
      </c>
      <c r="E51" s="124">
        <f>IF(Checks!$V$347="","",Checks!$V$347)&amp;IF(Checks!$AC$347="","",IF(Checks!$V$347="","",CHAR(10))&amp;"N/A just.: "&amp;Checks!$AC$347)&amp;IF(Checks!$W$347="","",CHAR(10)&amp;"Batch: "&amp;Checks!$W$347)&amp;IF(AND(Checks!$X$347="",Checks!$Y$347=""),"",CHAR(10)&amp;"Exp: "&amp;Checks!$X$347&amp;"  /  Act: "&amp;Checks!$Y$347)</f>
        <v/>
      </c>
      <c r="F51" s="124">
        <f>IF(Checks!$Z$347="","","Evidence: "&amp;Checks!$Z$347)&amp;IF(Checks!$AA$347="","",IF(Checks!$Z$347="","",CHAR(10))&amp;"CA: "&amp;Checks!$AA$347)</f>
        <v/>
      </c>
      <c r="G51" s="124">
        <f>IF(ISNUMBER(Checks!$AD$347),TEXT(Checks!$AD$347,"DD-MMM-YY HH:MM")&amp;" "&amp;Checks!$P$347,"")&amp;IF(Checks!$AE$347="","",CHAR(10)&amp;Checks!$AE$347)</f>
        <v/>
      </c>
      <c r="H51" s="125">
        <f>IF(Checks!$AH$347="","",Checks!$AH$347)</f>
        <v/>
      </c>
    </row>
    <row r="52" ht="81" customHeight="1">
      <c r="A52" s="124">
        <f>Checks!$A$348&amp;CHAR(10)&amp;IF(Checks!$I$348="","",Checks!$I$348&amp;": ")&amp;Checks!$J$348</f>
        <v/>
      </c>
      <c r="B52" s="124">
        <f>Checks!$K$348&amp;IF(Checks!$O$348="","",IF(Checks!$K$348="","",CHAR(10))&amp;"Note: "&amp;Checks!$O$348)</f>
        <v/>
      </c>
      <c r="C52" s="124">
        <f>Checks!$N$348&amp;CHAR(10)&amp;IF(ISNUMBER(Checks!$R$348),TEXT(Checks!$R$348,"DD-MMM-YY HH:MM"),"")&amp;" "&amp;Checks!$P$348</f>
        <v/>
      </c>
      <c r="D52" s="124">
        <f>IF(Checks!$U$348="","",Checks!$U$348)&amp;IF(Checks!$AB$348="","",CHAR(10)&amp;"CA: "&amp;Checks!$AB$348)</f>
        <v/>
      </c>
      <c r="E52" s="124">
        <f>IF(Checks!$V$348="","",Checks!$V$348)&amp;IF(Checks!$AC$348="","",IF(Checks!$V$348="","",CHAR(10))&amp;"N/A just.: "&amp;Checks!$AC$348)&amp;IF(Checks!$W$348="","",CHAR(10)&amp;"Batch: "&amp;Checks!$W$348)&amp;IF(AND(Checks!$X$348="",Checks!$Y$348=""),"",CHAR(10)&amp;"Exp: "&amp;Checks!$X$348&amp;"  /  Act: "&amp;Checks!$Y$348)</f>
        <v/>
      </c>
      <c r="F52" s="124">
        <f>IF(Checks!$Z$348="","","Evidence: "&amp;Checks!$Z$348)&amp;IF(Checks!$AA$348="","",IF(Checks!$Z$348="","",CHAR(10))&amp;"CA: "&amp;Checks!$AA$348)</f>
        <v/>
      </c>
      <c r="G52" s="124">
        <f>IF(ISNUMBER(Checks!$AD$348),TEXT(Checks!$AD$348,"DD-MMM-YY HH:MM")&amp;" "&amp;Checks!$P$348,"")&amp;IF(Checks!$AE$348="","",CHAR(10)&amp;Checks!$AE$348)</f>
        <v/>
      </c>
      <c r="H52" s="125">
        <f>IF(Checks!$AH$348="","",Checks!$AH$348)</f>
        <v/>
      </c>
    </row>
    <row r="53" ht="81" customHeight="1">
      <c r="A53" s="124">
        <f>Checks!$A$349&amp;CHAR(10)&amp;IF(Checks!$I$349="","",Checks!$I$349&amp;": ")&amp;Checks!$J$349</f>
        <v/>
      </c>
      <c r="B53" s="124">
        <f>Checks!$K$349&amp;IF(Checks!$O$349="","",IF(Checks!$K$349="","",CHAR(10))&amp;"Note: "&amp;Checks!$O$349)</f>
        <v/>
      </c>
      <c r="C53" s="124">
        <f>Checks!$N$349&amp;CHAR(10)&amp;IF(ISNUMBER(Checks!$R$349),TEXT(Checks!$R$349,"DD-MMM-YY HH:MM"),"")&amp;" "&amp;Checks!$P$349</f>
        <v/>
      </c>
      <c r="D53" s="124">
        <f>IF(Checks!$U$349="","",Checks!$U$349)&amp;IF(Checks!$AB$349="","",CHAR(10)&amp;"CA: "&amp;Checks!$AB$349)</f>
        <v/>
      </c>
      <c r="E53" s="124">
        <f>IF(Checks!$V$349="","",Checks!$V$349)&amp;IF(Checks!$AC$349="","",IF(Checks!$V$349="","",CHAR(10))&amp;"N/A just.: "&amp;Checks!$AC$349)&amp;IF(Checks!$W$349="","",CHAR(10)&amp;"Batch: "&amp;Checks!$W$349)&amp;IF(AND(Checks!$X$349="",Checks!$Y$349=""),"",CHAR(10)&amp;"Exp: "&amp;Checks!$X$349&amp;"  /  Act: "&amp;Checks!$Y$349)</f>
        <v/>
      </c>
      <c r="F53" s="124">
        <f>IF(Checks!$Z$349="","","Evidence: "&amp;Checks!$Z$349)&amp;IF(Checks!$AA$349="","",IF(Checks!$Z$349="","",CHAR(10))&amp;"CA: "&amp;Checks!$AA$349)</f>
        <v/>
      </c>
      <c r="G53" s="124">
        <f>IF(ISNUMBER(Checks!$AD$349),TEXT(Checks!$AD$349,"DD-MMM-YY HH:MM")&amp;" "&amp;Checks!$P$349,"")&amp;IF(Checks!$AE$349="","",CHAR(10)&amp;Checks!$AE$349)</f>
        <v/>
      </c>
      <c r="H53" s="125">
        <f>IF(Checks!$AH$349="","",Checks!$AH$349)</f>
        <v/>
      </c>
    </row>
    <row r="54" ht="81" customHeight="1">
      <c r="A54" s="124">
        <f>Checks!$A$350&amp;CHAR(10)&amp;IF(Checks!$I$350="","",Checks!$I$350&amp;": ")&amp;Checks!$J$350</f>
        <v/>
      </c>
      <c r="B54" s="124">
        <f>Checks!$K$350&amp;IF(Checks!$O$350="","",IF(Checks!$K$350="","",CHAR(10))&amp;"Note: "&amp;Checks!$O$350)</f>
        <v/>
      </c>
      <c r="C54" s="124">
        <f>Checks!$N$350&amp;CHAR(10)&amp;IF(ISNUMBER(Checks!$R$350),TEXT(Checks!$R$350,"DD-MMM-YY HH:MM"),"")&amp;" "&amp;Checks!$P$350</f>
        <v/>
      </c>
      <c r="D54" s="124">
        <f>IF(Checks!$U$350="","",Checks!$U$350)&amp;IF(Checks!$AB$350="","",CHAR(10)&amp;"CA: "&amp;Checks!$AB$350)</f>
        <v/>
      </c>
      <c r="E54" s="124">
        <f>IF(Checks!$V$350="","",Checks!$V$350)&amp;IF(Checks!$AC$350="","",IF(Checks!$V$350="","",CHAR(10))&amp;"N/A just.: "&amp;Checks!$AC$350)&amp;IF(Checks!$W$350="","",CHAR(10)&amp;"Batch: "&amp;Checks!$W$350)&amp;IF(AND(Checks!$X$350="",Checks!$Y$350=""),"",CHAR(10)&amp;"Exp: "&amp;Checks!$X$350&amp;"  /  Act: "&amp;Checks!$Y$350)</f>
        <v/>
      </c>
      <c r="F54" s="124">
        <f>IF(Checks!$Z$350="","","Evidence: "&amp;Checks!$Z$350)&amp;IF(Checks!$AA$350="","",IF(Checks!$Z$350="","",CHAR(10))&amp;"CA: "&amp;Checks!$AA$350)</f>
        <v/>
      </c>
      <c r="G54" s="124">
        <f>IF(ISNUMBER(Checks!$AD$350),TEXT(Checks!$AD$350,"DD-MMM-YY HH:MM")&amp;" "&amp;Checks!$P$350,"")&amp;IF(Checks!$AE$350="","",CHAR(10)&amp;Checks!$AE$350)</f>
        <v/>
      </c>
      <c r="H54" s="125">
        <f>IF(Checks!$AH$350="","",Checks!$AH$350)</f>
        <v/>
      </c>
    </row>
    <row r="55" ht="81" customHeight="1">
      <c r="A55" s="124">
        <f>Checks!$A$351&amp;CHAR(10)&amp;IF(Checks!$I$351="","",Checks!$I$351&amp;": ")&amp;Checks!$J$351</f>
        <v/>
      </c>
      <c r="B55" s="124">
        <f>Checks!$K$351&amp;IF(Checks!$O$351="","",IF(Checks!$K$351="","",CHAR(10))&amp;"Note: "&amp;Checks!$O$351)</f>
        <v/>
      </c>
      <c r="C55" s="124">
        <f>Checks!$N$351&amp;CHAR(10)&amp;IF(ISNUMBER(Checks!$R$351),TEXT(Checks!$R$351,"DD-MMM-YY HH:MM"),"")&amp;" "&amp;Checks!$P$351</f>
        <v/>
      </c>
      <c r="D55" s="124">
        <f>IF(Checks!$U$351="","",Checks!$U$351)&amp;IF(Checks!$AB$351="","",CHAR(10)&amp;"CA: "&amp;Checks!$AB$351)</f>
        <v/>
      </c>
      <c r="E55" s="124">
        <f>IF(Checks!$V$351="","",Checks!$V$351)&amp;IF(Checks!$AC$351="","",IF(Checks!$V$351="","",CHAR(10))&amp;"N/A just.: "&amp;Checks!$AC$351)&amp;IF(Checks!$W$351="","",CHAR(10)&amp;"Batch: "&amp;Checks!$W$351)&amp;IF(AND(Checks!$X$351="",Checks!$Y$351=""),"",CHAR(10)&amp;"Exp: "&amp;Checks!$X$351&amp;"  /  Act: "&amp;Checks!$Y$351)</f>
        <v/>
      </c>
      <c r="F55" s="124">
        <f>IF(Checks!$Z$351="","","Evidence: "&amp;Checks!$Z$351)&amp;IF(Checks!$AA$351="","",IF(Checks!$Z$351="","",CHAR(10))&amp;"CA: "&amp;Checks!$AA$351)</f>
        <v/>
      </c>
      <c r="G55" s="124">
        <f>IF(ISNUMBER(Checks!$AD$351),TEXT(Checks!$AD$351,"DD-MMM-YY HH:MM")&amp;" "&amp;Checks!$P$351,"")&amp;IF(Checks!$AE$351="","",CHAR(10)&amp;Checks!$AE$351)</f>
        <v/>
      </c>
      <c r="H55" s="125">
        <f>IF(Checks!$AH$351="","",Checks!$AH$351)</f>
        <v/>
      </c>
    </row>
    <row r="56" ht="81" customHeight="1">
      <c r="A56" s="124">
        <f>Checks!$A$352&amp;CHAR(10)&amp;IF(Checks!$I$352="","",Checks!$I$352&amp;": ")&amp;Checks!$J$352</f>
        <v/>
      </c>
      <c r="B56" s="124">
        <f>Checks!$K$352&amp;IF(Checks!$O$352="","",IF(Checks!$K$352="","",CHAR(10))&amp;"Note: "&amp;Checks!$O$352)</f>
        <v/>
      </c>
      <c r="C56" s="124">
        <f>Checks!$N$352&amp;CHAR(10)&amp;IF(ISNUMBER(Checks!$R$352),TEXT(Checks!$R$352,"DD-MMM-YY HH:MM"),"")&amp;" "&amp;Checks!$P$352</f>
        <v/>
      </c>
      <c r="D56" s="124">
        <f>IF(Checks!$U$352="","",Checks!$U$352)&amp;IF(Checks!$AB$352="","",CHAR(10)&amp;"CA: "&amp;Checks!$AB$352)</f>
        <v/>
      </c>
      <c r="E56" s="124">
        <f>IF(Checks!$V$352="","",Checks!$V$352)&amp;IF(Checks!$AC$352="","",IF(Checks!$V$352="","",CHAR(10))&amp;"N/A just.: "&amp;Checks!$AC$352)&amp;IF(Checks!$W$352="","",CHAR(10)&amp;"Batch: "&amp;Checks!$W$352)&amp;IF(AND(Checks!$X$352="",Checks!$Y$352=""),"",CHAR(10)&amp;"Exp: "&amp;Checks!$X$352&amp;"  /  Act: "&amp;Checks!$Y$352)</f>
        <v/>
      </c>
      <c r="F56" s="124">
        <f>IF(Checks!$Z$352="","","Evidence: "&amp;Checks!$Z$352)&amp;IF(Checks!$AA$352="","",IF(Checks!$Z$352="","",CHAR(10))&amp;"CA: "&amp;Checks!$AA$352)</f>
        <v/>
      </c>
      <c r="G56" s="124">
        <f>IF(ISNUMBER(Checks!$AD$352),TEXT(Checks!$AD$352,"DD-MMM-YY HH:MM")&amp;" "&amp;Checks!$P$352,"")&amp;IF(Checks!$AE$352="","",CHAR(10)&amp;Checks!$AE$352)</f>
        <v/>
      </c>
      <c r="H56" s="125">
        <f>IF(Checks!$AH$352="","",Checks!$AH$352)</f>
        <v/>
      </c>
    </row>
    <row r="57" ht="81" customHeight="1">
      <c r="A57" s="124">
        <f>Checks!$A$353&amp;CHAR(10)&amp;IF(Checks!$I$353="","",Checks!$I$353&amp;": ")&amp;Checks!$J$353</f>
        <v/>
      </c>
      <c r="B57" s="124">
        <f>SUBSTITUTE(Checks!$K$353&amp;IF(Checks!$O$353="","",IF(Checks!$K$353="","",CHAR(10))&amp;"Note: "&amp;Checks!$O$353),"F&amp;B LINEN!","Ref: F&amp;B LINEN!")</f>
        <v/>
      </c>
      <c r="C57" s="124">
        <f>Checks!$N$353&amp;CHAR(10)&amp;IF(ISNUMBER(Checks!$R$353),TEXT(Checks!$R$353,"DD-MMM-YY HH:MM"),"")&amp;" "&amp;Checks!$P$353</f>
        <v/>
      </c>
      <c r="D57" s="124">
        <f>IF(Checks!$U$353="","",Checks!$U$353)&amp;IF(Checks!$AB$353="","",CHAR(10)&amp;"CA: "&amp;Checks!$AB$353)</f>
        <v/>
      </c>
      <c r="E57" s="124">
        <f>IF(Checks!$V$353="","",Checks!$V$353)&amp;IF(Checks!$AC$353="","",IF(Checks!$V$353="","",CHAR(10))&amp;"N/A just.: "&amp;Checks!$AC$353)&amp;IF(Checks!$W$353="","",CHAR(10)&amp;"Batch: "&amp;Checks!$W$353)&amp;IF(AND(Checks!$X$353="",Checks!$Y$353=""),"",CHAR(10)&amp;"Exp: "&amp;Checks!$X$353&amp;"  /  Act: "&amp;Checks!$Y$353)</f>
        <v/>
      </c>
      <c r="F57" s="124">
        <f>IF(Checks!$Z$353="","","Evidence: "&amp;Checks!$Z$353)&amp;IF(Checks!$AA$353="","",IF(Checks!$Z$353="","",CHAR(10))&amp;"CA: "&amp;Checks!$AA$353)</f>
        <v/>
      </c>
      <c r="G57" s="124">
        <f>IF(ISNUMBER(Checks!$AD$353),TEXT(Checks!$AD$353,"DD-MMM-YY HH:MM")&amp;" "&amp;Checks!$P$353,"")&amp;IF(Checks!$AE$353="","",CHAR(10)&amp;Checks!$AE$353)</f>
        <v/>
      </c>
      <c r="H57" s="125">
        <f>IF(Checks!$AH$353="","",Checks!$AH$353)</f>
        <v/>
      </c>
    </row>
    <row r="58" ht="81" customHeight="1">
      <c r="A58" s="124">
        <f>Checks!$A$354&amp;CHAR(10)&amp;IF(Checks!$I$354="","",Checks!$I$354&amp;": ")&amp;Checks!$J$354</f>
        <v/>
      </c>
      <c r="B58" s="124">
        <f>Checks!$K$354&amp;IF(Checks!$O$354="","",IF(Checks!$K$354="","",CHAR(10))&amp;"Note: "&amp;Checks!$O$354)</f>
        <v/>
      </c>
      <c r="C58" s="124">
        <f>Checks!$N$354&amp;CHAR(10)&amp;IF(ISNUMBER(Checks!$R$354),TEXT(Checks!$R$354,"DD-MMM-YY HH:MM"),"")&amp;" "&amp;Checks!$P$354</f>
        <v/>
      </c>
      <c r="D58" s="124">
        <f>IF(Checks!$U$354="","",Checks!$U$354)&amp;IF(Checks!$AB$354="","",CHAR(10)&amp;"CA: "&amp;Checks!$AB$354)</f>
        <v/>
      </c>
      <c r="E58" s="124">
        <f>IF(Checks!$V$354="","",Checks!$V$354)&amp;IF(Checks!$AC$354="","",IF(Checks!$V$354="","",CHAR(10))&amp;"N/A just.: "&amp;Checks!$AC$354)&amp;IF(Checks!$W$354="","",CHAR(10)&amp;"Batch: "&amp;Checks!$W$354)&amp;IF(AND(Checks!$X$354="",Checks!$Y$354=""),"",CHAR(10)&amp;"Exp: "&amp;Checks!$X$354&amp;"  /  Act: "&amp;Checks!$Y$354)</f>
        <v/>
      </c>
      <c r="F58" s="124">
        <f>IF(Checks!$Z$354="","","Evidence: "&amp;Checks!$Z$354)&amp;IF(Checks!$AA$354="","",IF(Checks!$Z$354="","",CHAR(10))&amp;"CA: "&amp;Checks!$AA$354)</f>
        <v/>
      </c>
      <c r="G58" s="124">
        <f>IF(ISNUMBER(Checks!$AD$354),TEXT(Checks!$AD$354,"DD-MMM-YY HH:MM")&amp;" "&amp;Checks!$P$354,"")&amp;IF(Checks!$AE$354="","",CHAR(10)&amp;Checks!$AE$354)</f>
        <v/>
      </c>
      <c r="H58" s="125">
        <f>IF(Checks!$AH$354="","",Checks!$AH$354)</f>
        <v/>
      </c>
    </row>
    <row r="59" ht="81" customHeight="1">
      <c r="A59" s="124">
        <f>Checks!$A$355&amp;CHAR(10)&amp;IF(Checks!$I$355="","",Checks!$I$355&amp;": ")&amp;Checks!$J$355</f>
        <v/>
      </c>
      <c r="B59" s="124">
        <f>Checks!$K$355&amp;IF(Checks!$O$355="","",IF(Checks!$K$355="","",CHAR(10))&amp;"Note: "&amp;Checks!$O$355)</f>
        <v/>
      </c>
      <c r="C59" s="124">
        <f>Checks!$N$355&amp;CHAR(10)&amp;IF(ISNUMBER(Checks!$R$355),TEXT(Checks!$R$355,"DD-MMM-YY HH:MM"),"")&amp;" "&amp;Checks!$P$355</f>
        <v/>
      </c>
      <c r="D59" s="124">
        <f>IF(Checks!$U$355="","",Checks!$U$355)&amp;IF(Checks!$AB$355="","",CHAR(10)&amp;"CA: "&amp;Checks!$AB$355)</f>
        <v/>
      </c>
      <c r="E59" s="124">
        <f>IF(Checks!$V$355="","",Checks!$V$355)&amp;IF(Checks!$AC$355="","",IF(Checks!$V$355="","",CHAR(10))&amp;"N/A just.: "&amp;Checks!$AC$355)&amp;IF(Checks!$W$355="","",CHAR(10)&amp;"Batch: "&amp;Checks!$W$355)&amp;IF(AND(Checks!$X$355="",Checks!$Y$355=""),"",CHAR(10)&amp;"Exp: "&amp;Checks!$X$355&amp;"  /  Act: "&amp;Checks!$Y$355)</f>
        <v/>
      </c>
      <c r="F59" s="124">
        <f>IF(Checks!$Z$355="","","Evidence: "&amp;Checks!$Z$355)&amp;IF(Checks!$AA$355="","",IF(Checks!$Z$355="","",CHAR(10))&amp;"CA: "&amp;Checks!$AA$355)</f>
        <v/>
      </c>
      <c r="G59" s="124">
        <f>IF(ISNUMBER(Checks!$AD$355),TEXT(Checks!$AD$355,"DD-MMM-YY HH:MM")&amp;" "&amp;Checks!$P$355,"")&amp;IF(Checks!$AE$355="","",CHAR(10)&amp;Checks!$AE$355)</f>
        <v/>
      </c>
      <c r="H59" s="125">
        <f>IF(Checks!$AH$355="","",Checks!$AH$355)</f>
        <v/>
      </c>
    </row>
    <row r="60" ht="81" customHeight="1">
      <c r="A60" s="124">
        <f>Checks!$A$356&amp;CHAR(10)&amp;IF(Checks!$I$356="","",Checks!$I$356&amp;": ")&amp;Checks!$J$356</f>
        <v/>
      </c>
      <c r="B60" s="124">
        <f>Checks!$K$356&amp;IF(Checks!$O$356="","",IF(Checks!$K$356="","",CHAR(10))&amp;"Note: "&amp;Checks!$O$356)</f>
        <v/>
      </c>
      <c r="C60" s="124">
        <f>Checks!$N$356&amp;CHAR(10)&amp;IF(ISNUMBER(Checks!$R$356),TEXT(Checks!$R$356,"DD-MMM-YY HH:MM"),"")&amp;" "&amp;Checks!$P$356</f>
        <v/>
      </c>
      <c r="D60" s="124">
        <f>IF(Checks!$U$356="","",Checks!$U$356)&amp;IF(Checks!$AB$356="","",CHAR(10)&amp;"CA: "&amp;Checks!$AB$356)</f>
        <v/>
      </c>
      <c r="E60" s="124">
        <f>IF(Checks!$V$356="","",Checks!$V$356)&amp;IF(Checks!$AC$356="","",IF(Checks!$V$356="","",CHAR(10))&amp;"N/A just.: "&amp;Checks!$AC$356)&amp;IF(Checks!$W$356="","",CHAR(10)&amp;"Batch: "&amp;Checks!$W$356)&amp;IF(AND(Checks!$X$356="",Checks!$Y$356=""),"",CHAR(10)&amp;"Exp: "&amp;Checks!$X$356&amp;"  /  Act: "&amp;Checks!$Y$356)</f>
        <v/>
      </c>
      <c r="F60" s="124">
        <f>IF(Checks!$Z$356="","","Evidence: "&amp;Checks!$Z$356)&amp;IF(Checks!$AA$356="","",IF(Checks!$Z$356="","",CHAR(10))&amp;"CA: "&amp;Checks!$AA$356)</f>
        <v/>
      </c>
      <c r="G60" s="124">
        <f>IF(ISNUMBER(Checks!$AD$356),TEXT(Checks!$AD$356,"DD-MMM-YY HH:MM")&amp;" "&amp;Checks!$P$356,"")&amp;IF(Checks!$AE$356="","",CHAR(10)&amp;Checks!$AE$356)</f>
        <v/>
      </c>
      <c r="H60" s="125">
        <f>IF(Checks!$AH$356="","",Checks!$AH$356)</f>
        <v/>
      </c>
    </row>
    <row r="62" ht="24" customHeight="1">
      <c r="A62" s="126" t="inlineStr">
        <is>
          <t>EXCEL INSERTION AREA (on-screen only, not printed) – A1 Galley Loading Diagram: Insert &gt; Picture here. On paper: staple behind this sheet as page A1.</t>
        </is>
      </c>
      <c r="B62" s="127" t="n"/>
      <c r="C62" s="127" t="n"/>
      <c r="D62" s="128" t="n"/>
      <c r="E62" s="126" t="inlineStr">
        <is>
          <t>EXCEL INSERTION AREA (on-screen only, not printed) – A2 Menu Checklist: Insert &gt; Picture here. On paper: staple behind this sheet as page A2.</t>
        </is>
      </c>
      <c r="F62" s="127" t="n"/>
      <c r="G62" s="127" t="n"/>
      <c r="H62" s="128" t="n"/>
    </row>
    <row r="63" ht="22" customHeight="1">
      <c r="A63" s="129" t="n"/>
      <c r="B63" s="130" t="n"/>
      <c r="C63" s="130" t="n"/>
      <c r="D63" s="131" t="n"/>
      <c r="E63" s="129" t="n"/>
      <c r="F63" s="130" t="n"/>
      <c r="G63" s="130" t="n"/>
      <c r="H63" s="131" t="n"/>
    </row>
    <row r="64" ht="22" customHeight="1">
      <c r="A64" s="132" t="n"/>
      <c r="B64" s="130" t="n"/>
      <c r="C64" s="130" t="n"/>
      <c r="D64" s="131" t="n"/>
      <c r="E64" s="132" t="n"/>
      <c r="F64" s="130" t="n"/>
      <c r="G64" s="130" t="n"/>
      <c r="H64" s="131" t="n"/>
    </row>
    <row r="65" ht="22" customHeight="1">
      <c r="A65" s="132" t="n"/>
      <c r="B65" s="130" t="n"/>
      <c r="C65" s="130" t="n"/>
      <c r="D65" s="131" t="n"/>
      <c r="E65" s="132" t="n"/>
      <c r="F65" s="130" t="n"/>
      <c r="G65" s="130" t="n"/>
      <c r="H65" s="131" t="n"/>
    </row>
    <row r="66" ht="22" customHeight="1">
      <c r="A66" s="132" t="n"/>
      <c r="B66" s="130" t="n"/>
      <c r="C66" s="130" t="n"/>
      <c r="D66" s="131" t="n"/>
      <c r="E66" s="132" t="n"/>
      <c r="F66" s="130" t="n"/>
      <c r="G66" s="130" t="n"/>
      <c r="H66" s="131" t="n"/>
    </row>
    <row r="67" ht="22" customHeight="1">
      <c r="A67" s="132" t="n"/>
      <c r="B67" s="130" t="n"/>
      <c r="C67" s="130" t="n"/>
      <c r="D67" s="131" t="n"/>
      <c r="E67" s="132" t="n"/>
      <c r="F67" s="130" t="n"/>
      <c r="G67" s="130" t="n"/>
      <c r="H67" s="131" t="n"/>
    </row>
    <row r="68" ht="22" customHeight="1">
      <c r="A68" s="132" t="n"/>
      <c r="B68" s="130" t="n"/>
      <c r="C68" s="130" t="n"/>
      <c r="D68" s="131" t="n"/>
      <c r="E68" s="132" t="n"/>
      <c r="F68" s="130" t="n"/>
      <c r="G68" s="130" t="n"/>
      <c r="H68" s="131" t="n"/>
    </row>
    <row r="69" ht="22" customHeight="1">
      <c r="A69" s="132" t="n"/>
      <c r="B69" s="130" t="n"/>
      <c r="C69" s="130" t="n"/>
      <c r="D69" s="131" t="n"/>
      <c r="E69" s="132" t="n"/>
      <c r="F69" s="130" t="n"/>
      <c r="G69" s="130" t="n"/>
      <c r="H69" s="131" t="n"/>
    </row>
    <row r="70" ht="22" customHeight="1">
      <c r="A70" s="132" t="n"/>
      <c r="B70" s="130" t="n"/>
      <c r="C70" s="130" t="n"/>
      <c r="D70" s="131" t="n"/>
      <c r="E70" s="132" t="n"/>
      <c r="F70" s="130" t="n"/>
      <c r="G70" s="130" t="n"/>
      <c r="H70" s="131" t="n"/>
    </row>
    <row r="71" ht="22" customHeight="1">
      <c r="A71" s="132" t="n"/>
      <c r="B71" s="130" t="n"/>
      <c r="C71" s="130" t="n"/>
      <c r="D71" s="131" t="n"/>
      <c r="E71" s="132" t="n"/>
      <c r="F71" s="130" t="n"/>
      <c r="G71" s="130" t="n"/>
      <c r="H71" s="131" t="n"/>
    </row>
    <row r="72" ht="22" customHeight="1">
      <c r="A72" s="133" t="n"/>
      <c r="B72" s="134" t="n"/>
      <c r="C72" s="134" t="n"/>
      <c r="D72" s="135" t="n"/>
      <c r="E72" s="133" t="n"/>
      <c r="F72" s="134" t="n"/>
      <c r="G72" s="134" t="n"/>
      <c r="H72" s="135" t="n"/>
    </row>
  </sheetData>
  <mergeCells count="46">
    <mergeCell ref="B11:D11"/>
    <mergeCell ref="A63:D72"/>
    <mergeCell ref="F18:H18"/>
    <mergeCell ref="C15:D15"/>
    <mergeCell ref="B8:D8"/>
    <mergeCell ref="G11:H11"/>
    <mergeCell ref="A62:D62"/>
    <mergeCell ref="C14:D14"/>
    <mergeCell ref="F2:H2"/>
    <mergeCell ref="F17:H17"/>
    <mergeCell ref="A1:H1"/>
    <mergeCell ref="G8:H8"/>
    <mergeCell ref="B10:D10"/>
    <mergeCell ref="G7:H7"/>
    <mergeCell ref="F13:H13"/>
    <mergeCell ref="B16:E16"/>
    <mergeCell ref="B9:D9"/>
    <mergeCell ref="C17:E17"/>
    <mergeCell ref="E62:H62"/>
    <mergeCell ref="G6:H6"/>
    <mergeCell ref="A18:B18"/>
    <mergeCell ref="B6:D6"/>
    <mergeCell ref="G3:H3"/>
    <mergeCell ref="A50:H50"/>
    <mergeCell ref="E63:H72"/>
    <mergeCell ref="B5:D5"/>
    <mergeCell ref="F14:H14"/>
    <mergeCell ref="C19:E19"/>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6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60">
    <cfRule type="expression" priority="16" dxfId="20">
      <formula>LEFT($H23,3)="N/A"</formula>
    </cfRule>
  </conditionalFormatting>
  <conditionalFormatting sqref="D23:D6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F10 MH1140 12-Oct-26 KUL-PEN Class BC</oddHeader>
    <oddFooter>&amp;L&amp;"Arial,Bold"&amp;8 F10 MH1140 12-Oct-26 KUL-PEN Class BC&amp;C&amp;"Arial"&amp;8 Printed: ____________________&amp;R&amp;"Arial"&amp;8 F10  Page &amp;P of &amp;N</oddFooter>
    <evenHeader/>
    <evenFooter/>
    <firstHeader/>
    <firstFooter/>
  </headerFooter>
  <rowBreaks count="2" manualBreakCount="2">
    <brk id="20" min="0" max="16383" man="1"/>
    <brk id="33" min="0" max="16383" man="1"/>
  </rowBreaks>
</worksheet>
</file>

<file path=xl/worksheets/sheet19.xml><?xml version="1.0" encoding="utf-8"?>
<worksheet xmlns="http://schemas.openxmlformats.org/spreadsheetml/2006/main">
  <sheetPr>
    <tabColor rgb="001F3864"/>
    <outlinePr summaryBelow="1" summaryRight="1"/>
    <pageSetUpPr fitToPage="1"/>
  </sheetPr>
  <dimension ref="A1:H61"/>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F11  "&amp;Flights!$F$15&amp;"  "&amp;TEXT(Flights!$D$15,"DD-MMM-YY")&amp;" ("&amp;Flights!$E$15&amp;")  "&amp;Flights!$G$15&amp;" → "&amp;Flights!$H$15&amp;"  |  Class "&amp;Flights!$K$15</f>
        <v/>
      </c>
      <c r="B1" s="97" t="n"/>
      <c r="C1" s="97" t="n"/>
      <c r="D1" s="97" t="n"/>
      <c r="E1" s="97" t="n"/>
      <c r="F1" s="97" t="n"/>
      <c r="G1" s="97" t="n"/>
      <c r="H1" s="98" t="n"/>
    </row>
    <row r="2" ht="13" customHeight="1">
      <c r="A2" s="99" t="inlineStr">
        <is>
          <t>Flight / date</t>
        </is>
      </c>
      <c r="B2" s="100">
        <f>Flights!$F$15&amp;"   "&amp;TEXT(Flights!$D$15,"DD-MMM-YY")&amp;" ("&amp;Flights!$E$15&amp;")"</f>
        <v/>
      </c>
      <c r="C2" s="97" t="n"/>
      <c r="D2" s="98" t="n"/>
      <c r="E2" s="101" t="inlineStr">
        <is>
          <t>READINESS STATUS</t>
        </is>
      </c>
      <c r="F2" s="102">
        <f>Flights!$AT$15</f>
        <v/>
      </c>
      <c r="G2" s="97" t="n"/>
      <c r="H2" s="98" t="n"/>
    </row>
    <row r="3" ht="24" customHeight="1">
      <c r="A3" s="99" t="inlineStr">
        <is>
          <t>Sector / class / seat</t>
        </is>
      </c>
      <c r="B3" s="100">
        <f>Flights!$G$15&amp;" → "&amp;Flights!$H$15&amp;"   Class "&amp;Flights!$K$15&amp;"   Seat "&amp;Flights!$O$15</f>
        <v/>
      </c>
      <c r="C3" s="97" t="n"/>
      <c r="D3" s="98" t="n"/>
      <c r="E3" s="101" t="inlineStr">
        <is>
          <t>Checkpoint</t>
        </is>
      </c>
      <c r="F3" s="101" t="inlineStr">
        <is>
          <t>Due (local)</t>
        </is>
      </c>
      <c r="G3" s="103" t="inlineStr">
        <is>
          <t>% complete</t>
        </is>
      </c>
      <c r="H3" s="98" t="n"/>
    </row>
    <row r="4" ht="13" customHeight="1">
      <c r="A4" s="99" t="inlineStr">
        <is>
          <t>STD → STA (local)</t>
        </is>
      </c>
      <c r="B4" s="100">
        <f>IF(ISNUMBER(Flights!$I$15),TEXT(Flights!$I$15,"DD-MMM-YY HH:MM"),"")&amp;" "&amp;Flights!$G$15&amp;"  →  "&amp;IF(ISNUMBER(Flights!$J$15),TEXT(Flights!$J$15,"DD-MMM-YY HH:MM"),"")&amp;" "&amp;Flights!$H$15</f>
        <v/>
      </c>
      <c r="C4" s="97" t="n"/>
      <c r="D4" s="98" t="n"/>
      <c r="E4" s="99" t="inlineStr">
        <is>
          <t>T-7D – 7 days before departure</t>
        </is>
      </c>
      <c r="F4" s="104">
        <f>IF(ISNUMBER(Flights!$AG$15),TEXT(Flights!$AG$15,"DD-MMM-YY HH:MM"),"")&amp;" "&amp;Flights!$V$15</f>
        <v/>
      </c>
      <c r="G4" s="105">
        <f>Flights!$AJ$15</f>
        <v/>
      </c>
      <c r="H4" s="98" t="n"/>
    </row>
    <row r="5" ht="24" customHeight="1">
      <c r="A5" s="99" t="inlineStr">
        <is>
          <t>Fleet / aircraft ref</t>
        </is>
      </c>
      <c r="B5" s="100">
        <f>Flights!$L$15&amp;" – "&amp;Flights!$M$15</f>
        <v/>
      </c>
      <c r="C5" s="97" t="n"/>
      <c r="D5" s="98" t="n"/>
      <c r="E5" s="99" t="inlineStr">
        <is>
          <t>T-24H – production batch sensory</t>
        </is>
      </c>
      <c r="F5" s="104">
        <f>IF(ISNUMBER(Flights!$AH$15),TEXT(Flights!$AH$15,"DD-MMM-YY HH:MM"),"")&amp;" "&amp;Flights!$V$15</f>
        <v/>
      </c>
      <c r="G5" s="105">
        <f>Flights!$AK$15</f>
        <v/>
      </c>
      <c r="H5" s="98" t="n"/>
    </row>
    <row r="6" ht="13" customHeight="1">
      <c r="A6" s="99" t="inlineStr">
        <is>
          <t>Tail / Reg</t>
        </is>
      </c>
      <c r="B6" s="100">
        <f>IF(TRIM(Flights!$N$15)="","__________________",Flights!$N$15)</f>
        <v/>
      </c>
      <c r="C6" s="97" t="n"/>
      <c r="D6" s="98" t="n"/>
      <c r="E6" s="99" t="inlineStr">
        <is>
          <t>T-12H PREP – caterer prep only</t>
        </is>
      </c>
      <c r="F6" s="104">
        <f>IF(ISNUMBER(Flights!$AI$15),TEXT(Flights!$AI$15,"DD-MMM-YY HH:MM"),"")&amp;" "&amp;Flights!$V$15&amp;IF(Flights!$AI$15=Flights!$AH$15,"  (= T-24H due)","")</f>
        <v/>
      </c>
      <c r="G6" s="105">
        <f>Flights!$AL$15</f>
        <v/>
      </c>
      <c r="H6" s="98" t="n"/>
    </row>
    <row r="7" ht="13" customHeight="1">
      <c r="A7" s="99" t="inlineStr">
        <is>
          <t>Service type</t>
        </is>
      </c>
      <c r="B7" s="100">
        <f>Flights!$T$15</f>
        <v/>
      </c>
      <c r="C7" s="97" t="n"/>
      <c r="D7" s="98" t="n"/>
      <c r="E7" s="99" t="inlineStr">
        <is>
          <t>UPLIFT – on-board confirmation</t>
        </is>
      </c>
      <c r="F7" s="104">
        <f>"STD "&amp;IF(ISNUMBER(Flights!$I$15),TEXT(Flights!$I$15,"DD-MMM-YY HH:MM"),"")&amp;" "&amp;Flights!$G$15&amp;" (dep stn)"</f>
        <v/>
      </c>
      <c r="G7" s="105">
        <f>Flights!$AM$15</f>
        <v/>
      </c>
      <c r="H7" s="98" t="n"/>
    </row>
    <row r="8" ht="13" customHeight="1">
      <c r="A8" s="99" t="inlineStr">
        <is>
          <t>Meal uplift stn</t>
        </is>
      </c>
      <c r="B8" s="100">
        <f>Flights!$V$15&amp;"   (reference uplift stns: "&amp;Flights!$U$15&amp;")"</f>
        <v/>
      </c>
      <c r="C8" s="97" t="n"/>
      <c r="D8" s="98" t="n"/>
      <c r="E8" s="99" t="inlineStr">
        <is>
          <t>OVERALL (all checkpoints)</t>
        </is>
      </c>
      <c r="F8" s="106" t="inlineStr">
        <is>
          <t>–</t>
        </is>
      </c>
      <c r="G8" s="105">
        <f>Flights!$AN$15</f>
        <v/>
      </c>
      <c r="H8" s="98" t="n"/>
    </row>
    <row r="9" ht="13" customHeight="1">
      <c r="A9" s="99" t="inlineStr">
        <is>
          <t>Transit / remark</t>
        </is>
      </c>
      <c r="B9" s="100">
        <f>TRIM(Flights!$P$15&amp;"  "&amp;Flights!$Q$15)</f>
        <v/>
      </c>
      <c r="C9" s="97" t="n"/>
      <c r="D9" s="98" t="n"/>
      <c r="E9" s="99" t="inlineStr">
        <is>
          <t>Overdue / discrep. / invalid</t>
        </is>
      </c>
      <c r="F9" s="107">
        <f>Flights!$AP$15</f>
        <v/>
      </c>
      <c r="G9" s="107">
        <f>Flights!$AQ$15</f>
        <v/>
      </c>
      <c r="H9" s="107">
        <f>Flights!$AU$15</f>
        <v/>
      </c>
    </row>
    <row r="10" ht="13" customHeight="1">
      <c r="A10" s="99" t="inlineStr">
        <is>
          <t>Caterer</t>
        </is>
      </c>
      <c r="B10" s="100">
        <f>IF(TRIM(Flights!$X$15)="","__________________",Flights!$X$15)</f>
        <v/>
      </c>
      <c r="C10" s="97" t="n"/>
      <c r="D10" s="98" t="n"/>
      <c r="E10" s="99" t="inlineStr">
        <is>
          <t>Open reqd / clarif. / docs out</t>
        </is>
      </c>
      <c r="F10" s="107">
        <f>Flights!$AO$15</f>
        <v/>
      </c>
      <c r="G10" s="107">
        <f>Flights!$AS$15</f>
        <v/>
      </c>
      <c r="H10" s="107">
        <f>Flights!$AR$15</f>
        <v/>
      </c>
    </row>
    <row r="11" ht="13" customHeight="1">
      <c r="A11" s="99" t="inlineStr">
        <is>
          <t>Flight PIC</t>
        </is>
      </c>
      <c r="B11" s="100">
        <f>IF(TRIM(Flights!$Y$15)="","__________________",Flights!$Y$15)</f>
        <v/>
      </c>
      <c r="C11" s="97" t="n"/>
      <c r="D11" s="98" t="n"/>
      <c r="E11" s="99" t="inlineStr">
        <is>
          <t>Done / in scope | as of UTC</t>
        </is>
      </c>
      <c r="F11" s="107">
        <f>Flights!$AV$15&amp;" / "&amp;Flights!$AW$15</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25" customHeight="1">
      <c r="A13" s="136">
        <f>"ROUND-TRIP LEG: all catering is uplifted at KUL on the carrying flight (agenda candidate "&amp;Flights!$W$15&amp;IFERROR(" "&amp;INDEX(Flights!$F$5:$F$26,MATCH(TRIM(Flights!$W$15),Flights!$A$5:$A$26,0)),"")&amp;"; actual KUL departure entered on Flights AX). T-24H / T-12H PREP are capped at the KUL loading deadline "&amp;IF(ISNUMBER(Flights!$AY$15),TEXT(Flights!$AY$15+IFERROR(INDEX(Settings!$C$13:$C$22,MATCH("KUL",Settings!$A$13:$A$22,0)),8)/24,"DD-MMM-YY HH:MM")&amp;" KUL","(not set)")&amp;"; on-board UPLIFT checks are at "&amp;Flights!$G$15&amp;"."</f>
        <v/>
      </c>
      <c r="B13" s="97" t="n"/>
      <c r="C13" s="97" t="n"/>
      <c r="D13" s="97" t="n"/>
      <c r="E13" s="97" t="n"/>
      <c r="F13" s="97" t="n"/>
      <c r="G13" s="97" t="n"/>
      <c r="H13" s="98" t="n"/>
    </row>
    <row r="14" ht="14" customHeight="1">
      <c r="A14" s="101" t="inlineStr">
        <is>
          <t>Attachments</t>
        </is>
      </c>
      <c r="B14" s="101" t="inlineStr">
        <is>
          <t>Doc no</t>
        </is>
      </c>
      <c r="C14" s="103" t="inlineStr">
        <is>
          <t>Rev / rev date</t>
        </is>
      </c>
      <c r="D14" s="98" t="n"/>
      <c r="E14" s="101" t="inlineStr">
        <is>
          <t>Status (from Documents sheet)</t>
        </is>
      </c>
      <c r="F14" s="103" t="inlineStr">
        <is>
          <t>Paper pack instruction / location</t>
        </is>
      </c>
      <c r="G14" s="97" t="n"/>
      <c r="H14" s="98" t="n"/>
    </row>
    <row r="15" ht="25" customHeight="1">
      <c r="A15" s="99" t="inlineStr">
        <is>
          <t>A1  Galley Loading Diagram</t>
        </is>
      </c>
      <c r="B15" s="114">
        <f>IF(Documents!$F$15="","",Documents!$F$15)</f>
        <v/>
      </c>
      <c r="C15" s="115">
        <f>IF(Documents!$G$15="","",Documents!$G$15)&amp;IF(ISNUMBER(Documents!$H$15),"  "&amp;TEXT(Documents!$H$15,"DD-MMM-YY"),"")</f>
        <v/>
      </c>
      <c r="D15" s="98" t="n"/>
      <c r="E15" s="116">
        <f>IF(Documents!$J$15="OUTSTANDING","OUTSTANDING – attach before T-7D (due "&amp;IF(ISNUMBER(Flights!$AG$15),TEXT(Flights!$AG$15,"DD-MMM-YY HH:MM"),"")&amp;" "&amp;Flights!$V$15&amp;")",IF(Documents!$J$15="","Status not recorded",Documents!$J$15))</f>
        <v/>
      </c>
      <c r="F15" s="117">
        <f>"Staple behind this sheet as page A1."&amp;IF(Documents!$I$15="",""," Location: "&amp;Documents!$I$15)</f>
        <v/>
      </c>
      <c r="G15" s="97" t="n"/>
      <c r="H15" s="98" t="n"/>
    </row>
    <row r="16" ht="25" customHeight="1">
      <c r="A16" s="99" t="inlineStr">
        <is>
          <t>A2  Menu Checklist</t>
        </is>
      </c>
      <c r="B16" s="114">
        <f>IF(Documents!$K$15="","",Documents!$K$15)</f>
        <v/>
      </c>
      <c r="C16" s="115">
        <f>IF(Documents!$L$15="","",Documents!$L$15)&amp;IF(ISNUMBER(Documents!$M$15),"  "&amp;TEXT(Documents!$M$15,"DD-MMM-YY"),"")</f>
        <v/>
      </c>
      <c r="D16" s="98" t="n"/>
      <c r="E16" s="116">
        <f>IF(Documents!$O$15="OUTSTANDING","OUTSTANDING – attach before T-7D (due "&amp;IF(ISNUMBER(Flights!$AG$15),TEXT(Flights!$AG$15,"DD-MMM-YY HH:MM"),"")&amp;" "&amp;Flights!$V$15&amp;")",IF(Documents!$O$15="","Status not recorded",Documents!$O$15))</f>
        <v/>
      </c>
      <c r="F16" s="117">
        <f>"Staple behind this sheet as page A2."&amp;IF(Documents!$N$15="",""," Location: "&amp;Documents!$N$15)</f>
        <v/>
      </c>
      <c r="G16" s="97" t="n"/>
      <c r="H16" s="98" t="n"/>
    </row>
    <row r="17" ht="33" customHeight="1">
      <c r="A17" s="99" t="inlineStr">
        <is>
          <t>Document notes</t>
        </is>
      </c>
      <c r="B17" s="118">
        <f>IF(Documents!$Q$15="","",Documents!$Q$15)</f>
        <v/>
      </c>
      <c r="C17" s="97" t="n"/>
      <c r="D17" s="97" t="n"/>
      <c r="E17" s="98" t="n"/>
      <c r="F17" s="119" t="inlineStr">
        <is>
          <t>Excel only: Insert &gt; Picture into the area after the checklist.</t>
        </is>
      </c>
      <c r="G17" s="97" t="n"/>
      <c r="H17" s="98" t="n"/>
    </row>
    <row r="18" ht="14" customHeight="1">
      <c r="A18" s="120" t="inlineStr">
        <is>
          <t>SIGN-OFF – Flight PIC</t>
        </is>
      </c>
      <c r="B18" s="98" t="n"/>
      <c r="C18" s="120" t="inlineStr">
        <is>
          <t>SIGN-OFF – Verifier</t>
        </is>
      </c>
      <c r="D18" s="97" t="n"/>
      <c r="E18" s="98" t="n"/>
      <c r="F18" s="120" t="inlineStr">
        <is>
          <t>SIGN-OFF – Station catering officer</t>
        </is>
      </c>
      <c r="G18" s="97" t="n"/>
      <c r="H18" s="98" t="n"/>
    </row>
    <row r="19" ht="18" customHeight="1">
      <c r="A19" s="100">
        <f>"Name: "&amp;IF(TRIM(Flights!$Y$15)="","__________________",Flights!$Y$15)</f>
        <v/>
      </c>
      <c r="B19" s="98" t="n"/>
      <c r="C19" s="100">
        <f>"Name: __________________"</f>
        <v/>
      </c>
      <c r="D19" s="97" t="n"/>
      <c r="E19" s="98" t="n"/>
      <c r="F19" s="100">
        <f>"Name: __________________"&amp;"   Station: "&amp;Flights!$V$15</f>
        <v/>
      </c>
      <c r="G19" s="97" t="n"/>
      <c r="H19" s="98" t="n"/>
    </row>
    <row r="20" ht="30" customHeight="1">
      <c r="A20" s="121" t="inlineStr">
        <is>
          <t>Signature / date-time:</t>
        </is>
      </c>
      <c r="B20" s="98" t="n"/>
      <c r="C20" s="121" t="inlineStr">
        <is>
          <t>Signature / date-time:</t>
        </is>
      </c>
      <c r="D20" s="97" t="n"/>
      <c r="E20" s="98" t="n"/>
      <c r="F20" s="121" t="inlineStr">
        <is>
          <t>Signature / date-time:</t>
        </is>
      </c>
      <c r="G20" s="97" t="n"/>
      <c r="H20" s="98" t="n"/>
    </row>
    <row r="21" ht="14" customHeight="1">
      <c r="A21" s="122" t="inlineStr">
        <is>
          <t>Cover sheet – checklist starts on page 2 (staple attachments A1 / A2 behind this pack).</t>
        </is>
      </c>
    </row>
    <row r="22" ht="34.5" customHeight="1">
      <c r="A22" s="101" t="inlineStr">
        <is>
          <t>Check ID / item</t>
        </is>
      </c>
      <c r="B22" s="101" t="inlineStr">
        <is>
          <t>Requirement / expected</t>
        </is>
      </c>
      <c r="C22" s="101" t="inlineStr">
        <is>
          <t>Applic. / due (local)</t>
        </is>
      </c>
      <c r="D22" s="101" t="inlineStr">
        <is>
          <t>Status (CA)</t>
        </is>
      </c>
      <c r="E22" s="101" t="inlineStr">
        <is>
          <t>Result  |  batch  |  exp / act qty</t>
        </is>
      </c>
      <c r="F22" s="101" t="inlineStr">
        <is>
          <t>Evidence  |  corrective action</t>
        </is>
      </c>
      <c r="G22" s="101" t="inlineStr">
        <is>
          <t>Done (local) / verifier</t>
        </is>
      </c>
      <c r="H22" s="101" t="inlineStr">
        <is>
          <t>Record state</t>
        </is>
      </c>
    </row>
    <row r="23" ht="26" customHeight="1">
      <c r="A23" s="123">
        <f>"T-7D — 7 days before departure  |  Due "&amp;IF(ISNUMBER(Flights!$AG$15),TEXT(Flights!$AG$15,"DD-MMM-YY HH:MM"),"")&amp;" "&amp;Flights!$V$15&amp;" (meal uplift stn)"&amp;" (rows with another due show their own)  |  Complete "&amp;IF(ISNUMBER(Flights!$AJ$15),TEXT(Flights!$AJ$15,"0%"),Flights!$AJ$15)&amp;"  |  10 lines"</f>
        <v/>
      </c>
      <c r="B23" s="97" t="n"/>
      <c r="C23" s="97" t="n"/>
      <c r="D23" s="97" t="n"/>
      <c r="E23" s="97" t="n"/>
      <c r="F23" s="97" t="n"/>
      <c r="G23" s="97" t="n"/>
      <c r="H23" s="98" t="n"/>
    </row>
    <row r="24" ht="81" customHeight="1">
      <c r="A24" s="124">
        <f>Checks!$A$357&amp;CHAR(10)&amp;IF(Checks!$I$357="","",Checks!$I$357&amp;": ")&amp;Checks!$J$357</f>
        <v/>
      </c>
      <c r="B24" s="124">
        <f>Checks!$K$357&amp;IF(Checks!$O$357="","",IF(Checks!$K$357="","",CHAR(10))&amp;"Note: "&amp;Checks!$O$357)</f>
        <v/>
      </c>
      <c r="C24" s="124">
        <f>Checks!$N$357&amp;CHAR(10)&amp;IF(ISNUMBER(Checks!$R$357),TEXT(Checks!$R$357,"DD-MMM-YY HH:MM"),"")&amp;" "&amp;Checks!$P$357</f>
        <v/>
      </c>
      <c r="D24" s="124">
        <f>IF(Checks!$U$357="","",Checks!$U$357)&amp;IF(Checks!$AB$357="","",CHAR(10)&amp;"CA: "&amp;Checks!$AB$357)</f>
        <v/>
      </c>
      <c r="E24" s="124">
        <f>IF(Checks!$V$357="","",Checks!$V$357)&amp;IF(Checks!$AC$357="","",IF(Checks!$V$357="","",CHAR(10))&amp;"N/A just.: "&amp;Checks!$AC$357)&amp;IF(Checks!$W$357="","",CHAR(10)&amp;"Batch: "&amp;Checks!$W$357)&amp;IF(AND(Checks!$X$357="",Checks!$Y$357=""),"",CHAR(10)&amp;"Exp: "&amp;Checks!$X$357&amp;"  /  Act: "&amp;Checks!$Y$357)</f>
        <v/>
      </c>
      <c r="F24" s="124">
        <f>IF(Checks!$Z$357="","","Evidence: "&amp;Checks!$Z$357)&amp;IF(Checks!$AA$357="","",IF(Checks!$Z$357="","",CHAR(10))&amp;"CA: "&amp;Checks!$AA$357)</f>
        <v/>
      </c>
      <c r="G24" s="124">
        <f>IF(ISNUMBER(Checks!$AD$357),TEXT(Checks!$AD$357,"DD-MMM-YY HH:MM")&amp;" "&amp;Checks!$P$357,"")&amp;IF(Checks!$AE$357="","",CHAR(10)&amp;Checks!$AE$357)</f>
        <v/>
      </c>
      <c r="H24" s="125">
        <f>IF(Checks!$AH$357="","",Checks!$AH$357)</f>
        <v/>
      </c>
    </row>
    <row r="25" ht="114" customHeight="1">
      <c r="A25" s="124">
        <f>Checks!$A$358&amp;CHAR(10)&amp;IF(Checks!$I$358="","",Checks!$I$358&amp;": ")&amp;Checks!$J$358</f>
        <v/>
      </c>
      <c r="B25" s="124">
        <f>Checks!$K$358&amp;IF(Checks!$O$358="","",IF(Checks!$K$358="","",CHAR(10))&amp;"Note: "&amp;Checks!$O$358)</f>
        <v/>
      </c>
      <c r="C25" s="124">
        <f>Checks!$N$358&amp;CHAR(10)&amp;IF(ISNUMBER(Checks!$R$358),TEXT(Checks!$R$358,"DD-MMM-YY HH:MM"),"")&amp;" "&amp;Checks!$P$358</f>
        <v/>
      </c>
      <c r="D25" s="124">
        <f>IF(Checks!$U$358="","",Checks!$U$358)&amp;IF(Checks!$AB$358="","",CHAR(10)&amp;"CA: "&amp;Checks!$AB$358)</f>
        <v/>
      </c>
      <c r="E25" s="124">
        <f>IF(Checks!$V$358="","",Checks!$V$358)&amp;IF(Checks!$AC$358="","",IF(Checks!$V$358="","",CHAR(10))&amp;"N/A just.: "&amp;Checks!$AC$358)&amp;IF(Checks!$W$358="","",CHAR(10)&amp;"Batch: "&amp;Checks!$W$358)&amp;IF(AND(Checks!$X$358="",Checks!$Y$358=""),"",CHAR(10)&amp;"Exp: "&amp;Checks!$X$358&amp;"  /  Act: "&amp;Checks!$Y$358)</f>
        <v/>
      </c>
      <c r="F25" s="124">
        <f>IF(Checks!$Z$358="","","Evidence: "&amp;Checks!$Z$358)&amp;IF(Checks!$AA$358="","",IF(Checks!$Z$358="","",CHAR(10))&amp;"CA: "&amp;Checks!$AA$358)</f>
        <v/>
      </c>
      <c r="G25" s="124">
        <f>IF(ISNUMBER(Checks!$AD$358),TEXT(Checks!$AD$358,"DD-MMM-YY HH:MM")&amp;" "&amp;Checks!$P$358,"")&amp;IF(Checks!$AE$358="","",CHAR(10)&amp;Checks!$AE$358)</f>
        <v/>
      </c>
      <c r="H25" s="125">
        <f>IF(Checks!$AH$358="","",Checks!$AH$358)</f>
        <v/>
      </c>
    </row>
    <row r="26" ht="92" customHeight="1">
      <c r="A26" s="124">
        <f>Checks!$A$359&amp;CHAR(10)&amp;IF(Checks!$I$359="","",Checks!$I$359&amp;": ")&amp;Checks!$J$359</f>
        <v/>
      </c>
      <c r="B26" s="124">
        <f>Checks!$K$359&amp;IF(Checks!$O$359="","",IF(Checks!$K$359="","",CHAR(10))&amp;"Note: "&amp;Checks!$O$359)</f>
        <v/>
      </c>
      <c r="C26" s="124">
        <f>Checks!$N$359&amp;CHAR(10)&amp;IF(ISNUMBER(Checks!$R$359),TEXT(Checks!$R$359,"DD-MMM-YY HH:MM"),"")&amp;" "&amp;Checks!$P$359</f>
        <v/>
      </c>
      <c r="D26" s="124">
        <f>IF(Checks!$U$359="","",Checks!$U$359)&amp;IF(Checks!$AB$359="","",CHAR(10)&amp;"CA: "&amp;Checks!$AB$359)</f>
        <v/>
      </c>
      <c r="E26" s="124">
        <f>IF(Checks!$V$359="","",Checks!$V$359)&amp;IF(Checks!$AC$359="","",IF(Checks!$V$359="","",CHAR(10))&amp;"N/A just.: "&amp;Checks!$AC$359)&amp;IF(Checks!$W$359="","",CHAR(10)&amp;"Batch: "&amp;Checks!$W$359)&amp;IF(AND(Checks!$X$359="",Checks!$Y$359=""),"",CHAR(10)&amp;"Exp: "&amp;Checks!$X$359&amp;"  /  Act: "&amp;Checks!$Y$359)</f>
        <v/>
      </c>
      <c r="F26" s="124">
        <f>IF(Checks!$Z$359="","","Evidence: "&amp;Checks!$Z$359)&amp;IF(Checks!$AA$359="","",IF(Checks!$Z$359="","",CHAR(10))&amp;"CA: "&amp;Checks!$AA$359)</f>
        <v/>
      </c>
      <c r="G26" s="124">
        <f>IF(ISNUMBER(Checks!$AD$359),TEXT(Checks!$AD$359,"DD-MMM-YY HH:MM")&amp;" "&amp;Checks!$P$359,"")&amp;IF(Checks!$AE$359="","",CHAR(10)&amp;Checks!$AE$359)</f>
        <v/>
      </c>
      <c r="H26" s="125">
        <f>IF(Checks!$AH$359="","",Checks!$AH$359)</f>
        <v/>
      </c>
    </row>
    <row r="27" ht="81" customHeight="1">
      <c r="A27" s="124">
        <f>Checks!$A$360&amp;CHAR(10)&amp;IF(Checks!$I$360="","",Checks!$I$360&amp;": ")&amp;Checks!$J$360</f>
        <v/>
      </c>
      <c r="B27" s="124">
        <f>Checks!$K$360&amp;IF(Checks!$O$360="","",IF(Checks!$K$360="","",CHAR(10))&amp;"Note: "&amp;Checks!$O$360)</f>
        <v/>
      </c>
      <c r="C27" s="124">
        <f>Checks!$N$360&amp;CHAR(10)&amp;IF(ISNUMBER(Checks!$R$360),TEXT(Checks!$R$360,"DD-MMM-YY HH:MM"),"")&amp;" "&amp;Checks!$P$360</f>
        <v/>
      </c>
      <c r="D27" s="124">
        <f>IF(Checks!$U$360="","",Checks!$U$360)&amp;IF(Checks!$AB$360="","",CHAR(10)&amp;"CA: "&amp;Checks!$AB$360)</f>
        <v/>
      </c>
      <c r="E27" s="124">
        <f>IF(Checks!$V$360="","",Checks!$V$360)&amp;IF(Checks!$AC$360="","",IF(Checks!$V$360="","",CHAR(10))&amp;"N/A just.: "&amp;Checks!$AC$360)&amp;IF(Checks!$W$360="","",CHAR(10)&amp;"Batch: "&amp;Checks!$W$360)&amp;IF(AND(Checks!$X$360="",Checks!$Y$360=""),"",CHAR(10)&amp;"Exp: "&amp;Checks!$X$360&amp;"  /  Act: "&amp;Checks!$Y$360)</f>
        <v/>
      </c>
      <c r="F27" s="124">
        <f>IF(Checks!$Z$360="","","Evidence: "&amp;Checks!$Z$360)&amp;IF(Checks!$AA$360="","",IF(Checks!$Z$360="","",CHAR(10))&amp;"CA: "&amp;Checks!$AA$360)</f>
        <v/>
      </c>
      <c r="G27" s="124">
        <f>IF(ISNUMBER(Checks!$AD$360),TEXT(Checks!$AD$360,"DD-MMM-YY HH:MM")&amp;" "&amp;Checks!$P$360,"")&amp;IF(Checks!$AE$360="","",CHAR(10)&amp;Checks!$AE$360)</f>
        <v/>
      </c>
      <c r="H27" s="125">
        <f>IF(Checks!$AH$360="","",Checks!$AH$360)</f>
        <v/>
      </c>
    </row>
    <row r="28" ht="81" customHeight="1">
      <c r="A28" s="124">
        <f>Checks!$A$361&amp;CHAR(10)&amp;IF(Checks!$I$361="","",Checks!$I$361&amp;": ")&amp;Checks!$J$361</f>
        <v/>
      </c>
      <c r="B28" s="124">
        <f>Checks!$K$361&amp;IF(Checks!$O$361="","",IF(Checks!$K$361="","",CHAR(10))&amp;"Note: "&amp;Checks!$O$361)</f>
        <v/>
      </c>
      <c r="C28" s="124">
        <f>Checks!$N$361&amp;CHAR(10)&amp;IF(ISNUMBER(Checks!$R$361),TEXT(Checks!$R$361,"DD-MMM-YY HH:MM"),"")&amp;" "&amp;Checks!$P$361</f>
        <v/>
      </c>
      <c r="D28" s="124">
        <f>IF(Checks!$U$361="","",Checks!$U$361)&amp;IF(Checks!$AB$361="","",CHAR(10)&amp;"CA: "&amp;Checks!$AB$361)</f>
        <v/>
      </c>
      <c r="E28" s="124">
        <f>IF(Checks!$V$361="","",Checks!$V$361)&amp;IF(Checks!$AC$361="","",IF(Checks!$V$361="","",CHAR(10))&amp;"N/A just.: "&amp;Checks!$AC$361)&amp;IF(Checks!$W$361="","",CHAR(10)&amp;"Batch: "&amp;Checks!$W$361)&amp;IF(AND(Checks!$X$361="",Checks!$Y$361=""),"",CHAR(10)&amp;"Exp: "&amp;Checks!$X$361&amp;"  /  Act: "&amp;Checks!$Y$361)</f>
        <v/>
      </c>
      <c r="F28" s="124">
        <f>IF(Checks!$Z$361="","","Evidence: "&amp;Checks!$Z$361)&amp;IF(Checks!$AA$361="","",IF(Checks!$Z$361="","",CHAR(10))&amp;"CA: "&amp;Checks!$AA$361)</f>
        <v/>
      </c>
      <c r="G28" s="124">
        <f>IF(ISNUMBER(Checks!$AD$361),TEXT(Checks!$AD$361,"DD-MMM-YY HH:MM")&amp;" "&amp;Checks!$P$361,"")&amp;IF(Checks!$AE$361="","",CHAR(10)&amp;Checks!$AE$361)</f>
        <v/>
      </c>
      <c r="H28" s="125">
        <f>IF(Checks!$AH$361="","",Checks!$AH$361)</f>
        <v/>
      </c>
    </row>
    <row r="29" ht="81" customHeight="1">
      <c r="A29" s="124">
        <f>Checks!$A$362&amp;CHAR(10)&amp;IF(Checks!$I$362="","",Checks!$I$362&amp;": ")&amp;Checks!$J$362</f>
        <v/>
      </c>
      <c r="B29" s="124">
        <f>Checks!$K$362&amp;IF(Checks!$O$362="","",IF(Checks!$K$362="","",CHAR(10))&amp;"Note: "&amp;Checks!$O$362)</f>
        <v/>
      </c>
      <c r="C29" s="124">
        <f>Checks!$N$362&amp;CHAR(10)&amp;IF(ISNUMBER(Checks!$R$362),TEXT(Checks!$R$362,"DD-MMM-YY HH:MM"),"")&amp;" "&amp;Checks!$P$362</f>
        <v/>
      </c>
      <c r="D29" s="124">
        <f>IF(Checks!$U$362="","",Checks!$U$362)&amp;IF(Checks!$AB$362="","",CHAR(10)&amp;"CA: "&amp;Checks!$AB$362)</f>
        <v/>
      </c>
      <c r="E29" s="124">
        <f>IF(Checks!$V$362="","",Checks!$V$362)&amp;IF(Checks!$AC$362="","",IF(Checks!$V$362="","",CHAR(10))&amp;"N/A just.: "&amp;Checks!$AC$362)&amp;IF(Checks!$W$362="","",CHAR(10)&amp;"Batch: "&amp;Checks!$W$362)&amp;IF(AND(Checks!$X$362="",Checks!$Y$362=""),"",CHAR(10)&amp;"Exp: "&amp;Checks!$X$362&amp;"  /  Act: "&amp;Checks!$Y$362)</f>
        <v/>
      </c>
      <c r="F29" s="124">
        <f>IF(Checks!$Z$362="","","Evidence: "&amp;Checks!$Z$362)&amp;IF(Checks!$AA$362="","",IF(Checks!$Z$362="","",CHAR(10))&amp;"CA: "&amp;Checks!$AA$362)</f>
        <v/>
      </c>
      <c r="G29" s="124">
        <f>IF(ISNUMBER(Checks!$AD$362),TEXT(Checks!$AD$362,"DD-MMM-YY HH:MM")&amp;" "&amp;Checks!$P$362,"")&amp;IF(Checks!$AE$362="","",CHAR(10)&amp;Checks!$AE$362)</f>
        <v/>
      </c>
      <c r="H29" s="125">
        <f>IF(Checks!$AH$362="","",Checks!$AH$362)</f>
        <v/>
      </c>
    </row>
    <row r="30" ht="81" customHeight="1">
      <c r="A30" s="124">
        <f>Checks!$A$363&amp;CHAR(10)&amp;IF(Checks!$I$363="","",Checks!$I$363&amp;": ")&amp;Checks!$J$363</f>
        <v/>
      </c>
      <c r="B30" s="124">
        <f>Checks!$K$363&amp;IF(Checks!$O$363="","",IF(Checks!$K$363="","",CHAR(10))&amp;"Note: "&amp;Checks!$O$363)</f>
        <v/>
      </c>
      <c r="C30" s="124">
        <f>Checks!$N$363&amp;CHAR(10)&amp;IF(ISNUMBER(Checks!$R$363),TEXT(Checks!$R$363,"DD-MMM-YY HH:MM"),"")&amp;" "&amp;Checks!$P$363</f>
        <v/>
      </c>
      <c r="D30" s="124">
        <f>IF(Checks!$U$363="","",Checks!$U$363)&amp;IF(Checks!$AB$363="","",CHAR(10)&amp;"CA: "&amp;Checks!$AB$363)</f>
        <v/>
      </c>
      <c r="E30" s="124">
        <f>IF(Checks!$V$363="","",Checks!$V$363)&amp;IF(Checks!$AC$363="","",IF(Checks!$V$363="","",CHAR(10))&amp;"N/A just.: "&amp;Checks!$AC$363)&amp;IF(Checks!$W$363="","",CHAR(10)&amp;"Batch: "&amp;Checks!$W$363)&amp;IF(AND(Checks!$X$363="",Checks!$Y$363=""),"",CHAR(10)&amp;"Exp: "&amp;Checks!$X$363&amp;"  /  Act: "&amp;Checks!$Y$363)</f>
        <v/>
      </c>
      <c r="F30" s="124">
        <f>IF(Checks!$Z$363="","","Evidence: "&amp;Checks!$Z$363)&amp;IF(Checks!$AA$363="","",IF(Checks!$Z$363="","",CHAR(10))&amp;"CA: "&amp;Checks!$AA$363)</f>
        <v/>
      </c>
      <c r="G30" s="124">
        <f>IF(ISNUMBER(Checks!$AD$363),TEXT(Checks!$AD$363,"DD-MMM-YY HH:MM")&amp;" "&amp;Checks!$P$363,"")&amp;IF(Checks!$AE$363="","",CHAR(10)&amp;Checks!$AE$363)</f>
        <v/>
      </c>
      <c r="H30" s="125">
        <f>IF(Checks!$AH$363="","",Checks!$AH$363)</f>
        <v/>
      </c>
    </row>
    <row r="31" ht="81" customHeight="1">
      <c r="A31" s="124">
        <f>Checks!$A$364&amp;CHAR(10)&amp;IF(Checks!$I$364="","",Checks!$I$364&amp;": ")&amp;Checks!$J$364</f>
        <v/>
      </c>
      <c r="B31" s="124">
        <f>Checks!$K$364&amp;IF(Checks!$O$364="","",IF(Checks!$K$364="","",CHAR(10))&amp;"Note: "&amp;Checks!$O$364)</f>
        <v/>
      </c>
      <c r="C31" s="124">
        <f>Checks!$N$364&amp;CHAR(10)&amp;IF(ISNUMBER(Checks!$R$364),TEXT(Checks!$R$364,"DD-MMM-YY HH:MM"),"")&amp;" "&amp;Checks!$P$364</f>
        <v/>
      </c>
      <c r="D31" s="124">
        <f>IF(Checks!$U$364="","",Checks!$U$364)&amp;IF(Checks!$AB$364="","",CHAR(10)&amp;"CA: "&amp;Checks!$AB$364)</f>
        <v/>
      </c>
      <c r="E31" s="124">
        <f>IF(Checks!$V$364="","",Checks!$V$364)&amp;IF(Checks!$AC$364="","",IF(Checks!$V$364="","",CHAR(10))&amp;"N/A just.: "&amp;Checks!$AC$364)&amp;IF(Checks!$W$364="","",CHAR(10)&amp;"Batch: "&amp;Checks!$W$364)&amp;IF(AND(Checks!$X$364="",Checks!$Y$364=""),"",CHAR(10)&amp;"Exp: "&amp;Checks!$X$364&amp;"  /  Act: "&amp;Checks!$Y$364)</f>
        <v/>
      </c>
      <c r="F31" s="124">
        <f>IF(Checks!$Z$364="","","Evidence: "&amp;Checks!$Z$364)&amp;IF(Checks!$AA$364="","",IF(Checks!$Z$364="","",CHAR(10))&amp;"CA: "&amp;Checks!$AA$364)</f>
        <v/>
      </c>
      <c r="G31" s="124">
        <f>IF(ISNUMBER(Checks!$AD$364),TEXT(Checks!$AD$364,"DD-MMM-YY HH:MM")&amp;" "&amp;Checks!$P$364,"")&amp;IF(Checks!$AE$364="","",CHAR(10)&amp;Checks!$AE$364)</f>
        <v/>
      </c>
      <c r="H31" s="125">
        <f>IF(Checks!$AH$364="","",Checks!$AH$364)</f>
        <v/>
      </c>
    </row>
    <row r="32" ht="114" customHeight="1">
      <c r="A32" s="124">
        <f>Checks!$A$365&amp;CHAR(10)&amp;IF(Checks!$I$365="","",Checks!$I$365&amp;": ")&amp;Checks!$J$365</f>
        <v/>
      </c>
      <c r="B32" s="124">
        <f>Checks!$K$365&amp;IF(Checks!$O$365="","",IF(Checks!$K$365="","",CHAR(10))&amp;"Note: "&amp;Checks!$O$365)</f>
        <v/>
      </c>
      <c r="C32" s="124">
        <f>Checks!$N$365&amp;CHAR(10)&amp;IF(ISNUMBER(Checks!$R$365),TEXT(Checks!$R$365,"DD-MMM-YY HH:MM"),"")&amp;" "&amp;Checks!$P$365</f>
        <v/>
      </c>
      <c r="D32" s="124">
        <f>IF(Checks!$U$365="","",Checks!$U$365)&amp;IF(Checks!$AB$365="","",CHAR(10)&amp;"CA: "&amp;Checks!$AB$365)</f>
        <v/>
      </c>
      <c r="E32" s="124">
        <f>IF(Checks!$V$365="","",Checks!$V$365)&amp;IF(Checks!$AC$365="","",IF(Checks!$V$365="","",CHAR(10))&amp;"N/A just.: "&amp;Checks!$AC$365)&amp;IF(Checks!$W$365="","",CHAR(10)&amp;"Batch: "&amp;Checks!$W$365)&amp;IF(AND(Checks!$X$365="",Checks!$Y$365=""),"",CHAR(10)&amp;"Exp: "&amp;Checks!$X$365&amp;"  /  Act: "&amp;Checks!$Y$365)</f>
        <v/>
      </c>
      <c r="F32" s="124">
        <f>IF(Checks!$Z$365="","","Evidence: "&amp;Checks!$Z$365)&amp;IF(Checks!$AA$365="","",IF(Checks!$Z$365="","",CHAR(10))&amp;"CA: "&amp;Checks!$AA$365)</f>
        <v/>
      </c>
      <c r="G32" s="124">
        <f>IF(ISNUMBER(Checks!$AD$365),TEXT(Checks!$AD$365,"DD-MMM-YY HH:MM")&amp;" "&amp;Checks!$P$365,"")&amp;IF(Checks!$AE$365="","",CHAR(10)&amp;Checks!$AE$365)</f>
        <v/>
      </c>
      <c r="H32" s="125">
        <f>IF(Checks!$AH$365="","",Checks!$AH$365)</f>
        <v/>
      </c>
    </row>
    <row r="33" ht="213" customHeight="1">
      <c r="A33" s="124">
        <f>Checks!$A$366&amp;CHAR(10)&amp;IF(Checks!$I$366="","",Checks!$I$366&amp;": ")&amp;Checks!$J$366</f>
        <v/>
      </c>
      <c r="B33" s="124">
        <f>Checks!$K$366&amp;IF(Checks!$O$366="","",IF(Checks!$K$366="","",CHAR(10))&amp;"Note: "&amp;Checks!$O$366)</f>
        <v/>
      </c>
      <c r="C33" s="124">
        <f>Checks!$N$366&amp;CHAR(10)&amp;IF(ISNUMBER(Checks!$R$366),TEXT(Checks!$R$366,"DD-MMM-YY HH:MM"),"")&amp;" "&amp;Checks!$P$366</f>
        <v/>
      </c>
      <c r="D33" s="124">
        <f>IF(Checks!$U$366="","",Checks!$U$366)&amp;IF(Checks!$AB$366="","",CHAR(10)&amp;"CA: "&amp;Checks!$AB$366)</f>
        <v/>
      </c>
      <c r="E33" s="124">
        <f>IF(Checks!$V$366="","",Checks!$V$366)&amp;IF(Checks!$AC$366="","",IF(Checks!$V$366="","",CHAR(10))&amp;"N/A just.: "&amp;Checks!$AC$366)&amp;IF(Checks!$W$366="","",CHAR(10)&amp;"Batch: "&amp;Checks!$W$366)&amp;IF(AND(Checks!$X$366="",Checks!$Y$366=""),"",CHAR(10)&amp;"Exp: "&amp;Checks!$X$366&amp;"  /  Act: "&amp;Checks!$Y$366)</f>
        <v/>
      </c>
      <c r="F33" s="124">
        <f>IF(Checks!$Z$366="","","Evidence: "&amp;Checks!$Z$366)&amp;IF(Checks!$AA$366="","",IF(Checks!$Z$366="","",CHAR(10))&amp;"CA: "&amp;Checks!$AA$366)</f>
        <v/>
      </c>
      <c r="G33" s="124">
        <f>IF(ISNUMBER(Checks!$AD$366),TEXT(Checks!$AD$366,"DD-MMM-YY HH:MM")&amp;" "&amp;Checks!$P$366,"")&amp;IF(Checks!$AE$366="","",CHAR(10)&amp;Checks!$AE$366)</f>
        <v/>
      </c>
      <c r="H33" s="125">
        <f>IF(Checks!$AH$366="","",Checks!$AH$366)</f>
        <v/>
      </c>
    </row>
    <row r="34" ht="26" customHeight="1">
      <c r="A34" s="123">
        <f>"T-24H — Production batch sensory  |  Due "&amp;IF(ISNUMBER(Flights!$AH$15),TEXT(Flights!$AH$15,"DD-MMM-YY HH:MM"),"")&amp;" "&amp;Flights!$V$15&amp;" (meal uplift stn)"&amp;" (rows with another due show their own)  |  Complete "&amp;IF(ISNUMBER(Flights!$AK$15),TEXT(Flights!$AK$15,"0%"),Flights!$AK$15)&amp;"  |  1 lines"</f>
        <v/>
      </c>
      <c r="B34" s="97" t="n"/>
      <c r="C34" s="97" t="n"/>
      <c r="D34" s="97" t="n"/>
      <c r="E34" s="97" t="n"/>
      <c r="F34" s="97" t="n"/>
      <c r="G34" s="97" t="n"/>
      <c r="H34" s="98" t="n"/>
    </row>
    <row r="35" ht="92" customHeight="1">
      <c r="A35" s="124">
        <f>Checks!$A$367&amp;CHAR(10)&amp;IF(Checks!$I$367="","",Checks!$I$367&amp;": ")&amp;Checks!$J$367</f>
        <v/>
      </c>
      <c r="B35" s="124">
        <f>Checks!$K$367&amp;IF(Checks!$O$367="","",IF(Checks!$K$367="","",CHAR(10))&amp;"Note: "&amp;Checks!$O$367)</f>
        <v/>
      </c>
      <c r="C35" s="124">
        <f>Checks!$N$367&amp;CHAR(10)&amp;IF(ISNUMBER(Checks!$R$367),TEXT(Checks!$R$367,"DD-MMM-YY HH:MM"),"")&amp;" "&amp;Checks!$P$367</f>
        <v/>
      </c>
      <c r="D35" s="124">
        <f>IF(Checks!$U$367="","",Checks!$U$367)&amp;IF(Checks!$AB$367="","",CHAR(10)&amp;"CA: "&amp;Checks!$AB$367)</f>
        <v/>
      </c>
      <c r="E35" s="124">
        <f>IF(Checks!$V$367="","",Checks!$V$367)&amp;IF(Checks!$AC$367="","",IF(Checks!$V$367="","",CHAR(10))&amp;"N/A just.: "&amp;Checks!$AC$367)&amp;IF(Checks!$W$367="","",CHAR(10)&amp;"Batch: "&amp;Checks!$W$367)&amp;IF(AND(Checks!$X$367="",Checks!$Y$367=""),"",CHAR(10)&amp;"Exp: "&amp;Checks!$X$367&amp;"  /  Act: "&amp;Checks!$Y$367)</f>
        <v/>
      </c>
      <c r="F35" s="124">
        <f>IF(Checks!$Z$367="","","Evidence: "&amp;Checks!$Z$367)&amp;IF(Checks!$AA$367="","",IF(Checks!$Z$367="","",CHAR(10))&amp;"CA: "&amp;Checks!$AA$367)</f>
        <v/>
      </c>
      <c r="G35" s="124">
        <f>IF(ISNUMBER(Checks!$AD$367),TEXT(Checks!$AD$367,"DD-MMM-YY HH:MM")&amp;" "&amp;Checks!$P$367,"")&amp;IF(Checks!$AE$367="","",CHAR(10)&amp;Checks!$AE$367)</f>
        <v/>
      </c>
      <c r="H35" s="125">
        <f>IF(Checks!$AH$367="","",Checks!$AH$367)</f>
        <v/>
      </c>
    </row>
    <row r="36" ht="26" customHeight="1">
      <c r="A36" s="123">
        <f>"T-12H PREP — Preparation check at caterer (does NOT confirm loading)  |  Due "&amp;IF(ISNUMBER(Flights!$AI$15),TEXT(Flights!$AI$15,"DD-MMM-YY HH:MM"),"")&amp;" "&amp;Flights!$V$15&amp;" (meal uplift stn)"&amp;" (rows with another due show their own)  |  Complete "&amp;IF(ISNUMBER(Flights!$AL$15),TEXT(Flights!$AL$15,"0%"),Flights!$AL$15)&amp;"  |  8 lines"</f>
        <v/>
      </c>
      <c r="B36" s="97" t="n"/>
      <c r="C36" s="97" t="n"/>
      <c r="D36" s="97" t="n"/>
      <c r="E36" s="97" t="n"/>
      <c r="F36" s="97" t="n"/>
      <c r="G36" s="97" t="n"/>
      <c r="H36" s="98" t="n"/>
    </row>
    <row r="37" ht="81" customHeight="1">
      <c r="A37" s="124">
        <f>Checks!$A$368&amp;CHAR(10)&amp;IF(Checks!$I$368="","",Checks!$I$368&amp;": ")&amp;Checks!$J$368</f>
        <v/>
      </c>
      <c r="B37" s="124">
        <f>Checks!$K$368&amp;IF(Checks!$O$368="","",IF(Checks!$K$368="","",CHAR(10))&amp;"Note: "&amp;Checks!$O$368)</f>
        <v/>
      </c>
      <c r="C37" s="124">
        <f>Checks!$N$368&amp;CHAR(10)&amp;IF(ISNUMBER(Checks!$R$368),TEXT(Checks!$R$368,"DD-MMM-YY HH:MM"),"")&amp;" "&amp;Checks!$P$368</f>
        <v/>
      </c>
      <c r="D37" s="124">
        <f>IF(Checks!$U$368="","",Checks!$U$368)&amp;IF(Checks!$AB$368="","",CHAR(10)&amp;"CA: "&amp;Checks!$AB$368)</f>
        <v/>
      </c>
      <c r="E37" s="124">
        <f>IF(Checks!$V$368="","",Checks!$V$368)&amp;IF(Checks!$AC$368="","",IF(Checks!$V$368="","",CHAR(10))&amp;"N/A just.: "&amp;Checks!$AC$368)&amp;IF(Checks!$W$368="","",CHAR(10)&amp;"Batch: "&amp;Checks!$W$368)&amp;IF(AND(Checks!$X$368="",Checks!$Y$368=""),"",CHAR(10)&amp;"Exp: "&amp;Checks!$X$368&amp;"  /  Act: "&amp;Checks!$Y$368)</f>
        <v/>
      </c>
      <c r="F37" s="124">
        <f>IF(Checks!$Z$368="","","Evidence: "&amp;Checks!$Z$368)&amp;IF(Checks!$AA$368="","",IF(Checks!$Z$368="","",CHAR(10))&amp;"CA: "&amp;Checks!$AA$368)</f>
        <v/>
      </c>
      <c r="G37" s="124">
        <f>IF(ISNUMBER(Checks!$AD$368),TEXT(Checks!$AD$368,"DD-MMM-YY HH:MM")&amp;" "&amp;Checks!$P$368,"")&amp;IF(Checks!$AE$368="","",CHAR(10)&amp;Checks!$AE$368)</f>
        <v/>
      </c>
      <c r="H37" s="125">
        <f>IF(Checks!$AH$368="","",Checks!$AH$368)</f>
        <v/>
      </c>
    </row>
    <row r="38" ht="92" customHeight="1">
      <c r="A38" s="124">
        <f>Checks!$A$369&amp;CHAR(10)&amp;IF(Checks!$I$369="","",Checks!$I$369&amp;": ")&amp;Checks!$J$369</f>
        <v/>
      </c>
      <c r="B38" s="124">
        <f>Checks!$K$369&amp;IF(Checks!$O$369="","",IF(Checks!$K$369="","",CHAR(10))&amp;"Note: "&amp;Checks!$O$369)</f>
        <v/>
      </c>
      <c r="C38" s="124">
        <f>Checks!$N$369&amp;CHAR(10)&amp;IF(ISNUMBER(Checks!$R$369),TEXT(Checks!$R$369,"DD-MMM-YY HH:MM"),"")&amp;" "&amp;Checks!$P$369</f>
        <v/>
      </c>
      <c r="D38" s="124">
        <f>IF(Checks!$U$369="","",Checks!$U$369)&amp;IF(Checks!$AB$369="","",CHAR(10)&amp;"CA: "&amp;Checks!$AB$369)</f>
        <v/>
      </c>
      <c r="E38" s="124">
        <f>IF(Checks!$V$369="","",Checks!$V$369)&amp;IF(Checks!$AC$369="","",IF(Checks!$V$369="","",CHAR(10))&amp;"N/A just.: "&amp;Checks!$AC$369)&amp;IF(Checks!$W$369="","",CHAR(10)&amp;"Batch: "&amp;Checks!$W$369)&amp;IF(AND(Checks!$X$369="",Checks!$Y$369=""),"",CHAR(10)&amp;"Exp: "&amp;Checks!$X$369&amp;"  /  Act: "&amp;Checks!$Y$369)</f>
        <v/>
      </c>
      <c r="F38" s="124">
        <f>IF(Checks!$Z$369="","","Evidence: "&amp;Checks!$Z$369)&amp;IF(Checks!$AA$369="","",IF(Checks!$Z$369="","",CHAR(10))&amp;"CA: "&amp;Checks!$AA$369)</f>
        <v/>
      </c>
      <c r="G38" s="124">
        <f>IF(ISNUMBER(Checks!$AD$369),TEXT(Checks!$AD$369,"DD-MMM-YY HH:MM")&amp;" "&amp;Checks!$P$369,"")&amp;IF(Checks!$AE$369="","",CHAR(10)&amp;Checks!$AE$369)</f>
        <v/>
      </c>
      <c r="H38" s="125">
        <f>IF(Checks!$AH$369="","",Checks!$AH$369)</f>
        <v/>
      </c>
    </row>
    <row r="39" ht="81" customHeight="1">
      <c r="A39" s="124">
        <f>Checks!$A$370&amp;CHAR(10)&amp;IF(Checks!$I$370="","",Checks!$I$370&amp;": ")&amp;Checks!$J$370</f>
        <v/>
      </c>
      <c r="B39" s="124">
        <f>Checks!$K$370&amp;IF(Checks!$O$370="","",IF(Checks!$K$370="","",CHAR(10))&amp;"Note: "&amp;Checks!$O$370)</f>
        <v/>
      </c>
      <c r="C39" s="124">
        <f>Checks!$N$370&amp;CHAR(10)&amp;IF(ISNUMBER(Checks!$R$370),TEXT(Checks!$R$370,"DD-MMM-YY HH:MM"),"")&amp;" "&amp;Checks!$P$370</f>
        <v/>
      </c>
      <c r="D39" s="124">
        <f>IF(Checks!$U$370="","",Checks!$U$370)&amp;IF(Checks!$AB$370="","",CHAR(10)&amp;"CA: "&amp;Checks!$AB$370)</f>
        <v/>
      </c>
      <c r="E39" s="124">
        <f>IF(Checks!$V$370="","",Checks!$V$370)&amp;IF(Checks!$AC$370="","",IF(Checks!$V$370="","",CHAR(10))&amp;"N/A just.: "&amp;Checks!$AC$370)&amp;IF(Checks!$W$370="","",CHAR(10)&amp;"Batch: "&amp;Checks!$W$370)&amp;IF(AND(Checks!$X$370="",Checks!$Y$370=""),"",CHAR(10)&amp;"Exp: "&amp;Checks!$X$370&amp;"  /  Act: "&amp;Checks!$Y$370)</f>
        <v/>
      </c>
      <c r="F39" s="124">
        <f>IF(Checks!$Z$370="","","Evidence: "&amp;Checks!$Z$370)&amp;IF(Checks!$AA$370="","",IF(Checks!$Z$370="","",CHAR(10))&amp;"CA: "&amp;Checks!$AA$370)</f>
        <v/>
      </c>
      <c r="G39" s="124">
        <f>IF(ISNUMBER(Checks!$AD$370),TEXT(Checks!$AD$370,"DD-MMM-YY HH:MM")&amp;" "&amp;Checks!$P$370,"")&amp;IF(Checks!$AE$370="","",CHAR(10)&amp;Checks!$AE$370)</f>
        <v/>
      </c>
      <c r="H39" s="125">
        <f>IF(Checks!$AH$370="","",Checks!$AH$370)</f>
        <v/>
      </c>
    </row>
    <row r="40" ht="81" customHeight="1">
      <c r="A40" s="124">
        <f>Checks!$A$371&amp;CHAR(10)&amp;IF(Checks!$I$371="","",Checks!$I$371&amp;": ")&amp;Checks!$J$371</f>
        <v/>
      </c>
      <c r="B40" s="124">
        <f>Checks!$K$371&amp;IF(Checks!$O$371="","",IF(Checks!$K$371="","",CHAR(10))&amp;"Note: "&amp;Checks!$O$371)</f>
        <v/>
      </c>
      <c r="C40" s="124">
        <f>Checks!$N$371&amp;CHAR(10)&amp;IF(ISNUMBER(Checks!$R$371),TEXT(Checks!$R$371,"DD-MMM-YY HH:MM"),"")&amp;" "&amp;Checks!$P$371</f>
        <v/>
      </c>
      <c r="D40" s="124">
        <f>IF(Checks!$U$371="","",Checks!$U$371)&amp;IF(Checks!$AB$371="","",CHAR(10)&amp;"CA: "&amp;Checks!$AB$371)</f>
        <v/>
      </c>
      <c r="E40" s="124">
        <f>IF(Checks!$V$371="","",Checks!$V$371)&amp;IF(Checks!$AC$371="","",IF(Checks!$V$371="","",CHAR(10))&amp;"N/A just.: "&amp;Checks!$AC$371)&amp;IF(Checks!$W$371="","",CHAR(10)&amp;"Batch: "&amp;Checks!$W$371)&amp;IF(AND(Checks!$X$371="",Checks!$Y$371=""),"",CHAR(10)&amp;"Exp: "&amp;Checks!$X$371&amp;"  /  Act: "&amp;Checks!$Y$371)</f>
        <v/>
      </c>
      <c r="F40" s="124">
        <f>IF(Checks!$Z$371="","","Evidence: "&amp;Checks!$Z$371)&amp;IF(Checks!$AA$371="","",IF(Checks!$Z$371="","",CHAR(10))&amp;"CA: "&amp;Checks!$AA$371)</f>
        <v/>
      </c>
      <c r="G40" s="124">
        <f>IF(ISNUMBER(Checks!$AD$371),TEXT(Checks!$AD$371,"DD-MMM-YY HH:MM")&amp;" "&amp;Checks!$P$371,"")&amp;IF(Checks!$AE$371="","",CHAR(10)&amp;Checks!$AE$371)</f>
        <v/>
      </c>
      <c r="H40" s="125">
        <f>IF(Checks!$AH$371="","",Checks!$AH$371)</f>
        <v/>
      </c>
    </row>
    <row r="41" ht="81" customHeight="1">
      <c r="A41" s="124">
        <f>Checks!$A$372&amp;CHAR(10)&amp;IF(Checks!$I$372="","",Checks!$I$372&amp;": ")&amp;Checks!$J$372</f>
        <v/>
      </c>
      <c r="B41" s="124">
        <f>Checks!$K$372&amp;IF(Checks!$O$372="","",IF(Checks!$K$372="","",CHAR(10))&amp;"Note: "&amp;Checks!$O$372)</f>
        <v/>
      </c>
      <c r="C41" s="124">
        <f>Checks!$N$372&amp;CHAR(10)&amp;IF(ISNUMBER(Checks!$R$372),TEXT(Checks!$R$372,"DD-MMM-YY HH:MM"),"")&amp;" "&amp;Checks!$P$372</f>
        <v/>
      </c>
      <c r="D41" s="124">
        <f>IF(Checks!$U$372="","",Checks!$U$372)&amp;IF(Checks!$AB$372="","",CHAR(10)&amp;"CA: "&amp;Checks!$AB$372)</f>
        <v/>
      </c>
      <c r="E41" s="124">
        <f>IF(Checks!$V$372="","",Checks!$V$372)&amp;IF(Checks!$AC$372="","",IF(Checks!$V$372="","",CHAR(10))&amp;"N/A just.: "&amp;Checks!$AC$372)&amp;IF(Checks!$W$372="","",CHAR(10)&amp;"Batch: "&amp;Checks!$W$372)&amp;IF(AND(Checks!$X$372="",Checks!$Y$372=""),"",CHAR(10)&amp;"Exp: "&amp;Checks!$X$372&amp;"  /  Act: "&amp;Checks!$Y$372)</f>
        <v/>
      </c>
      <c r="F41" s="124">
        <f>IF(Checks!$Z$372="","","Evidence: "&amp;Checks!$Z$372)&amp;IF(Checks!$AA$372="","",IF(Checks!$Z$372="","",CHAR(10))&amp;"CA: "&amp;Checks!$AA$372)</f>
        <v/>
      </c>
      <c r="G41" s="124">
        <f>IF(ISNUMBER(Checks!$AD$372),TEXT(Checks!$AD$372,"DD-MMM-YY HH:MM")&amp;" "&amp;Checks!$P$372,"")&amp;IF(Checks!$AE$372="","",CHAR(10)&amp;Checks!$AE$372)</f>
        <v/>
      </c>
      <c r="H41" s="125">
        <f>IF(Checks!$AH$372="","",Checks!$AH$372)</f>
        <v/>
      </c>
    </row>
    <row r="42" ht="202" customHeight="1">
      <c r="A42" s="124">
        <f>Checks!$A$373&amp;CHAR(10)&amp;IF(Checks!$I$373="","",Checks!$I$373&amp;": ")&amp;Checks!$J$373</f>
        <v/>
      </c>
      <c r="B42" s="124">
        <f>SUBSTITUTE(Checks!$K$373&amp;IF(Checks!$O$373="","",IF(Checks!$K$373="","",CHAR(10))&amp;"Note: "&amp;Checks!$O$373),"AIRCRAFT TYPE!","Ref: AIRCRAFT TYPE!")</f>
        <v/>
      </c>
      <c r="C42" s="124">
        <f>Checks!$N$373&amp;CHAR(10)&amp;IF(ISNUMBER(Checks!$R$373),TEXT(Checks!$R$373,"DD-MMM-YY HH:MM"),"")&amp;" "&amp;Checks!$P$373</f>
        <v/>
      </c>
      <c r="D42" s="124">
        <f>IF(Checks!$U$373="","",Checks!$U$373)&amp;IF(Checks!$AB$373="","",CHAR(10)&amp;"CA: "&amp;Checks!$AB$373)</f>
        <v/>
      </c>
      <c r="E42" s="124">
        <f>IF(Checks!$V$373="","",Checks!$V$373)&amp;IF(Checks!$AC$373="","",IF(Checks!$V$373="","",CHAR(10))&amp;"N/A just.: "&amp;Checks!$AC$373)&amp;IF(Checks!$W$373="","",CHAR(10)&amp;"Batch: "&amp;Checks!$W$373)&amp;IF(AND(Checks!$X$373="",Checks!$Y$373=""),"",CHAR(10)&amp;"Exp: "&amp;Checks!$X$373&amp;"  /  Act: "&amp;Checks!$Y$373)</f>
        <v/>
      </c>
      <c r="F42" s="124">
        <f>IF(Checks!$Z$373="","","Evidence: "&amp;Checks!$Z$373)&amp;IF(Checks!$AA$373="","",IF(Checks!$Z$373="","",CHAR(10))&amp;"CA: "&amp;Checks!$AA$373)</f>
        <v/>
      </c>
      <c r="G42" s="124">
        <f>IF(ISNUMBER(Checks!$AD$373),TEXT(Checks!$AD$373,"DD-MMM-YY HH:MM")&amp;" "&amp;Checks!$P$373,"")&amp;IF(Checks!$AE$373="","",CHAR(10)&amp;Checks!$AE$373)</f>
        <v/>
      </c>
      <c r="H42" s="125">
        <f>IF(Checks!$AH$373="","",Checks!$AH$373)</f>
        <v/>
      </c>
    </row>
    <row r="43" ht="81" customHeight="1">
      <c r="A43" s="124">
        <f>Checks!$A$374&amp;CHAR(10)&amp;IF(Checks!$I$374="","",Checks!$I$374&amp;": ")&amp;Checks!$J$374</f>
        <v/>
      </c>
      <c r="B43" s="124">
        <f>Checks!$K$374&amp;IF(Checks!$O$374="","",IF(Checks!$K$374="","",CHAR(10))&amp;"Note: "&amp;Checks!$O$374)</f>
        <v/>
      </c>
      <c r="C43" s="124">
        <f>Checks!$N$374&amp;CHAR(10)&amp;IF(ISNUMBER(Checks!$R$374),TEXT(Checks!$R$374,"DD-MMM-YY HH:MM"),"")&amp;" "&amp;Checks!$P$374</f>
        <v/>
      </c>
      <c r="D43" s="124">
        <f>IF(Checks!$U$374="","",Checks!$U$374)&amp;IF(Checks!$AB$374="","",CHAR(10)&amp;"CA: "&amp;Checks!$AB$374)</f>
        <v/>
      </c>
      <c r="E43" s="124">
        <f>IF(Checks!$V$374="","",Checks!$V$374)&amp;IF(Checks!$AC$374="","",IF(Checks!$V$374="","",CHAR(10))&amp;"N/A just.: "&amp;Checks!$AC$374)&amp;IF(Checks!$W$374="","",CHAR(10)&amp;"Batch: "&amp;Checks!$W$374)&amp;IF(AND(Checks!$X$374="",Checks!$Y$374=""),"",CHAR(10)&amp;"Exp: "&amp;Checks!$X$374&amp;"  /  Act: "&amp;Checks!$Y$374)</f>
        <v/>
      </c>
      <c r="F43" s="124">
        <f>IF(Checks!$Z$374="","","Evidence: "&amp;Checks!$Z$374)&amp;IF(Checks!$AA$374="","",IF(Checks!$Z$374="","",CHAR(10))&amp;"CA: "&amp;Checks!$AA$374)</f>
        <v/>
      </c>
      <c r="G43" s="124">
        <f>IF(ISNUMBER(Checks!$AD$374),TEXT(Checks!$AD$374,"DD-MMM-YY HH:MM")&amp;" "&amp;Checks!$P$374,"")&amp;IF(Checks!$AE$374="","",CHAR(10)&amp;Checks!$AE$374)</f>
        <v/>
      </c>
      <c r="H43" s="125">
        <f>IF(Checks!$AH$374="","",Checks!$AH$374)</f>
        <v/>
      </c>
    </row>
    <row r="44" ht="136" customHeight="1">
      <c r="A44" s="124">
        <f>Checks!$A$375&amp;CHAR(10)&amp;IF(Checks!$I$375="","",Checks!$I$375&amp;": ")&amp;Checks!$J$375</f>
        <v/>
      </c>
      <c r="B44" s="124">
        <f>Checks!$K$375&amp;IF(Checks!$O$375="","",IF(Checks!$K$375="","",CHAR(10))&amp;"Note: "&amp;Checks!$O$375)</f>
        <v/>
      </c>
      <c r="C44" s="124">
        <f>Checks!$N$375&amp;CHAR(10)&amp;IF(ISNUMBER(Checks!$R$375),TEXT(Checks!$R$375,"DD-MMM-YY HH:MM"),"")&amp;" "&amp;Checks!$P$375</f>
        <v/>
      </c>
      <c r="D44" s="124">
        <f>IF(Checks!$U$375="","",Checks!$U$375)&amp;IF(Checks!$AB$375="","",CHAR(10)&amp;"CA: "&amp;Checks!$AB$375)</f>
        <v/>
      </c>
      <c r="E44" s="124">
        <f>IF(Checks!$V$375="","",Checks!$V$375)&amp;IF(Checks!$AC$375="","",IF(Checks!$V$375="","",CHAR(10))&amp;"N/A just.: "&amp;Checks!$AC$375)&amp;IF(Checks!$W$375="","",CHAR(10)&amp;"Batch: "&amp;Checks!$W$375)&amp;IF(AND(Checks!$X$375="",Checks!$Y$375=""),"",CHAR(10)&amp;"Exp: "&amp;Checks!$X$375&amp;"  /  Act: "&amp;Checks!$Y$375)</f>
        <v/>
      </c>
      <c r="F44" s="124">
        <f>IF(Checks!$Z$375="","","Evidence: "&amp;Checks!$Z$375)&amp;IF(Checks!$AA$375="","",IF(Checks!$Z$375="","",CHAR(10))&amp;"CA: "&amp;Checks!$AA$375)</f>
        <v/>
      </c>
      <c r="G44" s="124">
        <f>IF(ISNUMBER(Checks!$AD$375),TEXT(Checks!$AD$375,"DD-MMM-YY HH:MM")&amp;" "&amp;Checks!$P$375,"")&amp;IF(Checks!$AE$375="","",CHAR(10)&amp;Checks!$AE$375)</f>
        <v/>
      </c>
      <c r="H44" s="125">
        <f>IF(Checks!$AH$375="","",Checks!$AH$375)</f>
        <v/>
      </c>
    </row>
    <row r="45" ht="26" customHeight="1">
      <c r="A45" s="123">
        <f>"UPLIFT — Physical uplift – on-board confirmation before departure  |  Due "&amp;"STD "&amp;IF(ISNUMBER(Flights!$I$15),TEXT(Flights!$I$15,"DD-MMM-YY HH:MM"),"")&amp;" "&amp;Flights!$G$15&amp;" (departure stn)"&amp;" (rows with another due show their own)  |  Complete "&amp;IF(ISNUMBER(Flights!$AM$15),TEXT(Flights!$AM$15,"0%"),Flights!$AM$15)&amp;"  |  4 lines"</f>
        <v/>
      </c>
      <c r="B45" s="97" t="n"/>
      <c r="C45" s="97" t="n"/>
      <c r="D45" s="97" t="n"/>
      <c r="E45" s="97" t="n"/>
      <c r="F45" s="97" t="n"/>
      <c r="G45" s="97" t="n"/>
      <c r="H45" s="98" t="n"/>
    </row>
    <row r="46" ht="81" customHeight="1">
      <c r="A46" s="124">
        <f>Checks!$A$376&amp;CHAR(10)&amp;IF(Checks!$I$376="","",Checks!$I$376&amp;": ")&amp;Checks!$J$376</f>
        <v/>
      </c>
      <c r="B46" s="124">
        <f>Checks!$K$376&amp;IF(Checks!$O$376="","",IF(Checks!$K$376="","",CHAR(10))&amp;"Note: "&amp;Checks!$O$376)</f>
        <v/>
      </c>
      <c r="C46" s="124">
        <f>Checks!$N$376&amp;CHAR(10)&amp;IF(ISNUMBER(Checks!$R$376),TEXT(Checks!$R$376,"DD-MMM-YY HH:MM"),"")&amp;" "&amp;Checks!$P$376</f>
        <v/>
      </c>
      <c r="D46" s="124">
        <f>IF(Checks!$U$376="","",Checks!$U$376)&amp;IF(Checks!$AB$376="","",CHAR(10)&amp;"CA: "&amp;Checks!$AB$376)</f>
        <v/>
      </c>
      <c r="E46" s="124">
        <f>IF(Checks!$V$376="","",Checks!$V$376)&amp;IF(Checks!$AC$376="","",IF(Checks!$V$376="","",CHAR(10))&amp;"N/A just.: "&amp;Checks!$AC$376)&amp;IF(Checks!$W$376="","",CHAR(10)&amp;"Batch: "&amp;Checks!$W$376)&amp;IF(AND(Checks!$X$376="",Checks!$Y$376=""),"",CHAR(10)&amp;"Exp: "&amp;Checks!$X$376&amp;"  /  Act: "&amp;Checks!$Y$376)</f>
        <v/>
      </c>
      <c r="F46" s="124">
        <f>IF(Checks!$Z$376="","","Evidence: "&amp;Checks!$Z$376)&amp;IF(Checks!$AA$376="","",IF(Checks!$Z$376="","",CHAR(10))&amp;"CA: "&amp;Checks!$AA$376)</f>
        <v/>
      </c>
      <c r="G46" s="124">
        <f>IF(ISNUMBER(Checks!$AD$376),TEXT(Checks!$AD$376,"DD-MMM-YY HH:MM")&amp;" "&amp;Checks!$P$376,"")&amp;IF(Checks!$AE$376="","",CHAR(10)&amp;Checks!$AE$376)</f>
        <v/>
      </c>
      <c r="H46" s="125">
        <f>IF(Checks!$AH$376="","",Checks!$AH$376)</f>
        <v/>
      </c>
    </row>
    <row r="47" ht="81" customHeight="1">
      <c r="A47" s="124">
        <f>Checks!$A$377&amp;CHAR(10)&amp;IF(Checks!$I$377="","",Checks!$I$377&amp;": ")&amp;Checks!$J$377</f>
        <v/>
      </c>
      <c r="B47" s="124">
        <f>Checks!$K$377&amp;IF(Checks!$O$377="","",IF(Checks!$K$377="","",CHAR(10))&amp;"Note: "&amp;Checks!$O$377)</f>
        <v/>
      </c>
      <c r="C47" s="124">
        <f>Checks!$N$377&amp;CHAR(10)&amp;IF(ISNUMBER(Checks!$R$377),TEXT(Checks!$R$377,"DD-MMM-YY HH:MM"),"")&amp;" "&amp;Checks!$P$377</f>
        <v/>
      </c>
      <c r="D47" s="124">
        <f>IF(Checks!$U$377="","",Checks!$U$377)&amp;IF(Checks!$AB$377="","",CHAR(10)&amp;"CA: "&amp;Checks!$AB$377)</f>
        <v/>
      </c>
      <c r="E47" s="124">
        <f>IF(Checks!$V$377="","",Checks!$V$377)&amp;IF(Checks!$AC$377="","",IF(Checks!$V$377="","",CHAR(10))&amp;"N/A just.: "&amp;Checks!$AC$377)&amp;IF(Checks!$W$377="","",CHAR(10)&amp;"Batch: "&amp;Checks!$W$377)&amp;IF(AND(Checks!$X$377="",Checks!$Y$377=""),"",CHAR(10)&amp;"Exp: "&amp;Checks!$X$377&amp;"  /  Act: "&amp;Checks!$Y$377)</f>
        <v/>
      </c>
      <c r="F47" s="124">
        <f>IF(Checks!$Z$377="","","Evidence: "&amp;Checks!$Z$377)&amp;IF(Checks!$AA$377="","",IF(Checks!$Z$377="","",CHAR(10))&amp;"CA: "&amp;Checks!$AA$377)</f>
        <v/>
      </c>
      <c r="G47" s="124">
        <f>IF(ISNUMBER(Checks!$AD$377),TEXT(Checks!$AD$377,"DD-MMM-YY HH:MM")&amp;" "&amp;Checks!$P$377,"")&amp;IF(Checks!$AE$377="","",CHAR(10)&amp;Checks!$AE$377)</f>
        <v/>
      </c>
      <c r="H47" s="125">
        <f>IF(Checks!$AH$377="","",Checks!$AH$377)</f>
        <v/>
      </c>
    </row>
    <row r="48" ht="180" customHeight="1">
      <c r="A48" s="124">
        <f>Checks!$A$378&amp;CHAR(10)&amp;IF(Checks!$I$378="","",Checks!$I$378&amp;": ")&amp;Checks!$J$378</f>
        <v/>
      </c>
      <c r="B48" s="124">
        <f>Checks!$K$378&amp;IF(Checks!$O$378="","",IF(Checks!$K$378="","",CHAR(10))&amp;"Note: "&amp;Checks!$O$378)</f>
        <v/>
      </c>
      <c r="C48" s="124">
        <f>Checks!$N$378&amp;CHAR(10)&amp;IF(ISNUMBER(Checks!$R$378),TEXT(Checks!$R$378,"DD-MMM-YY HH:MM"),"")&amp;" "&amp;Checks!$P$378</f>
        <v/>
      </c>
      <c r="D48" s="124">
        <f>IF(Checks!$U$378="","",Checks!$U$378)&amp;IF(Checks!$AB$378="","",CHAR(10)&amp;"CA: "&amp;Checks!$AB$378)</f>
        <v/>
      </c>
      <c r="E48" s="124">
        <f>IF(Checks!$V$378="","",Checks!$V$378)&amp;IF(Checks!$AC$378="","",IF(Checks!$V$378="","",CHAR(10))&amp;"N/A just.: "&amp;Checks!$AC$378)&amp;IF(Checks!$W$378="","",CHAR(10)&amp;"Batch: "&amp;Checks!$W$378)&amp;IF(AND(Checks!$X$378="",Checks!$Y$378=""),"",CHAR(10)&amp;"Exp: "&amp;Checks!$X$378&amp;"  /  Act: "&amp;Checks!$Y$378)</f>
        <v/>
      </c>
      <c r="F48" s="124">
        <f>IF(Checks!$Z$378="","","Evidence: "&amp;Checks!$Z$378)&amp;IF(Checks!$AA$378="","",IF(Checks!$Z$378="","",CHAR(10))&amp;"CA: "&amp;Checks!$AA$378)</f>
        <v/>
      </c>
      <c r="G48" s="124">
        <f>IF(ISNUMBER(Checks!$AD$378),TEXT(Checks!$AD$378,"DD-MMM-YY HH:MM")&amp;" "&amp;Checks!$P$378,"")&amp;IF(Checks!$AE$378="","",CHAR(10)&amp;Checks!$AE$378)</f>
        <v/>
      </c>
      <c r="H48" s="125">
        <f>IF(Checks!$AH$378="","",Checks!$AH$378)</f>
        <v/>
      </c>
    </row>
    <row r="49" ht="81" customHeight="1">
      <c r="A49" s="124">
        <f>Checks!$A$379&amp;CHAR(10)&amp;IF(Checks!$I$379="","",Checks!$I$379&amp;": ")&amp;Checks!$J$379</f>
        <v/>
      </c>
      <c r="B49" s="124">
        <f>Checks!$K$379&amp;IF(Checks!$O$379="","",IF(Checks!$K$379="","",CHAR(10))&amp;"Note: "&amp;Checks!$O$379)</f>
        <v/>
      </c>
      <c r="C49" s="124">
        <f>Checks!$N$379&amp;CHAR(10)&amp;IF(ISNUMBER(Checks!$R$379),TEXT(Checks!$R$379,"DD-MMM-YY HH:MM"),"")&amp;" "&amp;Checks!$P$379</f>
        <v/>
      </c>
      <c r="D49" s="124">
        <f>IF(Checks!$U$379="","",Checks!$U$379)&amp;IF(Checks!$AB$379="","",CHAR(10)&amp;"CA: "&amp;Checks!$AB$379)</f>
        <v/>
      </c>
      <c r="E49" s="124">
        <f>IF(Checks!$V$379="","",Checks!$V$379)&amp;IF(Checks!$AC$379="","",IF(Checks!$V$379="","",CHAR(10))&amp;"N/A just.: "&amp;Checks!$AC$379)&amp;IF(Checks!$W$379="","",CHAR(10)&amp;"Batch: "&amp;Checks!$W$379)&amp;IF(AND(Checks!$X$379="",Checks!$Y$379=""),"",CHAR(10)&amp;"Exp: "&amp;Checks!$X$379&amp;"  /  Act: "&amp;Checks!$Y$379)</f>
        <v/>
      </c>
      <c r="F49" s="124">
        <f>IF(Checks!$Z$379="","","Evidence: "&amp;Checks!$Z$379)&amp;IF(Checks!$AA$379="","",IF(Checks!$Z$379="","",CHAR(10))&amp;"CA: "&amp;Checks!$AA$379)</f>
        <v/>
      </c>
      <c r="G49" s="124">
        <f>IF(ISNUMBER(Checks!$AD$379),TEXT(Checks!$AD$379,"DD-MMM-YY HH:MM")&amp;" "&amp;Checks!$P$379,"")&amp;IF(Checks!$AE$379="","",CHAR(10)&amp;Checks!$AE$379)</f>
        <v/>
      </c>
      <c r="H49" s="125">
        <f>IF(Checks!$AH$379="","",Checks!$AH$379)</f>
        <v/>
      </c>
    </row>
    <row r="51" ht="24" customHeight="1">
      <c r="A51" s="126" t="inlineStr">
        <is>
          <t>EXCEL INSERTION AREA (on-screen only, not printed) – A1 Galley Loading Diagram: Insert &gt; Picture here. On paper: staple behind this sheet as page A1.</t>
        </is>
      </c>
      <c r="B51" s="127" t="n"/>
      <c r="C51" s="127" t="n"/>
      <c r="D51" s="128" t="n"/>
      <c r="E51" s="126" t="inlineStr">
        <is>
          <t>EXCEL INSERTION AREA (on-screen only, not printed) – A2 Menu Checklist: Insert &gt; Picture here. On paper: staple behind this sheet as page A2.</t>
        </is>
      </c>
      <c r="F51" s="127" t="n"/>
      <c r="G51" s="127" t="n"/>
      <c r="H51" s="128" t="n"/>
    </row>
    <row r="52" ht="22" customHeight="1">
      <c r="A52" s="129" t="n"/>
      <c r="B52" s="130" t="n"/>
      <c r="C52" s="130" t="n"/>
      <c r="D52" s="131" t="n"/>
      <c r="E52" s="129" t="n"/>
      <c r="F52" s="130" t="n"/>
      <c r="G52" s="130" t="n"/>
      <c r="H52" s="131" t="n"/>
    </row>
    <row r="53" ht="22" customHeight="1">
      <c r="A53" s="132" t="n"/>
      <c r="B53" s="130" t="n"/>
      <c r="C53" s="130" t="n"/>
      <c r="D53" s="131" t="n"/>
      <c r="E53" s="132"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3" t="n"/>
      <c r="B61" s="134" t="n"/>
      <c r="C61" s="134" t="n"/>
      <c r="D61" s="135" t="n"/>
      <c r="E61" s="133" t="n"/>
      <c r="F61" s="134" t="n"/>
      <c r="G61" s="134" t="n"/>
      <c r="H61" s="135" t="n"/>
    </row>
  </sheetData>
  <mergeCells count="47">
    <mergeCell ref="F20:H20"/>
    <mergeCell ref="B11:D11"/>
    <mergeCell ref="C20:E20"/>
    <mergeCell ref="F18:H18"/>
    <mergeCell ref="C15:D15"/>
    <mergeCell ref="B8:D8"/>
    <mergeCell ref="G11:H11"/>
    <mergeCell ref="C14:D14"/>
    <mergeCell ref="A36:H36"/>
    <mergeCell ref="F2:H2"/>
    <mergeCell ref="F17:H17"/>
    <mergeCell ref="A52:D61"/>
    <mergeCell ref="A1:H1"/>
    <mergeCell ref="G8:H8"/>
    <mergeCell ref="A45:H45"/>
    <mergeCell ref="B10:D10"/>
    <mergeCell ref="C16:D16"/>
    <mergeCell ref="G7:H7"/>
    <mergeCell ref="E52:H61"/>
    <mergeCell ref="B9:D9"/>
    <mergeCell ref="G6:H6"/>
    <mergeCell ref="A51:D51"/>
    <mergeCell ref="A18:B18"/>
    <mergeCell ref="B6:D6"/>
    <mergeCell ref="G3:H3"/>
    <mergeCell ref="B5:D5"/>
    <mergeCell ref="A21:H21"/>
    <mergeCell ref="F14:H14"/>
    <mergeCell ref="C19:E19"/>
    <mergeCell ref="B4:D4"/>
    <mergeCell ref="E51:H51"/>
    <mergeCell ref="G5:H5"/>
    <mergeCell ref="C18:E18"/>
    <mergeCell ref="A23:H23"/>
    <mergeCell ref="B7:D7"/>
    <mergeCell ref="G4:H4"/>
    <mergeCell ref="F16:H16"/>
    <mergeCell ref="B3:D3"/>
    <mergeCell ref="B17:E17"/>
    <mergeCell ref="A20:B20"/>
    <mergeCell ref="F19:H19"/>
    <mergeCell ref="A12:D12"/>
    <mergeCell ref="A19:B19"/>
    <mergeCell ref="A13:H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5">
    <cfRule type="expression" priority="8" dxfId="16" stopIfTrue="1">
      <formula>LEFT($E$15,11)="OUTSTANDING"</formula>
    </cfRule>
    <cfRule type="expression" priority="9" dxfId="13">
      <formula>$E$15="ON FILE"</formula>
    </cfRule>
  </conditionalFormatting>
  <conditionalFormatting sqref="E16">
    <cfRule type="expression" priority="10" dxfId="16" stopIfTrue="1">
      <formula>LEFT($E$16,11)="OUTSTANDING"</formula>
    </cfRule>
    <cfRule type="expression" priority="11" dxfId="13">
      <formula>$E$16="ON FILE"</formula>
    </cfRule>
  </conditionalFormatting>
  <conditionalFormatting sqref="H24:H49">
    <cfRule type="expression" priority="12" dxfId="17" stopIfTrue="1">
      <formula>LEFT($H24,8)="COMPLETE"</formula>
    </cfRule>
    <cfRule type="expression" priority="13" dxfId="14" stopIfTrue="1">
      <formula>OR(LEFT($H24,7)="OVERDUE",LEFT($H24,4)="FAIL",LEFT($H24,7)="INVALID")</formula>
    </cfRule>
    <cfRule type="expression" priority="14" dxfId="18" stopIfTrue="1">
      <formula>LEFT($H24,4)="OPEN"</formula>
    </cfRule>
    <cfRule type="expression" priority="15" dxfId="19" stopIfTrue="1">
      <formula>LEFT($H24,3)="N/A"</formula>
    </cfRule>
  </conditionalFormatting>
  <conditionalFormatting sqref="A24:G49">
    <cfRule type="expression" priority="16" dxfId="20">
      <formula>LEFT($H24,3)="N/A"</formula>
    </cfRule>
  </conditionalFormatting>
  <conditionalFormatting sqref="D24:D49">
    <cfRule type="expression" priority="17" dxfId="14">
      <formula>LEFT($D24,4)="Fail"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F11 MH1149 12-Oct-26 PEN-KUL Class EY</oddHeader>
    <oddFooter>&amp;L&amp;"Arial,Bold"&amp;8 F11 MH1149 12-Oct-26 PEN-KUL Class EY&amp;C&amp;"Arial"&amp;8 Printed: ____________________&amp;R&amp;"Arial"&amp;8 F11  Page &amp;P of &amp;N</oddFooter>
    <evenHeader/>
    <evenFooter/>
    <firstHeader/>
    <firstFooter/>
  </headerFooter>
  <rowBreaks count="2" manualBreakCount="2">
    <brk id="21" min="0" max="16383" man="1"/>
    <brk id="44" min="0" max="16383" man="1"/>
  </rowBreaks>
</worksheet>
</file>

<file path=xl/worksheets/sheet20.xml><?xml version="1.0" encoding="utf-8"?>
<worksheet xmlns="http://schemas.openxmlformats.org/spreadsheetml/2006/main">
  <sheetPr>
    <tabColor rgb="001F3864"/>
    <outlinePr summaryBelow="1" summaryRight="1"/>
    <pageSetUpPr fitToPage="1"/>
  </sheetPr>
  <dimension ref="A1:H84"/>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F12  "&amp;Flights!$F$16&amp;"  "&amp;TEXT(Flights!$D$16,"DD-MMM-YY")&amp;" ("&amp;Flights!$E$16&amp;")  "&amp;Flights!$G$16&amp;" → "&amp;Flights!$H$16&amp;"  |  Class "&amp;Flights!$K$16</f>
        <v/>
      </c>
      <c r="B1" s="97" t="n"/>
      <c r="C1" s="97" t="n"/>
      <c r="D1" s="97" t="n"/>
      <c r="E1" s="97" t="n"/>
      <c r="F1" s="97" t="n"/>
      <c r="G1" s="97" t="n"/>
      <c r="H1" s="98" t="n"/>
    </row>
    <row r="2" ht="13" customHeight="1">
      <c r="A2" s="99" t="inlineStr">
        <is>
          <t>Flight / date</t>
        </is>
      </c>
      <c r="B2" s="100">
        <f>Flights!$F$16&amp;"   "&amp;TEXT(Flights!$D$16,"DD-MMM-YY")&amp;" ("&amp;Flights!$E$16&amp;")"</f>
        <v/>
      </c>
      <c r="C2" s="97" t="n"/>
      <c r="D2" s="98" t="n"/>
      <c r="E2" s="101" t="inlineStr">
        <is>
          <t>READINESS STATUS</t>
        </is>
      </c>
      <c r="F2" s="102">
        <f>Flights!$AT$16</f>
        <v/>
      </c>
      <c r="G2" s="97" t="n"/>
      <c r="H2" s="98" t="n"/>
    </row>
    <row r="3" ht="24" customHeight="1">
      <c r="A3" s="99" t="inlineStr">
        <is>
          <t>Sector / class / seat</t>
        </is>
      </c>
      <c r="B3" s="100">
        <f>Flights!$G$16&amp;" → "&amp;Flights!$H$16&amp;"   Class "&amp;Flights!$K$16&amp;"   Seat "&amp;Flights!$O$16</f>
        <v/>
      </c>
      <c r="C3" s="97" t="n"/>
      <c r="D3" s="98" t="n"/>
      <c r="E3" s="101" t="inlineStr">
        <is>
          <t>Checkpoint</t>
        </is>
      </c>
      <c r="F3" s="101" t="inlineStr">
        <is>
          <t>Due (local)</t>
        </is>
      </c>
      <c r="G3" s="103" t="inlineStr">
        <is>
          <t>% complete</t>
        </is>
      </c>
      <c r="H3" s="98" t="n"/>
    </row>
    <row r="4" ht="13" customHeight="1">
      <c r="A4" s="99" t="inlineStr">
        <is>
          <t>STD → STA (local)</t>
        </is>
      </c>
      <c r="B4" s="100">
        <f>IF(ISNUMBER(Flights!$I$16),TEXT(Flights!$I$16,"DD-MMM-YY HH:MM"),"")&amp;" "&amp;Flights!$G$16&amp;"  →  "&amp;IF(ISNUMBER(Flights!$J$16),TEXT(Flights!$J$16,"DD-MMM-YY HH:MM"),"")&amp;" "&amp;Flights!$H$16</f>
        <v/>
      </c>
      <c r="C4" s="97" t="n"/>
      <c r="D4" s="98" t="n"/>
      <c r="E4" s="99" t="inlineStr">
        <is>
          <t>T-7D – 7 days before departure</t>
        </is>
      </c>
      <c r="F4" s="104">
        <f>IF(ISNUMBER(Flights!$AG$16),TEXT(Flights!$AG$16,"DD-MMM-YY HH:MM"),"")&amp;" "&amp;Flights!$V$16</f>
        <v/>
      </c>
      <c r="G4" s="105">
        <f>Flights!$AJ$16</f>
        <v/>
      </c>
      <c r="H4" s="98" t="n"/>
    </row>
    <row r="5" ht="24" customHeight="1">
      <c r="A5" s="99" t="inlineStr">
        <is>
          <t>Fleet / aircraft ref</t>
        </is>
      </c>
      <c r="B5" s="100">
        <f>Flights!$L$16&amp;" – "&amp;Flights!$M$16</f>
        <v/>
      </c>
      <c r="C5" s="97" t="n"/>
      <c r="D5" s="98" t="n"/>
      <c r="E5" s="99" t="inlineStr">
        <is>
          <t>T-24H – production batch sensory</t>
        </is>
      </c>
      <c r="F5" s="104">
        <f>IF(ISNUMBER(Flights!$AH$16),TEXT(Flights!$AH$16,"DD-MMM-YY HH:MM"),"")&amp;" "&amp;Flights!$V$16</f>
        <v/>
      </c>
      <c r="G5" s="105">
        <f>Flights!$AK$16</f>
        <v/>
      </c>
      <c r="H5" s="98" t="n"/>
    </row>
    <row r="6" ht="13" customHeight="1">
      <c r="A6" s="99" t="inlineStr">
        <is>
          <t>Tail / Reg</t>
        </is>
      </c>
      <c r="B6" s="100">
        <f>IF(TRIM(Flights!$N$16)="","__________________",Flights!$N$16)</f>
        <v/>
      </c>
      <c r="C6" s="97" t="n"/>
      <c r="D6" s="98" t="n"/>
      <c r="E6" s="99" t="inlineStr">
        <is>
          <t>T-12H PREP – caterer prep only</t>
        </is>
      </c>
      <c r="F6" s="104">
        <f>IF(ISNUMBER(Flights!$AI$16),TEXT(Flights!$AI$16,"DD-MMM-YY HH:MM"),"")&amp;" "&amp;Flights!$V$16&amp;IF(Flights!$AI$16=Flights!$AH$16,"  (= T-24H due)","")</f>
        <v/>
      </c>
      <c r="G6" s="105">
        <f>Flights!$AL$16</f>
        <v/>
      </c>
      <c r="H6" s="98" t="n"/>
    </row>
    <row r="7" ht="13" customHeight="1">
      <c r="A7" s="99" t="inlineStr">
        <is>
          <t>Service type</t>
        </is>
      </c>
      <c r="B7" s="100">
        <f>Flights!$T$16</f>
        <v/>
      </c>
      <c r="C7" s="97" t="n"/>
      <c r="D7" s="98" t="n"/>
      <c r="E7" s="99" t="inlineStr">
        <is>
          <t>UPLIFT – on-board confirmation</t>
        </is>
      </c>
      <c r="F7" s="104">
        <f>"STD "&amp;IF(ISNUMBER(Flights!$I$16),TEXT(Flights!$I$16,"DD-MMM-YY HH:MM"),"")&amp;" "&amp;Flights!$G$16&amp;" (dep stn)"</f>
        <v/>
      </c>
      <c r="G7" s="105">
        <f>Flights!$AM$16</f>
        <v/>
      </c>
      <c r="H7" s="98" t="n"/>
    </row>
    <row r="8" ht="13" customHeight="1">
      <c r="A8" s="99" t="inlineStr">
        <is>
          <t>Meal uplift stn</t>
        </is>
      </c>
      <c r="B8" s="100">
        <f>Flights!$V$16&amp;"   (reference uplift stns: "&amp;Flights!$U$16&amp;")"</f>
        <v/>
      </c>
      <c r="C8" s="97" t="n"/>
      <c r="D8" s="98" t="n"/>
      <c r="E8" s="99" t="inlineStr">
        <is>
          <t>OVERALL (all checkpoints)</t>
        </is>
      </c>
      <c r="F8" s="106" t="inlineStr">
        <is>
          <t>–</t>
        </is>
      </c>
      <c r="G8" s="105">
        <f>Flights!$AN$16</f>
        <v/>
      </c>
      <c r="H8" s="98" t="n"/>
    </row>
    <row r="9" ht="13" customHeight="1">
      <c r="A9" s="99" t="inlineStr">
        <is>
          <t>Transit / remark</t>
        </is>
      </c>
      <c r="B9" s="100">
        <f>TRIM(Flights!$P$16&amp;"  "&amp;Flights!$Q$16)</f>
        <v/>
      </c>
      <c r="C9" s="97" t="n"/>
      <c r="D9" s="98" t="n"/>
      <c r="E9" s="99" t="inlineStr">
        <is>
          <t>Overdue / discrep. / invalid</t>
        </is>
      </c>
      <c r="F9" s="107">
        <f>Flights!$AP$16</f>
        <v/>
      </c>
      <c r="G9" s="107">
        <f>Flights!$AQ$16</f>
        <v/>
      </c>
      <c r="H9" s="107">
        <f>Flights!$AU$16</f>
        <v/>
      </c>
    </row>
    <row r="10" ht="13" customHeight="1">
      <c r="A10" s="99" t="inlineStr">
        <is>
          <t>Caterer</t>
        </is>
      </c>
      <c r="B10" s="100">
        <f>IF(TRIM(Flights!$X$16)="","__________________",Flights!$X$16)</f>
        <v/>
      </c>
      <c r="C10" s="97" t="n"/>
      <c r="D10" s="98" t="n"/>
      <c r="E10" s="99" t="inlineStr">
        <is>
          <t>Open reqd / clarif. / docs out</t>
        </is>
      </c>
      <c r="F10" s="107">
        <f>Flights!$AO$16</f>
        <v/>
      </c>
      <c r="G10" s="107">
        <f>Flights!$AS$16</f>
        <v/>
      </c>
      <c r="H10" s="107">
        <f>Flights!$AR$16</f>
        <v/>
      </c>
    </row>
    <row r="11" ht="13" customHeight="1">
      <c r="A11" s="99" t="inlineStr">
        <is>
          <t>Flight PIC</t>
        </is>
      </c>
      <c r="B11" s="100">
        <f>IF(TRIM(Flights!$Y$16)="","__________________",Flights!$Y$16)</f>
        <v/>
      </c>
      <c r="C11" s="97" t="n"/>
      <c r="D11" s="98" t="n"/>
      <c r="E11" s="99" t="inlineStr">
        <is>
          <t>Done / in scope | as of UTC</t>
        </is>
      </c>
      <c r="F11" s="107">
        <f>Flights!$AV$16&amp;" / "&amp;Flights!$AW$16</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IF(Documents!$F$16="","",Documents!$F$16)</f>
        <v/>
      </c>
      <c r="C14" s="115">
        <f>IF(Documents!$G$16="","",Documents!$G$16)&amp;IF(ISNUMBER(Documents!$H$16),"  "&amp;TEXT(Documents!$H$16,"DD-MMM-YY"),"")</f>
        <v/>
      </c>
      <c r="D14" s="98" t="n"/>
      <c r="E14" s="116">
        <f>IF(Documents!$J$16="OUTSTANDING","OUTSTANDING – attach before T-7D (due "&amp;IF(ISNUMBER(Flights!$AG$16),TEXT(Flights!$AG$16,"DD-MMM-YY HH:MM"),"")&amp;" "&amp;Flights!$V$16&amp;")",IF(Documents!$J$16="","Status not recorded",Documents!$J$16))</f>
        <v/>
      </c>
      <c r="F14" s="117">
        <f>"Staple behind this sheet as page A1."&amp;IF(Documents!$I$16="",""," Location: "&amp;Documents!$I$16)</f>
        <v/>
      </c>
      <c r="G14" s="97" t="n"/>
      <c r="H14" s="98" t="n"/>
    </row>
    <row r="15" ht="25" customHeight="1">
      <c r="A15" s="99" t="inlineStr">
        <is>
          <t>A2  Menu Checklist</t>
        </is>
      </c>
      <c r="B15" s="114">
        <f>IF(Documents!$K$16="","",Documents!$K$16)</f>
        <v/>
      </c>
      <c r="C15" s="115">
        <f>IF(Documents!$L$16="","",Documents!$L$16)&amp;IF(ISNUMBER(Documents!$M$16),"  "&amp;TEXT(Documents!$M$16,"DD-MMM-YY"),"")</f>
        <v/>
      </c>
      <c r="D15" s="98" t="n"/>
      <c r="E15" s="116">
        <f>IF(Documents!$O$16="OUTSTANDING","OUTSTANDING – attach before T-7D (due "&amp;IF(ISNUMBER(Flights!$AG$16),TEXT(Flights!$AG$16,"DD-MMM-YY HH:MM"),"")&amp;" "&amp;Flights!$V$16&amp;")",IF(Documents!$O$16="","Status not recorded",Documents!$O$16))</f>
        <v/>
      </c>
      <c r="F15" s="117">
        <f>"Staple behind this sheet as page A2."&amp;IF(Documents!$N$16="",""," Location: "&amp;Documents!$N$16)</f>
        <v/>
      </c>
      <c r="G15" s="97" t="n"/>
      <c r="H15" s="98" t="n"/>
    </row>
    <row r="16" ht="33" customHeight="1">
      <c r="A16" s="99" t="inlineStr">
        <is>
          <t>Document notes</t>
        </is>
      </c>
      <c r="B16" s="118">
        <f>IF(Documents!$Q$16="","",Documents!$Q$16)</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"&amp;IF(TRIM(Flights!$Y$16)="","__________________",Flights!$Y$16)</f>
        <v/>
      </c>
      <c r="B18" s="98" t="n"/>
      <c r="C18" s="100">
        <f>"Name: __________________"</f>
        <v/>
      </c>
      <c r="D18" s="97" t="n"/>
      <c r="E18" s="98" t="n"/>
      <c r="F18" s="100">
        <f>"Name: __________________"&amp;"   Station: "&amp;Flights!$V$16</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"&amp;IF(ISNUMBER(Flights!$AG$16),TEXT(Flights!$AG$16,"DD-MMM-YY HH:MM"),"")&amp;" "&amp;Flights!$V$16&amp;" (meal uplift stn)"&amp;" (rows with another due show their own)  |  Complete "&amp;IF(ISNUMBER(Flights!$AJ$16),TEXT(Flights!$AJ$16,"0%"),Flights!$AJ$16)&amp;"  |  9 lines"</f>
        <v/>
      </c>
      <c r="B22" s="97" t="n"/>
      <c r="C22" s="97" t="n"/>
      <c r="D22" s="97" t="n"/>
      <c r="E22" s="97" t="n"/>
      <c r="F22" s="97" t="n"/>
      <c r="G22" s="97" t="n"/>
      <c r="H22" s="98" t="n"/>
    </row>
    <row r="23" ht="81" customHeight="1">
      <c r="A23" s="124">
        <f>Checks!$A$380&amp;CHAR(10)&amp;IF(Checks!$I$380="","",Checks!$I$380&amp;": ")&amp;Checks!$J$380</f>
        <v/>
      </c>
      <c r="B23" s="124">
        <f>Checks!$K$380&amp;IF(Checks!$O$380="","",IF(Checks!$K$380="","",CHAR(10))&amp;"Note: "&amp;Checks!$O$380)</f>
        <v/>
      </c>
      <c r="C23" s="124">
        <f>Checks!$N$380&amp;CHAR(10)&amp;IF(ISNUMBER(Checks!$R$380),TEXT(Checks!$R$380,"DD-MMM-YY HH:MM"),"")&amp;" "&amp;Checks!$P$380</f>
        <v/>
      </c>
      <c r="D23" s="124">
        <f>IF(Checks!$U$380="","",Checks!$U$380)&amp;IF(Checks!$AB$380="","",CHAR(10)&amp;"CA: "&amp;Checks!$AB$380)</f>
        <v/>
      </c>
      <c r="E23" s="124">
        <f>IF(Checks!$V$380="","",Checks!$V$380)&amp;IF(Checks!$AC$380="","",IF(Checks!$V$380="","",CHAR(10))&amp;"N/A just.: "&amp;Checks!$AC$380)&amp;IF(Checks!$W$380="","",CHAR(10)&amp;"Batch: "&amp;Checks!$W$380)&amp;IF(AND(Checks!$X$380="",Checks!$Y$380=""),"",CHAR(10)&amp;"Exp: "&amp;Checks!$X$380&amp;"  /  Act: "&amp;Checks!$Y$380)</f>
        <v/>
      </c>
      <c r="F23" s="124">
        <f>IF(Checks!$Z$380="","","Evidence: "&amp;Checks!$Z$380)&amp;IF(Checks!$AA$380="","",IF(Checks!$Z$380="","",CHAR(10))&amp;"CA: "&amp;Checks!$AA$380)</f>
        <v/>
      </c>
      <c r="G23" s="124">
        <f>IF(ISNUMBER(Checks!$AD$380),TEXT(Checks!$AD$380,"DD-MMM-YY HH:MM")&amp;" "&amp;Checks!$P$380,"")&amp;IF(Checks!$AE$380="","",CHAR(10)&amp;Checks!$AE$380)</f>
        <v/>
      </c>
      <c r="H23" s="125">
        <f>IF(Checks!$AH$380="","",Checks!$AH$380)</f>
        <v/>
      </c>
    </row>
    <row r="24" ht="81" customHeight="1">
      <c r="A24" s="124">
        <f>Checks!$A$381&amp;CHAR(10)&amp;IF(Checks!$I$381="","",Checks!$I$381&amp;": ")&amp;Checks!$J$381</f>
        <v/>
      </c>
      <c r="B24" s="124">
        <f>Checks!$K$381&amp;IF(Checks!$O$381="","",IF(Checks!$K$381="","",CHAR(10))&amp;"Note: "&amp;Checks!$O$381)</f>
        <v/>
      </c>
      <c r="C24" s="124">
        <f>Checks!$N$381&amp;CHAR(10)&amp;IF(ISNUMBER(Checks!$R$381),TEXT(Checks!$R$381,"DD-MMM-YY HH:MM"),"")&amp;" "&amp;Checks!$P$381</f>
        <v/>
      </c>
      <c r="D24" s="124">
        <f>IF(Checks!$U$381="","",Checks!$U$381)&amp;IF(Checks!$AB$381="","",CHAR(10)&amp;"CA: "&amp;Checks!$AB$381)</f>
        <v/>
      </c>
      <c r="E24" s="124">
        <f>IF(Checks!$V$381="","",Checks!$V$381)&amp;IF(Checks!$AC$381="","",IF(Checks!$V$381="","",CHAR(10))&amp;"N/A just.: "&amp;Checks!$AC$381)&amp;IF(Checks!$W$381="","",CHAR(10)&amp;"Batch: "&amp;Checks!$W$381)&amp;IF(AND(Checks!$X$381="",Checks!$Y$381=""),"",CHAR(10)&amp;"Exp: "&amp;Checks!$X$381&amp;"  /  Act: "&amp;Checks!$Y$381)</f>
        <v/>
      </c>
      <c r="F24" s="124">
        <f>IF(Checks!$Z$381="","","Evidence: "&amp;Checks!$Z$381)&amp;IF(Checks!$AA$381="","",IF(Checks!$Z$381="","",CHAR(10))&amp;"CA: "&amp;Checks!$AA$381)</f>
        <v/>
      </c>
      <c r="G24" s="124">
        <f>IF(ISNUMBER(Checks!$AD$381),TEXT(Checks!$AD$381,"DD-MMM-YY HH:MM")&amp;" "&amp;Checks!$P$381,"")&amp;IF(Checks!$AE$381="","",CHAR(10)&amp;Checks!$AE$381)</f>
        <v/>
      </c>
      <c r="H24" s="125">
        <f>IF(Checks!$AH$381="","",Checks!$AH$381)</f>
        <v/>
      </c>
    </row>
    <row r="25" ht="92" customHeight="1">
      <c r="A25" s="124">
        <f>Checks!$A$382&amp;CHAR(10)&amp;IF(Checks!$I$382="","",Checks!$I$382&amp;": ")&amp;Checks!$J$382</f>
        <v/>
      </c>
      <c r="B25" s="124">
        <f>Checks!$K$382&amp;IF(Checks!$O$382="","",IF(Checks!$K$382="","",CHAR(10))&amp;"Note: "&amp;Checks!$O$382)</f>
        <v/>
      </c>
      <c r="C25" s="124">
        <f>Checks!$N$382&amp;CHAR(10)&amp;IF(ISNUMBER(Checks!$R$382),TEXT(Checks!$R$382,"DD-MMM-YY HH:MM"),"")&amp;" "&amp;Checks!$P$382</f>
        <v/>
      </c>
      <c r="D25" s="124">
        <f>IF(Checks!$U$382="","",Checks!$U$382)&amp;IF(Checks!$AB$382="","",CHAR(10)&amp;"CA: "&amp;Checks!$AB$382)</f>
        <v/>
      </c>
      <c r="E25" s="124">
        <f>IF(Checks!$V$382="","",Checks!$V$382)&amp;IF(Checks!$AC$382="","",IF(Checks!$V$382="","",CHAR(10))&amp;"N/A just.: "&amp;Checks!$AC$382)&amp;IF(Checks!$W$382="","",CHAR(10)&amp;"Batch: "&amp;Checks!$W$382)&amp;IF(AND(Checks!$X$382="",Checks!$Y$382=""),"",CHAR(10)&amp;"Exp: "&amp;Checks!$X$382&amp;"  /  Act: "&amp;Checks!$Y$382)</f>
        <v/>
      </c>
      <c r="F25" s="124">
        <f>IF(Checks!$Z$382="","","Evidence: "&amp;Checks!$Z$382)&amp;IF(Checks!$AA$382="","",IF(Checks!$Z$382="","",CHAR(10))&amp;"CA: "&amp;Checks!$AA$382)</f>
        <v/>
      </c>
      <c r="G25" s="124">
        <f>IF(ISNUMBER(Checks!$AD$382),TEXT(Checks!$AD$382,"DD-MMM-YY HH:MM")&amp;" "&amp;Checks!$P$382,"")&amp;IF(Checks!$AE$382="","",CHAR(10)&amp;Checks!$AE$382)</f>
        <v/>
      </c>
      <c r="H25" s="125">
        <f>IF(Checks!$AH$382="","",Checks!$AH$382)</f>
        <v/>
      </c>
    </row>
    <row r="26" ht="81" customHeight="1">
      <c r="A26" s="124">
        <f>Checks!$A$383&amp;CHAR(10)&amp;IF(Checks!$I$383="","",Checks!$I$383&amp;": ")&amp;Checks!$J$383</f>
        <v/>
      </c>
      <c r="B26" s="124">
        <f>Checks!$K$383&amp;IF(Checks!$O$383="","",IF(Checks!$K$383="","",CHAR(10))&amp;"Note: "&amp;Checks!$O$383)</f>
        <v/>
      </c>
      <c r="C26" s="124">
        <f>Checks!$N$383&amp;CHAR(10)&amp;IF(ISNUMBER(Checks!$R$383),TEXT(Checks!$R$383,"DD-MMM-YY HH:MM"),"")&amp;" "&amp;Checks!$P$383</f>
        <v/>
      </c>
      <c r="D26" s="124">
        <f>IF(Checks!$U$383="","",Checks!$U$383)&amp;IF(Checks!$AB$383="","",CHAR(10)&amp;"CA: "&amp;Checks!$AB$383)</f>
        <v/>
      </c>
      <c r="E26" s="124">
        <f>IF(Checks!$V$383="","",Checks!$V$383)&amp;IF(Checks!$AC$383="","",IF(Checks!$V$383="","",CHAR(10))&amp;"N/A just.: "&amp;Checks!$AC$383)&amp;IF(Checks!$W$383="","",CHAR(10)&amp;"Batch: "&amp;Checks!$W$383)&amp;IF(AND(Checks!$X$383="",Checks!$Y$383=""),"",CHAR(10)&amp;"Exp: "&amp;Checks!$X$383&amp;"  /  Act: "&amp;Checks!$Y$383)</f>
        <v/>
      </c>
      <c r="F26" s="124">
        <f>IF(Checks!$Z$383="","","Evidence: "&amp;Checks!$Z$383)&amp;IF(Checks!$AA$383="","",IF(Checks!$Z$383="","",CHAR(10))&amp;"CA: "&amp;Checks!$AA$383)</f>
        <v/>
      </c>
      <c r="G26" s="124">
        <f>IF(ISNUMBER(Checks!$AD$383),TEXT(Checks!$AD$383,"DD-MMM-YY HH:MM")&amp;" "&amp;Checks!$P$383,"")&amp;IF(Checks!$AE$383="","",CHAR(10)&amp;Checks!$AE$383)</f>
        <v/>
      </c>
      <c r="H26" s="125">
        <f>IF(Checks!$AH$383="","",Checks!$AH$383)</f>
        <v/>
      </c>
    </row>
    <row r="27" ht="81" customHeight="1">
      <c r="A27" s="124">
        <f>Checks!$A$384&amp;CHAR(10)&amp;IF(Checks!$I$384="","",Checks!$I$384&amp;": ")&amp;Checks!$J$384</f>
        <v/>
      </c>
      <c r="B27" s="124">
        <f>Checks!$K$384&amp;IF(Checks!$O$384="","",IF(Checks!$K$384="","",CHAR(10))&amp;"Note: "&amp;Checks!$O$384)</f>
        <v/>
      </c>
      <c r="C27" s="124">
        <f>Checks!$N$384&amp;CHAR(10)&amp;IF(ISNUMBER(Checks!$R$384),TEXT(Checks!$R$384,"DD-MMM-YY HH:MM"),"")&amp;" "&amp;Checks!$P$384</f>
        <v/>
      </c>
      <c r="D27" s="124">
        <f>IF(Checks!$U$384="","",Checks!$U$384)&amp;IF(Checks!$AB$384="","",CHAR(10)&amp;"CA: "&amp;Checks!$AB$384)</f>
        <v/>
      </c>
      <c r="E27" s="124">
        <f>IF(Checks!$V$384="","",Checks!$V$384)&amp;IF(Checks!$AC$384="","",IF(Checks!$V$384="","",CHAR(10))&amp;"N/A just.: "&amp;Checks!$AC$384)&amp;IF(Checks!$W$384="","",CHAR(10)&amp;"Batch: "&amp;Checks!$W$384)&amp;IF(AND(Checks!$X$384="",Checks!$Y$384=""),"",CHAR(10)&amp;"Exp: "&amp;Checks!$X$384&amp;"  /  Act: "&amp;Checks!$Y$384)</f>
        <v/>
      </c>
      <c r="F27" s="124">
        <f>IF(Checks!$Z$384="","","Evidence: "&amp;Checks!$Z$384)&amp;IF(Checks!$AA$384="","",IF(Checks!$Z$384="","",CHAR(10))&amp;"CA: "&amp;Checks!$AA$384)</f>
        <v/>
      </c>
      <c r="G27" s="124">
        <f>IF(ISNUMBER(Checks!$AD$384),TEXT(Checks!$AD$384,"DD-MMM-YY HH:MM")&amp;" "&amp;Checks!$P$384,"")&amp;IF(Checks!$AE$384="","",CHAR(10)&amp;Checks!$AE$384)</f>
        <v/>
      </c>
      <c r="H27" s="125">
        <f>IF(Checks!$AH$384="","",Checks!$AH$384)</f>
        <v/>
      </c>
    </row>
    <row r="28" ht="81" customHeight="1">
      <c r="A28" s="124">
        <f>Checks!$A$385&amp;CHAR(10)&amp;IF(Checks!$I$385="","",Checks!$I$385&amp;": ")&amp;Checks!$J$385</f>
        <v/>
      </c>
      <c r="B28" s="124">
        <f>Checks!$K$385&amp;IF(Checks!$O$385="","",IF(Checks!$K$385="","",CHAR(10))&amp;"Note: "&amp;Checks!$O$385)</f>
        <v/>
      </c>
      <c r="C28" s="124">
        <f>Checks!$N$385&amp;CHAR(10)&amp;IF(ISNUMBER(Checks!$R$385),TEXT(Checks!$R$385,"DD-MMM-YY HH:MM"),"")&amp;" "&amp;Checks!$P$385</f>
        <v/>
      </c>
      <c r="D28" s="124">
        <f>IF(Checks!$U$385="","",Checks!$U$385)&amp;IF(Checks!$AB$385="","",CHAR(10)&amp;"CA: "&amp;Checks!$AB$385)</f>
        <v/>
      </c>
      <c r="E28" s="124">
        <f>IF(Checks!$V$385="","",Checks!$V$385)&amp;IF(Checks!$AC$385="","",IF(Checks!$V$385="","",CHAR(10))&amp;"N/A just.: "&amp;Checks!$AC$385)&amp;IF(Checks!$W$385="","",CHAR(10)&amp;"Batch: "&amp;Checks!$W$385)&amp;IF(AND(Checks!$X$385="",Checks!$Y$385=""),"",CHAR(10)&amp;"Exp: "&amp;Checks!$X$385&amp;"  /  Act: "&amp;Checks!$Y$385)</f>
        <v/>
      </c>
      <c r="F28" s="124">
        <f>IF(Checks!$Z$385="","","Evidence: "&amp;Checks!$Z$385)&amp;IF(Checks!$AA$385="","",IF(Checks!$Z$385="","",CHAR(10))&amp;"CA: "&amp;Checks!$AA$385)</f>
        <v/>
      </c>
      <c r="G28" s="124">
        <f>IF(ISNUMBER(Checks!$AD$385),TEXT(Checks!$AD$385,"DD-MMM-YY HH:MM")&amp;" "&amp;Checks!$P$385,"")&amp;IF(Checks!$AE$385="","",CHAR(10)&amp;Checks!$AE$385)</f>
        <v/>
      </c>
      <c r="H28" s="125">
        <f>IF(Checks!$AH$385="","",Checks!$AH$385)</f>
        <v/>
      </c>
    </row>
    <row r="29" ht="81" customHeight="1">
      <c r="A29" s="124">
        <f>Checks!$A$386&amp;CHAR(10)&amp;IF(Checks!$I$386="","",Checks!$I$386&amp;": ")&amp;Checks!$J$386</f>
        <v/>
      </c>
      <c r="B29" s="124">
        <f>Checks!$K$386&amp;IF(Checks!$O$386="","",IF(Checks!$K$386="","",CHAR(10))&amp;"Note: "&amp;Checks!$O$386)</f>
        <v/>
      </c>
      <c r="C29" s="124">
        <f>Checks!$N$386&amp;CHAR(10)&amp;IF(ISNUMBER(Checks!$R$386),TEXT(Checks!$R$386,"DD-MMM-YY HH:MM"),"")&amp;" "&amp;Checks!$P$386</f>
        <v/>
      </c>
      <c r="D29" s="124">
        <f>IF(Checks!$U$386="","",Checks!$U$386)&amp;IF(Checks!$AB$386="","",CHAR(10)&amp;"CA: "&amp;Checks!$AB$386)</f>
        <v/>
      </c>
      <c r="E29" s="124">
        <f>IF(Checks!$V$386="","",Checks!$V$386)&amp;IF(Checks!$AC$386="","",IF(Checks!$V$386="","",CHAR(10))&amp;"N/A just.: "&amp;Checks!$AC$386)&amp;IF(Checks!$W$386="","",CHAR(10)&amp;"Batch: "&amp;Checks!$W$386)&amp;IF(AND(Checks!$X$386="",Checks!$Y$386=""),"",CHAR(10)&amp;"Exp: "&amp;Checks!$X$386&amp;"  /  Act: "&amp;Checks!$Y$386)</f>
        <v/>
      </c>
      <c r="F29" s="124">
        <f>IF(Checks!$Z$386="","","Evidence: "&amp;Checks!$Z$386)&amp;IF(Checks!$AA$386="","",IF(Checks!$Z$386="","",CHAR(10))&amp;"CA: "&amp;Checks!$AA$386)</f>
        <v/>
      </c>
      <c r="G29" s="124">
        <f>IF(ISNUMBER(Checks!$AD$386),TEXT(Checks!$AD$386,"DD-MMM-YY HH:MM")&amp;" "&amp;Checks!$P$386,"")&amp;IF(Checks!$AE$386="","",CHAR(10)&amp;Checks!$AE$386)</f>
        <v/>
      </c>
      <c r="H29" s="125">
        <f>IF(Checks!$AH$386="","",Checks!$AH$386)</f>
        <v/>
      </c>
    </row>
    <row r="30" ht="81" customHeight="1">
      <c r="A30" s="124">
        <f>Checks!$A$387&amp;CHAR(10)&amp;IF(Checks!$I$387="","",Checks!$I$387&amp;": ")&amp;Checks!$J$387</f>
        <v/>
      </c>
      <c r="B30" s="124">
        <f>Checks!$K$387&amp;IF(Checks!$O$387="","",IF(Checks!$K$387="","",CHAR(10))&amp;"Note: "&amp;Checks!$O$387)</f>
        <v/>
      </c>
      <c r="C30" s="124">
        <f>Checks!$N$387&amp;CHAR(10)&amp;IF(ISNUMBER(Checks!$R$387),TEXT(Checks!$R$387,"DD-MMM-YY HH:MM"),"")&amp;" "&amp;Checks!$P$387</f>
        <v/>
      </c>
      <c r="D30" s="124">
        <f>IF(Checks!$U$387="","",Checks!$U$387)&amp;IF(Checks!$AB$387="","",CHAR(10)&amp;"CA: "&amp;Checks!$AB$387)</f>
        <v/>
      </c>
      <c r="E30" s="124">
        <f>IF(Checks!$V$387="","",Checks!$V$387)&amp;IF(Checks!$AC$387="","",IF(Checks!$V$387="","",CHAR(10))&amp;"N/A just.: "&amp;Checks!$AC$387)&amp;IF(Checks!$W$387="","",CHAR(10)&amp;"Batch: "&amp;Checks!$W$387)&amp;IF(AND(Checks!$X$387="",Checks!$Y$387=""),"",CHAR(10)&amp;"Exp: "&amp;Checks!$X$387&amp;"  /  Act: "&amp;Checks!$Y$387)</f>
        <v/>
      </c>
      <c r="F30" s="124">
        <f>IF(Checks!$Z$387="","","Evidence: "&amp;Checks!$Z$387)&amp;IF(Checks!$AA$387="","",IF(Checks!$Z$387="","",CHAR(10))&amp;"CA: "&amp;Checks!$AA$387)</f>
        <v/>
      </c>
      <c r="G30" s="124">
        <f>IF(ISNUMBER(Checks!$AD$387),TEXT(Checks!$AD$387,"DD-MMM-YY HH:MM")&amp;" "&amp;Checks!$P$387,"")&amp;IF(Checks!$AE$387="","",CHAR(10)&amp;Checks!$AE$387)</f>
        <v/>
      </c>
      <c r="H30" s="125">
        <f>IF(Checks!$AH$387="","",Checks!$AH$387)</f>
        <v/>
      </c>
    </row>
    <row r="31" ht="81" customHeight="1">
      <c r="A31" s="124">
        <f>Checks!$A$388&amp;CHAR(10)&amp;IF(Checks!$I$388="","",Checks!$I$388&amp;": ")&amp;Checks!$J$388</f>
        <v/>
      </c>
      <c r="B31" s="124">
        <f>Checks!$K$388&amp;IF(Checks!$O$388="","",IF(Checks!$K$388="","",CHAR(10))&amp;"Note: "&amp;Checks!$O$388)</f>
        <v/>
      </c>
      <c r="C31" s="124">
        <f>Checks!$N$388&amp;CHAR(10)&amp;IF(ISNUMBER(Checks!$R$388),TEXT(Checks!$R$388,"DD-MMM-YY HH:MM"),"")&amp;" "&amp;Checks!$P$388</f>
        <v/>
      </c>
      <c r="D31" s="124">
        <f>IF(Checks!$U$388="","",Checks!$U$388)&amp;IF(Checks!$AB$388="","",CHAR(10)&amp;"CA: "&amp;Checks!$AB$388)</f>
        <v/>
      </c>
      <c r="E31" s="124">
        <f>IF(Checks!$V$388="","",Checks!$V$388)&amp;IF(Checks!$AC$388="","",IF(Checks!$V$388="","",CHAR(10))&amp;"N/A just.: "&amp;Checks!$AC$388)&amp;IF(Checks!$W$388="","",CHAR(10)&amp;"Batch: "&amp;Checks!$W$388)&amp;IF(AND(Checks!$X$388="",Checks!$Y$388=""),"",CHAR(10)&amp;"Exp: "&amp;Checks!$X$388&amp;"  /  Act: "&amp;Checks!$Y$388)</f>
        <v/>
      </c>
      <c r="F31" s="124">
        <f>IF(Checks!$Z$388="","","Evidence: "&amp;Checks!$Z$388)&amp;IF(Checks!$AA$388="","",IF(Checks!$Z$388="","",CHAR(10))&amp;"CA: "&amp;Checks!$AA$388)</f>
        <v/>
      </c>
      <c r="G31" s="124">
        <f>IF(ISNUMBER(Checks!$AD$388),TEXT(Checks!$AD$388,"DD-MMM-YY HH:MM")&amp;" "&amp;Checks!$P$388,"")&amp;IF(Checks!$AE$388="","",CHAR(10)&amp;Checks!$AE$388)</f>
        <v/>
      </c>
      <c r="H31" s="125">
        <f>IF(Checks!$AH$388="","",Checks!$AH$388)</f>
        <v/>
      </c>
    </row>
    <row r="32" ht="26" customHeight="1">
      <c r="A32" s="123">
        <f>"T-24H — Production batch sensory  |  Due "&amp;IF(ISNUMBER(Flights!$AH$16),TEXT(Flights!$AH$16,"DD-MMM-YY HH:MM"),"")&amp;" "&amp;Flights!$V$16&amp;" (meal uplift stn)"&amp;" (rows with another due show their own)  |  Complete "&amp;IF(ISNUMBER(Flights!$AK$16),TEXT(Flights!$AK$16,"0%"),Flights!$AK$16)&amp;"  |  1 lines"</f>
        <v/>
      </c>
      <c r="B32" s="97" t="n"/>
      <c r="C32" s="97" t="n"/>
      <c r="D32" s="97" t="n"/>
      <c r="E32" s="97" t="n"/>
      <c r="F32" s="97" t="n"/>
      <c r="G32" s="97" t="n"/>
      <c r="H32" s="98" t="n"/>
    </row>
    <row r="33" ht="81" customHeight="1">
      <c r="A33" s="124">
        <f>Checks!$A$389&amp;CHAR(10)&amp;IF(Checks!$I$389="","",Checks!$I$389&amp;": ")&amp;Checks!$J$389</f>
        <v/>
      </c>
      <c r="B33" s="124">
        <f>Checks!$K$389&amp;IF(Checks!$O$389="","",IF(Checks!$K$389="","",CHAR(10))&amp;"Note: "&amp;Checks!$O$389)</f>
        <v/>
      </c>
      <c r="C33" s="124">
        <f>Checks!$N$389&amp;CHAR(10)&amp;IF(ISNUMBER(Checks!$R$389),TEXT(Checks!$R$389,"DD-MMM-YY HH:MM"),"")&amp;" "&amp;Checks!$P$389</f>
        <v/>
      </c>
      <c r="D33" s="124">
        <f>IF(Checks!$U$389="","",Checks!$U$389)&amp;IF(Checks!$AB$389="","",CHAR(10)&amp;"CA: "&amp;Checks!$AB$389)</f>
        <v/>
      </c>
      <c r="E33" s="124">
        <f>IF(Checks!$V$389="","",Checks!$V$389)&amp;IF(Checks!$AC$389="","",IF(Checks!$V$389="","",CHAR(10))&amp;"N/A just.: "&amp;Checks!$AC$389)&amp;IF(Checks!$W$389="","",CHAR(10)&amp;"Batch: "&amp;Checks!$W$389)&amp;IF(AND(Checks!$X$389="",Checks!$Y$389=""),"",CHAR(10)&amp;"Exp: "&amp;Checks!$X$389&amp;"  /  Act: "&amp;Checks!$Y$389)</f>
        <v/>
      </c>
      <c r="F33" s="124">
        <f>IF(Checks!$Z$389="","","Evidence: "&amp;Checks!$Z$389)&amp;IF(Checks!$AA$389="","",IF(Checks!$Z$389="","",CHAR(10))&amp;"CA: "&amp;Checks!$AA$389)</f>
        <v/>
      </c>
      <c r="G33" s="124">
        <f>IF(ISNUMBER(Checks!$AD$389),TEXT(Checks!$AD$389,"DD-MMM-YY HH:MM")&amp;" "&amp;Checks!$P$389,"")&amp;IF(Checks!$AE$389="","",CHAR(10)&amp;Checks!$AE$389)</f>
        <v/>
      </c>
      <c r="H33" s="125">
        <f>IF(Checks!$AH$389="","",Checks!$AH$389)</f>
        <v/>
      </c>
    </row>
    <row r="34" ht="26" customHeight="1">
      <c r="A34" s="123">
        <f>"T-12H PREP — Preparation check at caterer (does NOT confirm loading)  |  Due "&amp;IF(ISNUMBER(Flights!$AI$16),TEXT(Flights!$AI$16,"DD-MMM-YY HH:MM"),"")&amp;" "&amp;Flights!$V$16&amp;" (meal uplift stn)"&amp;" (rows with another due show their own)  |  Complete "&amp;IF(ISNUMBER(Flights!$AL$16),TEXT(Flights!$AL$16,"0%"),Flights!$AL$16)&amp;"  |  21 lines"</f>
        <v/>
      </c>
      <c r="B34" s="97" t="n"/>
      <c r="C34" s="97" t="n"/>
      <c r="D34" s="97" t="n"/>
      <c r="E34" s="97" t="n"/>
      <c r="F34" s="97" t="n"/>
      <c r="G34" s="97" t="n"/>
      <c r="H34" s="98" t="n"/>
    </row>
    <row r="35" ht="81" customHeight="1">
      <c r="A35" s="124">
        <f>Checks!$A$390&amp;CHAR(10)&amp;IF(Checks!$I$390="","",Checks!$I$390&amp;": ")&amp;Checks!$J$390</f>
        <v/>
      </c>
      <c r="B35" s="124">
        <f>Checks!$K$390&amp;IF(Checks!$O$390="","",IF(Checks!$K$390="","",CHAR(10))&amp;"Note: "&amp;Checks!$O$390)</f>
        <v/>
      </c>
      <c r="C35" s="124">
        <f>Checks!$N$390&amp;CHAR(10)&amp;IF(ISNUMBER(Checks!$R$390),TEXT(Checks!$R$390,"DD-MMM-YY HH:MM"),"")&amp;" "&amp;Checks!$P$390</f>
        <v/>
      </c>
      <c r="D35" s="124">
        <f>IF(Checks!$U$390="","",Checks!$U$390)&amp;IF(Checks!$AB$390="","",CHAR(10)&amp;"CA: "&amp;Checks!$AB$390)</f>
        <v/>
      </c>
      <c r="E35" s="124">
        <f>IF(Checks!$V$390="","",Checks!$V$390)&amp;IF(Checks!$AC$390="","",IF(Checks!$V$390="","",CHAR(10))&amp;"N/A just.: "&amp;Checks!$AC$390)&amp;IF(Checks!$W$390="","",CHAR(10)&amp;"Batch: "&amp;Checks!$W$390)&amp;IF(AND(Checks!$X$390="",Checks!$Y$390=""),"",CHAR(10)&amp;"Exp: "&amp;Checks!$X$390&amp;"  /  Act: "&amp;Checks!$Y$390)</f>
        <v/>
      </c>
      <c r="F35" s="124">
        <f>IF(Checks!$Z$390="","","Evidence: "&amp;Checks!$Z$390)&amp;IF(Checks!$AA$390="","",IF(Checks!$Z$390="","",CHAR(10))&amp;"CA: "&amp;Checks!$AA$390)</f>
        <v/>
      </c>
      <c r="G35" s="124">
        <f>IF(ISNUMBER(Checks!$AD$390),TEXT(Checks!$AD$390,"DD-MMM-YY HH:MM")&amp;" "&amp;Checks!$P$390,"")&amp;IF(Checks!$AE$390="","",CHAR(10)&amp;Checks!$AE$390)</f>
        <v/>
      </c>
      <c r="H35" s="125">
        <f>IF(Checks!$AH$390="","",Checks!$AH$390)</f>
        <v/>
      </c>
    </row>
    <row r="36" ht="81" customHeight="1">
      <c r="A36" s="124">
        <f>Checks!$A$391&amp;CHAR(10)&amp;IF(Checks!$I$391="","",Checks!$I$391&amp;": ")&amp;Checks!$J$391</f>
        <v/>
      </c>
      <c r="B36" s="124">
        <f>Checks!$K$391&amp;IF(Checks!$O$391="","",IF(Checks!$K$391="","",CHAR(10))&amp;"Note: "&amp;Checks!$O$391)</f>
        <v/>
      </c>
      <c r="C36" s="124">
        <f>Checks!$N$391&amp;CHAR(10)&amp;IF(ISNUMBER(Checks!$R$391),TEXT(Checks!$R$391,"DD-MMM-YY HH:MM"),"")&amp;" "&amp;Checks!$P$391</f>
        <v/>
      </c>
      <c r="D36" s="124">
        <f>IF(Checks!$U$391="","",Checks!$U$391)&amp;IF(Checks!$AB$391="","",CHAR(10)&amp;"CA: "&amp;Checks!$AB$391)</f>
        <v/>
      </c>
      <c r="E36" s="124">
        <f>IF(Checks!$V$391="","",Checks!$V$391)&amp;IF(Checks!$AC$391="","",IF(Checks!$V$391="","",CHAR(10))&amp;"N/A just.: "&amp;Checks!$AC$391)&amp;IF(Checks!$W$391="","",CHAR(10)&amp;"Batch: "&amp;Checks!$W$391)&amp;IF(AND(Checks!$X$391="",Checks!$Y$391=""),"",CHAR(10)&amp;"Exp: "&amp;Checks!$X$391&amp;"  /  Act: "&amp;Checks!$Y$391)</f>
        <v/>
      </c>
      <c r="F36" s="124">
        <f>IF(Checks!$Z$391="","","Evidence: "&amp;Checks!$Z$391)&amp;IF(Checks!$AA$391="","",IF(Checks!$Z$391="","",CHAR(10))&amp;"CA: "&amp;Checks!$AA$391)</f>
        <v/>
      </c>
      <c r="G36" s="124">
        <f>IF(ISNUMBER(Checks!$AD$391),TEXT(Checks!$AD$391,"DD-MMM-YY HH:MM")&amp;" "&amp;Checks!$P$391,"")&amp;IF(Checks!$AE$391="","",CHAR(10)&amp;Checks!$AE$391)</f>
        <v/>
      </c>
      <c r="H36" s="125">
        <f>IF(Checks!$AH$391="","",Checks!$AH$391)</f>
        <v/>
      </c>
    </row>
    <row r="37" ht="81" customHeight="1">
      <c r="A37" s="124">
        <f>Checks!$A$392&amp;CHAR(10)&amp;IF(Checks!$I$392="","",Checks!$I$392&amp;": ")&amp;Checks!$J$392</f>
        <v/>
      </c>
      <c r="B37" s="124">
        <f>Checks!$K$392&amp;IF(Checks!$O$392="","",IF(Checks!$K$392="","",CHAR(10))&amp;"Note: "&amp;Checks!$O$392)</f>
        <v/>
      </c>
      <c r="C37" s="124">
        <f>Checks!$N$392&amp;CHAR(10)&amp;IF(ISNUMBER(Checks!$R$392),TEXT(Checks!$R$392,"DD-MMM-YY HH:MM"),"")&amp;" "&amp;Checks!$P$392</f>
        <v/>
      </c>
      <c r="D37" s="124">
        <f>IF(Checks!$U$392="","",Checks!$U$392)&amp;IF(Checks!$AB$392="","",CHAR(10)&amp;"CA: "&amp;Checks!$AB$392)</f>
        <v/>
      </c>
      <c r="E37" s="124">
        <f>IF(Checks!$V$392="","",Checks!$V$392)&amp;IF(Checks!$AC$392="","",IF(Checks!$V$392="","",CHAR(10))&amp;"N/A just.: "&amp;Checks!$AC$392)&amp;IF(Checks!$W$392="","",CHAR(10)&amp;"Batch: "&amp;Checks!$W$392)&amp;IF(AND(Checks!$X$392="",Checks!$Y$392=""),"",CHAR(10)&amp;"Exp: "&amp;Checks!$X$392&amp;"  /  Act: "&amp;Checks!$Y$392)</f>
        <v/>
      </c>
      <c r="F37" s="124">
        <f>IF(Checks!$Z$392="","","Evidence: "&amp;Checks!$Z$392)&amp;IF(Checks!$AA$392="","",IF(Checks!$Z$392="","",CHAR(10))&amp;"CA: "&amp;Checks!$AA$392)</f>
        <v/>
      </c>
      <c r="G37" s="124">
        <f>IF(ISNUMBER(Checks!$AD$392),TEXT(Checks!$AD$392,"DD-MMM-YY HH:MM")&amp;" "&amp;Checks!$P$392,"")&amp;IF(Checks!$AE$392="","",CHAR(10)&amp;Checks!$AE$392)</f>
        <v/>
      </c>
      <c r="H37" s="125">
        <f>IF(Checks!$AH$392="","",Checks!$AH$392)</f>
        <v/>
      </c>
    </row>
    <row r="38" ht="81" customHeight="1">
      <c r="A38" s="124">
        <f>Checks!$A$393&amp;CHAR(10)&amp;IF(Checks!$I$393="","",Checks!$I$393&amp;": ")&amp;Checks!$J$393</f>
        <v/>
      </c>
      <c r="B38" s="124">
        <f>Checks!$K$393&amp;IF(Checks!$O$393="","",IF(Checks!$K$393="","",CHAR(10))&amp;"Note: "&amp;Checks!$O$393)</f>
        <v/>
      </c>
      <c r="C38" s="124">
        <f>Checks!$N$393&amp;CHAR(10)&amp;IF(ISNUMBER(Checks!$R$393),TEXT(Checks!$R$393,"DD-MMM-YY HH:MM"),"")&amp;" "&amp;Checks!$P$393</f>
        <v/>
      </c>
      <c r="D38" s="124">
        <f>IF(Checks!$U$393="","",Checks!$U$393)&amp;IF(Checks!$AB$393="","",CHAR(10)&amp;"CA: "&amp;Checks!$AB$393)</f>
        <v/>
      </c>
      <c r="E38" s="124">
        <f>IF(Checks!$V$393="","",Checks!$V$393)&amp;IF(Checks!$AC$393="","",IF(Checks!$V$393="","",CHAR(10))&amp;"N/A just.: "&amp;Checks!$AC$393)&amp;IF(Checks!$W$393="","",CHAR(10)&amp;"Batch: "&amp;Checks!$W$393)&amp;IF(AND(Checks!$X$393="",Checks!$Y$393=""),"",CHAR(10)&amp;"Exp: "&amp;Checks!$X$393&amp;"  /  Act: "&amp;Checks!$Y$393)</f>
        <v/>
      </c>
      <c r="F38" s="124">
        <f>IF(Checks!$Z$393="","","Evidence: "&amp;Checks!$Z$393)&amp;IF(Checks!$AA$393="","",IF(Checks!$Z$393="","",CHAR(10))&amp;"CA: "&amp;Checks!$AA$393)</f>
        <v/>
      </c>
      <c r="G38" s="124">
        <f>IF(ISNUMBER(Checks!$AD$393),TEXT(Checks!$AD$393,"DD-MMM-YY HH:MM")&amp;" "&amp;Checks!$P$393,"")&amp;IF(Checks!$AE$393="","",CHAR(10)&amp;Checks!$AE$393)</f>
        <v/>
      </c>
      <c r="H38" s="125">
        <f>IF(Checks!$AH$393="","",Checks!$AH$393)</f>
        <v/>
      </c>
    </row>
    <row r="39" ht="81" customHeight="1">
      <c r="A39" s="124">
        <f>Checks!$A$394&amp;CHAR(10)&amp;IF(Checks!$I$394="","",Checks!$I$394&amp;": ")&amp;Checks!$J$394</f>
        <v/>
      </c>
      <c r="B39" s="124">
        <f>Checks!$K$394&amp;IF(Checks!$O$394="","",IF(Checks!$K$394="","",CHAR(10))&amp;"Note: "&amp;Checks!$O$394)</f>
        <v/>
      </c>
      <c r="C39" s="124">
        <f>Checks!$N$394&amp;CHAR(10)&amp;IF(ISNUMBER(Checks!$R$394),TEXT(Checks!$R$394,"DD-MMM-YY HH:MM"),"")&amp;" "&amp;Checks!$P$394</f>
        <v/>
      </c>
      <c r="D39" s="124">
        <f>IF(Checks!$U$394="","",Checks!$U$394)&amp;IF(Checks!$AB$394="","",CHAR(10)&amp;"CA: "&amp;Checks!$AB$394)</f>
        <v/>
      </c>
      <c r="E39" s="124">
        <f>IF(Checks!$V$394="","",Checks!$V$394)&amp;IF(Checks!$AC$394="","",IF(Checks!$V$394="","",CHAR(10))&amp;"N/A just.: "&amp;Checks!$AC$394)&amp;IF(Checks!$W$394="","",CHAR(10)&amp;"Batch: "&amp;Checks!$W$394)&amp;IF(AND(Checks!$X$394="",Checks!$Y$394=""),"",CHAR(10)&amp;"Exp: "&amp;Checks!$X$394&amp;"  /  Act: "&amp;Checks!$Y$394)</f>
        <v/>
      </c>
      <c r="F39" s="124">
        <f>IF(Checks!$Z$394="","","Evidence: "&amp;Checks!$Z$394)&amp;IF(Checks!$AA$394="","",IF(Checks!$Z$394="","",CHAR(10))&amp;"CA: "&amp;Checks!$AA$394)</f>
        <v/>
      </c>
      <c r="G39" s="124">
        <f>IF(ISNUMBER(Checks!$AD$394),TEXT(Checks!$AD$394,"DD-MMM-YY HH:MM")&amp;" "&amp;Checks!$P$394,"")&amp;IF(Checks!$AE$394="","",CHAR(10)&amp;Checks!$AE$394)</f>
        <v/>
      </c>
      <c r="H39" s="125">
        <f>IF(Checks!$AH$394="","",Checks!$AH$394)</f>
        <v/>
      </c>
    </row>
    <row r="40" ht="169" customHeight="1">
      <c r="A40" s="124">
        <f>Checks!$A$395&amp;CHAR(10)&amp;IF(Checks!$I$395="","",Checks!$I$395&amp;": ")&amp;Checks!$J$395</f>
        <v/>
      </c>
      <c r="B40" s="124">
        <f>SUBSTITUTE(Checks!$K$395&amp;IF(Checks!$O$395="","",IF(Checks!$K$395="","",CHAR(10))&amp;"Note: "&amp;Checks!$O$395),"AIRCRAFT TYPE!","Ref: AIRCRAFT TYPE!")</f>
        <v/>
      </c>
      <c r="C40" s="124">
        <f>Checks!$N$395&amp;CHAR(10)&amp;IF(ISNUMBER(Checks!$R$395),TEXT(Checks!$R$395,"DD-MMM-YY HH:MM"),"")&amp;" "&amp;Checks!$P$395</f>
        <v/>
      </c>
      <c r="D40" s="124">
        <f>IF(Checks!$U$395="","",Checks!$U$395)&amp;IF(Checks!$AB$395="","",CHAR(10)&amp;"CA: "&amp;Checks!$AB$395)</f>
        <v/>
      </c>
      <c r="E40" s="124">
        <f>IF(Checks!$V$395="","",Checks!$V$395)&amp;IF(Checks!$AC$395="","",IF(Checks!$V$395="","",CHAR(10))&amp;"N/A just.: "&amp;Checks!$AC$395)&amp;IF(Checks!$W$395="","",CHAR(10)&amp;"Batch: "&amp;Checks!$W$395)&amp;IF(AND(Checks!$X$395="",Checks!$Y$395=""),"",CHAR(10)&amp;"Exp: "&amp;Checks!$X$395&amp;"  /  Act: "&amp;Checks!$Y$395)</f>
        <v/>
      </c>
      <c r="F40" s="124">
        <f>IF(Checks!$Z$395="","","Evidence: "&amp;Checks!$Z$395)&amp;IF(Checks!$AA$395="","",IF(Checks!$Z$395="","",CHAR(10))&amp;"CA: "&amp;Checks!$AA$395)</f>
        <v/>
      </c>
      <c r="G40" s="124">
        <f>IF(ISNUMBER(Checks!$AD$395),TEXT(Checks!$AD$395,"DD-MMM-YY HH:MM")&amp;" "&amp;Checks!$P$395,"")&amp;IF(Checks!$AE$395="","",CHAR(10)&amp;Checks!$AE$395)</f>
        <v/>
      </c>
      <c r="H40" s="125">
        <f>IF(Checks!$AH$395="","",Checks!$AH$395)</f>
        <v/>
      </c>
    </row>
    <row r="41" ht="81" customHeight="1">
      <c r="A41" s="124">
        <f>Checks!$A$396&amp;CHAR(10)&amp;IF(Checks!$I$396="","",Checks!$I$396&amp;": ")&amp;Checks!$J$396</f>
        <v/>
      </c>
      <c r="B41" s="124">
        <f>Checks!$K$396&amp;IF(Checks!$O$396="","",IF(Checks!$K$396="","",CHAR(10))&amp;"Note: "&amp;Checks!$O$396)</f>
        <v/>
      </c>
      <c r="C41" s="124">
        <f>Checks!$N$396&amp;CHAR(10)&amp;IF(ISNUMBER(Checks!$R$396),TEXT(Checks!$R$396,"DD-MMM-YY HH:MM"),"")&amp;" "&amp;Checks!$P$396</f>
        <v/>
      </c>
      <c r="D41" s="124">
        <f>IF(Checks!$U$396="","",Checks!$U$396)&amp;IF(Checks!$AB$396="","",CHAR(10)&amp;"CA: "&amp;Checks!$AB$396)</f>
        <v/>
      </c>
      <c r="E41" s="124">
        <f>IF(Checks!$V$396="","",Checks!$V$396)&amp;IF(Checks!$AC$396="","",IF(Checks!$V$396="","",CHAR(10))&amp;"N/A just.: "&amp;Checks!$AC$396)&amp;IF(Checks!$W$396="","",CHAR(10)&amp;"Batch: "&amp;Checks!$W$396)&amp;IF(AND(Checks!$X$396="",Checks!$Y$396=""),"",CHAR(10)&amp;"Exp: "&amp;Checks!$X$396&amp;"  /  Act: "&amp;Checks!$Y$396)</f>
        <v/>
      </c>
      <c r="F41" s="124">
        <f>IF(Checks!$Z$396="","","Evidence: "&amp;Checks!$Z$396)&amp;IF(Checks!$AA$396="","",IF(Checks!$Z$396="","",CHAR(10))&amp;"CA: "&amp;Checks!$AA$396)</f>
        <v/>
      </c>
      <c r="G41" s="124">
        <f>IF(ISNUMBER(Checks!$AD$396),TEXT(Checks!$AD$396,"DD-MMM-YY HH:MM")&amp;" "&amp;Checks!$P$396,"")&amp;IF(Checks!$AE$396="","",CHAR(10)&amp;Checks!$AE$396)</f>
        <v/>
      </c>
      <c r="H41" s="125">
        <f>IF(Checks!$AH$396="","",Checks!$AH$396)</f>
        <v/>
      </c>
    </row>
    <row r="42" ht="81" customHeight="1">
      <c r="A42" s="124">
        <f>Checks!$A$397&amp;CHAR(10)&amp;IF(Checks!$I$397="","",Checks!$I$397&amp;": ")&amp;Checks!$J$397</f>
        <v/>
      </c>
      <c r="B42" s="124">
        <f>Checks!$K$397&amp;IF(Checks!$O$397="","",IF(Checks!$K$397="","",CHAR(10))&amp;"Note: "&amp;Checks!$O$397)</f>
        <v/>
      </c>
      <c r="C42" s="124">
        <f>Checks!$N$397&amp;CHAR(10)&amp;IF(ISNUMBER(Checks!$R$397),TEXT(Checks!$R$397,"DD-MMM-YY HH:MM"),"")&amp;" "&amp;Checks!$P$397</f>
        <v/>
      </c>
      <c r="D42" s="124">
        <f>IF(Checks!$U$397="","",Checks!$U$397)&amp;IF(Checks!$AB$397="","",CHAR(10)&amp;"CA: "&amp;Checks!$AB$397)</f>
        <v/>
      </c>
      <c r="E42" s="124">
        <f>IF(Checks!$V$397="","",Checks!$V$397)&amp;IF(Checks!$AC$397="","",IF(Checks!$V$397="","",CHAR(10))&amp;"N/A just.: "&amp;Checks!$AC$397)&amp;IF(Checks!$W$397="","",CHAR(10)&amp;"Batch: "&amp;Checks!$W$397)&amp;IF(AND(Checks!$X$397="",Checks!$Y$397=""),"",CHAR(10)&amp;"Exp: "&amp;Checks!$X$397&amp;"  /  Act: "&amp;Checks!$Y$397)</f>
        <v/>
      </c>
      <c r="F42" s="124">
        <f>IF(Checks!$Z$397="","","Evidence: "&amp;Checks!$Z$397)&amp;IF(Checks!$AA$397="","",IF(Checks!$Z$397="","",CHAR(10))&amp;"CA: "&amp;Checks!$AA$397)</f>
        <v/>
      </c>
      <c r="G42" s="124">
        <f>IF(ISNUMBER(Checks!$AD$397),TEXT(Checks!$AD$397,"DD-MMM-YY HH:MM")&amp;" "&amp;Checks!$P$397,"")&amp;IF(Checks!$AE$397="","",CHAR(10)&amp;Checks!$AE$397)</f>
        <v/>
      </c>
      <c r="H42" s="125">
        <f>IF(Checks!$AH$397="","",Checks!$AH$397)</f>
        <v/>
      </c>
    </row>
    <row r="43" ht="81" customHeight="1">
      <c r="A43" s="124">
        <f>Checks!$A$398&amp;CHAR(10)&amp;IF(Checks!$I$398="","",Checks!$I$398&amp;": ")&amp;Checks!$J$398</f>
        <v/>
      </c>
      <c r="B43" s="124">
        <f>Checks!$K$398&amp;IF(Checks!$O$398="","",IF(Checks!$K$398="","",CHAR(10))&amp;"Note: "&amp;Checks!$O$398)</f>
        <v/>
      </c>
      <c r="C43" s="124">
        <f>Checks!$N$398&amp;CHAR(10)&amp;IF(ISNUMBER(Checks!$R$398),TEXT(Checks!$R$398,"DD-MMM-YY HH:MM"),"")&amp;" "&amp;Checks!$P$398</f>
        <v/>
      </c>
      <c r="D43" s="124">
        <f>IF(Checks!$U$398="","",Checks!$U$398)&amp;IF(Checks!$AB$398="","",CHAR(10)&amp;"CA: "&amp;Checks!$AB$398)</f>
        <v/>
      </c>
      <c r="E43" s="124">
        <f>IF(Checks!$V$398="","",Checks!$V$398)&amp;IF(Checks!$AC$398="","",IF(Checks!$V$398="","",CHAR(10))&amp;"N/A just.: "&amp;Checks!$AC$398)&amp;IF(Checks!$W$398="","",CHAR(10)&amp;"Batch: "&amp;Checks!$W$398)&amp;IF(AND(Checks!$X$398="",Checks!$Y$398=""),"",CHAR(10)&amp;"Exp: "&amp;Checks!$X$398&amp;"  /  Act: "&amp;Checks!$Y$398)</f>
        <v/>
      </c>
      <c r="F43" s="124">
        <f>IF(Checks!$Z$398="","","Evidence: "&amp;Checks!$Z$398)&amp;IF(Checks!$AA$398="","",IF(Checks!$Z$398="","",CHAR(10))&amp;"CA: "&amp;Checks!$AA$398)</f>
        <v/>
      </c>
      <c r="G43" s="124">
        <f>IF(ISNUMBER(Checks!$AD$398),TEXT(Checks!$AD$398,"DD-MMM-YY HH:MM")&amp;" "&amp;Checks!$P$398,"")&amp;IF(Checks!$AE$398="","",CHAR(10)&amp;Checks!$AE$398)</f>
        <v/>
      </c>
      <c r="H43" s="125">
        <f>IF(Checks!$AH$398="","",Checks!$AH$398)</f>
        <v/>
      </c>
    </row>
    <row r="44" ht="92" customHeight="1">
      <c r="A44" s="124">
        <f>Checks!$A$399&amp;CHAR(10)&amp;IF(Checks!$I$399="","",Checks!$I$399&amp;": ")&amp;Checks!$J$399</f>
        <v/>
      </c>
      <c r="B44" s="124">
        <f>Checks!$K$399&amp;IF(Checks!$O$399="","",IF(Checks!$K$399="","",CHAR(10))&amp;"Note: "&amp;Checks!$O$399)</f>
        <v/>
      </c>
      <c r="C44" s="124">
        <f>Checks!$N$399&amp;CHAR(10)&amp;IF(ISNUMBER(Checks!$R$399),TEXT(Checks!$R$399,"DD-MMM-YY HH:MM"),"")&amp;" "&amp;Checks!$P$399</f>
        <v/>
      </c>
      <c r="D44" s="124">
        <f>IF(Checks!$U$399="","",Checks!$U$399)&amp;IF(Checks!$AB$399="","",CHAR(10)&amp;"CA: "&amp;Checks!$AB$399)</f>
        <v/>
      </c>
      <c r="E44" s="124">
        <f>IF(Checks!$V$399="","",Checks!$V$399)&amp;IF(Checks!$AC$399="","",IF(Checks!$V$399="","",CHAR(10))&amp;"N/A just.: "&amp;Checks!$AC$399)&amp;IF(Checks!$W$399="","",CHAR(10)&amp;"Batch: "&amp;Checks!$W$399)&amp;IF(AND(Checks!$X$399="",Checks!$Y$399=""),"",CHAR(10)&amp;"Exp: "&amp;Checks!$X$399&amp;"  /  Act: "&amp;Checks!$Y$399)</f>
        <v/>
      </c>
      <c r="F44" s="124">
        <f>IF(Checks!$Z$399="","","Evidence: "&amp;Checks!$Z$399)&amp;IF(Checks!$AA$399="","",IF(Checks!$Z$399="","",CHAR(10))&amp;"CA: "&amp;Checks!$AA$399)</f>
        <v/>
      </c>
      <c r="G44" s="124">
        <f>IF(ISNUMBER(Checks!$AD$399),TEXT(Checks!$AD$399,"DD-MMM-YY HH:MM")&amp;" "&amp;Checks!$P$399,"")&amp;IF(Checks!$AE$399="","",CHAR(10)&amp;Checks!$AE$399)</f>
        <v/>
      </c>
      <c r="H44" s="125">
        <f>IF(Checks!$AH$399="","",Checks!$AH$399)</f>
        <v/>
      </c>
    </row>
    <row r="45" ht="92" customHeight="1">
      <c r="A45" s="124">
        <f>Checks!$A$400&amp;CHAR(10)&amp;IF(Checks!$I$400="","",Checks!$I$400&amp;": ")&amp;Checks!$J$400</f>
        <v/>
      </c>
      <c r="B45" s="124">
        <f>Checks!$K$400&amp;IF(Checks!$O$400="","",IF(Checks!$K$400="","",CHAR(10))&amp;"Note: "&amp;Checks!$O$400)</f>
        <v/>
      </c>
      <c r="C45" s="124">
        <f>Checks!$N$400&amp;CHAR(10)&amp;IF(ISNUMBER(Checks!$R$400),TEXT(Checks!$R$400,"DD-MMM-YY HH:MM"),"")&amp;" "&amp;Checks!$P$400</f>
        <v/>
      </c>
      <c r="D45" s="124">
        <f>IF(Checks!$U$400="","",Checks!$U$400)&amp;IF(Checks!$AB$400="","",CHAR(10)&amp;"CA: "&amp;Checks!$AB$400)</f>
        <v/>
      </c>
      <c r="E45" s="124">
        <f>IF(Checks!$V$400="","",Checks!$V$400)&amp;IF(Checks!$AC$400="","",IF(Checks!$V$400="","",CHAR(10))&amp;"N/A just.: "&amp;Checks!$AC$400)&amp;IF(Checks!$W$400="","",CHAR(10)&amp;"Batch: "&amp;Checks!$W$400)&amp;IF(AND(Checks!$X$400="",Checks!$Y$400=""),"",CHAR(10)&amp;"Exp: "&amp;Checks!$X$400&amp;"  /  Act: "&amp;Checks!$Y$400)</f>
        <v/>
      </c>
      <c r="F45" s="124">
        <f>IF(Checks!$Z$400="","","Evidence: "&amp;Checks!$Z$400)&amp;IF(Checks!$AA$400="","",IF(Checks!$Z$400="","",CHAR(10))&amp;"CA: "&amp;Checks!$AA$400)</f>
        <v/>
      </c>
      <c r="G45" s="124">
        <f>IF(ISNUMBER(Checks!$AD$400),TEXT(Checks!$AD$400,"DD-MMM-YY HH:MM")&amp;" "&amp;Checks!$P$400,"")&amp;IF(Checks!$AE$400="","",CHAR(10)&amp;Checks!$AE$400)</f>
        <v/>
      </c>
      <c r="H45" s="125">
        <f>IF(Checks!$AH$400="","",Checks!$AH$400)</f>
        <v/>
      </c>
    </row>
    <row r="46" ht="92" customHeight="1">
      <c r="A46" s="124">
        <f>Checks!$A$401&amp;CHAR(10)&amp;IF(Checks!$I$401="","",Checks!$I$401&amp;": ")&amp;Checks!$J$401</f>
        <v/>
      </c>
      <c r="B46" s="124">
        <f>Checks!$K$401&amp;IF(Checks!$O$401="","",IF(Checks!$K$401="","",CHAR(10))&amp;"Note: "&amp;Checks!$O$401)</f>
        <v/>
      </c>
      <c r="C46" s="124">
        <f>Checks!$N$401&amp;CHAR(10)&amp;IF(ISNUMBER(Checks!$R$401),TEXT(Checks!$R$401,"DD-MMM-YY HH:MM"),"")&amp;" "&amp;Checks!$P$401</f>
        <v/>
      </c>
      <c r="D46" s="124">
        <f>IF(Checks!$U$401="","",Checks!$U$401)&amp;IF(Checks!$AB$401="","",CHAR(10)&amp;"CA: "&amp;Checks!$AB$401)</f>
        <v/>
      </c>
      <c r="E46" s="124">
        <f>IF(Checks!$V$401="","",Checks!$V$401)&amp;IF(Checks!$AC$401="","",IF(Checks!$V$401="","",CHAR(10))&amp;"N/A just.: "&amp;Checks!$AC$401)&amp;IF(Checks!$W$401="","",CHAR(10)&amp;"Batch: "&amp;Checks!$W$401)&amp;IF(AND(Checks!$X$401="",Checks!$Y$401=""),"",CHAR(10)&amp;"Exp: "&amp;Checks!$X$401&amp;"  /  Act: "&amp;Checks!$Y$401)</f>
        <v/>
      </c>
      <c r="F46" s="124">
        <f>IF(Checks!$Z$401="","","Evidence: "&amp;Checks!$Z$401)&amp;IF(Checks!$AA$401="","",IF(Checks!$Z$401="","",CHAR(10))&amp;"CA: "&amp;Checks!$AA$401)</f>
        <v/>
      </c>
      <c r="G46" s="124">
        <f>IF(ISNUMBER(Checks!$AD$401),TEXT(Checks!$AD$401,"DD-MMM-YY HH:MM")&amp;" "&amp;Checks!$P$401,"")&amp;IF(Checks!$AE$401="","",CHAR(10)&amp;Checks!$AE$401)</f>
        <v/>
      </c>
      <c r="H46" s="125">
        <f>IF(Checks!$AH$401="","",Checks!$AH$401)</f>
        <v/>
      </c>
    </row>
    <row r="47" ht="92" customHeight="1">
      <c r="A47" s="124">
        <f>Checks!$A$402&amp;CHAR(10)&amp;IF(Checks!$I$402="","",Checks!$I$402&amp;": ")&amp;Checks!$J$402</f>
        <v/>
      </c>
      <c r="B47" s="124">
        <f>Checks!$K$402&amp;IF(Checks!$O$402="","",IF(Checks!$K$402="","",CHAR(10))&amp;"Note: "&amp;Checks!$O$402)</f>
        <v/>
      </c>
      <c r="C47" s="124">
        <f>Checks!$N$402&amp;CHAR(10)&amp;IF(ISNUMBER(Checks!$R$402),TEXT(Checks!$R$402,"DD-MMM-YY HH:MM"),"")&amp;" "&amp;Checks!$P$402</f>
        <v/>
      </c>
      <c r="D47" s="124">
        <f>IF(Checks!$U$402="","",Checks!$U$402)&amp;IF(Checks!$AB$402="","",CHAR(10)&amp;"CA: "&amp;Checks!$AB$402)</f>
        <v/>
      </c>
      <c r="E47" s="124">
        <f>IF(Checks!$V$402="","",Checks!$V$402)&amp;IF(Checks!$AC$402="","",IF(Checks!$V$402="","",CHAR(10))&amp;"N/A just.: "&amp;Checks!$AC$402)&amp;IF(Checks!$W$402="","",CHAR(10)&amp;"Batch: "&amp;Checks!$W$402)&amp;IF(AND(Checks!$X$402="",Checks!$Y$402=""),"",CHAR(10)&amp;"Exp: "&amp;Checks!$X$402&amp;"  /  Act: "&amp;Checks!$Y$402)</f>
        <v/>
      </c>
      <c r="F47" s="124">
        <f>IF(Checks!$Z$402="","","Evidence: "&amp;Checks!$Z$402)&amp;IF(Checks!$AA$402="","",IF(Checks!$Z$402="","",CHAR(10))&amp;"CA: "&amp;Checks!$AA$402)</f>
        <v/>
      </c>
      <c r="G47" s="124">
        <f>IF(ISNUMBER(Checks!$AD$402),TEXT(Checks!$AD$402,"DD-MMM-YY HH:MM")&amp;" "&amp;Checks!$P$402,"")&amp;IF(Checks!$AE$402="","",CHAR(10)&amp;Checks!$AE$402)</f>
        <v/>
      </c>
      <c r="H47" s="125">
        <f>IF(Checks!$AH$402="","",Checks!$AH$402)</f>
        <v/>
      </c>
    </row>
    <row r="48" ht="92" customHeight="1">
      <c r="A48" s="124">
        <f>Checks!$A$403&amp;CHAR(10)&amp;IF(Checks!$I$403="","",Checks!$I$403&amp;": ")&amp;Checks!$J$403</f>
        <v/>
      </c>
      <c r="B48" s="124">
        <f>Checks!$K$403&amp;IF(Checks!$O$403="","",IF(Checks!$K$403="","",CHAR(10))&amp;"Note: "&amp;Checks!$O$403)</f>
        <v/>
      </c>
      <c r="C48" s="124">
        <f>Checks!$N$403&amp;CHAR(10)&amp;IF(ISNUMBER(Checks!$R$403),TEXT(Checks!$R$403,"DD-MMM-YY HH:MM"),"")&amp;" "&amp;Checks!$P$403</f>
        <v/>
      </c>
      <c r="D48" s="124">
        <f>IF(Checks!$U$403="","",Checks!$U$403)&amp;IF(Checks!$AB$403="","",CHAR(10)&amp;"CA: "&amp;Checks!$AB$403)</f>
        <v/>
      </c>
      <c r="E48" s="124">
        <f>IF(Checks!$V$403="","",Checks!$V$403)&amp;IF(Checks!$AC$403="","",IF(Checks!$V$403="","",CHAR(10))&amp;"N/A just.: "&amp;Checks!$AC$403)&amp;IF(Checks!$W$403="","",CHAR(10)&amp;"Batch: "&amp;Checks!$W$403)&amp;IF(AND(Checks!$X$403="",Checks!$Y$403=""),"",CHAR(10)&amp;"Exp: "&amp;Checks!$X$403&amp;"  /  Act: "&amp;Checks!$Y$403)</f>
        <v/>
      </c>
      <c r="F48" s="124">
        <f>IF(Checks!$Z$403="","","Evidence: "&amp;Checks!$Z$403)&amp;IF(Checks!$AA$403="","",IF(Checks!$Z$403="","",CHAR(10))&amp;"CA: "&amp;Checks!$AA$403)</f>
        <v/>
      </c>
      <c r="G48" s="124">
        <f>IF(ISNUMBER(Checks!$AD$403),TEXT(Checks!$AD$403,"DD-MMM-YY HH:MM")&amp;" "&amp;Checks!$P$403,"")&amp;IF(Checks!$AE$403="","",CHAR(10)&amp;Checks!$AE$403)</f>
        <v/>
      </c>
      <c r="H48" s="125">
        <f>IF(Checks!$AH$403="","",Checks!$AH$403)</f>
        <v/>
      </c>
    </row>
    <row r="49" ht="114" customHeight="1">
      <c r="A49" s="124">
        <f>Checks!$A$404&amp;CHAR(10)&amp;IF(Checks!$I$404="","",Checks!$I$404&amp;": ")&amp;Checks!$J$404</f>
        <v/>
      </c>
      <c r="B49" s="124">
        <f>SUBSTITUTE(Checks!$K$404&amp;IF(Checks!$O$404="","",IF(Checks!$K$404="","",CHAR(10))&amp;"Note: "&amp;Checks!$O$404),"F&amp;B LINEN!","Ref: F&amp;B LINEN!")</f>
        <v/>
      </c>
      <c r="C49" s="124">
        <f>Checks!$N$404&amp;CHAR(10)&amp;IF(ISNUMBER(Checks!$R$404),TEXT(Checks!$R$404,"DD-MMM-YY HH:MM"),"")&amp;" "&amp;Checks!$P$404</f>
        <v/>
      </c>
      <c r="D49" s="124">
        <f>IF(Checks!$U$404="","",Checks!$U$404)&amp;IF(Checks!$AB$404="","",CHAR(10)&amp;"CA: "&amp;Checks!$AB$404)</f>
        <v/>
      </c>
      <c r="E49" s="124">
        <f>IF(Checks!$V$404="","",Checks!$V$404)&amp;IF(Checks!$AC$404="","",IF(Checks!$V$404="","",CHAR(10))&amp;"N/A just.: "&amp;Checks!$AC$404)&amp;IF(Checks!$W$404="","",CHAR(10)&amp;"Batch: "&amp;Checks!$W$404)&amp;IF(AND(Checks!$X$404="",Checks!$Y$404=""),"",CHAR(10)&amp;"Exp: "&amp;Checks!$X$404&amp;"  /  Act: "&amp;Checks!$Y$404)</f>
        <v/>
      </c>
      <c r="F49" s="124">
        <f>IF(Checks!$Z$404="","","Evidence: "&amp;Checks!$Z$404)&amp;IF(Checks!$AA$404="","",IF(Checks!$Z$404="","",CHAR(10))&amp;"CA: "&amp;Checks!$AA$404)</f>
        <v/>
      </c>
      <c r="G49" s="124">
        <f>IF(ISNUMBER(Checks!$AD$404),TEXT(Checks!$AD$404,"DD-MMM-YY HH:MM")&amp;" "&amp;Checks!$P$404,"")&amp;IF(Checks!$AE$404="","",CHAR(10)&amp;Checks!$AE$404)</f>
        <v/>
      </c>
      <c r="H49" s="125">
        <f>IF(Checks!$AH$404="","",Checks!$AH$404)</f>
        <v/>
      </c>
    </row>
    <row r="50" ht="92" customHeight="1">
      <c r="A50" s="124">
        <f>Checks!$A$405&amp;CHAR(10)&amp;IF(Checks!$I$405="","",Checks!$I$405&amp;": ")&amp;Checks!$J$405</f>
        <v/>
      </c>
      <c r="B50" s="124">
        <f>Checks!$K$405&amp;IF(Checks!$O$405="","",IF(Checks!$K$405="","",CHAR(10))&amp;"Note: "&amp;Checks!$O$405)</f>
        <v/>
      </c>
      <c r="C50" s="124">
        <f>Checks!$N$405&amp;CHAR(10)&amp;IF(ISNUMBER(Checks!$R$405),TEXT(Checks!$R$405,"DD-MMM-YY HH:MM"),"")&amp;" "&amp;Checks!$P$405</f>
        <v/>
      </c>
      <c r="D50" s="124">
        <f>IF(Checks!$U$405="","",Checks!$U$405)&amp;IF(Checks!$AB$405="","",CHAR(10)&amp;"CA: "&amp;Checks!$AB$405)</f>
        <v/>
      </c>
      <c r="E50" s="124">
        <f>IF(Checks!$V$405="","",Checks!$V$405)&amp;IF(Checks!$AC$405="","",IF(Checks!$V$405="","",CHAR(10))&amp;"N/A just.: "&amp;Checks!$AC$405)&amp;IF(Checks!$W$405="","",CHAR(10)&amp;"Batch: "&amp;Checks!$W$405)&amp;IF(AND(Checks!$X$405="",Checks!$Y$405=""),"",CHAR(10)&amp;"Exp: "&amp;Checks!$X$405&amp;"  /  Act: "&amp;Checks!$Y$405)</f>
        <v/>
      </c>
      <c r="F50" s="124">
        <f>IF(Checks!$Z$405="","","Evidence: "&amp;Checks!$Z$405)&amp;IF(Checks!$AA$405="","",IF(Checks!$Z$405="","",CHAR(10))&amp;"CA: "&amp;Checks!$AA$405)</f>
        <v/>
      </c>
      <c r="G50" s="124">
        <f>IF(ISNUMBER(Checks!$AD$405),TEXT(Checks!$AD$405,"DD-MMM-YY HH:MM")&amp;" "&amp;Checks!$P$405,"")&amp;IF(Checks!$AE$405="","",CHAR(10)&amp;Checks!$AE$405)</f>
        <v/>
      </c>
      <c r="H50" s="125">
        <f>IF(Checks!$AH$405="","",Checks!$AH$405)</f>
        <v/>
      </c>
    </row>
    <row r="51" ht="92" customHeight="1">
      <c r="A51" s="124">
        <f>Checks!$A$406&amp;CHAR(10)&amp;IF(Checks!$I$406="","",Checks!$I$406&amp;": ")&amp;Checks!$J$406</f>
        <v/>
      </c>
      <c r="B51" s="124">
        <f>Checks!$K$406&amp;IF(Checks!$O$406="","",IF(Checks!$K$406="","",CHAR(10))&amp;"Note: "&amp;Checks!$O$406)</f>
        <v/>
      </c>
      <c r="C51" s="124">
        <f>Checks!$N$406&amp;CHAR(10)&amp;IF(ISNUMBER(Checks!$R$406),TEXT(Checks!$R$406,"DD-MMM-YY HH:MM"),"")&amp;" "&amp;Checks!$P$406</f>
        <v/>
      </c>
      <c r="D51" s="124">
        <f>IF(Checks!$U$406="","",Checks!$U$406)&amp;IF(Checks!$AB$406="","",CHAR(10)&amp;"CA: "&amp;Checks!$AB$406)</f>
        <v/>
      </c>
      <c r="E51" s="124">
        <f>IF(Checks!$V$406="","",Checks!$V$406)&amp;IF(Checks!$AC$406="","",IF(Checks!$V$406="","",CHAR(10))&amp;"N/A just.: "&amp;Checks!$AC$406)&amp;IF(Checks!$W$406="","",CHAR(10)&amp;"Batch: "&amp;Checks!$W$406)&amp;IF(AND(Checks!$X$406="",Checks!$Y$406=""),"",CHAR(10)&amp;"Exp: "&amp;Checks!$X$406&amp;"  /  Act: "&amp;Checks!$Y$406)</f>
        <v/>
      </c>
      <c r="F51" s="124">
        <f>IF(Checks!$Z$406="","","Evidence: "&amp;Checks!$Z$406)&amp;IF(Checks!$AA$406="","",IF(Checks!$Z$406="","",CHAR(10))&amp;"CA: "&amp;Checks!$AA$406)</f>
        <v/>
      </c>
      <c r="G51" s="124">
        <f>IF(ISNUMBER(Checks!$AD$406),TEXT(Checks!$AD$406,"DD-MMM-YY HH:MM")&amp;" "&amp;Checks!$P$406,"")&amp;IF(Checks!$AE$406="","",CHAR(10)&amp;Checks!$AE$406)</f>
        <v/>
      </c>
      <c r="H51" s="125">
        <f>IF(Checks!$AH$406="","",Checks!$AH$406)</f>
        <v/>
      </c>
    </row>
    <row r="52" ht="92" customHeight="1">
      <c r="A52" s="124">
        <f>Checks!$A$407&amp;CHAR(10)&amp;IF(Checks!$I$407="","",Checks!$I$407&amp;": ")&amp;Checks!$J$407</f>
        <v/>
      </c>
      <c r="B52" s="124">
        <f>Checks!$K$407&amp;IF(Checks!$O$407="","",IF(Checks!$K$407="","",CHAR(10))&amp;"Note: "&amp;Checks!$O$407)</f>
        <v/>
      </c>
      <c r="C52" s="124">
        <f>Checks!$N$407&amp;CHAR(10)&amp;IF(ISNUMBER(Checks!$R$407),TEXT(Checks!$R$407,"DD-MMM-YY HH:MM"),"")&amp;" "&amp;Checks!$P$407</f>
        <v/>
      </c>
      <c r="D52" s="124">
        <f>IF(Checks!$U$407="","",Checks!$U$407)&amp;IF(Checks!$AB$407="","",CHAR(10)&amp;"CA: "&amp;Checks!$AB$407)</f>
        <v/>
      </c>
      <c r="E52" s="124">
        <f>IF(Checks!$V$407="","",Checks!$V$407)&amp;IF(Checks!$AC$407="","",IF(Checks!$V$407="","",CHAR(10))&amp;"N/A just.: "&amp;Checks!$AC$407)&amp;IF(Checks!$W$407="","",CHAR(10)&amp;"Batch: "&amp;Checks!$W$407)&amp;IF(AND(Checks!$X$407="",Checks!$Y$407=""),"",CHAR(10)&amp;"Exp: "&amp;Checks!$X$407&amp;"  /  Act: "&amp;Checks!$Y$407)</f>
        <v/>
      </c>
      <c r="F52" s="124">
        <f>IF(Checks!$Z$407="","","Evidence: "&amp;Checks!$Z$407)&amp;IF(Checks!$AA$407="","",IF(Checks!$Z$407="","",CHAR(10))&amp;"CA: "&amp;Checks!$AA$407)</f>
        <v/>
      </c>
      <c r="G52" s="124">
        <f>IF(ISNUMBER(Checks!$AD$407),TEXT(Checks!$AD$407,"DD-MMM-YY HH:MM")&amp;" "&amp;Checks!$P$407,"")&amp;IF(Checks!$AE$407="","",CHAR(10)&amp;Checks!$AE$407)</f>
        <v/>
      </c>
      <c r="H52" s="125">
        <f>IF(Checks!$AH$407="","",Checks!$AH$407)</f>
        <v/>
      </c>
    </row>
    <row r="53" ht="92" customHeight="1">
      <c r="A53" s="124">
        <f>Checks!$A$408&amp;CHAR(10)&amp;IF(Checks!$I$408="","",Checks!$I$408&amp;": ")&amp;Checks!$J$408</f>
        <v/>
      </c>
      <c r="B53" s="124">
        <f>Checks!$K$408&amp;IF(Checks!$O$408="","",IF(Checks!$K$408="","",CHAR(10))&amp;"Note: "&amp;Checks!$O$408)</f>
        <v/>
      </c>
      <c r="C53" s="124">
        <f>Checks!$N$408&amp;CHAR(10)&amp;IF(ISNUMBER(Checks!$R$408),TEXT(Checks!$R$408,"DD-MMM-YY HH:MM"),"")&amp;" "&amp;Checks!$P$408</f>
        <v/>
      </c>
      <c r="D53" s="124">
        <f>IF(Checks!$U$408="","",Checks!$U$408)&amp;IF(Checks!$AB$408="","",CHAR(10)&amp;"CA: "&amp;Checks!$AB$408)</f>
        <v/>
      </c>
      <c r="E53" s="124">
        <f>IF(Checks!$V$408="","",Checks!$V$408)&amp;IF(Checks!$AC$408="","",IF(Checks!$V$408="","",CHAR(10))&amp;"N/A just.: "&amp;Checks!$AC$408)&amp;IF(Checks!$W$408="","",CHAR(10)&amp;"Batch: "&amp;Checks!$W$408)&amp;IF(AND(Checks!$X$408="",Checks!$Y$408=""),"",CHAR(10)&amp;"Exp: "&amp;Checks!$X$408&amp;"  /  Act: "&amp;Checks!$Y$408)</f>
        <v/>
      </c>
      <c r="F53" s="124">
        <f>IF(Checks!$Z$408="","","Evidence: "&amp;Checks!$Z$408)&amp;IF(Checks!$AA$408="","",IF(Checks!$Z$408="","",CHAR(10))&amp;"CA: "&amp;Checks!$AA$408)</f>
        <v/>
      </c>
      <c r="G53" s="124">
        <f>IF(ISNUMBER(Checks!$AD$408),TEXT(Checks!$AD$408,"DD-MMM-YY HH:MM")&amp;" "&amp;Checks!$P$408,"")&amp;IF(Checks!$AE$408="","",CHAR(10)&amp;Checks!$AE$408)</f>
        <v/>
      </c>
      <c r="H53" s="125">
        <f>IF(Checks!$AH$408="","",Checks!$AH$408)</f>
        <v/>
      </c>
    </row>
    <row r="54" ht="81" customHeight="1">
      <c r="A54" s="124">
        <f>Checks!$A$409&amp;CHAR(10)&amp;IF(Checks!$I$409="","",Checks!$I$409&amp;": ")&amp;Checks!$J$409</f>
        <v/>
      </c>
      <c r="B54" s="124">
        <f>Checks!$K$409&amp;IF(Checks!$O$409="","",IF(Checks!$K$409="","",CHAR(10))&amp;"Note: "&amp;Checks!$O$409)</f>
        <v/>
      </c>
      <c r="C54" s="124">
        <f>Checks!$N$409&amp;CHAR(10)&amp;IF(ISNUMBER(Checks!$R$409),TEXT(Checks!$R$409,"DD-MMM-YY HH:MM"),"")&amp;" "&amp;Checks!$P$409</f>
        <v/>
      </c>
      <c r="D54" s="124">
        <f>IF(Checks!$U$409="","",Checks!$U$409)&amp;IF(Checks!$AB$409="","",CHAR(10)&amp;"CA: "&amp;Checks!$AB$409)</f>
        <v/>
      </c>
      <c r="E54" s="124">
        <f>IF(Checks!$V$409="","",Checks!$V$409)&amp;IF(Checks!$AC$409="","",IF(Checks!$V$409="","",CHAR(10))&amp;"N/A just.: "&amp;Checks!$AC$409)&amp;IF(Checks!$W$409="","",CHAR(10)&amp;"Batch: "&amp;Checks!$W$409)&amp;IF(AND(Checks!$X$409="",Checks!$Y$409=""),"",CHAR(10)&amp;"Exp: "&amp;Checks!$X$409&amp;"  /  Act: "&amp;Checks!$Y$409)</f>
        <v/>
      </c>
      <c r="F54" s="124">
        <f>IF(Checks!$Z$409="","","Evidence: "&amp;Checks!$Z$409)&amp;IF(Checks!$AA$409="","",IF(Checks!$Z$409="","",CHAR(10))&amp;"CA: "&amp;Checks!$AA$409)</f>
        <v/>
      </c>
      <c r="G54" s="124">
        <f>IF(ISNUMBER(Checks!$AD$409),TEXT(Checks!$AD$409,"DD-MMM-YY HH:MM")&amp;" "&amp;Checks!$P$409,"")&amp;IF(Checks!$AE$409="","",CHAR(10)&amp;Checks!$AE$409)</f>
        <v/>
      </c>
      <c r="H54" s="125">
        <f>IF(Checks!$AH$409="","",Checks!$AH$409)</f>
        <v/>
      </c>
    </row>
    <row r="55" ht="103" customHeight="1">
      <c r="A55" s="124">
        <f>Checks!$A$410&amp;CHAR(10)&amp;IF(Checks!$I$410="","",Checks!$I$410&amp;": ")&amp;Checks!$J$410</f>
        <v/>
      </c>
      <c r="B55" s="124">
        <f>Checks!$K$410&amp;IF(Checks!$O$410="","",IF(Checks!$K$410="","",CHAR(10))&amp;"Note: "&amp;Checks!$O$410)</f>
        <v/>
      </c>
      <c r="C55" s="124">
        <f>Checks!$N$410&amp;CHAR(10)&amp;IF(ISNUMBER(Checks!$R$410),TEXT(Checks!$R$410,"DD-MMM-YY HH:MM"),"")&amp;" "&amp;Checks!$P$410</f>
        <v/>
      </c>
      <c r="D55" s="124">
        <f>IF(Checks!$U$410="","",Checks!$U$410)&amp;IF(Checks!$AB$410="","",CHAR(10)&amp;"CA: "&amp;Checks!$AB$410)</f>
        <v/>
      </c>
      <c r="E55" s="124">
        <f>IF(Checks!$V$410="","",Checks!$V$410)&amp;IF(Checks!$AC$410="","",IF(Checks!$V$410="","",CHAR(10))&amp;"N/A just.: "&amp;Checks!$AC$410)&amp;IF(Checks!$W$410="","",CHAR(10)&amp;"Batch: "&amp;Checks!$W$410)&amp;IF(AND(Checks!$X$410="",Checks!$Y$410=""),"",CHAR(10)&amp;"Exp: "&amp;Checks!$X$410&amp;"  /  Act: "&amp;Checks!$Y$410)</f>
        <v/>
      </c>
      <c r="F55" s="124">
        <f>IF(Checks!$Z$410="","","Evidence: "&amp;Checks!$Z$410)&amp;IF(Checks!$AA$410="","",IF(Checks!$Z$410="","",CHAR(10))&amp;"CA: "&amp;Checks!$AA$410)</f>
        <v/>
      </c>
      <c r="G55" s="124">
        <f>IF(ISNUMBER(Checks!$AD$410),TEXT(Checks!$AD$410,"DD-MMM-YY HH:MM")&amp;" "&amp;Checks!$P$410,"")&amp;IF(Checks!$AE$410="","",CHAR(10)&amp;Checks!$AE$410)</f>
        <v/>
      </c>
      <c r="H55" s="125">
        <f>IF(Checks!$AH$410="","",Checks!$AH$410)</f>
        <v/>
      </c>
    </row>
    <row r="56" ht="26" customHeight="1">
      <c r="A56" s="123">
        <f>"UPLIFT — Physical uplift – on-board confirmation before departure  |  Due "&amp;"STD "&amp;IF(ISNUMBER(Flights!$I$16),TEXT(Flights!$I$16,"DD-MMM-YY HH:MM"),"")&amp;" "&amp;Flights!$G$16&amp;" (departure stn)"&amp;" (rows with another due show their own)  |  Complete "&amp;IF(ISNUMBER(Flights!$AM$16),TEXT(Flights!$AM$16,"0%"),Flights!$AM$16)&amp;"  |  16 lines"</f>
        <v/>
      </c>
      <c r="B56" s="97" t="n"/>
      <c r="C56" s="97" t="n"/>
      <c r="D56" s="97" t="n"/>
      <c r="E56" s="97" t="n"/>
      <c r="F56" s="97" t="n"/>
      <c r="G56" s="97" t="n"/>
      <c r="H56" s="98" t="n"/>
    </row>
    <row r="57" ht="81" customHeight="1">
      <c r="A57" s="124">
        <f>Checks!$A$411&amp;CHAR(10)&amp;IF(Checks!$I$411="","",Checks!$I$411&amp;": ")&amp;Checks!$J$411</f>
        <v/>
      </c>
      <c r="B57" s="124">
        <f>Checks!$K$411&amp;IF(Checks!$O$411="","",IF(Checks!$K$411="","",CHAR(10))&amp;"Note: "&amp;Checks!$O$411)</f>
        <v/>
      </c>
      <c r="C57" s="124">
        <f>Checks!$N$411&amp;CHAR(10)&amp;IF(ISNUMBER(Checks!$R$411),TEXT(Checks!$R$411,"DD-MMM-YY HH:MM"),"")&amp;" "&amp;Checks!$P$411</f>
        <v/>
      </c>
      <c r="D57" s="124">
        <f>IF(Checks!$U$411="","",Checks!$U$411)&amp;IF(Checks!$AB$411="","",CHAR(10)&amp;"CA: "&amp;Checks!$AB$411)</f>
        <v/>
      </c>
      <c r="E57" s="124">
        <f>IF(Checks!$V$411="","",Checks!$V$411)&amp;IF(Checks!$AC$411="","",IF(Checks!$V$411="","",CHAR(10))&amp;"N/A just.: "&amp;Checks!$AC$411)&amp;IF(Checks!$W$411="","",CHAR(10)&amp;"Batch: "&amp;Checks!$W$411)&amp;IF(AND(Checks!$X$411="",Checks!$Y$411=""),"",CHAR(10)&amp;"Exp: "&amp;Checks!$X$411&amp;"  /  Act: "&amp;Checks!$Y$411)</f>
        <v/>
      </c>
      <c r="F57" s="124">
        <f>IF(Checks!$Z$411="","","Evidence: "&amp;Checks!$Z$411)&amp;IF(Checks!$AA$411="","",IF(Checks!$Z$411="","",CHAR(10))&amp;"CA: "&amp;Checks!$AA$411)</f>
        <v/>
      </c>
      <c r="G57" s="124">
        <f>IF(ISNUMBER(Checks!$AD$411),TEXT(Checks!$AD$411,"DD-MMM-YY HH:MM")&amp;" "&amp;Checks!$P$411,"")&amp;IF(Checks!$AE$411="","",CHAR(10)&amp;Checks!$AE$411)</f>
        <v/>
      </c>
      <c r="H57" s="125">
        <f>IF(Checks!$AH$411="","",Checks!$AH$411)</f>
        <v/>
      </c>
    </row>
    <row r="58" ht="81" customHeight="1">
      <c r="A58" s="124">
        <f>Checks!$A$412&amp;CHAR(10)&amp;IF(Checks!$I$412="","",Checks!$I$412&amp;": ")&amp;Checks!$J$412</f>
        <v/>
      </c>
      <c r="B58" s="124">
        <f>Checks!$K$412&amp;IF(Checks!$O$412="","",IF(Checks!$K$412="","",CHAR(10))&amp;"Note: "&amp;Checks!$O$412)</f>
        <v/>
      </c>
      <c r="C58" s="124">
        <f>Checks!$N$412&amp;CHAR(10)&amp;IF(ISNUMBER(Checks!$R$412),TEXT(Checks!$R$412,"DD-MMM-YY HH:MM"),"")&amp;" "&amp;Checks!$P$412</f>
        <v/>
      </c>
      <c r="D58" s="124">
        <f>IF(Checks!$U$412="","",Checks!$U$412)&amp;IF(Checks!$AB$412="","",CHAR(10)&amp;"CA: "&amp;Checks!$AB$412)</f>
        <v/>
      </c>
      <c r="E58" s="124">
        <f>IF(Checks!$V$412="","",Checks!$V$412)&amp;IF(Checks!$AC$412="","",IF(Checks!$V$412="","",CHAR(10))&amp;"N/A just.: "&amp;Checks!$AC$412)&amp;IF(Checks!$W$412="","",CHAR(10)&amp;"Batch: "&amp;Checks!$W$412)&amp;IF(AND(Checks!$X$412="",Checks!$Y$412=""),"",CHAR(10)&amp;"Exp: "&amp;Checks!$X$412&amp;"  /  Act: "&amp;Checks!$Y$412)</f>
        <v/>
      </c>
      <c r="F58" s="124">
        <f>IF(Checks!$Z$412="","","Evidence: "&amp;Checks!$Z$412)&amp;IF(Checks!$AA$412="","",IF(Checks!$Z$412="","",CHAR(10))&amp;"CA: "&amp;Checks!$AA$412)</f>
        <v/>
      </c>
      <c r="G58" s="124">
        <f>IF(ISNUMBER(Checks!$AD$412),TEXT(Checks!$AD$412,"DD-MMM-YY HH:MM")&amp;" "&amp;Checks!$P$412,"")&amp;IF(Checks!$AE$412="","",CHAR(10)&amp;Checks!$AE$412)</f>
        <v/>
      </c>
      <c r="H58" s="125">
        <f>IF(Checks!$AH$412="","",Checks!$AH$412)</f>
        <v/>
      </c>
    </row>
    <row r="59" ht="81" customHeight="1">
      <c r="A59" s="124">
        <f>Checks!$A$413&amp;CHAR(10)&amp;IF(Checks!$I$413="","",Checks!$I$413&amp;": ")&amp;Checks!$J$413</f>
        <v/>
      </c>
      <c r="B59" s="124">
        <f>Checks!$K$413&amp;IF(Checks!$O$413="","",IF(Checks!$K$413="","",CHAR(10))&amp;"Note: "&amp;Checks!$O$413)</f>
        <v/>
      </c>
      <c r="C59" s="124">
        <f>Checks!$N$413&amp;CHAR(10)&amp;IF(ISNUMBER(Checks!$R$413),TEXT(Checks!$R$413,"DD-MMM-YY HH:MM"),"")&amp;" "&amp;Checks!$P$413</f>
        <v/>
      </c>
      <c r="D59" s="124">
        <f>IF(Checks!$U$413="","",Checks!$U$413)&amp;IF(Checks!$AB$413="","",CHAR(10)&amp;"CA: "&amp;Checks!$AB$413)</f>
        <v/>
      </c>
      <c r="E59" s="124">
        <f>IF(Checks!$V$413="","",Checks!$V$413)&amp;IF(Checks!$AC$413="","",IF(Checks!$V$413="","",CHAR(10))&amp;"N/A just.: "&amp;Checks!$AC$413)&amp;IF(Checks!$W$413="","",CHAR(10)&amp;"Batch: "&amp;Checks!$W$413)&amp;IF(AND(Checks!$X$413="",Checks!$Y$413=""),"",CHAR(10)&amp;"Exp: "&amp;Checks!$X$413&amp;"  /  Act: "&amp;Checks!$Y$413)</f>
        <v/>
      </c>
      <c r="F59" s="124">
        <f>IF(Checks!$Z$413="","","Evidence: "&amp;Checks!$Z$413)&amp;IF(Checks!$AA$413="","",IF(Checks!$Z$413="","",CHAR(10))&amp;"CA: "&amp;Checks!$AA$413)</f>
        <v/>
      </c>
      <c r="G59" s="124">
        <f>IF(ISNUMBER(Checks!$AD$413),TEXT(Checks!$AD$413,"DD-MMM-YY HH:MM")&amp;" "&amp;Checks!$P$413,"")&amp;IF(Checks!$AE$413="","",CHAR(10)&amp;Checks!$AE$413)</f>
        <v/>
      </c>
      <c r="H59" s="125">
        <f>IF(Checks!$AH$413="","",Checks!$AH$413)</f>
        <v/>
      </c>
    </row>
    <row r="60" ht="81" customHeight="1">
      <c r="A60" s="124">
        <f>Checks!$A$414&amp;CHAR(10)&amp;IF(Checks!$I$414="","",Checks!$I$414&amp;": ")&amp;Checks!$J$414</f>
        <v/>
      </c>
      <c r="B60" s="124">
        <f>Checks!$K$414&amp;IF(Checks!$O$414="","",IF(Checks!$K$414="","",CHAR(10))&amp;"Note: "&amp;Checks!$O$414)</f>
        <v/>
      </c>
      <c r="C60" s="124">
        <f>Checks!$N$414&amp;CHAR(10)&amp;IF(ISNUMBER(Checks!$R$414),TEXT(Checks!$R$414,"DD-MMM-YY HH:MM"),"")&amp;" "&amp;Checks!$P$414</f>
        <v/>
      </c>
      <c r="D60" s="124">
        <f>IF(Checks!$U$414="","",Checks!$U$414)&amp;IF(Checks!$AB$414="","",CHAR(10)&amp;"CA: "&amp;Checks!$AB$414)</f>
        <v/>
      </c>
      <c r="E60" s="124">
        <f>IF(Checks!$V$414="","",Checks!$V$414)&amp;IF(Checks!$AC$414="","",IF(Checks!$V$414="","",CHAR(10))&amp;"N/A just.: "&amp;Checks!$AC$414)&amp;IF(Checks!$W$414="","",CHAR(10)&amp;"Batch: "&amp;Checks!$W$414)&amp;IF(AND(Checks!$X$414="",Checks!$Y$414=""),"",CHAR(10)&amp;"Exp: "&amp;Checks!$X$414&amp;"  /  Act: "&amp;Checks!$Y$414)</f>
        <v/>
      </c>
      <c r="F60" s="124">
        <f>IF(Checks!$Z$414="","","Evidence: "&amp;Checks!$Z$414)&amp;IF(Checks!$AA$414="","",IF(Checks!$Z$414="","",CHAR(10))&amp;"CA: "&amp;Checks!$AA$414)</f>
        <v/>
      </c>
      <c r="G60" s="124">
        <f>IF(ISNUMBER(Checks!$AD$414),TEXT(Checks!$AD$414,"DD-MMM-YY HH:MM")&amp;" "&amp;Checks!$P$414,"")&amp;IF(Checks!$AE$414="","",CHAR(10)&amp;Checks!$AE$414)</f>
        <v/>
      </c>
      <c r="H60" s="125">
        <f>IF(Checks!$AH$414="","",Checks!$AH$414)</f>
        <v/>
      </c>
    </row>
    <row r="61" ht="81" customHeight="1">
      <c r="A61" s="124">
        <f>Checks!$A$415&amp;CHAR(10)&amp;IF(Checks!$I$415="","",Checks!$I$415&amp;": ")&amp;Checks!$J$415</f>
        <v/>
      </c>
      <c r="B61" s="124">
        <f>Checks!$K$415&amp;IF(Checks!$O$415="","",IF(Checks!$K$415="","",CHAR(10))&amp;"Note: "&amp;Checks!$O$415)</f>
        <v/>
      </c>
      <c r="C61" s="124">
        <f>Checks!$N$415&amp;CHAR(10)&amp;IF(ISNUMBER(Checks!$R$415),TEXT(Checks!$R$415,"DD-MMM-YY HH:MM"),"")&amp;" "&amp;Checks!$P$415</f>
        <v/>
      </c>
      <c r="D61" s="124">
        <f>IF(Checks!$U$415="","",Checks!$U$415)&amp;IF(Checks!$AB$415="","",CHAR(10)&amp;"CA: "&amp;Checks!$AB$415)</f>
        <v/>
      </c>
      <c r="E61" s="124">
        <f>IF(Checks!$V$415="","",Checks!$V$415)&amp;IF(Checks!$AC$415="","",IF(Checks!$V$415="","",CHAR(10))&amp;"N/A just.: "&amp;Checks!$AC$415)&amp;IF(Checks!$W$415="","",CHAR(10)&amp;"Batch: "&amp;Checks!$W$415)&amp;IF(AND(Checks!$X$415="",Checks!$Y$415=""),"",CHAR(10)&amp;"Exp: "&amp;Checks!$X$415&amp;"  /  Act: "&amp;Checks!$Y$415)</f>
        <v/>
      </c>
      <c r="F61" s="124">
        <f>IF(Checks!$Z$415="","","Evidence: "&amp;Checks!$Z$415)&amp;IF(Checks!$AA$415="","",IF(Checks!$Z$415="","",CHAR(10))&amp;"CA: "&amp;Checks!$AA$415)</f>
        <v/>
      </c>
      <c r="G61" s="124">
        <f>IF(ISNUMBER(Checks!$AD$415),TEXT(Checks!$AD$415,"DD-MMM-YY HH:MM")&amp;" "&amp;Checks!$P$415,"")&amp;IF(Checks!$AE$415="","",CHAR(10)&amp;Checks!$AE$415)</f>
        <v/>
      </c>
      <c r="H61" s="125">
        <f>IF(Checks!$AH$415="","",Checks!$AH$415)</f>
        <v/>
      </c>
    </row>
    <row r="62" ht="81" customHeight="1">
      <c r="A62" s="124">
        <f>Checks!$A$416&amp;CHAR(10)&amp;IF(Checks!$I$416="","",Checks!$I$416&amp;": ")&amp;Checks!$J$416</f>
        <v/>
      </c>
      <c r="B62" s="124">
        <f>Checks!$K$416&amp;IF(Checks!$O$416="","",IF(Checks!$K$416="","",CHAR(10))&amp;"Note: "&amp;Checks!$O$416)</f>
        <v/>
      </c>
      <c r="C62" s="124">
        <f>Checks!$N$416&amp;CHAR(10)&amp;IF(ISNUMBER(Checks!$R$416),TEXT(Checks!$R$416,"DD-MMM-YY HH:MM"),"")&amp;" "&amp;Checks!$P$416</f>
        <v/>
      </c>
      <c r="D62" s="124">
        <f>IF(Checks!$U$416="","",Checks!$U$416)&amp;IF(Checks!$AB$416="","",CHAR(10)&amp;"CA: "&amp;Checks!$AB$416)</f>
        <v/>
      </c>
      <c r="E62" s="124">
        <f>IF(Checks!$V$416="","",Checks!$V$416)&amp;IF(Checks!$AC$416="","",IF(Checks!$V$416="","",CHAR(10))&amp;"N/A just.: "&amp;Checks!$AC$416)&amp;IF(Checks!$W$416="","",CHAR(10)&amp;"Batch: "&amp;Checks!$W$416)&amp;IF(AND(Checks!$X$416="",Checks!$Y$416=""),"",CHAR(10)&amp;"Exp: "&amp;Checks!$X$416&amp;"  /  Act: "&amp;Checks!$Y$416)</f>
        <v/>
      </c>
      <c r="F62" s="124">
        <f>IF(Checks!$Z$416="","","Evidence: "&amp;Checks!$Z$416)&amp;IF(Checks!$AA$416="","",IF(Checks!$Z$416="","",CHAR(10))&amp;"CA: "&amp;Checks!$AA$416)</f>
        <v/>
      </c>
      <c r="G62" s="124">
        <f>IF(ISNUMBER(Checks!$AD$416),TEXT(Checks!$AD$416,"DD-MMM-YY HH:MM")&amp;" "&amp;Checks!$P$416,"")&amp;IF(Checks!$AE$416="","",CHAR(10)&amp;Checks!$AE$416)</f>
        <v/>
      </c>
      <c r="H62" s="125">
        <f>IF(Checks!$AH$416="","",Checks!$AH$416)</f>
        <v/>
      </c>
    </row>
    <row r="63" ht="81" customHeight="1">
      <c r="A63" s="124">
        <f>Checks!$A$417&amp;CHAR(10)&amp;IF(Checks!$I$417="","",Checks!$I$417&amp;": ")&amp;Checks!$J$417</f>
        <v/>
      </c>
      <c r="B63" s="124">
        <f>Checks!$K$417&amp;IF(Checks!$O$417="","",IF(Checks!$K$417="","",CHAR(10))&amp;"Note: "&amp;Checks!$O$417)</f>
        <v/>
      </c>
      <c r="C63" s="124">
        <f>Checks!$N$417&amp;CHAR(10)&amp;IF(ISNUMBER(Checks!$R$417),TEXT(Checks!$R$417,"DD-MMM-YY HH:MM"),"")&amp;" "&amp;Checks!$P$417</f>
        <v/>
      </c>
      <c r="D63" s="124">
        <f>IF(Checks!$U$417="","",Checks!$U$417)&amp;IF(Checks!$AB$417="","",CHAR(10)&amp;"CA: "&amp;Checks!$AB$417)</f>
        <v/>
      </c>
      <c r="E63" s="124">
        <f>IF(Checks!$V$417="","",Checks!$V$417)&amp;IF(Checks!$AC$417="","",IF(Checks!$V$417="","",CHAR(10))&amp;"N/A just.: "&amp;Checks!$AC$417)&amp;IF(Checks!$W$417="","",CHAR(10)&amp;"Batch: "&amp;Checks!$W$417)&amp;IF(AND(Checks!$X$417="",Checks!$Y$417=""),"",CHAR(10)&amp;"Exp: "&amp;Checks!$X$417&amp;"  /  Act: "&amp;Checks!$Y$417)</f>
        <v/>
      </c>
      <c r="F63" s="124">
        <f>IF(Checks!$Z$417="","","Evidence: "&amp;Checks!$Z$417)&amp;IF(Checks!$AA$417="","",IF(Checks!$Z$417="","",CHAR(10))&amp;"CA: "&amp;Checks!$AA$417)</f>
        <v/>
      </c>
      <c r="G63" s="124">
        <f>IF(ISNUMBER(Checks!$AD$417),TEXT(Checks!$AD$417,"DD-MMM-YY HH:MM")&amp;" "&amp;Checks!$P$417,"")&amp;IF(Checks!$AE$417="","",CHAR(10)&amp;Checks!$AE$417)</f>
        <v/>
      </c>
      <c r="H63" s="125">
        <f>IF(Checks!$AH$417="","",Checks!$AH$417)</f>
        <v/>
      </c>
    </row>
    <row r="64" ht="81" customHeight="1">
      <c r="A64" s="124">
        <f>Checks!$A$418&amp;CHAR(10)&amp;IF(Checks!$I$418="","",Checks!$I$418&amp;": ")&amp;Checks!$J$418</f>
        <v/>
      </c>
      <c r="B64" s="124">
        <f>Checks!$K$418&amp;IF(Checks!$O$418="","",IF(Checks!$K$418="","",CHAR(10))&amp;"Note: "&amp;Checks!$O$418)</f>
        <v/>
      </c>
      <c r="C64" s="124">
        <f>Checks!$N$418&amp;CHAR(10)&amp;IF(ISNUMBER(Checks!$R$418),TEXT(Checks!$R$418,"DD-MMM-YY HH:MM"),"")&amp;" "&amp;Checks!$P$418</f>
        <v/>
      </c>
      <c r="D64" s="124">
        <f>IF(Checks!$U$418="","",Checks!$U$418)&amp;IF(Checks!$AB$418="","",CHAR(10)&amp;"CA: "&amp;Checks!$AB$418)</f>
        <v/>
      </c>
      <c r="E64" s="124">
        <f>IF(Checks!$V$418="","",Checks!$V$418)&amp;IF(Checks!$AC$418="","",IF(Checks!$V$418="","",CHAR(10))&amp;"N/A just.: "&amp;Checks!$AC$418)&amp;IF(Checks!$W$418="","",CHAR(10)&amp;"Batch: "&amp;Checks!$W$418)&amp;IF(AND(Checks!$X$418="",Checks!$Y$418=""),"",CHAR(10)&amp;"Exp: "&amp;Checks!$X$418&amp;"  /  Act: "&amp;Checks!$Y$418)</f>
        <v/>
      </c>
      <c r="F64" s="124">
        <f>IF(Checks!$Z$418="","","Evidence: "&amp;Checks!$Z$418)&amp;IF(Checks!$AA$418="","",IF(Checks!$Z$418="","",CHAR(10))&amp;"CA: "&amp;Checks!$AA$418)</f>
        <v/>
      </c>
      <c r="G64" s="124">
        <f>IF(ISNUMBER(Checks!$AD$418),TEXT(Checks!$AD$418,"DD-MMM-YY HH:MM")&amp;" "&amp;Checks!$P$418,"")&amp;IF(Checks!$AE$418="","",CHAR(10)&amp;Checks!$AE$418)</f>
        <v/>
      </c>
      <c r="H64" s="125">
        <f>IF(Checks!$AH$418="","",Checks!$AH$418)</f>
        <v/>
      </c>
    </row>
    <row r="65" ht="81" customHeight="1">
      <c r="A65" s="124">
        <f>Checks!$A$419&amp;CHAR(10)&amp;IF(Checks!$I$419="","",Checks!$I$419&amp;": ")&amp;Checks!$J$419</f>
        <v/>
      </c>
      <c r="B65" s="124">
        <f>Checks!$K$419&amp;IF(Checks!$O$419="","",IF(Checks!$K$419="","",CHAR(10))&amp;"Note: "&amp;Checks!$O$419)</f>
        <v/>
      </c>
      <c r="C65" s="124">
        <f>Checks!$N$419&amp;CHAR(10)&amp;IF(ISNUMBER(Checks!$R$419),TEXT(Checks!$R$419,"DD-MMM-YY HH:MM"),"")&amp;" "&amp;Checks!$P$419</f>
        <v/>
      </c>
      <c r="D65" s="124">
        <f>IF(Checks!$U$419="","",Checks!$U$419)&amp;IF(Checks!$AB$419="","",CHAR(10)&amp;"CA: "&amp;Checks!$AB$419)</f>
        <v/>
      </c>
      <c r="E65" s="124">
        <f>IF(Checks!$V$419="","",Checks!$V$419)&amp;IF(Checks!$AC$419="","",IF(Checks!$V$419="","",CHAR(10))&amp;"N/A just.: "&amp;Checks!$AC$419)&amp;IF(Checks!$W$419="","",CHAR(10)&amp;"Batch: "&amp;Checks!$W$419)&amp;IF(AND(Checks!$X$419="",Checks!$Y$419=""),"",CHAR(10)&amp;"Exp: "&amp;Checks!$X$419&amp;"  /  Act: "&amp;Checks!$Y$419)</f>
        <v/>
      </c>
      <c r="F65" s="124">
        <f>IF(Checks!$Z$419="","","Evidence: "&amp;Checks!$Z$419)&amp;IF(Checks!$AA$419="","",IF(Checks!$Z$419="","",CHAR(10))&amp;"CA: "&amp;Checks!$AA$419)</f>
        <v/>
      </c>
      <c r="G65" s="124">
        <f>IF(ISNUMBER(Checks!$AD$419),TEXT(Checks!$AD$419,"DD-MMM-YY HH:MM")&amp;" "&amp;Checks!$P$419,"")&amp;IF(Checks!$AE$419="","",CHAR(10)&amp;Checks!$AE$419)</f>
        <v/>
      </c>
      <c r="H65" s="125">
        <f>IF(Checks!$AH$419="","",Checks!$AH$419)</f>
        <v/>
      </c>
    </row>
    <row r="66" ht="81" customHeight="1">
      <c r="A66" s="124">
        <f>Checks!$A$420&amp;CHAR(10)&amp;IF(Checks!$I$420="","",Checks!$I$420&amp;": ")&amp;Checks!$J$420</f>
        <v/>
      </c>
      <c r="B66" s="124">
        <f>SUBSTITUTE(Checks!$K$420&amp;IF(Checks!$O$420="","",IF(Checks!$K$420="","",CHAR(10))&amp;"Note: "&amp;Checks!$O$420),"F&amp;B LINEN!","Ref: F&amp;B LINEN!")</f>
        <v/>
      </c>
      <c r="C66" s="124">
        <f>Checks!$N$420&amp;CHAR(10)&amp;IF(ISNUMBER(Checks!$R$420),TEXT(Checks!$R$420,"DD-MMM-YY HH:MM"),"")&amp;" "&amp;Checks!$P$420</f>
        <v/>
      </c>
      <c r="D66" s="124">
        <f>IF(Checks!$U$420="","",Checks!$U$420)&amp;IF(Checks!$AB$420="","",CHAR(10)&amp;"CA: "&amp;Checks!$AB$420)</f>
        <v/>
      </c>
      <c r="E66" s="124">
        <f>IF(Checks!$V$420="","",Checks!$V$420)&amp;IF(Checks!$AC$420="","",IF(Checks!$V$420="","",CHAR(10))&amp;"N/A just.: "&amp;Checks!$AC$420)&amp;IF(Checks!$W$420="","",CHAR(10)&amp;"Batch: "&amp;Checks!$W$420)&amp;IF(AND(Checks!$X$420="",Checks!$Y$420=""),"",CHAR(10)&amp;"Exp: "&amp;Checks!$X$420&amp;"  /  Act: "&amp;Checks!$Y$420)</f>
        <v/>
      </c>
      <c r="F66" s="124">
        <f>IF(Checks!$Z$420="","","Evidence: "&amp;Checks!$Z$420)&amp;IF(Checks!$AA$420="","",IF(Checks!$Z$420="","",CHAR(10))&amp;"CA: "&amp;Checks!$AA$420)</f>
        <v/>
      </c>
      <c r="G66" s="124">
        <f>IF(ISNUMBER(Checks!$AD$420),TEXT(Checks!$AD$420,"DD-MMM-YY HH:MM")&amp;" "&amp;Checks!$P$420,"")&amp;IF(Checks!$AE$420="","",CHAR(10)&amp;Checks!$AE$420)</f>
        <v/>
      </c>
      <c r="H66" s="125">
        <f>IF(Checks!$AH$420="","",Checks!$AH$420)</f>
        <v/>
      </c>
    </row>
    <row r="67" ht="81" customHeight="1">
      <c r="A67" s="124">
        <f>Checks!$A$421&amp;CHAR(10)&amp;IF(Checks!$I$421="","",Checks!$I$421&amp;": ")&amp;Checks!$J$421</f>
        <v/>
      </c>
      <c r="B67" s="124">
        <f>Checks!$K$421&amp;IF(Checks!$O$421="","",IF(Checks!$K$421="","",CHAR(10))&amp;"Note: "&amp;Checks!$O$421)</f>
        <v/>
      </c>
      <c r="C67" s="124">
        <f>Checks!$N$421&amp;CHAR(10)&amp;IF(ISNUMBER(Checks!$R$421),TEXT(Checks!$R$421,"DD-MMM-YY HH:MM"),"")&amp;" "&amp;Checks!$P$421</f>
        <v/>
      </c>
      <c r="D67" s="124">
        <f>IF(Checks!$U$421="","",Checks!$U$421)&amp;IF(Checks!$AB$421="","",CHAR(10)&amp;"CA: "&amp;Checks!$AB$421)</f>
        <v/>
      </c>
      <c r="E67" s="124">
        <f>IF(Checks!$V$421="","",Checks!$V$421)&amp;IF(Checks!$AC$421="","",IF(Checks!$V$421="","",CHAR(10))&amp;"N/A just.: "&amp;Checks!$AC$421)&amp;IF(Checks!$W$421="","",CHAR(10)&amp;"Batch: "&amp;Checks!$W$421)&amp;IF(AND(Checks!$X$421="",Checks!$Y$421=""),"",CHAR(10)&amp;"Exp: "&amp;Checks!$X$421&amp;"  /  Act: "&amp;Checks!$Y$421)</f>
        <v/>
      </c>
      <c r="F67" s="124">
        <f>IF(Checks!$Z$421="","","Evidence: "&amp;Checks!$Z$421)&amp;IF(Checks!$AA$421="","",IF(Checks!$Z$421="","",CHAR(10))&amp;"CA: "&amp;Checks!$AA$421)</f>
        <v/>
      </c>
      <c r="G67" s="124">
        <f>IF(ISNUMBER(Checks!$AD$421),TEXT(Checks!$AD$421,"DD-MMM-YY HH:MM")&amp;" "&amp;Checks!$P$421,"")&amp;IF(Checks!$AE$421="","",CHAR(10)&amp;Checks!$AE$421)</f>
        <v/>
      </c>
      <c r="H67" s="125">
        <f>IF(Checks!$AH$421="","",Checks!$AH$421)</f>
        <v/>
      </c>
    </row>
    <row r="68" ht="81" customHeight="1">
      <c r="A68" s="124">
        <f>Checks!$A$422&amp;CHAR(10)&amp;IF(Checks!$I$422="","",Checks!$I$422&amp;": ")&amp;Checks!$J$422</f>
        <v/>
      </c>
      <c r="B68" s="124">
        <f>Checks!$K$422&amp;IF(Checks!$O$422="","",IF(Checks!$K$422="","",CHAR(10))&amp;"Note: "&amp;Checks!$O$422)</f>
        <v/>
      </c>
      <c r="C68" s="124">
        <f>Checks!$N$422&amp;CHAR(10)&amp;IF(ISNUMBER(Checks!$R$422),TEXT(Checks!$R$422,"DD-MMM-YY HH:MM"),"")&amp;" "&amp;Checks!$P$422</f>
        <v/>
      </c>
      <c r="D68" s="124">
        <f>IF(Checks!$U$422="","",Checks!$U$422)&amp;IF(Checks!$AB$422="","",CHAR(10)&amp;"CA: "&amp;Checks!$AB$422)</f>
        <v/>
      </c>
      <c r="E68" s="124">
        <f>IF(Checks!$V$422="","",Checks!$V$422)&amp;IF(Checks!$AC$422="","",IF(Checks!$V$422="","",CHAR(10))&amp;"N/A just.: "&amp;Checks!$AC$422)&amp;IF(Checks!$W$422="","",CHAR(10)&amp;"Batch: "&amp;Checks!$W$422)&amp;IF(AND(Checks!$X$422="",Checks!$Y$422=""),"",CHAR(10)&amp;"Exp: "&amp;Checks!$X$422&amp;"  /  Act: "&amp;Checks!$Y$422)</f>
        <v/>
      </c>
      <c r="F68" s="124">
        <f>IF(Checks!$Z$422="","","Evidence: "&amp;Checks!$Z$422)&amp;IF(Checks!$AA$422="","",IF(Checks!$Z$422="","",CHAR(10))&amp;"CA: "&amp;Checks!$AA$422)</f>
        <v/>
      </c>
      <c r="G68" s="124">
        <f>IF(ISNUMBER(Checks!$AD$422),TEXT(Checks!$AD$422,"DD-MMM-YY HH:MM")&amp;" "&amp;Checks!$P$422,"")&amp;IF(Checks!$AE$422="","",CHAR(10)&amp;Checks!$AE$422)</f>
        <v/>
      </c>
      <c r="H68" s="125">
        <f>IF(Checks!$AH$422="","",Checks!$AH$422)</f>
        <v/>
      </c>
    </row>
    <row r="69" ht="81" customHeight="1">
      <c r="A69" s="124">
        <f>Checks!$A$423&amp;CHAR(10)&amp;IF(Checks!$I$423="","",Checks!$I$423&amp;": ")&amp;Checks!$J$423</f>
        <v/>
      </c>
      <c r="B69" s="124">
        <f>Checks!$K$423&amp;IF(Checks!$O$423="","",IF(Checks!$K$423="","",CHAR(10))&amp;"Note: "&amp;Checks!$O$423)</f>
        <v/>
      </c>
      <c r="C69" s="124">
        <f>Checks!$N$423&amp;CHAR(10)&amp;IF(ISNUMBER(Checks!$R$423),TEXT(Checks!$R$423,"DD-MMM-YY HH:MM"),"")&amp;" "&amp;Checks!$P$423</f>
        <v/>
      </c>
      <c r="D69" s="124">
        <f>IF(Checks!$U$423="","",Checks!$U$423)&amp;IF(Checks!$AB$423="","",CHAR(10)&amp;"CA: "&amp;Checks!$AB$423)</f>
        <v/>
      </c>
      <c r="E69" s="124">
        <f>IF(Checks!$V$423="","",Checks!$V$423)&amp;IF(Checks!$AC$423="","",IF(Checks!$V$423="","",CHAR(10))&amp;"N/A just.: "&amp;Checks!$AC$423)&amp;IF(Checks!$W$423="","",CHAR(10)&amp;"Batch: "&amp;Checks!$W$423)&amp;IF(AND(Checks!$X$423="",Checks!$Y$423=""),"",CHAR(10)&amp;"Exp: "&amp;Checks!$X$423&amp;"  /  Act: "&amp;Checks!$Y$423)</f>
        <v/>
      </c>
      <c r="F69" s="124">
        <f>IF(Checks!$Z$423="","","Evidence: "&amp;Checks!$Z$423)&amp;IF(Checks!$AA$423="","",IF(Checks!$Z$423="","",CHAR(10))&amp;"CA: "&amp;Checks!$AA$423)</f>
        <v/>
      </c>
      <c r="G69" s="124">
        <f>IF(ISNUMBER(Checks!$AD$423),TEXT(Checks!$AD$423,"DD-MMM-YY HH:MM")&amp;" "&amp;Checks!$P$423,"")&amp;IF(Checks!$AE$423="","",CHAR(10)&amp;Checks!$AE$423)</f>
        <v/>
      </c>
      <c r="H69" s="125">
        <f>IF(Checks!$AH$423="","",Checks!$AH$423)</f>
        <v/>
      </c>
    </row>
    <row r="70" ht="81" customHeight="1">
      <c r="A70" s="124">
        <f>Checks!$A$424&amp;CHAR(10)&amp;IF(Checks!$I$424="","",Checks!$I$424&amp;": ")&amp;Checks!$J$424</f>
        <v/>
      </c>
      <c r="B70" s="124">
        <f>Checks!$K$424&amp;IF(Checks!$O$424="","",IF(Checks!$K$424="","",CHAR(10))&amp;"Note: "&amp;Checks!$O$424)</f>
        <v/>
      </c>
      <c r="C70" s="124">
        <f>Checks!$N$424&amp;CHAR(10)&amp;IF(ISNUMBER(Checks!$R$424),TEXT(Checks!$R$424,"DD-MMM-YY HH:MM"),"")&amp;" "&amp;Checks!$P$424</f>
        <v/>
      </c>
      <c r="D70" s="124">
        <f>IF(Checks!$U$424="","",Checks!$U$424)&amp;IF(Checks!$AB$424="","",CHAR(10)&amp;"CA: "&amp;Checks!$AB$424)</f>
        <v/>
      </c>
      <c r="E70" s="124">
        <f>IF(Checks!$V$424="","",Checks!$V$424)&amp;IF(Checks!$AC$424="","",IF(Checks!$V$424="","",CHAR(10))&amp;"N/A just.: "&amp;Checks!$AC$424)&amp;IF(Checks!$W$424="","",CHAR(10)&amp;"Batch: "&amp;Checks!$W$424)&amp;IF(AND(Checks!$X$424="",Checks!$Y$424=""),"",CHAR(10)&amp;"Exp: "&amp;Checks!$X$424&amp;"  /  Act: "&amp;Checks!$Y$424)</f>
        <v/>
      </c>
      <c r="F70" s="124">
        <f>IF(Checks!$Z$424="","","Evidence: "&amp;Checks!$Z$424)&amp;IF(Checks!$AA$424="","",IF(Checks!$Z$424="","",CHAR(10))&amp;"CA: "&amp;Checks!$AA$424)</f>
        <v/>
      </c>
      <c r="G70" s="124">
        <f>IF(ISNUMBER(Checks!$AD$424),TEXT(Checks!$AD$424,"DD-MMM-YY HH:MM")&amp;" "&amp;Checks!$P$424,"")&amp;IF(Checks!$AE$424="","",CHAR(10)&amp;Checks!$AE$424)</f>
        <v/>
      </c>
      <c r="H70" s="125">
        <f>IF(Checks!$AH$424="","",Checks!$AH$424)</f>
        <v/>
      </c>
    </row>
    <row r="71" ht="81" customHeight="1">
      <c r="A71" s="124">
        <f>Checks!$A$425&amp;CHAR(10)&amp;IF(Checks!$I$425="","",Checks!$I$425&amp;": ")&amp;Checks!$J$425</f>
        <v/>
      </c>
      <c r="B71" s="124">
        <f>Checks!$K$425&amp;IF(Checks!$O$425="","",IF(Checks!$K$425="","",CHAR(10))&amp;"Note: "&amp;Checks!$O$425)</f>
        <v/>
      </c>
      <c r="C71" s="124">
        <f>Checks!$N$425&amp;CHAR(10)&amp;IF(ISNUMBER(Checks!$R$425),TEXT(Checks!$R$425,"DD-MMM-YY HH:MM"),"")&amp;" "&amp;Checks!$P$425</f>
        <v/>
      </c>
      <c r="D71" s="124">
        <f>IF(Checks!$U$425="","",Checks!$U$425)&amp;IF(Checks!$AB$425="","",CHAR(10)&amp;"CA: "&amp;Checks!$AB$425)</f>
        <v/>
      </c>
      <c r="E71" s="124">
        <f>IF(Checks!$V$425="","",Checks!$V$425)&amp;IF(Checks!$AC$425="","",IF(Checks!$V$425="","",CHAR(10))&amp;"N/A just.: "&amp;Checks!$AC$425)&amp;IF(Checks!$W$425="","",CHAR(10)&amp;"Batch: "&amp;Checks!$W$425)&amp;IF(AND(Checks!$X$425="",Checks!$Y$425=""),"",CHAR(10)&amp;"Exp: "&amp;Checks!$X$425&amp;"  /  Act: "&amp;Checks!$Y$425)</f>
        <v/>
      </c>
      <c r="F71" s="124">
        <f>IF(Checks!$Z$425="","","Evidence: "&amp;Checks!$Z$425)&amp;IF(Checks!$AA$425="","",IF(Checks!$Z$425="","",CHAR(10))&amp;"CA: "&amp;Checks!$AA$425)</f>
        <v/>
      </c>
      <c r="G71" s="124">
        <f>IF(ISNUMBER(Checks!$AD$425),TEXT(Checks!$AD$425,"DD-MMM-YY HH:MM")&amp;" "&amp;Checks!$P$425,"")&amp;IF(Checks!$AE$425="","",CHAR(10)&amp;Checks!$AE$425)</f>
        <v/>
      </c>
      <c r="H71" s="125">
        <f>IF(Checks!$AH$425="","",Checks!$AH$425)</f>
        <v/>
      </c>
    </row>
    <row r="72" ht="81" customHeight="1">
      <c r="A72" s="124">
        <f>Checks!$A$426&amp;CHAR(10)&amp;IF(Checks!$I$426="","",Checks!$I$426&amp;": ")&amp;Checks!$J$426</f>
        <v/>
      </c>
      <c r="B72" s="124">
        <f>Checks!$K$426&amp;IF(Checks!$O$426="","",IF(Checks!$K$426="","",CHAR(10))&amp;"Note: "&amp;Checks!$O$426)</f>
        <v/>
      </c>
      <c r="C72" s="124">
        <f>Checks!$N$426&amp;CHAR(10)&amp;IF(ISNUMBER(Checks!$R$426),TEXT(Checks!$R$426,"DD-MMM-YY HH:MM"),"")&amp;" "&amp;Checks!$P$426</f>
        <v/>
      </c>
      <c r="D72" s="124">
        <f>IF(Checks!$U$426="","",Checks!$U$426)&amp;IF(Checks!$AB$426="","",CHAR(10)&amp;"CA: "&amp;Checks!$AB$426)</f>
        <v/>
      </c>
      <c r="E72" s="124">
        <f>IF(Checks!$V$426="","",Checks!$V$426)&amp;IF(Checks!$AC$426="","",IF(Checks!$V$426="","",CHAR(10))&amp;"N/A just.: "&amp;Checks!$AC$426)&amp;IF(Checks!$W$426="","",CHAR(10)&amp;"Batch: "&amp;Checks!$W$426)&amp;IF(AND(Checks!$X$426="",Checks!$Y$426=""),"",CHAR(10)&amp;"Exp: "&amp;Checks!$X$426&amp;"  /  Act: "&amp;Checks!$Y$426)</f>
        <v/>
      </c>
      <c r="F72" s="124">
        <f>IF(Checks!$Z$426="","","Evidence: "&amp;Checks!$Z$426)&amp;IF(Checks!$AA$426="","",IF(Checks!$Z$426="","",CHAR(10))&amp;"CA: "&amp;Checks!$AA$426)</f>
        <v/>
      </c>
      <c r="G72" s="124">
        <f>IF(ISNUMBER(Checks!$AD$426),TEXT(Checks!$AD$426,"DD-MMM-YY HH:MM")&amp;" "&amp;Checks!$P$426,"")&amp;IF(Checks!$AE$426="","",CHAR(10)&amp;Checks!$AE$426)</f>
        <v/>
      </c>
      <c r="H72" s="125">
        <f>IF(Checks!$AH$426="","",Checks!$AH$426)</f>
        <v/>
      </c>
    </row>
    <row r="74" ht="24" customHeight="1">
      <c r="A74" s="126" t="inlineStr">
        <is>
          <t>EXCEL INSERTION AREA (on-screen only, not printed) – A1 Galley Loading Diagram: Insert &gt; Picture here. On paper: staple behind this sheet as page A1.</t>
        </is>
      </c>
      <c r="B74" s="127" t="n"/>
      <c r="C74" s="127" t="n"/>
      <c r="D74" s="128" t="n"/>
      <c r="E74" s="126" t="inlineStr">
        <is>
          <t>EXCEL INSERTION AREA (on-screen only, not printed) – A2 Menu Checklist: Insert &gt; Picture here. On paper: staple behind this sheet as page A2.</t>
        </is>
      </c>
      <c r="F74" s="127" t="n"/>
      <c r="G74" s="127" t="n"/>
      <c r="H74" s="128" t="n"/>
    </row>
    <row r="75" ht="22" customHeight="1">
      <c r="A75" s="129" t="n"/>
      <c r="B75" s="130" t="n"/>
      <c r="C75" s="130" t="n"/>
      <c r="D75" s="131" t="n"/>
      <c r="E75" s="129" t="n"/>
      <c r="F75" s="130" t="n"/>
      <c r="G75" s="130" t="n"/>
      <c r="H75" s="131" t="n"/>
    </row>
    <row r="76" ht="22" customHeight="1">
      <c r="A76" s="132" t="n"/>
      <c r="B76" s="130" t="n"/>
      <c r="C76" s="130" t="n"/>
      <c r="D76" s="131" t="n"/>
      <c r="E76" s="132" t="n"/>
      <c r="F76" s="130" t="n"/>
      <c r="G76" s="130" t="n"/>
      <c r="H76" s="131" t="n"/>
    </row>
    <row r="77" ht="22" customHeight="1">
      <c r="A77" s="132" t="n"/>
      <c r="B77" s="130" t="n"/>
      <c r="C77" s="130" t="n"/>
      <c r="D77" s="131" t="n"/>
      <c r="E77" s="132"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2" t="n"/>
      <c r="B80" s="130" t="n"/>
      <c r="C80" s="130" t="n"/>
      <c r="D80" s="131" t="n"/>
      <c r="E80" s="132" t="n"/>
      <c r="F80" s="130" t="n"/>
      <c r="G80" s="130" t="n"/>
      <c r="H80" s="131" t="n"/>
    </row>
    <row r="81" ht="22" customHeight="1">
      <c r="A81" s="132" t="n"/>
      <c r="B81" s="130" t="n"/>
      <c r="C81" s="130" t="n"/>
      <c r="D81" s="131" t="n"/>
      <c r="E81" s="132" t="n"/>
      <c r="F81" s="130" t="n"/>
      <c r="G81" s="130" t="n"/>
      <c r="H81" s="131" t="n"/>
    </row>
    <row r="82" ht="22" customHeight="1">
      <c r="A82" s="132" t="n"/>
      <c r="B82" s="130" t="n"/>
      <c r="C82" s="130" t="n"/>
      <c r="D82" s="131" t="n"/>
      <c r="E82" s="132" t="n"/>
      <c r="F82" s="130" t="n"/>
      <c r="G82" s="130" t="n"/>
      <c r="H82" s="131" t="n"/>
    </row>
    <row r="83" ht="22" customHeight="1">
      <c r="A83" s="132" t="n"/>
      <c r="B83" s="130" t="n"/>
      <c r="C83" s="130" t="n"/>
      <c r="D83" s="131" t="n"/>
      <c r="E83" s="132" t="n"/>
      <c r="F83" s="130" t="n"/>
      <c r="G83" s="130" t="n"/>
      <c r="H83" s="131" t="n"/>
    </row>
    <row r="84" ht="22" customHeight="1">
      <c r="A84" s="133" t="n"/>
      <c r="B84" s="134" t="n"/>
      <c r="C84" s="134" t="n"/>
      <c r="D84" s="135" t="n"/>
      <c r="E84" s="133" t="n"/>
      <c r="F84" s="134" t="n"/>
      <c r="G84" s="134" t="n"/>
      <c r="H84" s="135" t="n"/>
    </row>
  </sheetData>
  <mergeCells count="46">
    <mergeCell ref="B11:D11"/>
    <mergeCell ref="F18:H18"/>
    <mergeCell ref="C15:D15"/>
    <mergeCell ref="B8:D8"/>
    <mergeCell ref="G11:H11"/>
    <mergeCell ref="C14:D14"/>
    <mergeCell ref="F2:H2"/>
    <mergeCell ref="F17:H17"/>
    <mergeCell ref="A1:H1"/>
    <mergeCell ref="G8:H8"/>
    <mergeCell ref="E75:H84"/>
    <mergeCell ref="B10:D10"/>
    <mergeCell ref="G7:H7"/>
    <mergeCell ref="F13:H13"/>
    <mergeCell ref="B16:E16"/>
    <mergeCell ref="B9:D9"/>
    <mergeCell ref="C17:E17"/>
    <mergeCell ref="G6:H6"/>
    <mergeCell ref="A18:B18"/>
    <mergeCell ref="B6:D6"/>
    <mergeCell ref="G3:H3"/>
    <mergeCell ref="A56:H56"/>
    <mergeCell ref="B5:D5"/>
    <mergeCell ref="F14:H14"/>
    <mergeCell ref="C19:E19"/>
    <mergeCell ref="B4:D4"/>
    <mergeCell ref="G5:H5"/>
    <mergeCell ref="C18:E18"/>
    <mergeCell ref="A17:B17"/>
    <mergeCell ref="B7:D7"/>
    <mergeCell ref="A32:H32"/>
    <mergeCell ref="A75:D84"/>
    <mergeCell ref="A22:H22"/>
    <mergeCell ref="G4:H4"/>
    <mergeCell ref="F16:H16"/>
    <mergeCell ref="B3:D3"/>
    <mergeCell ref="F19:H19"/>
    <mergeCell ref="A74:D74"/>
    <mergeCell ref="A12:D12"/>
    <mergeCell ref="A19:B19"/>
    <mergeCell ref="A20:H20"/>
    <mergeCell ref="E74:H74"/>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72">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72">
    <cfRule type="expression" priority="16" dxfId="20">
      <formula>LEFT($H23,3)="N/A"</formula>
    </cfRule>
  </conditionalFormatting>
  <conditionalFormatting sqref="D23:D72">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F12 MH0139 12-Oct-26 KUL-ADL Class BC</oddHeader>
    <oddFooter>&amp;L&amp;"Arial,Bold"&amp;8 F12 MH0139 12-Oct-26 KUL-ADL Class BC&amp;C&amp;"Arial"&amp;8 Printed: ____________________&amp;R&amp;"Arial"&amp;8 F12  Page &amp;P of &amp;N</oddFooter>
    <evenHeader/>
    <evenFooter/>
    <firstHeader/>
    <firstFooter/>
  </headerFooter>
  <rowBreaks count="2" manualBreakCount="2">
    <brk id="20" min="0" max="16383" man="1"/>
    <brk id="33" min="0" max="16383" man="1"/>
  </rowBreaks>
</worksheet>
</file>

<file path=xl/worksheets/sheet21.xml><?xml version="1.0" encoding="utf-8"?>
<worksheet xmlns="http://schemas.openxmlformats.org/spreadsheetml/2006/main">
  <sheetPr>
    <tabColor rgb="001F3864"/>
    <outlinePr summaryBelow="1" summaryRight="1"/>
    <pageSetUpPr fitToPage="1"/>
  </sheetPr>
  <dimension ref="A1:H66"/>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F13  "&amp;Flights!$F$17&amp;"  "&amp;TEXT(Flights!$D$17,"DD-MMM-YY")&amp;" ("&amp;Flights!$E$17&amp;")  "&amp;Flights!$G$17&amp;" → "&amp;Flights!$H$17&amp;"  |  Class "&amp;Flights!$K$17</f>
        <v/>
      </c>
      <c r="B1" s="97" t="n"/>
      <c r="C1" s="97" t="n"/>
      <c r="D1" s="97" t="n"/>
      <c r="E1" s="97" t="n"/>
      <c r="F1" s="97" t="n"/>
      <c r="G1" s="97" t="n"/>
      <c r="H1" s="98" t="n"/>
    </row>
    <row r="2" ht="13" customHeight="1">
      <c r="A2" s="99" t="inlineStr">
        <is>
          <t>Flight / date</t>
        </is>
      </c>
      <c r="B2" s="100">
        <f>Flights!$F$17&amp;"   "&amp;TEXT(Flights!$D$17,"DD-MMM-YY")&amp;" ("&amp;Flights!$E$17&amp;")"</f>
        <v/>
      </c>
      <c r="C2" s="97" t="n"/>
      <c r="D2" s="98" t="n"/>
      <c r="E2" s="101" t="inlineStr">
        <is>
          <t>READINESS STATUS</t>
        </is>
      </c>
      <c r="F2" s="102">
        <f>Flights!$AT$17</f>
        <v/>
      </c>
      <c r="G2" s="97" t="n"/>
      <c r="H2" s="98" t="n"/>
    </row>
    <row r="3" ht="24" customHeight="1">
      <c r="A3" s="99" t="inlineStr">
        <is>
          <t>Sector / class / seat</t>
        </is>
      </c>
      <c r="B3" s="100">
        <f>Flights!$G$17&amp;" → "&amp;Flights!$H$17&amp;"   Class "&amp;Flights!$K$17&amp;"   Seat "&amp;Flights!$O$17</f>
        <v/>
      </c>
      <c r="C3" s="97" t="n"/>
      <c r="D3" s="98" t="n"/>
      <c r="E3" s="101" t="inlineStr">
        <is>
          <t>Checkpoint</t>
        </is>
      </c>
      <c r="F3" s="101" t="inlineStr">
        <is>
          <t>Due (local)</t>
        </is>
      </c>
      <c r="G3" s="103" t="inlineStr">
        <is>
          <t>% complete</t>
        </is>
      </c>
      <c r="H3" s="98" t="n"/>
    </row>
    <row r="4" ht="13" customHeight="1">
      <c r="A4" s="99" t="inlineStr">
        <is>
          <t>STD → STA (local)</t>
        </is>
      </c>
      <c r="B4" s="100">
        <f>IF(ISNUMBER(Flights!$I$17),TEXT(Flights!$I$17,"DD-MMM-YY HH:MM"),"")&amp;" "&amp;Flights!$G$17&amp;"  →  "&amp;IF(ISNUMBER(Flights!$J$17),TEXT(Flights!$J$17,"DD-MMM-YY HH:MM"),"")&amp;" "&amp;Flights!$H$17</f>
        <v/>
      </c>
      <c r="C4" s="97" t="n"/>
      <c r="D4" s="98" t="n"/>
      <c r="E4" s="99" t="inlineStr">
        <is>
          <t>T-7D – 7 days before departure</t>
        </is>
      </c>
      <c r="F4" s="104">
        <f>IF(ISNUMBER(Flights!$AG$17),TEXT(Flights!$AG$17,"DD-MMM-YY HH:MM"),"")&amp;" "&amp;Flights!$V$17</f>
        <v/>
      </c>
      <c r="G4" s="105">
        <f>Flights!$AJ$17</f>
        <v/>
      </c>
      <c r="H4" s="98" t="n"/>
    </row>
    <row r="5" ht="24" customHeight="1">
      <c r="A5" s="99" t="inlineStr">
        <is>
          <t>Fleet / aircraft ref</t>
        </is>
      </c>
      <c r="B5" s="100">
        <f>Flights!$L$17&amp;" – "&amp;Flights!$M$17</f>
        <v/>
      </c>
      <c r="C5" s="97" t="n"/>
      <c r="D5" s="98" t="n"/>
      <c r="E5" s="99" t="inlineStr">
        <is>
          <t>T-24H – production batch sensory</t>
        </is>
      </c>
      <c r="F5" s="104">
        <f>IF(ISNUMBER(Flights!$AH$17),TEXT(Flights!$AH$17,"DD-MMM-YY HH:MM"),"")&amp;" "&amp;Flights!$V$17</f>
        <v/>
      </c>
      <c r="G5" s="105">
        <f>Flights!$AK$17</f>
        <v/>
      </c>
      <c r="H5" s="98" t="n"/>
    </row>
    <row r="6" ht="13" customHeight="1">
      <c r="A6" s="99" t="inlineStr">
        <is>
          <t>Tail / Reg</t>
        </is>
      </c>
      <c r="B6" s="100">
        <f>IF(TRIM(Flights!$N$17)="","__________________",Flights!$N$17)</f>
        <v/>
      </c>
      <c r="C6" s="97" t="n"/>
      <c r="D6" s="98" t="n"/>
      <c r="E6" s="99" t="inlineStr">
        <is>
          <t>T-12H PREP – caterer prep only</t>
        </is>
      </c>
      <c r="F6" s="104">
        <f>IF(ISNUMBER(Flights!$AI$17),TEXT(Flights!$AI$17,"DD-MMM-YY HH:MM"),"")&amp;" "&amp;Flights!$V$17&amp;IF(Flights!$AI$17=Flights!$AH$17,"  (= T-24H due)","")</f>
        <v/>
      </c>
      <c r="G6" s="105">
        <f>Flights!$AL$17</f>
        <v/>
      </c>
      <c r="H6" s="98" t="n"/>
    </row>
    <row r="7" ht="13" customHeight="1">
      <c r="A7" s="99" t="inlineStr">
        <is>
          <t>Service type</t>
        </is>
      </c>
      <c r="B7" s="100">
        <f>Flights!$T$17</f>
        <v/>
      </c>
      <c r="C7" s="97" t="n"/>
      <c r="D7" s="98" t="n"/>
      <c r="E7" s="99" t="inlineStr">
        <is>
          <t>UPLIFT – on-board confirmation</t>
        </is>
      </c>
      <c r="F7" s="104">
        <f>"STD "&amp;IF(ISNUMBER(Flights!$I$17),TEXT(Flights!$I$17,"DD-MMM-YY HH:MM"),"")&amp;" "&amp;Flights!$G$17&amp;" (dep stn)"</f>
        <v/>
      </c>
      <c r="G7" s="105">
        <f>Flights!$AM$17</f>
        <v/>
      </c>
      <c r="H7" s="98" t="n"/>
    </row>
    <row r="8" ht="13" customHeight="1">
      <c r="A8" s="99" t="inlineStr">
        <is>
          <t>Meal uplift stn</t>
        </is>
      </c>
      <c r="B8" s="100">
        <f>Flights!$V$17&amp;"   (reference uplift stns: "&amp;Flights!$U$17&amp;")"</f>
        <v/>
      </c>
      <c r="C8" s="97" t="n"/>
      <c r="D8" s="98" t="n"/>
      <c r="E8" s="99" t="inlineStr">
        <is>
          <t>OVERALL (all checkpoints)</t>
        </is>
      </c>
      <c r="F8" s="106" t="inlineStr">
        <is>
          <t>–</t>
        </is>
      </c>
      <c r="G8" s="105">
        <f>Flights!$AN$17</f>
        <v/>
      </c>
      <c r="H8" s="98" t="n"/>
    </row>
    <row r="9" ht="13" customHeight="1">
      <c r="A9" s="99" t="inlineStr">
        <is>
          <t>Transit / remark</t>
        </is>
      </c>
      <c r="B9" s="100">
        <f>TRIM(Flights!$P$17&amp;"  "&amp;Flights!$Q$17)</f>
        <v/>
      </c>
      <c r="C9" s="97" t="n"/>
      <c r="D9" s="98" t="n"/>
      <c r="E9" s="99" t="inlineStr">
        <is>
          <t>Overdue / discrep. / invalid</t>
        </is>
      </c>
      <c r="F9" s="107">
        <f>Flights!$AP$17</f>
        <v/>
      </c>
      <c r="G9" s="107">
        <f>Flights!$AQ$17</f>
        <v/>
      </c>
      <c r="H9" s="107">
        <f>Flights!$AU$17</f>
        <v/>
      </c>
    </row>
    <row r="10" ht="13" customHeight="1">
      <c r="A10" s="99" t="inlineStr">
        <is>
          <t>Caterer</t>
        </is>
      </c>
      <c r="B10" s="100">
        <f>IF(TRIM(Flights!$X$17)="","__________________",Flights!$X$17)</f>
        <v/>
      </c>
      <c r="C10" s="97" t="n"/>
      <c r="D10" s="98" t="n"/>
      <c r="E10" s="99" t="inlineStr">
        <is>
          <t>Open reqd / clarif. / docs out</t>
        </is>
      </c>
      <c r="F10" s="107">
        <f>Flights!$AO$17</f>
        <v/>
      </c>
      <c r="G10" s="107">
        <f>Flights!$AS$17</f>
        <v/>
      </c>
      <c r="H10" s="107">
        <f>Flights!$AR$17</f>
        <v/>
      </c>
    </row>
    <row r="11" ht="13" customHeight="1">
      <c r="A11" s="99" t="inlineStr">
        <is>
          <t>Flight PIC</t>
        </is>
      </c>
      <c r="B11" s="100">
        <f>IF(TRIM(Flights!$Y$17)="","__________________",Flights!$Y$17)</f>
        <v/>
      </c>
      <c r="C11" s="97" t="n"/>
      <c r="D11" s="98" t="n"/>
      <c r="E11" s="99" t="inlineStr">
        <is>
          <t>Done / in scope | as of UTC</t>
        </is>
      </c>
      <c r="F11" s="107">
        <f>Flights!$AV$17&amp;" / "&amp;Flights!$AW$17</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IF(Documents!$F$17="","",Documents!$F$17)</f>
        <v/>
      </c>
      <c r="C14" s="115">
        <f>IF(Documents!$G$17="","",Documents!$G$17)&amp;IF(ISNUMBER(Documents!$H$17),"  "&amp;TEXT(Documents!$H$17,"DD-MMM-YY"),"")</f>
        <v/>
      </c>
      <c r="D14" s="98" t="n"/>
      <c r="E14" s="116">
        <f>IF(Documents!$J$17="OUTSTANDING","OUTSTANDING – attach before T-7D (due "&amp;IF(ISNUMBER(Flights!$AG$17),TEXT(Flights!$AG$17,"DD-MMM-YY HH:MM"),"")&amp;" "&amp;Flights!$V$17&amp;")",IF(Documents!$J$17="","Status not recorded",Documents!$J$17))</f>
        <v/>
      </c>
      <c r="F14" s="117">
        <f>"Staple behind this sheet as page A1."&amp;IF(Documents!$I$17="",""," Location: "&amp;Documents!$I$17)</f>
        <v/>
      </c>
      <c r="G14" s="97" t="n"/>
      <c r="H14" s="98" t="n"/>
    </row>
    <row r="15" ht="25" customHeight="1">
      <c r="A15" s="99" t="inlineStr">
        <is>
          <t>A2  Menu Checklist</t>
        </is>
      </c>
      <c r="B15" s="114">
        <f>IF(Documents!$K$17="","",Documents!$K$17)</f>
        <v/>
      </c>
      <c r="C15" s="115">
        <f>IF(Documents!$L$17="","",Documents!$L$17)&amp;IF(ISNUMBER(Documents!$M$17),"  "&amp;TEXT(Documents!$M$17,"DD-MMM-YY"),"")</f>
        <v/>
      </c>
      <c r="D15" s="98" t="n"/>
      <c r="E15" s="116">
        <f>IF(Documents!$O$17="OUTSTANDING","OUTSTANDING – attach before T-7D (due "&amp;IF(ISNUMBER(Flights!$AG$17),TEXT(Flights!$AG$17,"DD-MMM-YY HH:MM"),"")&amp;" "&amp;Flights!$V$17&amp;")",IF(Documents!$O$17="","Status not recorded",Documents!$O$17))</f>
        <v/>
      </c>
      <c r="F15" s="117">
        <f>"Staple behind this sheet as page A2."&amp;IF(Documents!$N$17="",""," Location: "&amp;Documents!$N$17)</f>
        <v/>
      </c>
      <c r="G15" s="97" t="n"/>
      <c r="H15" s="98" t="n"/>
    </row>
    <row r="16" ht="33" customHeight="1">
      <c r="A16" s="99" t="inlineStr">
        <is>
          <t>Document notes</t>
        </is>
      </c>
      <c r="B16" s="118">
        <f>IF(Documents!$Q$17="","",Documents!$Q$17)</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"&amp;IF(TRIM(Flights!$Y$17)="","__________________",Flights!$Y$17)</f>
        <v/>
      </c>
      <c r="B18" s="98" t="n"/>
      <c r="C18" s="100">
        <f>"Name: __________________"</f>
        <v/>
      </c>
      <c r="D18" s="97" t="n"/>
      <c r="E18" s="98" t="n"/>
      <c r="F18" s="100">
        <f>"Name: __________________"&amp;"   Station: "&amp;Flights!$V$17</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"&amp;IF(ISNUMBER(Flights!$AG$17),TEXT(Flights!$AG$17,"DD-MMM-YY HH:MM"),"")&amp;" "&amp;Flights!$V$17&amp;" (meal uplift stn)"&amp;" (rows with another due show their own)  |  Complete "&amp;IF(ISNUMBER(Flights!$AJ$17),TEXT(Flights!$AJ$17,"0%"),Flights!$AJ$17)&amp;"  |  10 lines"</f>
        <v/>
      </c>
      <c r="B22" s="97" t="n"/>
      <c r="C22" s="97" t="n"/>
      <c r="D22" s="97" t="n"/>
      <c r="E22" s="97" t="n"/>
      <c r="F22" s="97" t="n"/>
      <c r="G22" s="97" t="n"/>
      <c r="H22" s="98" t="n"/>
    </row>
    <row r="23" ht="81" customHeight="1">
      <c r="A23" s="124">
        <f>Checks!$A$427&amp;CHAR(10)&amp;IF(Checks!$I$427="","",Checks!$I$427&amp;": ")&amp;Checks!$J$427</f>
        <v/>
      </c>
      <c r="B23" s="124">
        <f>Checks!$K$427&amp;IF(Checks!$O$427="","",IF(Checks!$K$427="","",CHAR(10))&amp;"Note: "&amp;Checks!$O$427)</f>
        <v/>
      </c>
      <c r="C23" s="124">
        <f>Checks!$N$427&amp;CHAR(10)&amp;IF(ISNUMBER(Checks!$R$427),TEXT(Checks!$R$427,"DD-MMM-YY HH:MM"),"")&amp;" "&amp;Checks!$P$427</f>
        <v/>
      </c>
      <c r="D23" s="124">
        <f>IF(Checks!$U$427="","",Checks!$U$427)&amp;IF(Checks!$AB$427="","",CHAR(10)&amp;"CA: "&amp;Checks!$AB$427)</f>
        <v/>
      </c>
      <c r="E23" s="124">
        <f>IF(Checks!$V$427="","",Checks!$V$427)&amp;IF(Checks!$AC$427="","",IF(Checks!$V$427="","",CHAR(10))&amp;"N/A just.: "&amp;Checks!$AC$427)&amp;IF(Checks!$W$427="","",CHAR(10)&amp;"Batch: "&amp;Checks!$W$427)&amp;IF(AND(Checks!$X$427="",Checks!$Y$427=""),"",CHAR(10)&amp;"Exp: "&amp;Checks!$X$427&amp;"  /  Act: "&amp;Checks!$Y$427)</f>
        <v/>
      </c>
      <c r="F23" s="124">
        <f>IF(Checks!$Z$427="","","Evidence: "&amp;Checks!$Z$427)&amp;IF(Checks!$AA$427="","",IF(Checks!$Z$427="","",CHAR(10))&amp;"CA: "&amp;Checks!$AA$427)</f>
        <v/>
      </c>
      <c r="G23" s="124">
        <f>IF(ISNUMBER(Checks!$AD$427),TEXT(Checks!$AD$427,"DD-MMM-YY HH:MM")&amp;" "&amp;Checks!$P$427,"")&amp;IF(Checks!$AE$427="","",CHAR(10)&amp;Checks!$AE$427)</f>
        <v/>
      </c>
      <c r="H23" s="125">
        <f>IF(Checks!$AH$427="","",Checks!$AH$427)</f>
        <v/>
      </c>
    </row>
    <row r="24" ht="81" customHeight="1">
      <c r="A24" s="124">
        <f>Checks!$A$428&amp;CHAR(10)&amp;IF(Checks!$I$428="","",Checks!$I$428&amp;": ")&amp;Checks!$J$428</f>
        <v/>
      </c>
      <c r="B24" s="124">
        <f>Checks!$K$428&amp;IF(Checks!$O$428="","",IF(Checks!$K$428="","",CHAR(10))&amp;"Note: "&amp;Checks!$O$428)</f>
        <v/>
      </c>
      <c r="C24" s="124">
        <f>Checks!$N$428&amp;CHAR(10)&amp;IF(ISNUMBER(Checks!$R$428),TEXT(Checks!$R$428,"DD-MMM-YY HH:MM"),"")&amp;" "&amp;Checks!$P$428</f>
        <v/>
      </c>
      <c r="D24" s="124">
        <f>IF(Checks!$U$428="","",Checks!$U$428)&amp;IF(Checks!$AB$428="","",CHAR(10)&amp;"CA: "&amp;Checks!$AB$428)</f>
        <v/>
      </c>
      <c r="E24" s="124">
        <f>IF(Checks!$V$428="","",Checks!$V$428)&amp;IF(Checks!$AC$428="","",IF(Checks!$V$428="","",CHAR(10))&amp;"N/A just.: "&amp;Checks!$AC$428)&amp;IF(Checks!$W$428="","",CHAR(10)&amp;"Batch: "&amp;Checks!$W$428)&amp;IF(AND(Checks!$X$428="",Checks!$Y$428=""),"",CHAR(10)&amp;"Exp: "&amp;Checks!$X$428&amp;"  /  Act: "&amp;Checks!$Y$428)</f>
        <v/>
      </c>
      <c r="F24" s="124">
        <f>IF(Checks!$Z$428="","","Evidence: "&amp;Checks!$Z$428)&amp;IF(Checks!$AA$428="","",IF(Checks!$Z$428="","",CHAR(10))&amp;"CA: "&amp;Checks!$AA$428)</f>
        <v/>
      </c>
      <c r="G24" s="124">
        <f>IF(ISNUMBER(Checks!$AD$428),TEXT(Checks!$AD$428,"DD-MMM-YY HH:MM")&amp;" "&amp;Checks!$P$428,"")&amp;IF(Checks!$AE$428="","",CHAR(10)&amp;Checks!$AE$428)</f>
        <v/>
      </c>
      <c r="H24" s="125">
        <f>IF(Checks!$AH$428="","",Checks!$AH$428)</f>
        <v/>
      </c>
    </row>
    <row r="25" ht="92" customHeight="1">
      <c r="A25" s="124">
        <f>Checks!$A$429&amp;CHAR(10)&amp;IF(Checks!$I$429="","",Checks!$I$429&amp;": ")&amp;Checks!$J$429</f>
        <v/>
      </c>
      <c r="B25" s="124">
        <f>Checks!$K$429&amp;IF(Checks!$O$429="","",IF(Checks!$K$429="","",CHAR(10))&amp;"Note: "&amp;Checks!$O$429)</f>
        <v/>
      </c>
      <c r="C25" s="124">
        <f>Checks!$N$429&amp;CHAR(10)&amp;IF(ISNUMBER(Checks!$R$429),TEXT(Checks!$R$429,"DD-MMM-YY HH:MM"),"")&amp;" "&amp;Checks!$P$429</f>
        <v/>
      </c>
      <c r="D25" s="124">
        <f>IF(Checks!$U$429="","",Checks!$U$429)&amp;IF(Checks!$AB$429="","",CHAR(10)&amp;"CA: "&amp;Checks!$AB$429)</f>
        <v/>
      </c>
      <c r="E25" s="124">
        <f>IF(Checks!$V$429="","",Checks!$V$429)&amp;IF(Checks!$AC$429="","",IF(Checks!$V$429="","",CHAR(10))&amp;"N/A just.: "&amp;Checks!$AC$429)&amp;IF(Checks!$W$429="","",CHAR(10)&amp;"Batch: "&amp;Checks!$W$429)&amp;IF(AND(Checks!$X$429="",Checks!$Y$429=""),"",CHAR(10)&amp;"Exp: "&amp;Checks!$X$429&amp;"  /  Act: "&amp;Checks!$Y$429)</f>
        <v/>
      </c>
      <c r="F25" s="124">
        <f>IF(Checks!$Z$429="","","Evidence: "&amp;Checks!$Z$429)&amp;IF(Checks!$AA$429="","",IF(Checks!$Z$429="","",CHAR(10))&amp;"CA: "&amp;Checks!$AA$429)</f>
        <v/>
      </c>
      <c r="G25" s="124">
        <f>IF(ISNUMBER(Checks!$AD$429),TEXT(Checks!$AD$429,"DD-MMM-YY HH:MM")&amp;" "&amp;Checks!$P$429,"")&amp;IF(Checks!$AE$429="","",CHAR(10)&amp;Checks!$AE$429)</f>
        <v/>
      </c>
      <c r="H25" s="125">
        <f>IF(Checks!$AH$429="","",Checks!$AH$429)</f>
        <v/>
      </c>
    </row>
    <row r="26" ht="81" customHeight="1">
      <c r="A26" s="124">
        <f>Checks!$A$430&amp;CHAR(10)&amp;IF(Checks!$I$430="","",Checks!$I$430&amp;": ")&amp;Checks!$J$430</f>
        <v/>
      </c>
      <c r="B26" s="124">
        <f>Checks!$K$430&amp;IF(Checks!$O$430="","",IF(Checks!$K$430="","",CHAR(10))&amp;"Note: "&amp;Checks!$O$430)</f>
        <v/>
      </c>
      <c r="C26" s="124">
        <f>Checks!$N$430&amp;CHAR(10)&amp;IF(ISNUMBER(Checks!$R$430),TEXT(Checks!$R$430,"DD-MMM-YY HH:MM"),"")&amp;" "&amp;Checks!$P$430</f>
        <v/>
      </c>
      <c r="D26" s="124">
        <f>IF(Checks!$U$430="","",Checks!$U$430)&amp;IF(Checks!$AB$430="","",CHAR(10)&amp;"CA: "&amp;Checks!$AB$430)</f>
        <v/>
      </c>
      <c r="E26" s="124">
        <f>IF(Checks!$V$430="","",Checks!$V$430)&amp;IF(Checks!$AC$430="","",IF(Checks!$V$430="","",CHAR(10))&amp;"N/A just.: "&amp;Checks!$AC$430)&amp;IF(Checks!$W$430="","",CHAR(10)&amp;"Batch: "&amp;Checks!$W$430)&amp;IF(AND(Checks!$X$430="",Checks!$Y$430=""),"",CHAR(10)&amp;"Exp: "&amp;Checks!$X$430&amp;"  /  Act: "&amp;Checks!$Y$430)</f>
        <v/>
      </c>
      <c r="F26" s="124">
        <f>IF(Checks!$Z$430="","","Evidence: "&amp;Checks!$Z$430)&amp;IF(Checks!$AA$430="","",IF(Checks!$Z$430="","",CHAR(10))&amp;"CA: "&amp;Checks!$AA$430)</f>
        <v/>
      </c>
      <c r="G26" s="124">
        <f>IF(ISNUMBER(Checks!$AD$430),TEXT(Checks!$AD$430,"DD-MMM-YY HH:MM")&amp;" "&amp;Checks!$P$430,"")&amp;IF(Checks!$AE$430="","",CHAR(10)&amp;Checks!$AE$430)</f>
        <v/>
      </c>
      <c r="H26" s="125">
        <f>IF(Checks!$AH$430="","",Checks!$AH$430)</f>
        <v/>
      </c>
    </row>
    <row r="27" ht="81" customHeight="1">
      <c r="A27" s="124">
        <f>Checks!$A$431&amp;CHAR(10)&amp;IF(Checks!$I$431="","",Checks!$I$431&amp;": ")&amp;Checks!$J$431</f>
        <v/>
      </c>
      <c r="B27" s="124">
        <f>Checks!$K$431&amp;IF(Checks!$O$431="","",IF(Checks!$K$431="","",CHAR(10))&amp;"Note: "&amp;Checks!$O$431)</f>
        <v/>
      </c>
      <c r="C27" s="124">
        <f>Checks!$N$431&amp;CHAR(10)&amp;IF(ISNUMBER(Checks!$R$431),TEXT(Checks!$R$431,"DD-MMM-YY HH:MM"),"")&amp;" "&amp;Checks!$P$431</f>
        <v/>
      </c>
      <c r="D27" s="124">
        <f>IF(Checks!$U$431="","",Checks!$U$431)&amp;IF(Checks!$AB$431="","",CHAR(10)&amp;"CA: "&amp;Checks!$AB$431)</f>
        <v/>
      </c>
      <c r="E27" s="124">
        <f>IF(Checks!$V$431="","",Checks!$V$431)&amp;IF(Checks!$AC$431="","",IF(Checks!$V$431="","",CHAR(10))&amp;"N/A just.: "&amp;Checks!$AC$431)&amp;IF(Checks!$W$431="","",CHAR(10)&amp;"Batch: "&amp;Checks!$W$431)&amp;IF(AND(Checks!$X$431="",Checks!$Y$431=""),"",CHAR(10)&amp;"Exp: "&amp;Checks!$X$431&amp;"  /  Act: "&amp;Checks!$Y$431)</f>
        <v/>
      </c>
      <c r="F27" s="124">
        <f>IF(Checks!$Z$431="","","Evidence: "&amp;Checks!$Z$431)&amp;IF(Checks!$AA$431="","",IF(Checks!$Z$431="","",CHAR(10))&amp;"CA: "&amp;Checks!$AA$431)</f>
        <v/>
      </c>
      <c r="G27" s="124">
        <f>IF(ISNUMBER(Checks!$AD$431),TEXT(Checks!$AD$431,"DD-MMM-YY HH:MM")&amp;" "&amp;Checks!$P$431,"")&amp;IF(Checks!$AE$431="","",CHAR(10)&amp;Checks!$AE$431)</f>
        <v/>
      </c>
      <c r="H27" s="125">
        <f>IF(Checks!$AH$431="","",Checks!$AH$431)</f>
        <v/>
      </c>
    </row>
    <row r="28" ht="81" customHeight="1">
      <c r="A28" s="124">
        <f>Checks!$A$432&amp;CHAR(10)&amp;IF(Checks!$I$432="","",Checks!$I$432&amp;": ")&amp;Checks!$J$432</f>
        <v/>
      </c>
      <c r="B28" s="124">
        <f>Checks!$K$432&amp;IF(Checks!$O$432="","",IF(Checks!$K$432="","",CHAR(10))&amp;"Note: "&amp;Checks!$O$432)</f>
        <v/>
      </c>
      <c r="C28" s="124">
        <f>Checks!$N$432&amp;CHAR(10)&amp;IF(ISNUMBER(Checks!$R$432),TEXT(Checks!$R$432,"DD-MMM-YY HH:MM"),"")&amp;" "&amp;Checks!$P$432</f>
        <v/>
      </c>
      <c r="D28" s="124">
        <f>IF(Checks!$U$432="","",Checks!$U$432)&amp;IF(Checks!$AB$432="","",CHAR(10)&amp;"CA: "&amp;Checks!$AB$432)</f>
        <v/>
      </c>
      <c r="E28" s="124">
        <f>IF(Checks!$V$432="","",Checks!$V$432)&amp;IF(Checks!$AC$432="","",IF(Checks!$V$432="","",CHAR(10))&amp;"N/A just.: "&amp;Checks!$AC$432)&amp;IF(Checks!$W$432="","",CHAR(10)&amp;"Batch: "&amp;Checks!$W$432)&amp;IF(AND(Checks!$X$432="",Checks!$Y$432=""),"",CHAR(10)&amp;"Exp: "&amp;Checks!$X$432&amp;"  /  Act: "&amp;Checks!$Y$432)</f>
        <v/>
      </c>
      <c r="F28" s="124">
        <f>IF(Checks!$Z$432="","","Evidence: "&amp;Checks!$Z$432)&amp;IF(Checks!$AA$432="","",IF(Checks!$Z$432="","",CHAR(10))&amp;"CA: "&amp;Checks!$AA$432)</f>
        <v/>
      </c>
      <c r="G28" s="124">
        <f>IF(ISNUMBER(Checks!$AD$432),TEXT(Checks!$AD$432,"DD-MMM-YY HH:MM")&amp;" "&amp;Checks!$P$432,"")&amp;IF(Checks!$AE$432="","",CHAR(10)&amp;Checks!$AE$432)</f>
        <v/>
      </c>
      <c r="H28" s="125">
        <f>IF(Checks!$AH$432="","",Checks!$AH$432)</f>
        <v/>
      </c>
    </row>
    <row r="29" ht="81" customHeight="1">
      <c r="A29" s="124">
        <f>Checks!$A$433&amp;CHAR(10)&amp;IF(Checks!$I$433="","",Checks!$I$433&amp;": ")&amp;Checks!$J$433</f>
        <v/>
      </c>
      <c r="B29" s="124">
        <f>Checks!$K$433&amp;IF(Checks!$O$433="","",IF(Checks!$K$433="","",CHAR(10))&amp;"Note: "&amp;Checks!$O$433)</f>
        <v/>
      </c>
      <c r="C29" s="124">
        <f>Checks!$N$433&amp;CHAR(10)&amp;IF(ISNUMBER(Checks!$R$433),TEXT(Checks!$R$433,"DD-MMM-YY HH:MM"),"")&amp;" "&amp;Checks!$P$433</f>
        <v/>
      </c>
      <c r="D29" s="124">
        <f>IF(Checks!$U$433="","",Checks!$U$433)&amp;IF(Checks!$AB$433="","",CHAR(10)&amp;"CA: "&amp;Checks!$AB$433)</f>
        <v/>
      </c>
      <c r="E29" s="124">
        <f>IF(Checks!$V$433="","",Checks!$V$433)&amp;IF(Checks!$AC$433="","",IF(Checks!$V$433="","",CHAR(10))&amp;"N/A just.: "&amp;Checks!$AC$433)&amp;IF(Checks!$W$433="","",CHAR(10)&amp;"Batch: "&amp;Checks!$W$433)&amp;IF(AND(Checks!$X$433="",Checks!$Y$433=""),"",CHAR(10)&amp;"Exp: "&amp;Checks!$X$433&amp;"  /  Act: "&amp;Checks!$Y$433)</f>
        <v/>
      </c>
      <c r="F29" s="124">
        <f>IF(Checks!$Z$433="","","Evidence: "&amp;Checks!$Z$433)&amp;IF(Checks!$AA$433="","",IF(Checks!$Z$433="","",CHAR(10))&amp;"CA: "&amp;Checks!$AA$433)</f>
        <v/>
      </c>
      <c r="G29" s="124">
        <f>IF(ISNUMBER(Checks!$AD$433),TEXT(Checks!$AD$433,"DD-MMM-YY HH:MM")&amp;" "&amp;Checks!$P$433,"")&amp;IF(Checks!$AE$433="","",CHAR(10)&amp;Checks!$AE$433)</f>
        <v/>
      </c>
      <c r="H29" s="125">
        <f>IF(Checks!$AH$433="","",Checks!$AH$433)</f>
        <v/>
      </c>
    </row>
    <row r="30" ht="81" customHeight="1">
      <c r="A30" s="124">
        <f>Checks!$A$434&amp;CHAR(10)&amp;IF(Checks!$I$434="","",Checks!$I$434&amp;": ")&amp;Checks!$J$434</f>
        <v/>
      </c>
      <c r="B30" s="124">
        <f>Checks!$K$434&amp;IF(Checks!$O$434="","",IF(Checks!$K$434="","",CHAR(10))&amp;"Note: "&amp;Checks!$O$434)</f>
        <v/>
      </c>
      <c r="C30" s="124">
        <f>Checks!$N$434&amp;CHAR(10)&amp;IF(ISNUMBER(Checks!$R$434),TEXT(Checks!$R$434,"DD-MMM-YY HH:MM"),"")&amp;" "&amp;Checks!$P$434</f>
        <v/>
      </c>
      <c r="D30" s="124">
        <f>IF(Checks!$U$434="","",Checks!$U$434)&amp;IF(Checks!$AB$434="","",CHAR(10)&amp;"CA: "&amp;Checks!$AB$434)</f>
        <v/>
      </c>
      <c r="E30" s="124">
        <f>IF(Checks!$V$434="","",Checks!$V$434)&amp;IF(Checks!$AC$434="","",IF(Checks!$V$434="","",CHAR(10))&amp;"N/A just.: "&amp;Checks!$AC$434)&amp;IF(Checks!$W$434="","",CHAR(10)&amp;"Batch: "&amp;Checks!$W$434)&amp;IF(AND(Checks!$X$434="",Checks!$Y$434=""),"",CHAR(10)&amp;"Exp: "&amp;Checks!$X$434&amp;"  /  Act: "&amp;Checks!$Y$434)</f>
        <v/>
      </c>
      <c r="F30" s="124">
        <f>IF(Checks!$Z$434="","","Evidence: "&amp;Checks!$Z$434)&amp;IF(Checks!$AA$434="","",IF(Checks!$Z$434="","",CHAR(10))&amp;"CA: "&amp;Checks!$AA$434)</f>
        <v/>
      </c>
      <c r="G30" s="124">
        <f>IF(ISNUMBER(Checks!$AD$434),TEXT(Checks!$AD$434,"DD-MMM-YY HH:MM")&amp;" "&amp;Checks!$P$434,"")&amp;IF(Checks!$AE$434="","",CHAR(10)&amp;Checks!$AE$434)</f>
        <v/>
      </c>
      <c r="H30" s="125">
        <f>IF(Checks!$AH$434="","",Checks!$AH$434)</f>
        <v/>
      </c>
    </row>
    <row r="31" ht="81" customHeight="1">
      <c r="A31" s="124">
        <f>Checks!$A$435&amp;CHAR(10)&amp;IF(Checks!$I$435="","",Checks!$I$435&amp;": ")&amp;Checks!$J$435</f>
        <v/>
      </c>
      <c r="B31" s="124">
        <f>Checks!$K$435&amp;IF(Checks!$O$435="","",IF(Checks!$K$435="","",CHAR(10))&amp;"Note: "&amp;Checks!$O$435)</f>
        <v/>
      </c>
      <c r="C31" s="124">
        <f>Checks!$N$435&amp;CHAR(10)&amp;IF(ISNUMBER(Checks!$R$435),TEXT(Checks!$R$435,"DD-MMM-YY HH:MM"),"")&amp;" "&amp;Checks!$P$435</f>
        <v/>
      </c>
      <c r="D31" s="124">
        <f>IF(Checks!$U$435="","",Checks!$U$435)&amp;IF(Checks!$AB$435="","",CHAR(10)&amp;"CA: "&amp;Checks!$AB$435)</f>
        <v/>
      </c>
      <c r="E31" s="124">
        <f>IF(Checks!$V$435="","",Checks!$V$435)&amp;IF(Checks!$AC$435="","",IF(Checks!$V$435="","",CHAR(10))&amp;"N/A just.: "&amp;Checks!$AC$435)&amp;IF(Checks!$W$435="","",CHAR(10)&amp;"Batch: "&amp;Checks!$W$435)&amp;IF(AND(Checks!$X$435="",Checks!$Y$435=""),"",CHAR(10)&amp;"Exp: "&amp;Checks!$X$435&amp;"  /  Act: "&amp;Checks!$Y$435)</f>
        <v/>
      </c>
      <c r="F31" s="124">
        <f>IF(Checks!$Z$435="","","Evidence: "&amp;Checks!$Z$435)&amp;IF(Checks!$AA$435="","",IF(Checks!$Z$435="","",CHAR(10))&amp;"CA: "&amp;Checks!$AA$435)</f>
        <v/>
      </c>
      <c r="G31" s="124">
        <f>IF(ISNUMBER(Checks!$AD$435),TEXT(Checks!$AD$435,"DD-MMM-YY HH:MM")&amp;" "&amp;Checks!$P$435,"")&amp;IF(Checks!$AE$435="","",CHAR(10)&amp;Checks!$AE$435)</f>
        <v/>
      </c>
      <c r="H31" s="125">
        <f>IF(Checks!$AH$435="","",Checks!$AH$435)</f>
        <v/>
      </c>
    </row>
    <row r="32" ht="180" customHeight="1">
      <c r="A32" s="124">
        <f>Checks!$A$436&amp;CHAR(10)&amp;IF(Checks!$I$436="","",Checks!$I$436&amp;": ")&amp;Checks!$J$436</f>
        <v/>
      </c>
      <c r="B32" s="124">
        <f>Checks!$K$436&amp;IF(Checks!$O$436="","",IF(Checks!$K$436="","",CHAR(10))&amp;"Note: "&amp;Checks!$O$436)</f>
        <v/>
      </c>
      <c r="C32" s="124">
        <f>Checks!$N$436&amp;CHAR(10)&amp;IF(ISNUMBER(Checks!$R$436),TEXT(Checks!$R$436,"DD-MMM-YY HH:MM"),"")&amp;" "&amp;Checks!$P$436</f>
        <v/>
      </c>
      <c r="D32" s="124">
        <f>IF(Checks!$U$436="","",Checks!$U$436)&amp;IF(Checks!$AB$436="","",CHAR(10)&amp;"CA: "&amp;Checks!$AB$436)</f>
        <v/>
      </c>
      <c r="E32" s="124">
        <f>IF(Checks!$V$436="","",Checks!$V$436)&amp;IF(Checks!$AC$436="","",IF(Checks!$V$436="","",CHAR(10))&amp;"N/A just.: "&amp;Checks!$AC$436)&amp;IF(Checks!$W$436="","",CHAR(10)&amp;"Batch: "&amp;Checks!$W$436)&amp;IF(AND(Checks!$X$436="",Checks!$Y$436=""),"",CHAR(10)&amp;"Exp: "&amp;Checks!$X$436&amp;"  /  Act: "&amp;Checks!$Y$436)</f>
        <v/>
      </c>
      <c r="F32" s="124">
        <f>IF(Checks!$Z$436="","","Evidence: "&amp;Checks!$Z$436)&amp;IF(Checks!$AA$436="","",IF(Checks!$Z$436="","",CHAR(10))&amp;"CA: "&amp;Checks!$AA$436)</f>
        <v/>
      </c>
      <c r="G32" s="124">
        <f>IF(ISNUMBER(Checks!$AD$436),TEXT(Checks!$AD$436,"DD-MMM-YY HH:MM")&amp;" "&amp;Checks!$P$436,"")&amp;IF(Checks!$AE$436="","",CHAR(10)&amp;Checks!$AE$436)</f>
        <v/>
      </c>
      <c r="H32" s="125">
        <f>IF(Checks!$AH$436="","",Checks!$AH$436)</f>
        <v/>
      </c>
    </row>
    <row r="33" ht="26" customHeight="1">
      <c r="A33" s="123">
        <f>"T-24H — Production batch sensory  |  Due "&amp;IF(ISNUMBER(Flights!$AH$17),TEXT(Flights!$AH$17,"DD-MMM-YY HH:MM"),"")&amp;" "&amp;Flights!$V$17&amp;" (meal uplift stn)"&amp;" (rows with another due show their own)  |  Complete "&amp;IF(ISNUMBER(Flights!$AK$17),TEXT(Flights!$AK$17,"0%"),Flights!$AK$17)&amp;"  |  1 lines"</f>
        <v/>
      </c>
      <c r="B33" s="97" t="n"/>
      <c r="C33" s="97" t="n"/>
      <c r="D33" s="97" t="n"/>
      <c r="E33" s="97" t="n"/>
      <c r="F33" s="97" t="n"/>
      <c r="G33" s="97" t="n"/>
      <c r="H33" s="98" t="n"/>
    </row>
    <row r="34" ht="81" customHeight="1">
      <c r="A34" s="124">
        <f>Checks!$A$437&amp;CHAR(10)&amp;IF(Checks!$I$437="","",Checks!$I$437&amp;": ")&amp;Checks!$J$437</f>
        <v/>
      </c>
      <c r="B34" s="124">
        <f>Checks!$K$437&amp;IF(Checks!$O$437="","",IF(Checks!$K$437="","",CHAR(10))&amp;"Note: "&amp;Checks!$O$437)</f>
        <v/>
      </c>
      <c r="C34" s="124">
        <f>Checks!$N$437&amp;CHAR(10)&amp;IF(ISNUMBER(Checks!$R$437),TEXT(Checks!$R$437,"DD-MMM-YY HH:MM"),"")&amp;" "&amp;Checks!$P$437</f>
        <v/>
      </c>
      <c r="D34" s="124">
        <f>IF(Checks!$U$437="","",Checks!$U$437)&amp;IF(Checks!$AB$437="","",CHAR(10)&amp;"CA: "&amp;Checks!$AB$437)</f>
        <v/>
      </c>
      <c r="E34" s="124">
        <f>IF(Checks!$V$437="","",Checks!$V$437)&amp;IF(Checks!$AC$437="","",IF(Checks!$V$437="","",CHAR(10))&amp;"N/A just.: "&amp;Checks!$AC$437)&amp;IF(Checks!$W$437="","",CHAR(10)&amp;"Batch: "&amp;Checks!$W$437)&amp;IF(AND(Checks!$X$437="",Checks!$Y$437=""),"",CHAR(10)&amp;"Exp: "&amp;Checks!$X$437&amp;"  /  Act: "&amp;Checks!$Y$437)</f>
        <v/>
      </c>
      <c r="F34" s="124">
        <f>IF(Checks!$Z$437="","","Evidence: "&amp;Checks!$Z$437)&amp;IF(Checks!$AA$437="","",IF(Checks!$Z$437="","",CHAR(10))&amp;"CA: "&amp;Checks!$AA$437)</f>
        <v/>
      </c>
      <c r="G34" s="124">
        <f>IF(ISNUMBER(Checks!$AD$437),TEXT(Checks!$AD$437,"DD-MMM-YY HH:MM")&amp;" "&amp;Checks!$P$437,"")&amp;IF(Checks!$AE$437="","",CHAR(10)&amp;Checks!$AE$437)</f>
        <v/>
      </c>
      <c r="H34" s="125">
        <f>IF(Checks!$AH$437="","",Checks!$AH$437)</f>
        <v/>
      </c>
    </row>
    <row r="35" ht="26" customHeight="1">
      <c r="A35" s="123">
        <f>"T-12H PREP — Preparation check at caterer (does NOT confirm loading)  |  Due "&amp;IF(ISNUMBER(Flights!$AI$17),TEXT(Flights!$AI$17,"DD-MMM-YY HH:MM"),"")&amp;" "&amp;Flights!$V$17&amp;" (meal uplift stn)"&amp;" (rows with another due show their own)  |  Complete "&amp;IF(ISNUMBER(Flights!$AL$17),TEXT(Flights!$AL$17,"0%"),Flights!$AL$17)&amp;"  |  11 lines"</f>
        <v/>
      </c>
      <c r="B35" s="97" t="n"/>
      <c r="C35" s="97" t="n"/>
      <c r="D35" s="97" t="n"/>
      <c r="E35" s="97" t="n"/>
      <c r="F35" s="97" t="n"/>
      <c r="G35" s="97" t="n"/>
      <c r="H35" s="98" t="n"/>
    </row>
    <row r="36" ht="81" customHeight="1">
      <c r="A36" s="124">
        <f>Checks!$A$438&amp;CHAR(10)&amp;IF(Checks!$I$438="","",Checks!$I$438&amp;": ")&amp;Checks!$J$438</f>
        <v/>
      </c>
      <c r="B36" s="124">
        <f>Checks!$K$438&amp;IF(Checks!$O$438="","",IF(Checks!$K$438="","",CHAR(10))&amp;"Note: "&amp;Checks!$O$438)</f>
        <v/>
      </c>
      <c r="C36" s="124">
        <f>Checks!$N$438&amp;CHAR(10)&amp;IF(ISNUMBER(Checks!$R$438),TEXT(Checks!$R$438,"DD-MMM-YY HH:MM"),"")&amp;" "&amp;Checks!$P$438</f>
        <v/>
      </c>
      <c r="D36" s="124">
        <f>IF(Checks!$U$438="","",Checks!$U$438)&amp;IF(Checks!$AB$438="","",CHAR(10)&amp;"CA: "&amp;Checks!$AB$438)</f>
        <v/>
      </c>
      <c r="E36" s="124">
        <f>IF(Checks!$V$438="","",Checks!$V$438)&amp;IF(Checks!$AC$438="","",IF(Checks!$V$438="","",CHAR(10))&amp;"N/A just.: "&amp;Checks!$AC$438)&amp;IF(Checks!$W$438="","",CHAR(10)&amp;"Batch: "&amp;Checks!$W$438)&amp;IF(AND(Checks!$X$438="",Checks!$Y$438=""),"",CHAR(10)&amp;"Exp: "&amp;Checks!$X$438&amp;"  /  Act: "&amp;Checks!$Y$438)</f>
        <v/>
      </c>
      <c r="F36" s="124">
        <f>IF(Checks!$Z$438="","","Evidence: "&amp;Checks!$Z$438)&amp;IF(Checks!$AA$438="","",IF(Checks!$Z$438="","",CHAR(10))&amp;"CA: "&amp;Checks!$AA$438)</f>
        <v/>
      </c>
      <c r="G36" s="124">
        <f>IF(ISNUMBER(Checks!$AD$438),TEXT(Checks!$AD$438,"DD-MMM-YY HH:MM")&amp;" "&amp;Checks!$P$438,"")&amp;IF(Checks!$AE$438="","",CHAR(10)&amp;Checks!$AE$438)</f>
        <v/>
      </c>
      <c r="H36" s="125">
        <f>IF(Checks!$AH$438="","",Checks!$AH$438)</f>
        <v/>
      </c>
    </row>
    <row r="37" ht="81" customHeight="1">
      <c r="A37" s="124">
        <f>Checks!$A$439&amp;CHAR(10)&amp;IF(Checks!$I$439="","",Checks!$I$439&amp;": ")&amp;Checks!$J$439</f>
        <v/>
      </c>
      <c r="B37" s="124">
        <f>Checks!$K$439&amp;IF(Checks!$O$439="","",IF(Checks!$K$439="","",CHAR(10))&amp;"Note: "&amp;Checks!$O$439)</f>
        <v/>
      </c>
      <c r="C37" s="124">
        <f>Checks!$N$439&amp;CHAR(10)&amp;IF(ISNUMBER(Checks!$R$439),TEXT(Checks!$R$439,"DD-MMM-YY HH:MM"),"")&amp;" "&amp;Checks!$P$439</f>
        <v/>
      </c>
      <c r="D37" s="124">
        <f>IF(Checks!$U$439="","",Checks!$U$439)&amp;IF(Checks!$AB$439="","",CHAR(10)&amp;"CA: "&amp;Checks!$AB$439)</f>
        <v/>
      </c>
      <c r="E37" s="124">
        <f>IF(Checks!$V$439="","",Checks!$V$439)&amp;IF(Checks!$AC$439="","",IF(Checks!$V$439="","",CHAR(10))&amp;"N/A just.: "&amp;Checks!$AC$439)&amp;IF(Checks!$W$439="","",CHAR(10)&amp;"Batch: "&amp;Checks!$W$439)&amp;IF(AND(Checks!$X$439="",Checks!$Y$439=""),"",CHAR(10)&amp;"Exp: "&amp;Checks!$X$439&amp;"  /  Act: "&amp;Checks!$Y$439)</f>
        <v/>
      </c>
      <c r="F37" s="124">
        <f>IF(Checks!$Z$439="","","Evidence: "&amp;Checks!$Z$439)&amp;IF(Checks!$AA$439="","",IF(Checks!$Z$439="","",CHAR(10))&amp;"CA: "&amp;Checks!$AA$439)</f>
        <v/>
      </c>
      <c r="G37" s="124">
        <f>IF(ISNUMBER(Checks!$AD$439),TEXT(Checks!$AD$439,"DD-MMM-YY HH:MM")&amp;" "&amp;Checks!$P$439,"")&amp;IF(Checks!$AE$439="","",CHAR(10)&amp;Checks!$AE$439)</f>
        <v/>
      </c>
      <c r="H37" s="125">
        <f>IF(Checks!$AH$439="","",Checks!$AH$439)</f>
        <v/>
      </c>
    </row>
    <row r="38" ht="81" customHeight="1">
      <c r="A38" s="124">
        <f>Checks!$A$440&amp;CHAR(10)&amp;IF(Checks!$I$440="","",Checks!$I$440&amp;": ")&amp;Checks!$J$440</f>
        <v/>
      </c>
      <c r="B38" s="124">
        <f>Checks!$K$440&amp;IF(Checks!$O$440="","",IF(Checks!$K$440="","",CHAR(10))&amp;"Note: "&amp;Checks!$O$440)</f>
        <v/>
      </c>
      <c r="C38" s="124">
        <f>Checks!$N$440&amp;CHAR(10)&amp;IF(ISNUMBER(Checks!$R$440),TEXT(Checks!$R$440,"DD-MMM-YY HH:MM"),"")&amp;" "&amp;Checks!$P$440</f>
        <v/>
      </c>
      <c r="D38" s="124">
        <f>IF(Checks!$U$440="","",Checks!$U$440)&amp;IF(Checks!$AB$440="","",CHAR(10)&amp;"CA: "&amp;Checks!$AB$440)</f>
        <v/>
      </c>
      <c r="E38" s="124">
        <f>IF(Checks!$V$440="","",Checks!$V$440)&amp;IF(Checks!$AC$440="","",IF(Checks!$V$440="","",CHAR(10))&amp;"N/A just.: "&amp;Checks!$AC$440)&amp;IF(Checks!$W$440="","",CHAR(10)&amp;"Batch: "&amp;Checks!$W$440)&amp;IF(AND(Checks!$X$440="",Checks!$Y$440=""),"",CHAR(10)&amp;"Exp: "&amp;Checks!$X$440&amp;"  /  Act: "&amp;Checks!$Y$440)</f>
        <v/>
      </c>
      <c r="F38" s="124">
        <f>IF(Checks!$Z$440="","","Evidence: "&amp;Checks!$Z$440)&amp;IF(Checks!$AA$440="","",IF(Checks!$Z$440="","",CHAR(10))&amp;"CA: "&amp;Checks!$AA$440)</f>
        <v/>
      </c>
      <c r="G38" s="124">
        <f>IF(ISNUMBER(Checks!$AD$440),TEXT(Checks!$AD$440,"DD-MMM-YY HH:MM")&amp;" "&amp;Checks!$P$440,"")&amp;IF(Checks!$AE$440="","",CHAR(10)&amp;Checks!$AE$440)</f>
        <v/>
      </c>
      <c r="H38" s="125">
        <f>IF(Checks!$AH$440="","",Checks!$AH$440)</f>
        <v/>
      </c>
    </row>
    <row r="39" ht="81" customHeight="1">
      <c r="A39" s="124">
        <f>Checks!$A$441&amp;CHAR(10)&amp;IF(Checks!$I$441="","",Checks!$I$441&amp;": ")&amp;Checks!$J$441</f>
        <v/>
      </c>
      <c r="B39" s="124">
        <f>Checks!$K$441&amp;IF(Checks!$O$441="","",IF(Checks!$K$441="","",CHAR(10))&amp;"Note: "&amp;Checks!$O$441)</f>
        <v/>
      </c>
      <c r="C39" s="124">
        <f>Checks!$N$441&amp;CHAR(10)&amp;IF(ISNUMBER(Checks!$R$441),TEXT(Checks!$R$441,"DD-MMM-YY HH:MM"),"")&amp;" "&amp;Checks!$P$441</f>
        <v/>
      </c>
      <c r="D39" s="124">
        <f>IF(Checks!$U$441="","",Checks!$U$441)&amp;IF(Checks!$AB$441="","",CHAR(10)&amp;"CA: "&amp;Checks!$AB$441)</f>
        <v/>
      </c>
      <c r="E39" s="124">
        <f>IF(Checks!$V$441="","",Checks!$V$441)&amp;IF(Checks!$AC$441="","",IF(Checks!$V$441="","",CHAR(10))&amp;"N/A just.: "&amp;Checks!$AC$441)&amp;IF(Checks!$W$441="","",CHAR(10)&amp;"Batch: "&amp;Checks!$W$441)&amp;IF(AND(Checks!$X$441="",Checks!$Y$441=""),"",CHAR(10)&amp;"Exp: "&amp;Checks!$X$441&amp;"  /  Act: "&amp;Checks!$Y$441)</f>
        <v/>
      </c>
      <c r="F39" s="124">
        <f>IF(Checks!$Z$441="","","Evidence: "&amp;Checks!$Z$441)&amp;IF(Checks!$AA$441="","",IF(Checks!$Z$441="","",CHAR(10))&amp;"CA: "&amp;Checks!$AA$441)</f>
        <v/>
      </c>
      <c r="G39" s="124">
        <f>IF(ISNUMBER(Checks!$AD$441),TEXT(Checks!$AD$441,"DD-MMM-YY HH:MM")&amp;" "&amp;Checks!$P$441,"")&amp;IF(Checks!$AE$441="","",CHAR(10)&amp;Checks!$AE$441)</f>
        <v/>
      </c>
      <c r="H39" s="125">
        <f>IF(Checks!$AH$441="","",Checks!$AH$441)</f>
        <v/>
      </c>
    </row>
    <row r="40" ht="81" customHeight="1">
      <c r="A40" s="124">
        <f>Checks!$A$442&amp;CHAR(10)&amp;IF(Checks!$I$442="","",Checks!$I$442&amp;": ")&amp;Checks!$J$442</f>
        <v/>
      </c>
      <c r="B40" s="124">
        <f>Checks!$K$442&amp;IF(Checks!$O$442="","",IF(Checks!$K$442="","",CHAR(10))&amp;"Note: "&amp;Checks!$O$442)</f>
        <v/>
      </c>
      <c r="C40" s="124">
        <f>Checks!$N$442&amp;CHAR(10)&amp;IF(ISNUMBER(Checks!$R$442),TEXT(Checks!$R$442,"DD-MMM-YY HH:MM"),"")&amp;" "&amp;Checks!$P$442</f>
        <v/>
      </c>
      <c r="D40" s="124">
        <f>IF(Checks!$U$442="","",Checks!$U$442)&amp;IF(Checks!$AB$442="","",CHAR(10)&amp;"CA: "&amp;Checks!$AB$442)</f>
        <v/>
      </c>
      <c r="E40" s="124">
        <f>IF(Checks!$V$442="","",Checks!$V$442)&amp;IF(Checks!$AC$442="","",IF(Checks!$V$442="","",CHAR(10))&amp;"N/A just.: "&amp;Checks!$AC$442)&amp;IF(Checks!$W$442="","",CHAR(10)&amp;"Batch: "&amp;Checks!$W$442)&amp;IF(AND(Checks!$X$442="",Checks!$Y$442=""),"",CHAR(10)&amp;"Exp: "&amp;Checks!$X$442&amp;"  /  Act: "&amp;Checks!$Y$442)</f>
        <v/>
      </c>
      <c r="F40" s="124">
        <f>IF(Checks!$Z$442="","","Evidence: "&amp;Checks!$Z$442)&amp;IF(Checks!$AA$442="","",IF(Checks!$Z$442="","",CHAR(10))&amp;"CA: "&amp;Checks!$AA$442)</f>
        <v/>
      </c>
      <c r="G40" s="124">
        <f>IF(ISNUMBER(Checks!$AD$442),TEXT(Checks!$AD$442,"DD-MMM-YY HH:MM")&amp;" "&amp;Checks!$P$442,"")&amp;IF(Checks!$AE$442="","",CHAR(10)&amp;Checks!$AE$442)</f>
        <v/>
      </c>
      <c r="H40" s="125">
        <f>IF(Checks!$AH$442="","",Checks!$AH$442)</f>
        <v/>
      </c>
    </row>
    <row r="41" ht="169" customHeight="1">
      <c r="A41" s="124">
        <f>Checks!$A$443&amp;CHAR(10)&amp;IF(Checks!$I$443="","",Checks!$I$443&amp;": ")&amp;Checks!$J$443</f>
        <v/>
      </c>
      <c r="B41" s="124">
        <f>SUBSTITUTE(Checks!$K$443&amp;IF(Checks!$O$443="","",IF(Checks!$K$443="","",CHAR(10))&amp;"Note: "&amp;Checks!$O$443),"AIRCRAFT TYPE!","Ref: AIRCRAFT TYPE!")</f>
        <v/>
      </c>
      <c r="C41" s="124">
        <f>Checks!$N$443&amp;CHAR(10)&amp;IF(ISNUMBER(Checks!$R$443),TEXT(Checks!$R$443,"DD-MMM-YY HH:MM"),"")&amp;" "&amp;Checks!$P$443</f>
        <v/>
      </c>
      <c r="D41" s="124">
        <f>IF(Checks!$U$443="","",Checks!$U$443)&amp;IF(Checks!$AB$443="","",CHAR(10)&amp;"CA: "&amp;Checks!$AB$443)</f>
        <v/>
      </c>
      <c r="E41" s="124">
        <f>IF(Checks!$V$443="","",Checks!$V$443)&amp;IF(Checks!$AC$443="","",IF(Checks!$V$443="","",CHAR(10))&amp;"N/A just.: "&amp;Checks!$AC$443)&amp;IF(Checks!$W$443="","",CHAR(10)&amp;"Batch: "&amp;Checks!$W$443)&amp;IF(AND(Checks!$X$443="",Checks!$Y$443=""),"",CHAR(10)&amp;"Exp: "&amp;Checks!$X$443&amp;"  /  Act: "&amp;Checks!$Y$443)</f>
        <v/>
      </c>
      <c r="F41" s="124">
        <f>IF(Checks!$Z$443="","","Evidence: "&amp;Checks!$Z$443)&amp;IF(Checks!$AA$443="","",IF(Checks!$Z$443="","",CHAR(10))&amp;"CA: "&amp;Checks!$AA$443)</f>
        <v/>
      </c>
      <c r="G41" s="124">
        <f>IF(ISNUMBER(Checks!$AD$443),TEXT(Checks!$AD$443,"DD-MMM-YY HH:MM")&amp;" "&amp;Checks!$P$443,"")&amp;IF(Checks!$AE$443="","",CHAR(10)&amp;Checks!$AE$443)</f>
        <v/>
      </c>
      <c r="H41" s="125">
        <f>IF(Checks!$AH$443="","",Checks!$AH$443)</f>
        <v/>
      </c>
    </row>
    <row r="42" ht="81" customHeight="1">
      <c r="A42" s="124">
        <f>Checks!$A$444&amp;CHAR(10)&amp;IF(Checks!$I$444="","",Checks!$I$444&amp;": ")&amp;Checks!$J$444</f>
        <v/>
      </c>
      <c r="B42" s="124">
        <f>Checks!$K$444&amp;IF(Checks!$O$444="","",IF(Checks!$K$444="","",CHAR(10))&amp;"Note: "&amp;Checks!$O$444)</f>
        <v/>
      </c>
      <c r="C42" s="124">
        <f>Checks!$N$444&amp;CHAR(10)&amp;IF(ISNUMBER(Checks!$R$444),TEXT(Checks!$R$444,"DD-MMM-YY HH:MM"),"")&amp;" "&amp;Checks!$P$444</f>
        <v/>
      </c>
      <c r="D42" s="124">
        <f>IF(Checks!$U$444="","",Checks!$U$444)&amp;IF(Checks!$AB$444="","",CHAR(10)&amp;"CA: "&amp;Checks!$AB$444)</f>
        <v/>
      </c>
      <c r="E42" s="124">
        <f>IF(Checks!$V$444="","",Checks!$V$444)&amp;IF(Checks!$AC$444="","",IF(Checks!$V$444="","",CHAR(10))&amp;"N/A just.: "&amp;Checks!$AC$444)&amp;IF(Checks!$W$444="","",CHAR(10)&amp;"Batch: "&amp;Checks!$W$444)&amp;IF(AND(Checks!$X$444="",Checks!$Y$444=""),"",CHAR(10)&amp;"Exp: "&amp;Checks!$X$444&amp;"  /  Act: "&amp;Checks!$Y$444)</f>
        <v/>
      </c>
      <c r="F42" s="124">
        <f>IF(Checks!$Z$444="","","Evidence: "&amp;Checks!$Z$444)&amp;IF(Checks!$AA$444="","",IF(Checks!$Z$444="","",CHAR(10))&amp;"CA: "&amp;Checks!$AA$444)</f>
        <v/>
      </c>
      <c r="G42" s="124">
        <f>IF(ISNUMBER(Checks!$AD$444),TEXT(Checks!$AD$444,"DD-MMM-YY HH:MM")&amp;" "&amp;Checks!$P$444,"")&amp;IF(Checks!$AE$444="","",CHAR(10)&amp;Checks!$AE$444)</f>
        <v/>
      </c>
      <c r="H42" s="125">
        <f>IF(Checks!$AH$444="","",Checks!$AH$444)</f>
        <v/>
      </c>
    </row>
    <row r="43" ht="180" customHeight="1">
      <c r="A43" s="124">
        <f>Checks!$A$445&amp;CHAR(10)&amp;IF(Checks!$I$445="","",Checks!$I$445&amp;": ")&amp;Checks!$J$445</f>
        <v/>
      </c>
      <c r="B43" s="124">
        <f>Checks!$K$445&amp;IF(Checks!$O$445="","",IF(Checks!$K$445="","",CHAR(10))&amp;"Note: "&amp;Checks!$O$445)</f>
        <v/>
      </c>
      <c r="C43" s="124">
        <f>Checks!$N$445&amp;CHAR(10)&amp;IF(ISNUMBER(Checks!$R$445),TEXT(Checks!$R$445,"DD-MMM-YY HH:MM"),"")&amp;" "&amp;Checks!$P$445</f>
        <v/>
      </c>
      <c r="D43" s="124">
        <f>IF(Checks!$U$445="","",Checks!$U$445)&amp;IF(Checks!$AB$445="","",CHAR(10)&amp;"CA: "&amp;Checks!$AB$445)</f>
        <v/>
      </c>
      <c r="E43" s="124">
        <f>IF(Checks!$V$445="","",Checks!$V$445)&amp;IF(Checks!$AC$445="","",IF(Checks!$V$445="","",CHAR(10))&amp;"N/A just.: "&amp;Checks!$AC$445)&amp;IF(Checks!$W$445="","",CHAR(10)&amp;"Batch: "&amp;Checks!$W$445)&amp;IF(AND(Checks!$X$445="",Checks!$Y$445=""),"",CHAR(10)&amp;"Exp: "&amp;Checks!$X$445&amp;"  /  Act: "&amp;Checks!$Y$445)</f>
        <v/>
      </c>
      <c r="F43" s="124">
        <f>IF(Checks!$Z$445="","","Evidence: "&amp;Checks!$Z$445)&amp;IF(Checks!$AA$445="","",IF(Checks!$Z$445="","",CHAR(10))&amp;"CA: "&amp;Checks!$AA$445)</f>
        <v/>
      </c>
      <c r="G43" s="124">
        <f>IF(ISNUMBER(Checks!$AD$445),TEXT(Checks!$AD$445,"DD-MMM-YY HH:MM")&amp;" "&amp;Checks!$P$445,"")&amp;IF(Checks!$AE$445="","",CHAR(10)&amp;Checks!$AE$445)</f>
        <v/>
      </c>
      <c r="H43" s="125">
        <f>IF(Checks!$AH$445="","",Checks!$AH$445)</f>
        <v/>
      </c>
    </row>
    <row r="44" ht="92" customHeight="1">
      <c r="A44" s="124">
        <f>Checks!$A$446&amp;CHAR(10)&amp;IF(Checks!$I$446="","",Checks!$I$446&amp;": ")&amp;Checks!$J$446</f>
        <v/>
      </c>
      <c r="B44" s="124">
        <f>Checks!$K$446&amp;IF(Checks!$O$446="","",IF(Checks!$K$446="","",CHAR(10))&amp;"Note: "&amp;Checks!$O$446)</f>
        <v/>
      </c>
      <c r="C44" s="124">
        <f>Checks!$N$446&amp;CHAR(10)&amp;IF(ISNUMBER(Checks!$R$446),TEXT(Checks!$R$446,"DD-MMM-YY HH:MM"),"")&amp;" "&amp;Checks!$P$446</f>
        <v/>
      </c>
      <c r="D44" s="124">
        <f>IF(Checks!$U$446="","",Checks!$U$446)&amp;IF(Checks!$AB$446="","",CHAR(10)&amp;"CA: "&amp;Checks!$AB$446)</f>
        <v/>
      </c>
      <c r="E44" s="124">
        <f>IF(Checks!$V$446="","",Checks!$V$446)&amp;IF(Checks!$AC$446="","",IF(Checks!$V$446="","",CHAR(10))&amp;"N/A just.: "&amp;Checks!$AC$446)&amp;IF(Checks!$W$446="","",CHAR(10)&amp;"Batch: "&amp;Checks!$W$446)&amp;IF(AND(Checks!$X$446="",Checks!$Y$446=""),"",CHAR(10)&amp;"Exp: "&amp;Checks!$X$446&amp;"  /  Act: "&amp;Checks!$Y$446)</f>
        <v/>
      </c>
      <c r="F44" s="124">
        <f>IF(Checks!$Z$446="","","Evidence: "&amp;Checks!$Z$446)&amp;IF(Checks!$AA$446="","",IF(Checks!$Z$446="","",CHAR(10))&amp;"CA: "&amp;Checks!$AA$446)</f>
        <v/>
      </c>
      <c r="G44" s="124">
        <f>IF(ISNUMBER(Checks!$AD$446),TEXT(Checks!$AD$446,"DD-MMM-YY HH:MM")&amp;" "&amp;Checks!$P$446,"")&amp;IF(Checks!$AE$446="","",CHAR(10)&amp;Checks!$AE$446)</f>
        <v/>
      </c>
      <c r="H44" s="125">
        <f>IF(Checks!$AH$446="","",Checks!$AH$446)</f>
        <v/>
      </c>
    </row>
    <row r="45" ht="180" customHeight="1">
      <c r="A45" s="124">
        <f>Checks!$A$447&amp;CHAR(10)&amp;IF(Checks!$I$447="","",Checks!$I$447&amp;": ")&amp;Checks!$J$447</f>
        <v/>
      </c>
      <c r="B45" s="124">
        <f>SUBSTITUTE(Checks!$K$447&amp;IF(Checks!$O$447="","",IF(Checks!$K$447="","",CHAR(10))&amp;"Note: "&amp;Checks!$O$447),"SEAT LINEN!","Ref: SEAT LINEN!")</f>
        <v/>
      </c>
      <c r="C45" s="124">
        <f>Checks!$N$447&amp;CHAR(10)&amp;IF(ISNUMBER(Checks!$R$447),TEXT(Checks!$R$447,"DD-MMM-YY HH:MM"),"")&amp;" "&amp;Checks!$P$447</f>
        <v/>
      </c>
      <c r="D45" s="124">
        <f>IF(Checks!$U$447="","",Checks!$U$447)&amp;IF(Checks!$AB$447="","",CHAR(10)&amp;"CA: "&amp;Checks!$AB$447)</f>
        <v/>
      </c>
      <c r="E45" s="124">
        <f>IF(Checks!$V$447="","",Checks!$V$447)&amp;IF(Checks!$AC$447="","",IF(Checks!$V$447="","",CHAR(10))&amp;"N/A just.: "&amp;Checks!$AC$447)&amp;IF(Checks!$W$447="","",CHAR(10)&amp;"Batch: "&amp;Checks!$W$447)&amp;IF(AND(Checks!$X$447="",Checks!$Y$447=""),"",CHAR(10)&amp;"Exp: "&amp;Checks!$X$447&amp;"  /  Act: "&amp;Checks!$Y$447)</f>
        <v/>
      </c>
      <c r="F45" s="124">
        <f>IF(Checks!$Z$447="","","Evidence: "&amp;Checks!$Z$447)&amp;IF(Checks!$AA$447="","",IF(Checks!$Z$447="","",CHAR(10))&amp;"CA: "&amp;Checks!$AA$447)</f>
        <v/>
      </c>
      <c r="G45" s="124">
        <f>IF(ISNUMBER(Checks!$AD$447),TEXT(Checks!$AD$447,"DD-MMM-YY HH:MM")&amp;" "&amp;Checks!$P$447,"")&amp;IF(Checks!$AE$447="","",CHAR(10)&amp;Checks!$AE$447)</f>
        <v/>
      </c>
      <c r="H45" s="125">
        <f>IF(Checks!$AH$447="","",Checks!$AH$447)</f>
        <v/>
      </c>
    </row>
    <row r="46" ht="191" customHeight="1">
      <c r="A46" s="124">
        <f>Checks!$A$448&amp;CHAR(10)&amp;IF(Checks!$I$448="","",Checks!$I$448&amp;": ")&amp;Checks!$J$448</f>
        <v/>
      </c>
      <c r="B46" s="124">
        <f>Checks!$K$448&amp;IF(Checks!$O$448="","",IF(Checks!$K$448="","",CHAR(10))&amp;"Note: "&amp;Checks!$O$448)</f>
        <v/>
      </c>
      <c r="C46" s="124">
        <f>Checks!$N$448&amp;CHAR(10)&amp;IF(ISNUMBER(Checks!$R$448),TEXT(Checks!$R$448,"DD-MMM-YY HH:MM"),"")&amp;" "&amp;Checks!$P$448</f>
        <v/>
      </c>
      <c r="D46" s="124">
        <f>IF(Checks!$U$448="","",Checks!$U$448)&amp;IF(Checks!$AB$448="","",CHAR(10)&amp;"CA: "&amp;Checks!$AB$448)</f>
        <v/>
      </c>
      <c r="E46" s="124">
        <f>IF(Checks!$V$448="","",Checks!$V$448)&amp;IF(Checks!$AC$448="","",IF(Checks!$V$448="","",CHAR(10))&amp;"N/A just.: "&amp;Checks!$AC$448)&amp;IF(Checks!$W$448="","",CHAR(10)&amp;"Batch: "&amp;Checks!$W$448)&amp;IF(AND(Checks!$X$448="",Checks!$Y$448=""),"",CHAR(10)&amp;"Exp: "&amp;Checks!$X$448&amp;"  /  Act: "&amp;Checks!$Y$448)</f>
        <v/>
      </c>
      <c r="F46" s="124">
        <f>IF(Checks!$Z$448="","","Evidence: "&amp;Checks!$Z$448)&amp;IF(Checks!$AA$448="","",IF(Checks!$Z$448="","",CHAR(10))&amp;"CA: "&amp;Checks!$AA$448)</f>
        <v/>
      </c>
      <c r="G46" s="124">
        <f>IF(ISNUMBER(Checks!$AD$448),TEXT(Checks!$AD$448,"DD-MMM-YY HH:MM")&amp;" "&amp;Checks!$P$448,"")&amp;IF(Checks!$AE$448="","",CHAR(10)&amp;Checks!$AE$448)</f>
        <v/>
      </c>
      <c r="H46" s="125">
        <f>IF(Checks!$AH$448="","",Checks!$AH$448)</f>
        <v/>
      </c>
    </row>
    <row r="47" ht="26" customHeight="1">
      <c r="A47" s="123">
        <f>"UPLIFT — Physical uplift – on-board confirmation before departure  |  Due "&amp;"STD "&amp;IF(ISNUMBER(Flights!$I$17),TEXT(Flights!$I$17,"DD-MMM-YY HH:MM"),"")&amp;" "&amp;Flights!$G$17&amp;" (departure stn)"&amp;" (rows with another due show their own)  |  Complete "&amp;IF(ISNUMBER(Flights!$AM$17),TEXT(Flights!$AM$17,"0%"),Flights!$AM$17)&amp;"  |  7 lines"</f>
        <v/>
      </c>
      <c r="B47" s="97" t="n"/>
      <c r="C47" s="97" t="n"/>
      <c r="D47" s="97" t="n"/>
      <c r="E47" s="97" t="n"/>
      <c r="F47" s="97" t="n"/>
      <c r="G47" s="97" t="n"/>
      <c r="H47" s="98" t="n"/>
    </row>
    <row r="48" ht="81" customHeight="1">
      <c r="A48" s="124">
        <f>Checks!$A$449&amp;CHAR(10)&amp;IF(Checks!$I$449="","",Checks!$I$449&amp;": ")&amp;Checks!$J$449</f>
        <v/>
      </c>
      <c r="B48" s="124">
        <f>Checks!$K$449&amp;IF(Checks!$O$449="","",IF(Checks!$K$449="","",CHAR(10))&amp;"Note: "&amp;Checks!$O$449)</f>
        <v/>
      </c>
      <c r="C48" s="124">
        <f>Checks!$N$449&amp;CHAR(10)&amp;IF(ISNUMBER(Checks!$R$449),TEXT(Checks!$R$449,"DD-MMM-YY HH:MM"),"")&amp;" "&amp;Checks!$P$449</f>
        <v/>
      </c>
      <c r="D48" s="124">
        <f>IF(Checks!$U$449="","",Checks!$U$449)&amp;IF(Checks!$AB$449="","",CHAR(10)&amp;"CA: "&amp;Checks!$AB$449)</f>
        <v/>
      </c>
      <c r="E48" s="124">
        <f>IF(Checks!$V$449="","",Checks!$V$449)&amp;IF(Checks!$AC$449="","",IF(Checks!$V$449="","",CHAR(10))&amp;"N/A just.: "&amp;Checks!$AC$449)&amp;IF(Checks!$W$449="","",CHAR(10)&amp;"Batch: "&amp;Checks!$W$449)&amp;IF(AND(Checks!$X$449="",Checks!$Y$449=""),"",CHAR(10)&amp;"Exp: "&amp;Checks!$X$449&amp;"  /  Act: "&amp;Checks!$Y$449)</f>
        <v/>
      </c>
      <c r="F48" s="124">
        <f>IF(Checks!$Z$449="","","Evidence: "&amp;Checks!$Z$449)&amp;IF(Checks!$AA$449="","",IF(Checks!$Z$449="","",CHAR(10))&amp;"CA: "&amp;Checks!$AA$449)</f>
        <v/>
      </c>
      <c r="G48" s="124">
        <f>IF(ISNUMBER(Checks!$AD$449),TEXT(Checks!$AD$449,"DD-MMM-YY HH:MM")&amp;" "&amp;Checks!$P$449,"")&amp;IF(Checks!$AE$449="","",CHAR(10)&amp;Checks!$AE$449)</f>
        <v/>
      </c>
      <c r="H48" s="125">
        <f>IF(Checks!$AH$449="","",Checks!$AH$449)</f>
        <v/>
      </c>
    </row>
    <row r="49" ht="81" customHeight="1">
      <c r="A49" s="124">
        <f>Checks!$A$450&amp;CHAR(10)&amp;IF(Checks!$I$450="","",Checks!$I$450&amp;": ")&amp;Checks!$J$450</f>
        <v/>
      </c>
      <c r="B49" s="124">
        <f>Checks!$K$450&amp;IF(Checks!$O$450="","",IF(Checks!$K$450="","",CHAR(10))&amp;"Note: "&amp;Checks!$O$450)</f>
        <v/>
      </c>
      <c r="C49" s="124">
        <f>Checks!$N$450&amp;CHAR(10)&amp;IF(ISNUMBER(Checks!$R$450),TEXT(Checks!$R$450,"DD-MMM-YY HH:MM"),"")&amp;" "&amp;Checks!$P$450</f>
        <v/>
      </c>
      <c r="D49" s="124">
        <f>IF(Checks!$U$450="","",Checks!$U$450)&amp;IF(Checks!$AB$450="","",CHAR(10)&amp;"CA: "&amp;Checks!$AB$450)</f>
        <v/>
      </c>
      <c r="E49" s="124">
        <f>IF(Checks!$V$450="","",Checks!$V$450)&amp;IF(Checks!$AC$450="","",IF(Checks!$V$450="","",CHAR(10))&amp;"N/A just.: "&amp;Checks!$AC$450)&amp;IF(Checks!$W$450="","",CHAR(10)&amp;"Batch: "&amp;Checks!$W$450)&amp;IF(AND(Checks!$X$450="",Checks!$Y$450=""),"",CHAR(10)&amp;"Exp: "&amp;Checks!$X$450&amp;"  /  Act: "&amp;Checks!$Y$450)</f>
        <v/>
      </c>
      <c r="F49" s="124">
        <f>IF(Checks!$Z$450="","","Evidence: "&amp;Checks!$Z$450)&amp;IF(Checks!$AA$450="","",IF(Checks!$Z$450="","",CHAR(10))&amp;"CA: "&amp;Checks!$AA$450)</f>
        <v/>
      </c>
      <c r="G49" s="124">
        <f>IF(ISNUMBER(Checks!$AD$450),TEXT(Checks!$AD$450,"DD-MMM-YY HH:MM")&amp;" "&amp;Checks!$P$450,"")&amp;IF(Checks!$AE$450="","",CHAR(10)&amp;Checks!$AE$450)</f>
        <v/>
      </c>
      <c r="H49" s="125">
        <f>IF(Checks!$AH$450="","",Checks!$AH$450)</f>
        <v/>
      </c>
    </row>
    <row r="50" ht="92" customHeight="1">
      <c r="A50" s="124">
        <f>Checks!$A$451&amp;CHAR(10)&amp;IF(Checks!$I$451="","",Checks!$I$451&amp;": ")&amp;Checks!$J$451</f>
        <v/>
      </c>
      <c r="B50" s="124">
        <f>Checks!$K$451&amp;IF(Checks!$O$451="","",IF(Checks!$K$451="","",CHAR(10))&amp;"Note: "&amp;Checks!$O$451)</f>
        <v/>
      </c>
      <c r="C50" s="124">
        <f>Checks!$N$451&amp;CHAR(10)&amp;IF(ISNUMBER(Checks!$R$451),TEXT(Checks!$R$451,"DD-MMM-YY HH:MM"),"")&amp;" "&amp;Checks!$P$451</f>
        <v/>
      </c>
      <c r="D50" s="124">
        <f>IF(Checks!$U$451="","",Checks!$U$451)&amp;IF(Checks!$AB$451="","",CHAR(10)&amp;"CA: "&amp;Checks!$AB$451)</f>
        <v/>
      </c>
      <c r="E50" s="124">
        <f>IF(Checks!$V$451="","",Checks!$V$451)&amp;IF(Checks!$AC$451="","",IF(Checks!$V$451="","",CHAR(10))&amp;"N/A just.: "&amp;Checks!$AC$451)&amp;IF(Checks!$W$451="","",CHAR(10)&amp;"Batch: "&amp;Checks!$W$451)&amp;IF(AND(Checks!$X$451="",Checks!$Y$451=""),"",CHAR(10)&amp;"Exp: "&amp;Checks!$X$451&amp;"  /  Act: "&amp;Checks!$Y$451)</f>
        <v/>
      </c>
      <c r="F50" s="124">
        <f>IF(Checks!$Z$451="","","Evidence: "&amp;Checks!$Z$451)&amp;IF(Checks!$AA$451="","",IF(Checks!$Z$451="","",CHAR(10))&amp;"CA: "&amp;Checks!$AA$451)</f>
        <v/>
      </c>
      <c r="G50" s="124">
        <f>IF(ISNUMBER(Checks!$AD$451),TEXT(Checks!$AD$451,"DD-MMM-YY HH:MM")&amp;" "&amp;Checks!$P$451,"")&amp;IF(Checks!$AE$451="","",CHAR(10)&amp;Checks!$AE$451)</f>
        <v/>
      </c>
      <c r="H50" s="125">
        <f>IF(Checks!$AH$451="","",Checks!$AH$451)</f>
        <v/>
      </c>
    </row>
    <row r="51" ht="114" customHeight="1">
      <c r="A51" s="124">
        <f>Checks!$A$452&amp;CHAR(10)&amp;IF(Checks!$I$452="","",Checks!$I$452&amp;": ")&amp;Checks!$J$452</f>
        <v/>
      </c>
      <c r="B51" s="124">
        <f>Checks!$K$452&amp;IF(Checks!$O$452="","",IF(Checks!$K$452="","",CHAR(10))&amp;"Note: "&amp;Checks!$O$452)</f>
        <v/>
      </c>
      <c r="C51" s="124">
        <f>Checks!$N$452&amp;CHAR(10)&amp;IF(ISNUMBER(Checks!$R$452),TEXT(Checks!$R$452,"DD-MMM-YY HH:MM"),"")&amp;" "&amp;Checks!$P$452</f>
        <v/>
      </c>
      <c r="D51" s="124">
        <f>IF(Checks!$U$452="","",Checks!$U$452)&amp;IF(Checks!$AB$452="","",CHAR(10)&amp;"CA: "&amp;Checks!$AB$452)</f>
        <v/>
      </c>
      <c r="E51" s="124">
        <f>IF(Checks!$V$452="","",Checks!$V$452)&amp;IF(Checks!$AC$452="","",IF(Checks!$V$452="","",CHAR(10))&amp;"N/A just.: "&amp;Checks!$AC$452)&amp;IF(Checks!$W$452="","",CHAR(10)&amp;"Batch: "&amp;Checks!$W$452)&amp;IF(AND(Checks!$X$452="",Checks!$Y$452=""),"",CHAR(10)&amp;"Exp: "&amp;Checks!$X$452&amp;"  /  Act: "&amp;Checks!$Y$452)</f>
        <v/>
      </c>
      <c r="F51" s="124">
        <f>IF(Checks!$Z$452="","","Evidence: "&amp;Checks!$Z$452)&amp;IF(Checks!$AA$452="","",IF(Checks!$Z$452="","",CHAR(10))&amp;"CA: "&amp;Checks!$AA$452)</f>
        <v/>
      </c>
      <c r="G51" s="124">
        <f>IF(ISNUMBER(Checks!$AD$452),TEXT(Checks!$AD$452,"DD-MMM-YY HH:MM")&amp;" "&amp;Checks!$P$452,"")&amp;IF(Checks!$AE$452="","",CHAR(10)&amp;Checks!$AE$452)</f>
        <v/>
      </c>
      <c r="H51" s="125">
        <f>IF(Checks!$AH$452="","",Checks!$AH$452)</f>
        <v/>
      </c>
    </row>
    <row r="52" ht="81" customHeight="1">
      <c r="A52" s="124">
        <f>Checks!$A$453&amp;CHAR(10)&amp;IF(Checks!$I$453="","",Checks!$I$453&amp;": ")&amp;Checks!$J$453</f>
        <v/>
      </c>
      <c r="B52" s="124">
        <f>Checks!$K$453&amp;IF(Checks!$O$453="","",IF(Checks!$K$453="","",CHAR(10))&amp;"Note: "&amp;Checks!$O$453)</f>
        <v/>
      </c>
      <c r="C52" s="124">
        <f>Checks!$N$453&amp;CHAR(10)&amp;IF(ISNUMBER(Checks!$R$453),TEXT(Checks!$R$453,"DD-MMM-YY HH:MM"),"")&amp;" "&amp;Checks!$P$453</f>
        <v/>
      </c>
      <c r="D52" s="124">
        <f>IF(Checks!$U$453="","",Checks!$U$453)&amp;IF(Checks!$AB$453="","",CHAR(10)&amp;"CA: "&amp;Checks!$AB$453)</f>
        <v/>
      </c>
      <c r="E52" s="124">
        <f>IF(Checks!$V$453="","",Checks!$V$453)&amp;IF(Checks!$AC$453="","",IF(Checks!$V$453="","",CHAR(10))&amp;"N/A just.: "&amp;Checks!$AC$453)&amp;IF(Checks!$W$453="","",CHAR(10)&amp;"Batch: "&amp;Checks!$W$453)&amp;IF(AND(Checks!$X$453="",Checks!$Y$453=""),"",CHAR(10)&amp;"Exp: "&amp;Checks!$X$453&amp;"  /  Act: "&amp;Checks!$Y$453)</f>
        <v/>
      </c>
      <c r="F52" s="124">
        <f>IF(Checks!$Z$453="","","Evidence: "&amp;Checks!$Z$453)&amp;IF(Checks!$AA$453="","",IF(Checks!$Z$453="","",CHAR(10))&amp;"CA: "&amp;Checks!$AA$453)</f>
        <v/>
      </c>
      <c r="G52" s="124">
        <f>IF(ISNUMBER(Checks!$AD$453),TEXT(Checks!$AD$453,"DD-MMM-YY HH:MM")&amp;" "&amp;Checks!$P$453,"")&amp;IF(Checks!$AE$453="","",CHAR(10)&amp;Checks!$AE$453)</f>
        <v/>
      </c>
      <c r="H52" s="125">
        <f>IF(Checks!$AH$453="","",Checks!$AH$453)</f>
        <v/>
      </c>
    </row>
    <row r="53" ht="114" customHeight="1">
      <c r="A53" s="124">
        <f>Checks!$A$454&amp;CHAR(10)&amp;IF(Checks!$I$454="","",Checks!$I$454&amp;": ")&amp;Checks!$J$454</f>
        <v/>
      </c>
      <c r="B53" s="124">
        <f>SUBSTITUTE(Checks!$K$454&amp;IF(Checks!$O$454="","",IF(Checks!$K$454="","",CHAR(10))&amp;"Note: "&amp;Checks!$O$454),"SEAT LINEN!","Ref: SEAT LINEN!")</f>
        <v/>
      </c>
      <c r="C53" s="124">
        <f>Checks!$N$454&amp;CHAR(10)&amp;IF(ISNUMBER(Checks!$R$454),TEXT(Checks!$R$454,"DD-MMM-YY HH:MM"),"")&amp;" "&amp;Checks!$P$454</f>
        <v/>
      </c>
      <c r="D53" s="124">
        <f>IF(Checks!$U$454="","",Checks!$U$454)&amp;IF(Checks!$AB$454="","",CHAR(10)&amp;"CA: "&amp;Checks!$AB$454)</f>
        <v/>
      </c>
      <c r="E53" s="124">
        <f>IF(Checks!$V$454="","",Checks!$V$454)&amp;IF(Checks!$AC$454="","",IF(Checks!$V$454="","",CHAR(10))&amp;"N/A just.: "&amp;Checks!$AC$454)&amp;IF(Checks!$W$454="","",CHAR(10)&amp;"Batch: "&amp;Checks!$W$454)&amp;IF(AND(Checks!$X$454="",Checks!$Y$454=""),"",CHAR(10)&amp;"Exp: "&amp;Checks!$X$454&amp;"  /  Act: "&amp;Checks!$Y$454)</f>
        <v/>
      </c>
      <c r="F53" s="124">
        <f>IF(Checks!$Z$454="","","Evidence: "&amp;Checks!$Z$454)&amp;IF(Checks!$AA$454="","",IF(Checks!$Z$454="","",CHAR(10))&amp;"CA: "&amp;Checks!$AA$454)</f>
        <v/>
      </c>
      <c r="G53" s="124">
        <f>IF(ISNUMBER(Checks!$AD$454),TEXT(Checks!$AD$454,"DD-MMM-YY HH:MM")&amp;" "&amp;Checks!$P$454,"")&amp;IF(Checks!$AE$454="","",CHAR(10)&amp;Checks!$AE$454)</f>
        <v/>
      </c>
      <c r="H53" s="125">
        <f>IF(Checks!$AH$454="","",Checks!$AH$454)</f>
        <v/>
      </c>
    </row>
    <row r="54" ht="125" customHeight="1">
      <c r="A54" s="124">
        <f>Checks!$A$455&amp;CHAR(10)&amp;IF(Checks!$I$455="","",Checks!$I$455&amp;": ")&amp;Checks!$J$455</f>
        <v/>
      </c>
      <c r="B54" s="124">
        <f>Checks!$K$455&amp;IF(Checks!$O$455="","",IF(Checks!$K$455="","",CHAR(10))&amp;"Note: "&amp;Checks!$O$455)</f>
        <v/>
      </c>
      <c r="C54" s="124">
        <f>Checks!$N$455&amp;CHAR(10)&amp;IF(ISNUMBER(Checks!$R$455),TEXT(Checks!$R$455,"DD-MMM-YY HH:MM"),"")&amp;" "&amp;Checks!$P$455</f>
        <v/>
      </c>
      <c r="D54" s="124">
        <f>IF(Checks!$U$455="","",Checks!$U$455)&amp;IF(Checks!$AB$455="","",CHAR(10)&amp;"CA: "&amp;Checks!$AB$455)</f>
        <v/>
      </c>
      <c r="E54" s="124">
        <f>IF(Checks!$V$455="","",Checks!$V$455)&amp;IF(Checks!$AC$455="","",IF(Checks!$V$455="","",CHAR(10))&amp;"N/A just.: "&amp;Checks!$AC$455)&amp;IF(Checks!$W$455="","",CHAR(10)&amp;"Batch: "&amp;Checks!$W$455)&amp;IF(AND(Checks!$X$455="",Checks!$Y$455=""),"",CHAR(10)&amp;"Exp: "&amp;Checks!$X$455&amp;"  /  Act: "&amp;Checks!$Y$455)</f>
        <v/>
      </c>
      <c r="F54" s="124">
        <f>IF(Checks!$Z$455="","","Evidence: "&amp;Checks!$Z$455)&amp;IF(Checks!$AA$455="","",IF(Checks!$Z$455="","",CHAR(10))&amp;"CA: "&amp;Checks!$AA$455)</f>
        <v/>
      </c>
      <c r="G54" s="124">
        <f>IF(ISNUMBER(Checks!$AD$455),TEXT(Checks!$AD$455,"DD-MMM-YY HH:MM")&amp;" "&amp;Checks!$P$455,"")&amp;IF(Checks!$AE$455="","",CHAR(10)&amp;Checks!$AE$455)</f>
        <v/>
      </c>
      <c r="H54" s="125">
        <f>IF(Checks!$AH$455="","",Checks!$AH$455)</f>
        <v/>
      </c>
    </row>
    <row r="56" ht="24" customHeight="1">
      <c r="A56" s="126" t="inlineStr">
        <is>
          <t>EXCEL INSERTION AREA (on-screen only, not printed) – A1 Galley Loading Diagram: Insert &gt; Picture here. On paper: staple behind this sheet as page A1.</t>
        </is>
      </c>
      <c r="B56" s="127" t="n"/>
      <c r="C56" s="127" t="n"/>
      <c r="D56" s="128" t="n"/>
      <c r="E56" s="126" t="inlineStr">
        <is>
          <t>EXCEL INSERTION AREA (on-screen only, not printed) – A2 Menu Checklist: Insert &gt; Picture here. On paper: staple behind this sheet as page A2.</t>
        </is>
      </c>
      <c r="F56" s="127" t="n"/>
      <c r="G56" s="127" t="n"/>
      <c r="H56" s="128" t="n"/>
    </row>
    <row r="57" ht="22" customHeight="1">
      <c r="A57" s="129" t="n"/>
      <c r="B57" s="130" t="n"/>
      <c r="C57" s="130" t="n"/>
      <c r="D57" s="131" t="n"/>
      <c r="E57" s="129"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2" t="n"/>
      <c r="B62" s="130" t="n"/>
      <c r="C62" s="130" t="n"/>
      <c r="D62" s="131" t="n"/>
      <c r="E62" s="132" t="n"/>
      <c r="F62" s="130" t="n"/>
      <c r="G62" s="130" t="n"/>
      <c r="H62" s="131" t="n"/>
    </row>
    <row r="63" ht="22" customHeight="1">
      <c r="A63" s="132" t="n"/>
      <c r="B63" s="130" t="n"/>
      <c r="C63" s="130" t="n"/>
      <c r="D63" s="131" t="n"/>
      <c r="E63" s="132" t="n"/>
      <c r="F63" s="130" t="n"/>
      <c r="G63" s="130" t="n"/>
      <c r="H63" s="131" t="n"/>
    </row>
    <row r="64" ht="22" customHeight="1">
      <c r="A64" s="132" t="n"/>
      <c r="B64" s="130" t="n"/>
      <c r="C64" s="130" t="n"/>
      <c r="D64" s="131" t="n"/>
      <c r="E64" s="132" t="n"/>
      <c r="F64" s="130" t="n"/>
      <c r="G64" s="130" t="n"/>
      <c r="H64" s="131" t="n"/>
    </row>
    <row r="65" ht="22" customHeight="1">
      <c r="A65" s="132" t="n"/>
      <c r="B65" s="130" t="n"/>
      <c r="C65" s="130" t="n"/>
      <c r="D65" s="131" t="n"/>
      <c r="E65" s="132" t="n"/>
      <c r="F65" s="130" t="n"/>
      <c r="G65" s="130" t="n"/>
      <c r="H65" s="131" t="n"/>
    </row>
    <row r="66" ht="22" customHeight="1">
      <c r="A66" s="133" t="n"/>
      <c r="B66" s="134" t="n"/>
      <c r="C66" s="134" t="n"/>
      <c r="D66" s="135" t="n"/>
      <c r="E66" s="133" t="n"/>
      <c r="F66" s="134" t="n"/>
      <c r="G66" s="134" t="n"/>
      <c r="H66" s="135" t="n"/>
    </row>
  </sheetData>
  <mergeCells count="46">
    <mergeCell ref="B11:D11"/>
    <mergeCell ref="E57:H66"/>
    <mergeCell ref="F18:H18"/>
    <mergeCell ref="C15:D15"/>
    <mergeCell ref="B8:D8"/>
    <mergeCell ref="G11:H11"/>
    <mergeCell ref="C14:D14"/>
    <mergeCell ref="F2:H2"/>
    <mergeCell ref="F17:H17"/>
    <mergeCell ref="A1:H1"/>
    <mergeCell ref="G8:H8"/>
    <mergeCell ref="B10:D10"/>
    <mergeCell ref="E56:H56"/>
    <mergeCell ref="G7:H7"/>
    <mergeCell ref="F13:H13"/>
    <mergeCell ref="B16:E16"/>
    <mergeCell ref="B9:D9"/>
    <mergeCell ref="C17:E17"/>
    <mergeCell ref="G6:H6"/>
    <mergeCell ref="A18:B18"/>
    <mergeCell ref="B6:D6"/>
    <mergeCell ref="G3:H3"/>
    <mergeCell ref="B5:D5"/>
    <mergeCell ref="F14:H14"/>
    <mergeCell ref="C19:E19"/>
    <mergeCell ref="B4:D4"/>
    <mergeCell ref="G5:H5"/>
    <mergeCell ref="C18:E18"/>
    <mergeCell ref="A33:H33"/>
    <mergeCell ref="A47:H47"/>
    <mergeCell ref="A17:B17"/>
    <mergeCell ref="B7:D7"/>
    <mergeCell ref="A22:H22"/>
    <mergeCell ref="G4:H4"/>
    <mergeCell ref="F16:H16"/>
    <mergeCell ref="B3:D3"/>
    <mergeCell ref="A56:D56"/>
    <mergeCell ref="F19:H19"/>
    <mergeCell ref="A35:H35"/>
    <mergeCell ref="A12:D12"/>
    <mergeCell ref="A19:B19"/>
    <mergeCell ref="A20:H20"/>
    <mergeCell ref="A57:D66"/>
    <mergeCell ref="C13:D13"/>
    <mergeCell ref="F15:H15"/>
    <mergeCell ref="B2:D2"/>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4">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4">
    <cfRule type="expression" priority="16" dxfId="20">
      <formula>LEFT($H23,3)="N/A"</formula>
    </cfRule>
  </conditionalFormatting>
  <conditionalFormatting sqref="D23:D54">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F13 MH0138 14-Oct-26 ADL-KUL Class EY</oddHeader>
    <oddFooter>&amp;L&amp;"Arial,Bold"&amp;8 F13 MH0138 14-Oct-26 ADL-KUL Class EY&amp;C&amp;"Arial"&amp;8 Printed: ____________________&amp;R&amp;"Arial"&amp;8 F13  Page &amp;P of &amp;N</oddFooter>
    <evenHeader/>
    <evenFooter/>
    <firstHeader/>
    <firstFooter/>
  </headerFooter>
  <rowBreaks count="1" manualBreakCount="1">
    <brk id="20" min="0" max="16383" man="1"/>
  </rowBreaks>
</worksheet>
</file>

<file path=xl/worksheets/sheet22.xml><?xml version="1.0" encoding="utf-8"?>
<worksheet xmlns="http://schemas.openxmlformats.org/spreadsheetml/2006/main">
  <sheetPr>
    <tabColor rgb="001F3864"/>
    <outlinePr summaryBelow="1" summaryRight="1"/>
    <pageSetUpPr fitToPage="1"/>
  </sheetPr>
  <dimension ref="A1:H6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F14  "&amp;Flights!$F$18&amp;"  "&amp;TEXT(Flights!$D$18,"DD-MMM-YY")&amp;" ("&amp;Flights!$E$18&amp;")  "&amp;Flights!$G$18&amp;" → "&amp;Flights!$H$18&amp;"  |  Class "&amp;Flights!$K$18</f>
        <v/>
      </c>
      <c r="B1" s="97" t="n"/>
      <c r="C1" s="97" t="n"/>
      <c r="D1" s="97" t="n"/>
      <c r="E1" s="97" t="n"/>
      <c r="F1" s="97" t="n"/>
      <c r="G1" s="97" t="n"/>
      <c r="H1" s="98" t="n"/>
    </row>
    <row r="2" ht="13" customHeight="1">
      <c r="A2" s="99" t="inlineStr">
        <is>
          <t>Flight / date</t>
        </is>
      </c>
      <c r="B2" s="100">
        <f>Flights!$F$18&amp;"   "&amp;TEXT(Flights!$D$18,"DD-MMM-YY")&amp;" ("&amp;Flights!$E$18&amp;")"</f>
        <v/>
      </c>
      <c r="C2" s="97" t="n"/>
      <c r="D2" s="98" t="n"/>
      <c r="E2" s="101" t="inlineStr">
        <is>
          <t>READINESS STATUS</t>
        </is>
      </c>
      <c r="F2" s="102">
        <f>Flights!$AT$18</f>
        <v/>
      </c>
      <c r="G2" s="97" t="n"/>
      <c r="H2" s="98" t="n"/>
    </row>
    <row r="3" ht="24" customHeight="1">
      <c r="A3" s="99" t="inlineStr">
        <is>
          <t>Sector / class / seat</t>
        </is>
      </c>
      <c r="B3" s="100">
        <f>Flights!$G$18&amp;" → "&amp;Flights!$H$18&amp;"   Class "&amp;Flights!$K$18&amp;"   Seat "&amp;Flights!$O$18</f>
        <v/>
      </c>
      <c r="C3" s="97" t="n"/>
      <c r="D3" s="98" t="n"/>
      <c r="E3" s="101" t="inlineStr">
        <is>
          <t>Checkpoint</t>
        </is>
      </c>
      <c r="F3" s="101" t="inlineStr">
        <is>
          <t>Due (local)</t>
        </is>
      </c>
      <c r="G3" s="103" t="inlineStr">
        <is>
          <t>% complete</t>
        </is>
      </c>
      <c r="H3" s="98" t="n"/>
    </row>
    <row r="4" ht="13" customHeight="1">
      <c r="A4" s="99" t="inlineStr">
        <is>
          <t>STD → STA (local)</t>
        </is>
      </c>
      <c r="B4" s="100">
        <f>IF(ISNUMBER(Flights!$I$18),TEXT(Flights!$I$18,"DD-MMM-YY HH:MM"),"")&amp;" "&amp;Flights!$G$18&amp;"  →  "&amp;IF(ISNUMBER(Flights!$J$18),TEXT(Flights!$J$18,"DD-MMM-YY HH:MM"),"")&amp;" "&amp;Flights!$H$18</f>
        <v/>
      </c>
      <c r="C4" s="97" t="n"/>
      <c r="D4" s="98" t="n"/>
      <c r="E4" s="99" t="inlineStr">
        <is>
          <t>T-7D – 7 days before departure</t>
        </is>
      </c>
      <c r="F4" s="104">
        <f>IF(ISNUMBER(Flights!$AG$18),TEXT(Flights!$AG$18,"DD-MMM-YY HH:MM"),"")&amp;" "&amp;Flights!$V$18</f>
        <v/>
      </c>
      <c r="G4" s="105">
        <f>Flights!$AJ$18</f>
        <v/>
      </c>
      <c r="H4" s="98" t="n"/>
    </row>
    <row r="5" ht="24" customHeight="1">
      <c r="A5" s="99" t="inlineStr">
        <is>
          <t>Fleet / aircraft ref</t>
        </is>
      </c>
      <c r="B5" s="100">
        <f>Flights!$L$18&amp;" – "&amp;Flights!$M$18</f>
        <v/>
      </c>
      <c r="C5" s="97" t="n"/>
      <c r="D5" s="98" t="n"/>
      <c r="E5" s="99" t="inlineStr">
        <is>
          <t>T-24H – production batch sensory</t>
        </is>
      </c>
      <c r="F5" s="104">
        <f>IF(ISNUMBER(Flights!$AH$18),TEXT(Flights!$AH$18,"DD-MMM-YY HH:MM"),"")&amp;" "&amp;Flights!$V$18</f>
        <v/>
      </c>
      <c r="G5" s="105">
        <f>Flights!$AK$18</f>
        <v/>
      </c>
      <c r="H5" s="98" t="n"/>
    </row>
    <row r="6" ht="13" customHeight="1">
      <c r="A6" s="99" t="inlineStr">
        <is>
          <t>Tail / Reg</t>
        </is>
      </c>
      <c r="B6" s="100">
        <f>IF(TRIM(Flights!$N$18)="","__________________",Flights!$N$18)</f>
        <v/>
      </c>
      <c r="C6" s="97" t="n"/>
      <c r="D6" s="98" t="n"/>
      <c r="E6" s="99" t="inlineStr">
        <is>
          <t>T-12H PREP – caterer prep only</t>
        </is>
      </c>
      <c r="F6" s="104">
        <f>IF(ISNUMBER(Flights!$AI$18),TEXT(Flights!$AI$18,"DD-MMM-YY HH:MM"),"")&amp;" "&amp;Flights!$V$18&amp;IF(Flights!$AI$18=Flights!$AH$18,"  (= T-24H due)","")</f>
        <v/>
      </c>
      <c r="G6" s="105">
        <f>Flights!$AL$18</f>
        <v/>
      </c>
      <c r="H6" s="98" t="n"/>
    </row>
    <row r="7" ht="13" customHeight="1">
      <c r="A7" s="99" t="inlineStr">
        <is>
          <t>Service type</t>
        </is>
      </c>
      <c r="B7" s="100">
        <f>Flights!$T$18</f>
        <v/>
      </c>
      <c r="C7" s="97" t="n"/>
      <c r="D7" s="98" t="n"/>
      <c r="E7" s="99" t="inlineStr">
        <is>
          <t>UPLIFT – on-board confirmation</t>
        </is>
      </c>
      <c r="F7" s="104">
        <f>"STD "&amp;IF(ISNUMBER(Flights!$I$18),TEXT(Flights!$I$18,"DD-MMM-YY HH:MM"),"")&amp;" "&amp;Flights!$G$18&amp;" (dep stn)"</f>
        <v/>
      </c>
      <c r="G7" s="105">
        <f>Flights!$AM$18</f>
        <v/>
      </c>
      <c r="H7" s="98" t="n"/>
    </row>
    <row r="8" ht="13" customHeight="1">
      <c r="A8" s="99" t="inlineStr">
        <is>
          <t>Meal uplift stn</t>
        </is>
      </c>
      <c r="B8" s="100">
        <f>Flights!$V$18&amp;"   (reference uplift stns: "&amp;Flights!$U$18&amp;")"</f>
        <v/>
      </c>
      <c r="C8" s="97" t="n"/>
      <c r="D8" s="98" t="n"/>
      <c r="E8" s="99" t="inlineStr">
        <is>
          <t>OVERALL (all checkpoints)</t>
        </is>
      </c>
      <c r="F8" s="106" t="inlineStr">
        <is>
          <t>–</t>
        </is>
      </c>
      <c r="G8" s="105">
        <f>Flights!$AN$18</f>
        <v/>
      </c>
      <c r="H8" s="98" t="n"/>
    </row>
    <row r="9" ht="13" customHeight="1">
      <c r="A9" s="99" t="inlineStr">
        <is>
          <t>Transit / remark</t>
        </is>
      </c>
      <c r="B9" s="100">
        <f>TRIM(Flights!$P$18&amp;"  "&amp;Flights!$Q$18)</f>
        <v/>
      </c>
      <c r="C9" s="97" t="n"/>
      <c r="D9" s="98" t="n"/>
      <c r="E9" s="99" t="inlineStr">
        <is>
          <t>Overdue / discrep. / invalid</t>
        </is>
      </c>
      <c r="F9" s="107">
        <f>Flights!$AP$18</f>
        <v/>
      </c>
      <c r="G9" s="107">
        <f>Flights!$AQ$18</f>
        <v/>
      </c>
      <c r="H9" s="107">
        <f>Flights!$AU$18</f>
        <v/>
      </c>
    </row>
    <row r="10" ht="13" customHeight="1">
      <c r="A10" s="99" t="inlineStr">
        <is>
          <t>Caterer</t>
        </is>
      </c>
      <c r="B10" s="100">
        <f>IF(TRIM(Flights!$X$18)="","__________________",Flights!$X$18)</f>
        <v/>
      </c>
      <c r="C10" s="97" t="n"/>
      <c r="D10" s="98" t="n"/>
      <c r="E10" s="99" t="inlineStr">
        <is>
          <t>Open reqd / clarif. / docs out</t>
        </is>
      </c>
      <c r="F10" s="107">
        <f>Flights!$AO$18</f>
        <v/>
      </c>
      <c r="G10" s="107">
        <f>Flights!$AS$18</f>
        <v/>
      </c>
      <c r="H10" s="107">
        <f>Flights!$AR$18</f>
        <v/>
      </c>
    </row>
    <row r="11" ht="13" customHeight="1">
      <c r="A11" s="99" t="inlineStr">
        <is>
          <t>Flight PIC</t>
        </is>
      </c>
      <c r="B11" s="100">
        <f>IF(TRIM(Flights!$Y$18)="","__________________",Flights!$Y$18)</f>
        <v/>
      </c>
      <c r="C11" s="97" t="n"/>
      <c r="D11" s="98" t="n"/>
      <c r="E11" s="99" t="inlineStr">
        <is>
          <t>Done / in scope | as of UTC</t>
        </is>
      </c>
      <c r="F11" s="107">
        <f>Flights!$AV$18&amp;" / "&amp;Flights!$AW$18</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IF(Documents!$F$18="","",Documents!$F$18)</f>
        <v/>
      </c>
      <c r="C14" s="115">
        <f>IF(Documents!$G$18="","",Documents!$G$18)&amp;IF(ISNUMBER(Documents!$H$18),"  "&amp;TEXT(Documents!$H$18,"DD-MMM-YY"),"")</f>
        <v/>
      </c>
      <c r="D14" s="98" t="n"/>
      <c r="E14" s="116">
        <f>IF(Documents!$J$18="OUTSTANDING","OUTSTANDING – attach before T-7D (due "&amp;IF(ISNUMBER(Flights!$AG$18),TEXT(Flights!$AG$18,"DD-MMM-YY HH:MM"),"")&amp;" "&amp;Flights!$V$18&amp;")",IF(Documents!$J$18="","Status not recorded",Documents!$J$18))</f>
        <v/>
      </c>
      <c r="F14" s="117">
        <f>"Staple behind this sheet as page A1."&amp;IF(Documents!$I$18="",""," Location: "&amp;Documents!$I$18)</f>
        <v/>
      </c>
      <c r="G14" s="97" t="n"/>
      <c r="H14" s="98" t="n"/>
    </row>
    <row r="15" ht="25" customHeight="1">
      <c r="A15" s="99" t="inlineStr">
        <is>
          <t>A2  Menu Checklist</t>
        </is>
      </c>
      <c r="B15" s="114">
        <f>IF(Documents!$K$18="","",Documents!$K$18)</f>
        <v/>
      </c>
      <c r="C15" s="115">
        <f>IF(Documents!$L$18="","",Documents!$L$18)&amp;IF(ISNUMBER(Documents!$M$18),"  "&amp;TEXT(Documents!$M$18,"DD-MMM-YY"),"")</f>
        <v/>
      </c>
      <c r="D15" s="98" t="n"/>
      <c r="E15" s="116">
        <f>IF(Documents!$O$18="OUTSTANDING","OUTSTANDING – attach before T-7D (due "&amp;IF(ISNUMBER(Flights!$AG$18),TEXT(Flights!$AG$18,"DD-MMM-YY HH:MM"),"")&amp;" "&amp;Flights!$V$18&amp;")",IF(Documents!$O$18="","Status not recorded",Documents!$O$18))</f>
        <v/>
      </c>
      <c r="F15" s="117">
        <f>"Staple behind this sheet as page A2."&amp;IF(Documents!$N$18="",""," Location: "&amp;Documents!$N$18)</f>
        <v/>
      </c>
      <c r="G15" s="97" t="n"/>
      <c r="H15" s="98" t="n"/>
    </row>
    <row r="16" ht="33" customHeight="1">
      <c r="A16" s="99" t="inlineStr">
        <is>
          <t>Document notes</t>
        </is>
      </c>
      <c r="B16" s="118">
        <f>IF(Documents!$Q$18="","",Documents!$Q$18)</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"&amp;IF(TRIM(Flights!$Y$18)="","__________________",Flights!$Y$18)</f>
        <v/>
      </c>
      <c r="B18" s="98" t="n"/>
      <c r="C18" s="100">
        <f>"Name: __________________"</f>
        <v/>
      </c>
      <c r="D18" s="97" t="n"/>
      <c r="E18" s="98" t="n"/>
      <c r="F18" s="100">
        <f>"Name: __________________"&amp;"   Station: "&amp;Flights!$V$18</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"&amp;IF(ISNUMBER(Flights!$AG$18),TEXT(Flights!$AG$18,"DD-MMM-YY HH:MM"),"")&amp;" "&amp;Flights!$V$18&amp;" (meal uplift stn)"&amp;" (rows with another due show their own)  |  Complete "&amp;IF(ISNUMBER(Flights!$AJ$18),TEXT(Flights!$AJ$18,"0%"),Flights!$AJ$18)&amp;"  |  9 lines"</f>
        <v/>
      </c>
      <c r="B22" s="97" t="n"/>
      <c r="C22" s="97" t="n"/>
      <c r="D22" s="97" t="n"/>
      <c r="E22" s="97" t="n"/>
      <c r="F22" s="97" t="n"/>
      <c r="G22" s="97" t="n"/>
      <c r="H22" s="98" t="n"/>
    </row>
    <row r="23" ht="81" customHeight="1">
      <c r="A23" s="124">
        <f>Checks!$A$456&amp;CHAR(10)&amp;IF(Checks!$I$456="","",Checks!$I$456&amp;": ")&amp;Checks!$J$456</f>
        <v/>
      </c>
      <c r="B23" s="124">
        <f>Checks!$K$456&amp;IF(Checks!$O$456="","",IF(Checks!$K$456="","",CHAR(10))&amp;"Note: "&amp;Checks!$O$456)</f>
        <v/>
      </c>
      <c r="C23" s="124">
        <f>Checks!$N$456&amp;CHAR(10)&amp;IF(ISNUMBER(Checks!$R$456),TEXT(Checks!$R$456,"DD-MMM-YY HH:MM"),"")&amp;" "&amp;Checks!$P$456</f>
        <v/>
      </c>
      <c r="D23" s="124">
        <f>IF(Checks!$U$456="","",Checks!$U$456)&amp;IF(Checks!$AB$456="","",CHAR(10)&amp;"CA: "&amp;Checks!$AB$456)</f>
        <v/>
      </c>
      <c r="E23" s="124">
        <f>IF(Checks!$V$456="","",Checks!$V$456)&amp;IF(Checks!$AC$456="","",IF(Checks!$V$456="","",CHAR(10))&amp;"N/A just.: "&amp;Checks!$AC$456)&amp;IF(Checks!$W$456="","",CHAR(10)&amp;"Batch: "&amp;Checks!$W$456)&amp;IF(AND(Checks!$X$456="",Checks!$Y$456=""),"",CHAR(10)&amp;"Exp: "&amp;Checks!$X$456&amp;"  /  Act: "&amp;Checks!$Y$456)</f>
        <v/>
      </c>
      <c r="F23" s="124">
        <f>IF(Checks!$Z$456="","","Evidence: "&amp;Checks!$Z$456)&amp;IF(Checks!$AA$456="","",IF(Checks!$Z$456="","",CHAR(10))&amp;"CA: "&amp;Checks!$AA$456)</f>
        <v/>
      </c>
      <c r="G23" s="124">
        <f>IF(ISNUMBER(Checks!$AD$456),TEXT(Checks!$AD$456,"DD-MMM-YY HH:MM")&amp;" "&amp;Checks!$P$456,"")&amp;IF(Checks!$AE$456="","",CHAR(10)&amp;Checks!$AE$456)</f>
        <v/>
      </c>
      <c r="H23" s="125">
        <f>IF(Checks!$AH$456="","",Checks!$AH$456)</f>
        <v/>
      </c>
    </row>
    <row r="24" ht="81" customHeight="1">
      <c r="A24" s="124">
        <f>Checks!$A$457&amp;CHAR(10)&amp;IF(Checks!$I$457="","",Checks!$I$457&amp;": ")&amp;Checks!$J$457</f>
        <v/>
      </c>
      <c r="B24" s="124">
        <f>Checks!$K$457&amp;IF(Checks!$O$457="","",IF(Checks!$K$457="","",CHAR(10))&amp;"Note: "&amp;Checks!$O$457)</f>
        <v/>
      </c>
      <c r="C24" s="124">
        <f>Checks!$N$457&amp;CHAR(10)&amp;IF(ISNUMBER(Checks!$R$457),TEXT(Checks!$R$457,"DD-MMM-YY HH:MM"),"")&amp;" "&amp;Checks!$P$457</f>
        <v/>
      </c>
      <c r="D24" s="124">
        <f>IF(Checks!$U$457="","",Checks!$U$457)&amp;IF(Checks!$AB$457="","",CHAR(10)&amp;"CA: "&amp;Checks!$AB$457)</f>
        <v/>
      </c>
      <c r="E24" s="124">
        <f>IF(Checks!$V$457="","",Checks!$V$457)&amp;IF(Checks!$AC$457="","",IF(Checks!$V$457="","",CHAR(10))&amp;"N/A just.: "&amp;Checks!$AC$457)&amp;IF(Checks!$W$457="","",CHAR(10)&amp;"Batch: "&amp;Checks!$W$457)&amp;IF(AND(Checks!$X$457="",Checks!$Y$457=""),"",CHAR(10)&amp;"Exp: "&amp;Checks!$X$457&amp;"  /  Act: "&amp;Checks!$Y$457)</f>
        <v/>
      </c>
      <c r="F24" s="124">
        <f>IF(Checks!$Z$457="","","Evidence: "&amp;Checks!$Z$457)&amp;IF(Checks!$AA$457="","",IF(Checks!$Z$457="","",CHAR(10))&amp;"CA: "&amp;Checks!$AA$457)</f>
        <v/>
      </c>
      <c r="G24" s="124">
        <f>IF(ISNUMBER(Checks!$AD$457),TEXT(Checks!$AD$457,"DD-MMM-YY HH:MM")&amp;" "&amp;Checks!$P$457,"")&amp;IF(Checks!$AE$457="","",CHAR(10)&amp;Checks!$AE$457)</f>
        <v/>
      </c>
      <c r="H24" s="125">
        <f>IF(Checks!$AH$457="","",Checks!$AH$457)</f>
        <v/>
      </c>
    </row>
    <row r="25" ht="92" customHeight="1">
      <c r="A25" s="124">
        <f>Checks!$A$458&amp;CHAR(10)&amp;IF(Checks!$I$458="","",Checks!$I$458&amp;": ")&amp;Checks!$J$458</f>
        <v/>
      </c>
      <c r="B25" s="124">
        <f>Checks!$K$458&amp;IF(Checks!$O$458="","",IF(Checks!$K$458="","",CHAR(10))&amp;"Note: "&amp;Checks!$O$458)</f>
        <v/>
      </c>
      <c r="C25" s="124">
        <f>Checks!$N$458&amp;CHAR(10)&amp;IF(ISNUMBER(Checks!$R$458),TEXT(Checks!$R$458,"DD-MMM-YY HH:MM"),"")&amp;" "&amp;Checks!$P$458</f>
        <v/>
      </c>
      <c r="D25" s="124">
        <f>IF(Checks!$U$458="","",Checks!$U$458)&amp;IF(Checks!$AB$458="","",CHAR(10)&amp;"CA: "&amp;Checks!$AB$458)</f>
        <v/>
      </c>
      <c r="E25" s="124">
        <f>IF(Checks!$V$458="","",Checks!$V$458)&amp;IF(Checks!$AC$458="","",IF(Checks!$V$458="","",CHAR(10))&amp;"N/A just.: "&amp;Checks!$AC$458)&amp;IF(Checks!$W$458="","",CHAR(10)&amp;"Batch: "&amp;Checks!$W$458)&amp;IF(AND(Checks!$X$458="",Checks!$Y$458=""),"",CHAR(10)&amp;"Exp: "&amp;Checks!$X$458&amp;"  /  Act: "&amp;Checks!$Y$458)</f>
        <v/>
      </c>
      <c r="F25" s="124">
        <f>IF(Checks!$Z$458="","","Evidence: "&amp;Checks!$Z$458)&amp;IF(Checks!$AA$458="","",IF(Checks!$Z$458="","",CHAR(10))&amp;"CA: "&amp;Checks!$AA$458)</f>
        <v/>
      </c>
      <c r="G25" s="124">
        <f>IF(ISNUMBER(Checks!$AD$458),TEXT(Checks!$AD$458,"DD-MMM-YY HH:MM")&amp;" "&amp;Checks!$P$458,"")&amp;IF(Checks!$AE$458="","",CHAR(10)&amp;Checks!$AE$458)</f>
        <v/>
      </c>
      <c r="H25" s="125">
        <f>IF(Checks!$AH$458="","",Checks!$AH$458)</f>
        <v/>
      </c>
    </row>
    <row r="26" ht="81" customHeight="1">
      <c r="A26" s="124">
        <f>Checks!$A$459&amp;CHAR(10)&amp;IF(Checks!$I$459="","",Checks!$I$459&amp;": ")&amp;Checks!$J$459</f>
        <v/>
      </c>
      <c r="B26" s="124">
        <f>Checks!$K$459&amp;IF(Checks!$O$459="","",IF(Checks!$K$459="","",CHAR(10))&amp;"Note: "&amp;Checks!$O$459)</f>
        <v/>
      </c>
      <c r="C26" s="124">
        <f>Checks!$N$459&amp;CHAR(10)&amp;IF(ISNUMBER(Checks!$R$459),TEXT(Checks!$R$459,"DD-MMM-YY HH:MM"),"")&amp;" "&amp;Checks!$P$459</f>
        <v/>
      </c>
      <c r="D26" s="124">
        <f>IF(Checks!$U$459="","",Checks!$U$459)&amp;IF(Checks!$AB$459="","",CHAR(10)&amp;"CA: "&amp;Checks!$AB$459)</f>
        <v/>
      </c>
      <c r="E26" s="124">
        <f>IF(Checks!$V$459="","",Checks!$V$459)&amp;IF(Checks!$AC$459="","",IF(Checks!$V$459="","",CHAR(10))&amp;"N/A just.: "&amp;Checks!$AC$459)&amp;IF(Checks!$W$459="","",CHAR(10)&amp;"Batch: "&amp;Checks!$W$459)&amp;IF(AND(Checks!$X$459="",Checks!$Y$459=""),"",CHAR(10)&amp;"Exp: "&amp;Checks!$X$459&amp;"  /  Act: "&amp;Checks!$Y$459)</f>
        <v/>
      </c>
      <c r="F26" s="124">
        <f>IF(Checks!$Z$459="","","Evidence: "&amp;Checks!$Z$459)&amp;IF(Checks!$AA$459="","",IF(Checks!$Z$459="","",CHAR(10))&amp;"CA: "&amp;Checks!$AA$459)</f>
        <v/>
      </c>
      <c r="G26" s="124">
        <f>IF(ISNUMBER(Checks!$AD$459),TEXT(Checks!$AD$459,"DD-MMM-YY HH:MM")&amp;" "&amp;Checks!$P$459,"")&amp;IF(Checks!$AE$459="","",CHAR(10)&amp;Checks!$AE$459)</f>
        <v/>
      </c>
      <c r="H26" s="125">
        <f>IF(Checks!$AH$459="","",Checks!$AH$459)</f>
        <v/>
      </c>
    </row>
    <row r="27" ht="81" customHeight="1">
      <c r="A27" s="124">
        <f>Checks!$A$460&amp;CHAR(10)&amp;IF(Checks!$I$460="","",Checks!$I$460&amp;": ")&amp;Checks!$J$460</f>
        <v/>
      </c>
      <c r="B27" s="124">
        <f>Checks!$K$460&amp;IF(Checks!$O$460="","",IF(Checks!$K$460="","",CHAR(10))&amp;"Note: "&amp;Checks!$O$460)</f>
        <v/>
      </c>
      <c r="C27" s="124">
        <f>Checks!$N$460&amp;CHAR(10)&amp;IF(ISNUMBER(Checks!$R$460),TEXT(Checks!$R$460,"DD-MMM-YY HH:MM"),"")&amp;" "&amp;Checks!$P$460</f>
        <v/>
      </c>
      <c r="D27" s="124">
        <f>IF(Checks!$U$460="","",Checks!$U$460)&amp;IF(Checks!$AB$460="","",CHAR(10)&amp;"CA: "&amp;Checks!$AB$460)</f>
        <v/>
      </c>
      <c r="E27" s="124">
        <f>IF(Checks!$V$460="","",Checks!$V$460)&amp;IF(Checks!$AC$460="","",IF(Checks!$V$460="","",CHAR(10))&amp;"N/A just.: "&amp;Checks!$AC$460)&amp;IF(Checks!$W$460="","",CHAR(10)&amp;"Batch: "&amp;Checks!$W$460)&amp;IF(AND(Checks!$X$460="",Checks!$Y$460=""),"",CHAR(10)&amp;"Exp: "&amp;Checks!$X$460&amp;"  /  Act: "&amp;Checks!$Y$460)</f>
        <v/>
      </c>
      <c r="F27" s="124">
        <f>IF(Checks!$Z$460="","","Evidence: "&amp;Checks!$Z$460)&amp;IF(Checks!$AA$460="","",IF(Checks!$Z$460="","",CHAR(10))&amp;"CA: "&amp;Checks!$AA$460)</f>
        <v/>
      </c>
      <c r="G27" s="124">
        <f>IF(ISNUMBER(Checks!$AD$460),TEXT(Checks!$AD$460,"DD-MMM-YY HH:MM")&amp;" "&amp;Checks!$P$460,"")&amp;IF(Checks!$AE$460="","",CHAR(10)&amp;Checks!$AE$460)</f>
        <v/>
      </c>
      <c r="H27" s="125">
        <f>IF(Checks!$AH$460="","",Checks!$AH$460)</f>
        <v/>
      </c>
    </row>
    <row r="28" ht="81" customHeight="1">
      <c r="A28" s="124">
        <f>Checks!$A$461&amp;CHAR(10)&amp;IF(Checks!$I$461="","",Checks!$I$461&amp;": ")&amp;Checks!$J$461</f>
        <v/>
      </c>
      <c r="B28" s="124">
        <f>Checks!$K$461&amp;IF(Checks!$O$461="","",IF(Checks!$K$461="","",CHAR(10))&amp;"Note: "&amp;Checks!$O$461)</f>
        <v/>
      </c>
      <c r="C28" s="124">
        <f>Checks!$N$461&amp;CHAR(10)&amp;IF(ISNUMBER(Checks!$R$461),TEXT(Checks!$R$461,"DD-MMM-YY HH:MM"),"")&amp;" "&amp;Checks!$P$461</f>
        <v/>
      </c>
      <c r="D28" s="124">
        <f>IF(Checks!$U$461="","",Checks!$U$461)&amp;IF(Checks!$AB$461="","",CHAR(10)&amp;"CA: "&amp;Checks!$AB$461)</f>
        <v/>
      </c>
      <c r="E28" s="124">
        <f>IF(Checks!$V$461="","",Checks!$V$461)&amp;IF(Checks!$AC$461="","",IF(Checks!$V$461="","",CHAR(10))&amp;"N/A just.: "&amp;Checks!$AC$461)&amp;IF(Checks!$W$461="","",CHAR(10)&amp;"Batch: "&amp;Checks!$W$461)&amp;IF(AND(Checks!$X$461="",Checks!$Y$461=""),"",CHAR(10)&amp;"Exp: "&amp;Checks!$X$461&amp;"  /  Act: "&amp;Checks!$Y$461)</f>
        <v/>
      </c>
      <c r="F28" s="124">
        <f>IF(Checks!$Z$461="","","Evidence: "&amp;Checks!$Z$461)&amp;IF(Checks!$AA$461="","",IF(Checks!$Z$461="","",CHAR(10))&amp;"CA: "&amp;Checks!$AA$461)</f>
        <v/>
      </c>
      <c r="G28" s="124">
        <f>IF(ISNUMBER(Checks!$AD$461),TEXT(Checks!$AD$461,"DD-MMM-YY HH:MM")&amp;" "&amp;Checks!$P$461,"")&amp;IF(Checks!$AE$461="","",CHAR(10)&amp;Checks!$AE$461)</f>
        <v/>
      </c>
      <c r="H28" s="125">
        <f>IF(Checks!$AH$461="","",Checks!$AH$461)</f>
        <v/>
      </c>
    </row>
    <row r="29" ht="81" customHeight="1">
      <c r="A29" s="124">
        <f>Checks!$A$462&amp;CHAR(10)&amp;IF(Checks!$I$462="","",Checks!$I$462&amp;": ")&amp;Checks!$J$462</f>
        <v/>
      </c>
      <c r="B29" s="124">
        <f>Checks!$K$462&amp;IF(Checks!$O$462="","",IF(Checks!$K$462="","",CHAR(10))&amp;"Note: "&amp;Checks!$O$462)</f>
        <v/>
      </c>
      <c r="C29" s="124">
        <f>Checks!$N$462&amp;CHAR(10)&amp;IF(ISNUMBER(Checks!$R$462),TEXT(Checks!$R$462,"DD-MMM-YY HH:MM"),"")&amp;" "&amp;Checks!$P$462</f>
        <v/>
      </c>
      <c r="D29" s="124">
        <f>IF(Checks!$U$462="","",Checks!$U$462)&amp;IF(Checks!$AB$462="","",CHAR(10)&amp;"CA: "&amp;Checks!$AB$462)</f>
        <v/>
      </c>
      <c r="E29" s="124">
        <f>IF(Checks!$V$462="","",Checks!$V$462)&amp;IF(Checks!$AC$462="","",IF(Checks!$V$462="","",CHAR(10))&amp;"N/A just.: "&amp;Checks!$AC$462)&amp;IF(Checks!$W$462="","",CHAR(10)&amp;"Batch: "&amp;Checks!$W$462)&amp;IF(AND(Checks!$X$462="",Checks!$Y$462=""),"",CHAR(10)&amp;"Exp: "&amp;Checks!$X$462&amp;"  /  Act: "&amp;Checks!$Y$462)</f>
        <v/>
      </c>
      <c r="F29" s="124">
        <f>IF(Checks!$Z$462="","","Evidence: "&amp;Checks!$Z$462)&amp;IF(Checks!$AA$462="","",IF(Checks!$Z$462="","",CHAR(10))&amp;"CA: "&amp;Checks!$AA$462)</f>
        <v/>
      </c>
      <c r="G29" s="124">
        <f>IF(ISNUMBER(Checks!$AD$462),TEXT(Checks!$AD$462,"DD-MMM-YY HH:MM")&amp;" "&amp;Checks!$P$462,"")&amp;IF(Checks!$AE$462="","",CHAR(10)&amp;Checks!$AE$462)</f>
        <v/>
      </c>
      <c r="H29" s="125">
        <f>IF(Checks!$AH$462="","",Checks!$AH$462)</f>
        <v/>
      </c>
    </row>
    <row r="30" ht="81" customHeight="1">
      <c r="A30" s="124">
        <f>Checks!$A$463&amp;CHAR(10)&amp;IF(Checks!$I$463="","",Checks!$I$463&amp;": ")&amp;Checks!$J$463</f>
        <v/>
      </c>
      <c r="B30" s="124">
        <f>Checks!$K$463&amp;IF(Checks!$O$463="","",IF(Checks!$K$463="","",CHAR(10))&amp;"Note: "&amp;Checks!$O$463)</f>
        <v/>
      </c>
      <c r="C30" s="124">
        <f>Checks!$N$463&amp;CHAR(10)&amp;IF(ISNUMBER(Checks!$R$463),TEXT(Checks!$R$463,"DD-MMM-YY HH:MM"),"")&amp;" "&amp;Checks!$P$463</f>
        <v/>
      </c>
      <c r="D30" s="124">
        <f>IF(Checks!$U$463="","",Checks!$U$463)&amp;IF(Checks!$AB$463="","",CHAR(10)&amp;"CA: "&amp;Checks!$AB$463)</f>
        <v/>
      </c>
      <c r="E30" s="124">
        <f>IF(Checks!$V$463="","",Checks!$V$463)&amp;IF(Checks!$AC$463="","",IF(Checks!$V$463="","",CHAR(10))&amp;"N/A just.: "&amp;Checks!$AC$463)&amp;IF(Checks!$W$463="","",CHAR(10)&amp;"Batch: "&amp;Checks!$W$463)&amp;IF(AND(Checks!$X$463="",Checks!$Y$463=""),"",CHAR(10)&amp;"Exp: "&amp;Checks!$X$463&amp;"  /  Act: "&amp;Checks!$Y$463)</f>
        <v/>
      </c>
      <c r="F30" s="124">
        <f>IF(Checks!$Z$463="","","Evidence: "&amp;Checks!$Z$463)&amp;IF(Checks!$AA$463="","",IF(Checks!$Z$463="","",CHAR(10))&amp;"CA: "&amp;Checks!$AA$463)</f>
        <v/>
      </c>
      <c r="G30" s="124">
        <f>IF(ISNUMBER(Checks!$AD$463),TEXT(Checks!$AD$463,"DD-MMM-YY HH:MM")&amp;" "&amp;Checks!$P$463,"")&amp;IF(Checks!$AE$463="","",CHAR(10)&amp;Checks!$AE$463)</f>
        <v/>
      </c>
      <c r="H30" s="125">
        <f>IF(Checks!$AH$463="","",Checks!$AH$463)</f>
        <v/>
      </c>
    </row>
    <row r="31" ht="81" customHeight="1">
      <c r="A31" s="124">
        <f>Checks!$A$464&amp;CHAR(10)&amp;IF(Checks!$I$464="","",Checks!$I$464&amp;": ")&amp;Checks!$J$464</f>
        <v/>
      </c>
      <c r="B31" s="124">
        <f>Checks!$K$464&amp;IF(Checks!$O$464="","",IF(Checks!$K$464="","",CHAR(10))&amp;"Note: "&amp;Checks!$O$464)</f>
        <v/>
      </c>
      <c r="C31" s="124">
        <f>Checks!$N$464&amp;CHAR(10)&amp;IF(ISNUMBER(Checks!$R$464),TEXT(Checks!$R$464,"DD-MMM-YY HH:MM"),"")&amp;" "&amp;Checks!$P$464</f>
        <v/>
      </c>
      <c r="D31" s="124">
        <f>IF(Checks!$U$464="","",Checks!$U$464)&amp;IF(Checks!$AB$464="","",CHAR(10)&amp;"CA: "&amp;Checks!$AB$464)</f>
        <v/>
      </c>
      <c r="E31" s="124">
        <f>IF(Checks!$V$464="","",Checks!$V$464)&amp;IF(Checks!$AC$464="","",IF(Checks!$V$464="","",CHAR(10))&amp;"N/A just.: "&amp;Checks!$AC$464)&amp;IF(Checks!$W$464="","",CHAR(10)&amp;"Batch: "&amp;Checks!$W$464)&amp;IF(AND(Checks!$X$464="",Checks!$Y$464=""),"",CHAR(10)&amp;"Exp: "&amp;Checks!$X$464&amp;"  /  Act: "&amp;Checks!$Y$464)</f>
        <v/>
      </c>
      <c r="F31" s="124">
        <f>IF(Checks!$Z$464="","","Evidence: "&amp;Checks!$Z$464)&amp;IF(Checks!$AA$464="","",IF(Checks!$Z$464="","",CHAR(10))&amp;"CA: "&amp;Checks!$AA$464)</f>
        <v/>
      </c>
      <c r="G31" s="124">
        <f>IF(ISNUMBER(Checks!$AD$464),TEXT(Checks!$AD$464,"DD-MMM-YY HH:MM")&amp;" "&amp;Checks!$P$464,"")&amp;IF(Checks!$AE$464="","",CHAR(10)&amp;Checks!$AE$464)</f>
        <v/>
      </c>
      <c r="H31" s="125">
        <f>IF(Checks!$AH$464="","",Checks!$AH$464)</f>
        <v/>
      </c>
    </row>
    <row r="32" ht="26" customHeight="1">
      <c r="A32" s="123">
        <f>"T-24H — Production batch sensory  |  Due "&amp;IF(ISNUMBER(Flights!$AH$18),TEXT(Flights!$AH$18,"DD-MMM-YY HH:MM"),"")&amp;" "&amp;Flights!$V$18&amp;" (meal uplift stn)"&amp;" (rows with another due show their own)  |  Complete "&amp;IF(ISNUMBER(Flights!$AK$18),TEXT(Flights!$AK$18,"0%"),Flights!$AK$18)&amp;"  |  1 lines"</f>
        <v/>
      </c>
      <c r="B32" s="97" t="n"/>
      <c r="C32" s="97" t="n"/>
      <c r="D32" s="97" t="n"/>
      <c r="E32" s="97" t="n"/>
      <c r="F32" s="97" t="n"/>
      <c r="G32" s="97" t="n"/>
      <c r="H32" s="98" t="n"/>
    </row>
    <row r="33" ht="81" customHeight="1">
      <c r="A33" s="124">
        <f>Checks!$A$465&amp;CHAR(10)&amp;IF(Checks!$I$465="","",Checks!$I$465&amp;": ")&amp;Checks!$J$465</f>
        <v/>
      </c>
      <c r="B33" s="124">
        <f>Checks!$K$465&amp;IF(Checks!$O$465="","",IF(Checks!$K$465="","",CHAR(10))&amp;"Note: "&amp;Checks!$O$465)</f>
        <v/>
      </c>
      <c r="C33" s="124">
        <f>Checks!$N$465&amp;CHAR(10)&amp;IF(ISNUMBER(Checks!$R$465),TEXT(Checks!$R$465,"DD-MMM-YY HH:MM"),"")&amp;" "&amp;Checks!$P$465</f>
        <v/>
      </c>
      <c r="D33" s="124">
        <f>IF(Checks!$U$465="","",Checks!$U$465)&amp;IF(Checks!$AB$465="","",CHAR(10)&amp;"CA: "&amp;Checks!$AB$465)</f>
        <v/>
      </c>
      <c r="E33" s="124">
        <f>IF(Checks!$V$465="","",Checks!$V$465)&amp;IF(Checks!$AC$465="","",IF(Checks!$V$465="","",CHAR(10))&amp;"N/A just.: "&amp;Checks!$AC$465)&amp;IF(Checks!$W$465="","",CHAR(10)&amp;"Batch: "&amp;Checks!$W$465)&amp;IF(AND(Checks!$X$465="",Checks!$Y$465=""),"",CHAR(10)&amp;"Exp: "&amp;Checks!$X$465&amp;"  /  Act: "&amp;Checks!$Y$465)</f>
        <v/>
      </c>
      <c r="F33" s="124">
        <f>IF(Checks!$Z$465="","","Evidence: "&amp;Checks!$Z$465)&amp;IF(Checks!$AA$465="","",IF(Checks!$Z$465="","",CHAR(10))&amp;"CA: "&amp;Checks!$AA$465)</f>
        <v/>
      </c>
      <c r="G33" s="124">
        <f>IF(ISNUMBER(Checks!$AD$465),TEXT(Checks!$AD$465,"DD-MMM-YY HH:MM")&amp;" "&amp;Checks!$P$465,"")&amp;IF(Checks!$AE$465="","",CHAR(10)&amp;Checks!$AE$465)</f>
        <v/>
      </c>
      <c r="H33" s="125">
        <f>IF(Checks!$AH$465="","",Checks!$AH$465)</f>
        <v/>
      </c>
    </row>
    <row r="34" ht="26" customHeight="1">
      <c r="A34" s="123">
        <f>"T-12H PREP — Preparation check at caterer (does NOT confirm loading)  |  Due "&amp;IF(ISNUMBER(Flights!$AI$18),TEXT(Flights!$AI$18,"DD-MMM-YY HH:MM"),"")&amp;" "&amp;Flights!$V$18&amp;" (meal uplift stn)"&amp;" (rows with another due show their own)  |  Complete "&amp;IF(ISNUMBER(Flights!$AL$18),TEXT(Flights!$AL$18,"0%"),Flights!$AL$18)&amp;"  |  10 lines"</f>
        <v/>
      </c>
      <c r="B34" s="97" t="n"/>
      <c r="C34" s="97" t="n"/>
      <c r="D34" s="97" t="n"/>
      <c r="E34" s="97" t="n"/>
      <c r="F34" s="97" t="n"/>
      <c r="G34" s="97" t="n"/>
      <c r="H34" s="98" t="n"/>
    </row>
    <row r="35" ht="81" customHeight="1">
      <c r="A35" s="124">
        <f>Checks!$A$466&amp;CHAR(10)&amp;IF(Checks!$I$466="","",Checks!$I$466&amp;": ")&amp;Checks!$J$466</f>
        <v/>
      </c>
      <c r="B35" s="124">
        <f>Checks!$K$466&amp;IF(Checks!$O$466="","",IF(Checks!$K$466="","",CHAR(10))&amp;"Note: "&amp;Checks!$O$466)</f>
        <v/>
      </c>
      <c r="C35" s="124">
        <f>Checks!$N$466&amp;CHAR(10)&amp;IF(ISNUMBER(Checks!$R$466),TEXT(Checks!$R$466,"DD-MMM-YY HH:MM"),"")&amp;" "&amp;Checks!$P$466</f>
        <v/>
      </c>
      <c r="D35" s="124">
        <f>IF(Checks!$U$466="","",Checks!$U$466)&amp;IF(Checks!$AB$466="","",CHAR(10)&amp;"CA: "&amp;Checks!$AB$466)</f>
        <v/>
      </c>
      <c r="E35" s="124">
        <f>IF(Checks!$V$466="","",Checks!$V$466)&amp;IF(Checks!$AC$466="","",IF(Checks!$V$466="","",CHAR(10))&amp;"N/A just.: "&amp;Checks!$AC$466)&amp;IF(Checks!$W$466="","",CHAR(10)&amp;"Batch: "&amp;Checks!$W$466)&amp;IF(AND(Checks!$X$466="",Checks!$Y$466=""),"",CHAR(10)&amp;"Exp: "&amp;Checks!$X$466&amp;"  /  Act: "&amp;Checks!$Y$466)</f>
        <v/>
      </c>
      <c r="F35" s="124">
        <f>IF(Checks!$Z$466="","","Evidence: "&amp;Checks!$Z$466)&amp;IF(Checks!$AA$466="","",IF(Checks!$Z$466="","",CHAR(10))&amp;"CA: "&amp;Checks!$AA$466)</f>
        <v/>
      </c>
      <c r="G35" s="124">
        <f>IF(ISNUMBER(Checks!$AD$466),TEXT(Checks!$AD$466,"DD-MMM-YY HH:MM")&amp;" "&amp;Checks!$P$466,"")&amp;IF(Checks!$AE$466="","",CHAR(10)&amp;Checks!$AE$466)</f>
        <v/>
      </c>
      <c r="H35" s="125">
        <f>IF(Checks!$AH$466="","",Checks!$AH$466)</f>
        <v/>
      </c>
    </row>
    <row r="36" ht="81" customHeight="1">
      <c r="A36" s="124">
        <f>Checks!$A$467&amp;CHAR(10)&amp;IF(Checks!$I$467="","",Checks!$I$467&amp;": ")&amp;Checks!$J$467</f>
        <v/>
      </c>
      <c r="B36" s="124">
        <f>Checks!$K$467&amp;IF(Checks!$O$467="","",IF(Checks!$K$467="","",CHAR(10))&amp;"Note: "&amp;Checks!$O$467)</f>
        <v/>
      </c>
      <c r="C36" s="124">
        <f>Checks!$N$467&amp;CHAR(10)&amp;IF(ISNUMBER(Checks!$R$467),TEXT(Checks!$R$467,"DD-MMM-YY HH:MM"),"")&amp;" "&amp;Checks!$P$467</f>
        <v/>
      </c>
      <c r="D36" s="124">
        <f>IF(Checks!$U$467="","",Checks!$U$467)&amp;IF(Checks!$AB$467="","",CHAR(10)&amp;"CA: "&amp;Checks!$AB$467)</f>
        <v/>
      </c>
      <c r="E36" s="124">
        <f>IF(Checks!$V$467="","",Checks!$V$467)&amp;IF(Checks!$AC$467="","",IF(Checks!$V$467="","",CHAR(10))&amp;"N/A just.: "&amp;Checks!$AC$467)&amp;IF(Checks!$W$467="","",CHAR(10)&amp;"Batch: "&amp;Checks!$W$467)&amp;IF(AND(Checks!$X$467="",Checks!$Y$467=""),"",CHAR(10)&amp;"Exp: "&amp;Checks!$X$467&amp;"  /  Act: "&amp;Checks!$Y$467)</f>
        <v/>
      </c>
      <c r="F36" s="124">
        <f>IF(Checks!$Z$467="","","Evidence: "&amp;Checks!$Z$467)&amp;IF(Checks!$AA$467="","",IF(Checks!$Z$467="","",CHAR(10))&amp;"CA: "&amp;Checks!$AA$467)</f>
        <v/>
      </c>
      <c r="G36" s="124">
        <f>IF(ISNUMBER(Checks!$AD$467),TEXT(Checks!$AD$467,"DD-MMM-YY HH:MM")&amp;" "&amp;Checks!$P$467,"")&amp;IF(Checks!$AE$467="","",CHAR(10)&amp;Checks!$AE$467)</f>
        <v/>
      </c>
      <c r="H36" s="125">
        <f>IF(Checks!$AH$467="","",Checks!$AH$467)</f>
        <v/>
      </c>
    </row>
    <row r="37" ht="81" customHeight="1">
      <c r="A37" s="124">
        <f>Checks!$A$468&amp;CHAR(10)&amp;IF(Checks!$I$468="","",Checks!$I$468&amp;": ")&amp;Checks!$J$468</f>
        <v/>
      </c>
      <c r="B37" s="124">
        <f>Checks!$K$468&amp;IF(Checks!$O$468="","",IF(Checks!$K$468="","",CHAR(10))&amp;"Note: "&amp;Checks!$O$468)</f>
        <v/>
      </c>
      <c r="C37" s="124">
        <f>Checks!$N$468&amp;CHAR(10)&amp;IF(ISNUMBER(Checks!$R$468),TEXT(Checks!$R$468,"DD-MMM-YY HH:MM"),"")&amp;" "&amp;Checks!$P$468</f>
        <v/>
      </c>
      <c r="D37" s="124">
        <f>IF(Checks!$U$468="","",Checks!$U$468)&amp;IF(Checks!$AB$468="","",CHAR(10)&amp;"CA: "&amp;Checks!$AB$468)</f>
        <v/>
      </c>
      <c r="E37" s="124">
        <f>IF(Checks!$V$468="","",Checks!$V$468)&amp;IF(Checks!$AC$468="","",IF(Checks!$V$468="","",CHAR(10))&amp;"N/A just.: "&amp;Checks!$AC$468)&amp;IF(Checks!$W$468="","",CHAR(10)&amp;"Batch: "&amp;Checks!$W$468)&amp;IF(AND(Checks!$X$468="",Checks!$Y$468=""),"",CHAR(10)&amp;"Exp: "&amp;Checks!$X$468&amp;"  /  Act: "&amp;Checks!$Y$468)</f>
        <v/>
      </c>
      <c r="F37" s="124">
        <f>IF(Checks!$Z$468="","","Evidence: "&amp;Checks!$Z$468)&amp;IF(Checks!$AA$468="","",IF(Checks!$Z$468="","",CHAR(10))&amp;"CA: "&amp;Checks!$AA$468)</f>
        <v/>
      </c>
      <c r="G37" s="124">
        <f>IF(ISNUMBER(Checks!$AD$468),TEXT(Checks!$AD$468,"DD-MMM-YY HH:MM")&amp;" "&amp;Checks!$P$468,"")&amp;IF(Checks!$AE$468="","",CHAR(10)&amp;Checks!$AE$468)</f>
        <v/>
      </c>
      <c r="H37" s="125">
        <f>IF(Checks!$AH$468="","",Checks!$AH$468)</f>
        <v/>
      </c>
    </row>
    <row r="38" ht="81" customHeight="1">
      <c r="A38" s="124">
        <f>Checks!$A$469&amp;CHAR(10)&amp;IF(Checks!$I$469="","",Checks!$I$469&amp;": ")&amp;Checks!$J$469</f>
        <v/>
      </c>
      <c r="B38" s="124">
        <f>Checks!$K$469&amp;IF(Checks!$O$469="","",IF(Checks!$K$469="","",CHAR(10))&amp;"Note: "&amp;Checks!$O$469)</f>
        <v/>
      </c>
      <c r="C38" s="124">
        <f>Checks!$N$469&amp;CHAR(10)&amp;IF(ISNUMBER(Checks!$R$469),TEXT(Checks!$R$469,"DD-MMM-YY HH:MM"),"")&amp;" "&amp;Checks!$P$469</f>
        <v/>
      </c>
      <c r="D38" s="124">
        <f>IF(Checks!$U$469="","",Checks!$U$469)&amp;IF(Checks!$AB$469="","",CHAR(10)&amp;"CA: "&amp;Checks!$AB$469)</f>
        <v/>
      </c>
      <c r="E38" s="124">
        <f>IF(Checks!$V$469="","",Checks!$V$469)&amp;IF(Checks!$AC$469="","",IF(Checks!$V$469="","",CHAR(10))&amp;"N/A just.: "&amp;Checks!$AC$469)&amp;IF(Checks!$W$469="","",CHAR(10)&amp;"Batch: "&amp;Checks!$W$469)&amp;IF(AND(Checks!$X$469="",Checks!$Y$469=""),"",CHAR(10)&amp;"Exp: "&amp;Checks!$X$469&amp;"  /  Act: "&amp;Checks!$Y$469)</f>
        <v/>
      </c>
      <c r="F38" s="124">
        <f>IF(Checks!$Z$469="","","Evidence: "&amp;Checks!$Z$469)&amp;IF(Checks!$AA$469="","",IF(Checks!$Z$469="","",CHAR(10))&amp;"CA: "&amp;Checks!$AA$469)</f>
        <v/>
      </c>
      <c r="G38" s="124">
        <f>IF(ISNUMBER(Checks!$AD$469),TEXT(Checks!$AD$469,"DD-MMM-YY HH:MM")&amp;" "&amp;Checks!$P$469,"")&amp;IF(Checks!$AE$469="","",CHAR(10)&amp;Checks!$AE$469)</f>
        <v/>
      </c>
      <c r="H38" s="125">
        <f>IF(Checks!$AH$469="","",Checks!$AH$469)</f>
        <v/>
      </c>
    </row>
    <row r="39" ht="81" customHeight="1">
      <c r="A39" s="124">
        <f>Checks!$A$470&amp;CHAR(10)&amp;IF(Checks!$I$470="","",Checks!$I$470&amp;": ")&amp;Checks!$J$470</f>
        <v/>
      </c>
      <c r="B39" s="124">
        <f>Checks!$K$470&amp;IF(Checks!$O$470="","",IF(Checks!$K$470="","",CHAR(10))&amp;"Note: "&amp;Checks!$O$470)</f>
        <v/>
      </c>
      <c r="C39" s="124">
        <f>Checks!$N$470&amp;CHAR(10)&amp;IF(ISNUMBER(Checks!$R$470),TEXT(Checks!$R$470,"DD-MMM-YY HH:MM"),"")&amp;" "&amp;Checks!$P$470</f>
        <v/>
      </c>
      <c r="D39" s="124">
        <f>IF(Checks!$U$470="","",Checks!$U$470)&amp;IF(Checks!$AB$470="","",CHAR(10)&amp;"CA: "&amp;Checks!$AB$470)</f>
        <v/>
      </c>
      <c r="E39" s="124">
        <f>IF(Checks!$V$470="","",Checks!$V$470)&amp;IF(Checks!$AC$470="","",IF(Checks!$V$470="","",CHAR(10))&amp;"N/A just.: "&amp;Checks!$AC$470)&amp;IF(Checks!$W$470="","",CHAR(10)&amp;"Batch: "&amp;Checks!$W$470)&amp;IF(AND(Checks!$X$470="",Checks!$Y$470=""),"",CHAR(10)&amp;"Exp: "&amp;Checks!$X$470&amp;"  /  Act: "&amp;Checks!$Y$470)</f>
        <v/>
      </c>
      <c r="F39" s="124">
        <f>IF(Checks!$Z$470="","","Evidence: "&amp;Checks!$Z$470)&amp;IF(Checks!$AA$470="","",IF(Checks!$Z$470="","",CHAR(10))&amp;"CA: "&amp;Checks!$AA$470)</f>
        <v/>
      </c>
      <c r="G39" s="124">
        <f>IF(ISNUMBER(Checks!$AD$470),TEXT(Checks!$AD$470,"DD-MMM-YY HH:MM")&amp;" "&amp;Checks!$P$470,"")&amp;IF(Checks!$AE$470="","",CHAR(10)&amp;Checks!$AE$470)</f>
        <v/>
      </c>
      <c r="H39" s="125">
        <f>IF(Checks!$AH$470="","",Checks!$AH$470)</f>
        <v/>
      </c>
    </row>
    <row r="40" ht="279" customHeight="1">
      <c r="A40" s="124">
        <f>Checks!$A$471&amp;CHAR(10)&amp;IF(Checks!$I$471="","",Checks!$I$471&amp;": ")&amp;Checks!$J$471</f>
        <v/>
      </c>
      <c r="B40" s="124">
        <f>SUBSTITUTE(Checks!$K$471&amp;IF(Checks!$O$471="","",IF(Checks!$K$471="","",CHAR(10))&amp;"Note: "&amp;Checks!$O$471),"AIRCRAFT TYPE!","Ref: AIRCRAFT TYPE!")</f>
        <v/>
      </c>
      <c r="C40" s="124">
        <f>Checks!$N$471&amp;CHAR(10)&amp;IF(ISNUMBER(Checks!$R$471),TEXT(Checks!$R$471,"DD-MMM-YY HH:MM"),"")&amp;" "&amp;Checks!$P$471</f>
        <v/>
      </c>
      <c r="D40" s="124">
        <f>IF(Checks!$U$471="","",Checks!$U$471)&amp;IF(Checks!$AB$471="","",CHAR(10)&amp;"CA: "&amp;Checks!$AB$471)</f>
        <v/>
      </c>
      <c r="E40" s="124">
        <f>IF(Checks!$V$471="","",Checks!$V$471)&amp;IF(Checks!$AC$471="","",IF(Checks!$V$471="","",CHAR(10))&amp;"N/A just.: "&amp;Checks!$AC$471)&amp;IF(Checks!$W$471="","",CHAR(10)&amp;"Batch: "&amp;Checks!$W$471)&amp;IF(AND(Checks!$X$471="",Checks!$Y$471=""),"",CHAR(10)&amp;"Exp: "&amp;Checks!$X$471&amp;"  /  Act: "&amp;Checks!$Y$471)</f>
        <v/>
      </c>
      <c r="F40" s="124">
        <f>IF(Checks!$Z$471="","","Evidence: "&amp;Checks!$Z$471)&amp;IF(Checks!$AA$471="","",IF(Checks!$Z$471="","",CHAR(10))&amp;"CA: "&amp;Checks!$AA$471)</f>
        <v/>
      </c>
      <c r="G40" s="124">
        <f>IF(ISNUMBER(Checks!$AD$471),TEXT(Checks!$AD$471,"DD-MMM-YY HH:MM")&amp;" "&amp;Checks!$P$471,"")&amp;IF(Checks!$AE$471="","",CHAR(10)&amp;Checks!$AE$471)</f>
        <v/>
      </c>
      <c r="H40" s="125">
        <f>IF(Checks!$AH$471="","",Checks!$AH$471)</f>
        <v/>
      </c>
    </row>
    <row r="41" ht="81" customHeight="1">
      <c r="A41" s="124">
        <f>Checks!$A$472&amp;CHAR(10)&amp;IF(Checks!$I$472="","",Checks!$I$472&amp;": ")&amp;Checks!$J$472</f>
        <v/>
      </c>
      <c r="B41" s="124">
        <f>Checks!$K$472&amp;IF(Checks!$O$472="","",IF(Checks!$K$472="","",CHAR(10))&amp;"Note: "&amp;Checks!$O$472)</f>
        <v/>
      </c>
      <c r="C41" s="124">
        <f>Checks!$N$472&amp;CHAR(10)&amp;IF(ISNUMBER(Checks!$R$472),TEXT(Checks!$R$472,"DD-MMM-YY HH:MM"),"")&amp;" "&amp;Checks!$P$472</f>
        <v/>
      </c>
      <c r="D41" s="124">
        <f>IF(Checks!$U$472="","",Checks!$U$472)&amp;IF(Checks!$AB$472="","",CHAR(10)&amp;"CA: "&amp;Checks!$AB$472)</f>
        <v/>
      </c>
      <c r="E41" s="124">
        <f>IF(Checks!$V$472="","",Checks!$V$472)&amp;IF(Checks!$AC$472="","",IF(Checks!$V$472="","",CHAR(10))&amp;"N/A just.: "&amp;Checks!$AC$472)&amp;IF(Checks!$W$472="","",CHAR(10)&amp;"Batch: "&amp;Checks!$W$472)&amp;IF(AND(Checks!$X$472="",Checks!$Y$472=""),"",CHAR(10)&amp;"Exp: "&amp;Checks!$X$472&amp;"  /  Act: "&amp;Checks!$Y$472)</f>
        <v/>
      </c>
      <c r="F41" s="124">
        <f>IF(Checks!$Z$472="","","Evidence: "&amp;Checks!$Z$472)&amp;IF(Checks!$AA$472="","",IF(Checks!$Z$472="","",CHAR(10))&amp;"CA: "&amp;Checks!$AA$472)</f>
        <v/>
      </c>
      <c r="G41" s="124">
        <f>IF(ISNUMBER(Checks!$AD$472),TEXT(Checks!$AD$472,"DD-MMM-YY HH:MM")&amp;" "&amp;Checks!$P$472,"")&amp;IF(Checks!$AE$472="","",CHAR(10)&amp;Checks!$AE$472)</f>
        <v/>
      </c>
      <c r="H41" s="125">
        <f>IF(Checks!$AH$472="","",Checks!$AH$472)</f>
        <v/>
      </c>
    </row>
    <row r="42" ht="246" customHeight="1">
      <c r="A42" s="124">
        <f>Checks!$A$473&amp;CHAR(10)&amp;IF(Checks!$I$473="","",Checks!$I$473&amp;": ")&amp;Checks!$J$473</f>
        <v/>
      </c>
      <c r="B42" s="124">
        <f>SUBSTITUTE(Checks!$K$473&amp;IF(Checks!$O$473="","",IF(Checks!$K$473="","",CHAR(10))&amp;"Note: "&amp;Checks!$O$473),"AMENITIES!","Ref: AMENITIES!")</f>
        <v/>
      </c>
      <c r="C42" s="124">
        <f>Checks!$N$473&amp;CHAR(10)&amp;IF(ISNUMBER(Checks!$R$473),TEXT(Checks!$R$473,"DD-MMM-YY HH:MM"),"")&amp;" "&amp;Checks!$P$473</f>
        <v/>
      </c>
      <c r="D42" s="124">
        <f>IF(Checks!$U$473="","",Checks!$U$473)&amp;IF(Checks!$AB$473="","",CHAR(10)&amp;"CA: "&amp;Checks!$AB$473)</f>
        <v/>
      </c>
      <c r="E42" s="124">
        <f>IF(Checks!$V$473="","",Checks!$V$473)&amp;IF(Checks!$AC$473="","",IF(Checks!$V$473="","",CHAR(10))&amp;"N/A just.: "&amp;Checks!$AC$473)&amp;IF(Checks!$W$473="","",CHAR(10)&amp;"Batch: "&amp;Checks!$W$473)&amp;IF(AND(Checks!$X$473="",Checks!$Y$473=""),"",CHAR(10)&amp;"Exp: "&amp;Checks!$X$473&amp;"  /  Act: "&amp;Checks!$Y$473)</f>
        <v/>
      </c>
      <c r="F42" s="124">
        <f>IF(Checks!$Z$473="","","Evidence: "&amp;Checks!$Z$473)&amp;IF(Checks!$AA$473="","",IF(Checks!$Z$473="","",CHAR(10))&amp;"CA: "&amp;Checks!$AA$473)</f>
        <v/>
      </c>
      <c r="G42" s="124">
        <f>IF(ISNUMBER(Checks!$AD$473),TEXT(Checks!$AD$473,"DD-MMM-YY HH:MM")&amp;" "&amp;Checks!$P$473,"")&amp;IF(Checks!$AE$473="","",CHAR(10)&amp;Checks!$AE$473)</f>
        <v/>
      </c>
      <c r="H42" s="125">
        <f>IF(Checks!$AH$473="","",Checks!$AH$473)</f>
        <v/>
      </c>
    </row>
    <row r="43" ht="92" customHeight="1">
      <c r="A43" s="124">
        <f>Checks!$A$474&amp;CHAR(10)&amp;IF(Checks!$I$474="","",Checks!$I$474&amp;": ")&amp;Checks!$J$474</f>
        <v/>
      </c>
      <c r="B43" s="124">
        <f>Checks!$K$474&amp;IF(Checks!$O$474="","",IF(Checks!$K$474="","",CHAR(10))&amp;"Note: "&amp;Checks!$O$474)</f>
        <v/>
      </c>
      <c r="C43" s="124">
        <f>Checks!$N$474&amp;CHAR(10)&amp;IF(ISNUMBER(Checks!$R$474),TEXT(Checks!$R$474,"DD-MMM-YY HH:MM"),"")&amp;" "&amp;Checks!$P$474</f>
        <v/>
      </c>
      <c r="D43" s="124">
        <f>IF(Checks!$U$474="","",Checks!$U$474)&amp;IF(Checks!$AB$474="","",CHAR(10)&amp;"CA: "&amp;Checks!$AB$474)</f>
        <v/>
      </c>
      <c r="E43" s="124">
        <f>IF(Checks!$V$474="","",Checks!$V$474)&amp;IF(Checks!$AC$474="","",IF(Checks!$V$474="","",CHAR(10))&amp;"N/A just.: "&amp;Checks!$AC$474)&amp;IF(Checks!$W$474="","",CHAR(10)&amp;"Batch: "&amp;Checks!$W$474)&amp;IF(AND(Checks!$X$474="",Checks!$Y$474=""),"",CHAR(10)&amp;"Exp: "&amp;Checks!$X$474&amp;"  /  Act: "&amp;Checks!$Y$474)</f>
        <v/>
      </c>
      <c r="F43" s="124">
        <f>IF(Checks!$Z$474="","","Evidence: "&amp;Checks!$Z$474)&amp;IF(Checks!$AA$474="","",IF(Checks!$Z$474="","",CHAR(10))&amp;"CA: "&amp;Checks!$AA$474)</f>
        <v/>
      </c>
      <c r="G43" s="124">
        <f>IF(ISNUMBER(Checks!$AD$474),TEXT(Checks!$AD$474,"DD-MMM-YY HH:MM")&amp;" "&amp;Checks!$P$474,"")&amp;IF(Checks!$AE$474="","",CHAR(10)&amp;Checks!$AE$474)</f>
        <v/>
      </c>
      <c r="H43" s="125">
        <f>IF(Checks!$AH$474="","",Checks!$AH$474)</f>
        <v/>
      </c>
    </row>
    <row r="44" ht="224" customHeight="1">
      <c r="A44" s="124">
        <f>Checks!$A$475&amp;CHAR(10)&amp;IF(Checks!$I$475="","",Checks!$I$475&amp;": ")&amp;Checks!$J$475</f>
        <v/>
      </c>
      <c r="B44" s="124">
        <f>SUBSTITUTE(Checks!$K$475&amp;IF(Checks!$O$475="","",IF(Checks!$K$475="","",CHAR(10))&amp;"Note: "&amp;Checks!$O$475),"SEAT LINEN!","Ref: SEAT LINEN!")</f>
        <v/>
      </c>
      <c r="C44" s="124">
        <f>Checks!$N$475&amp;CHAR(10)&amp;IF(ISNUMBER(Checks!$R$475),TEXT(Checks!$R$475,"DD-MMM-YY HH:MM"),"")&amp;" "&amp;Checks!$P$475</f>
        <v/>
      </c>
      <c r="D44" s="124">
        <f>IF(Checks!$U$475="","",Checks!$U$475)&amp;IF(Checks!$AB$475="","",CHAR(10)&amp;"CA: "&amp;Checks!$AB$475)</f>
        <v/>
      </c>
      <c r="E44" s="124">
        <f>IF(Checks!$V$475="","",Checks!$V$475)&amp;IF(Checks!$AC$475="","",IF(Checks!$V$475="","",CHAR(10))&amp;"N/A just.: "&amp;Checks!$AC$475)&amp;IF(Checks!$W$475="","",CHAR(10)&amp;"Batch: "&amp;Checks!$W$475)&amp;IF(AND(Checks!$X$475="",Checks!$Y$475=""),"",CHAR(10)&amp;"Exp: "&amp;Checks!$X$475&amp;"  /  Act: "&amp;Checks!$Y$475)</f>
        <v/>
      </c>
      <c r="F44" s="124">
        <f>IF(Checks!$Z$475="","","Evidence: "&amp;Checks!$Z$475)&amp;IF(Checks!$AA$475="","",IF(Checks!$Z$475="","",CHAR(10))&amp;"CA: "&amp;Checks!$AA$475)</f>
        <v/>
      </c>
      <c r="G44" s="124">
        <f>IF(ISNUMBER(Checks!$AD$475),TEXT(Checks!$AD$475,"DD-MMM-YY HH:MM")&amp;" "&amp;Checks!$P$475,"")&amp;IF(Checks!$AE$475="","",CHAR(10)&amp;Checks!$AE$475)</f>
        <v/>
      </c>
      <c r="H44" s="125">
        <f>IF(Checks!$AH$475="","",Checks!$AH$475)</f>
        <v/>
      </c>
    </row>
    <row r="45" ht="26" customHeight="1">
      <c r="A45" s="123">
        <f>"UPLIFT — Physical uplift – on-board confirmation before departure  |  Due "&amp;"STD "&amp;IF(ISNUMBER(Flights!$I$18),TEXT(Flights!$I$18,"DD-MMM-YY HH:MM"),"")&amp;" "&amp;Flights!$G$18&amp;" (departure stn)"&amp;" (rows with another due show their own)  |  Complete "&amp;IF(ISNUMBER(Flights!$AM$18),TEXT(Flights!$AM$18,"0%"),Flights!$AM$18)&amp;"  |  5 lines"</f>
        <v/>
      </c>
      <c r="B45" s="97" t="n"/>
      <c r="C45" s="97" t="n"/>
      <c r="D45" s="97" t="n"/>
      <c r="E45" s="97" t="n"/>
      <c r="F45" s="97" t="n"/>
      <c r="G45" s="97" t="n"/>
      <c r="H45" s="98" t="n"/>
    </row>
    <row r="46" ht="81" customHeight="1">
      <c r="A46" s="124">
        <f>Checks!$A$476&amp;CHAR(10)&amp;IF(Checks!$I$476="","",Checks!$I$476&amp;": ")&amp;Checks!$J$476</f>
        <v/>
      </c>
      <c r="B46" s="124">
        <f>Checks!$K$476&amp;IF(Checks!$O$476="","",IF(Checks!$K$476="","",CHAR(10))&amp;"Note: "&amp;Checks!$O$476)</f>
        <v/>
      </c>
      <c r="C46" s="124">
        <f>Checks!$N$476&amp;CHAR(10)&amp;IF(ISNUMBER(Checks!$R$476),TEXT(Checks!$R$476,"DD-MMM-YY HH:MM"),"")&amp;" "&amp;Checks!$P$476</f>
        <v/>
      </c>
      <c r="D46" s="124">
        <f>IF(Checks!$U$476="","",Checks!$U$476)&amp;IF(Checks!$AB$476="","",CHAR(10)&amp;"CA: "&amp;Checks!$AB$476)</f>
        <v/>
      </c>
      <c r="E46" s="124">
        <f>IF(Checks!$V$476="","",Checks!$V$476)&amp;IF(Checks!$AC$476="","",IF(Checks!$V$476="","",CHAR(10))&amp;"N/A just.: "&amp;Checks!$AC$476)&amp;IF(Checks!$W$476="","",CHAR(10)&amp;"Batch: "&amp;Checks!$W$476)&amp;IF(AND(Checks!$X$476="",Checks!$Y$476=""),"",CHAR(10)&amp;"Exp: "&amp;Checks!$X$476&amp;"  /  Act: "&amp;Checks!$Y$476)</f>
        <v/>
      </c>
      <c r="F46" s="124">
        <f>IF(Checks!$Z$476="","","Evidence: "&amp;Checks!$Z$476)&amp;IF(Checks!$AA$476="","",IF(Checks!$Z$476="","",CHAR(10))&amp;"CA: "&amp;Checks!$AA$476)</f>
        <v/>
      </c>
      <c r="G46" s="124">
        <f>IF(ISNUMBER(Checks!$AD$476),TEXT(Checks!$AD$476,"DD-MMM-YY HH:MM")&amp;" "&amp;Checks!$P$476,"")&amp;IF(Checks!$AE$476="","",CHAR(10)&amp;Checks!$AE$476)</f>
        <v/>
      </c>
      <c r="H46" s="125">
        <f>IF(Checks!$AH$476="","",Checks!$AH$476)</f>
        <v/>
      </c>
    </row>
    <row r="47" ht="81" customHeight="1">
      <c r="A47" s="124">
        <f>Checks!$A$477&amp;CHAR(10)&amp;IF(Checks!$I$477="","",Checks!$I$477&amp;": ")&amp;Checks!$J$477</f>
        <v/>
      </c>
      <c r="B47" s="124">
        <f>Checks!$K$477&amp;IF(Checks!$O$477="","",IF(Checks!$K$477="","",CHAR(10))&amp;"Note: "&amp;Checks!$O$477)</f>
        <v/>
      </c>
      <c r="C47" s="124">
        <f>Checks!$N$477&amp;CHAR(10)&amp;IF(ISNUMBER(Checks!$R$477),TEXT(Checks!$R$477,"DD-MMM-YY HH:MM"),"")&amp;" "&amp;Checks!$P$477</f>
        <v/>
      </c>
      <c r="D47" s="124">
        <f>IF(Checks!$U$477="","",Checks!$U$477)&amp;IF(Checks!$AB$477="","",CHAR(10)&amp;"CA: "&amp;Checks!$AB$477)</f>
        <v/>
      </c>
      <c r="E47" s="124">
        <f>IF(Checks!$V$477="","",Checks!$V$477)&amp;IF(Checks!$AC$477="","",IF(Checks!$V$477="","",CHAR(10))&amp;"N/A just.: "&amp;Checks!$AC$477)&amp;IF(Checks!$W$477="","",CHAR(10)&amp;"Batch: "&amp;Checks!$W$477)&amp;IF(AND(Checks!$X$477="",Checks!$Y$477=""),"",CHAR(10)&amp;"Exp: "&amp;Checks!$X$477&amp;"  /  Act: "&amp;Checks!$Y$477)</f>
        <v/>
      </c>
      <c r="F47" s="124">
        <f>IF(Checks!$Z$477="","","Evidence: "&amp;Checks!$Z$477)&amp;IF(Checks!$AA$477="","",IF(Checks!$Z$477="","",CHAR(10))&amp;"CA: "&amp;Checks!$AA$477)</f>
        <v/>
      </c>
      <c r="G47" s="124">
        <f>IF(ISNUMBER(Checks!$AD$477),TEXT(Checks!$AD$477,"DD-MMM-YY HH:MM")&amp;" "&amp;Checks!$P$477,"")&amp;IF(Checks!$AE$477="","",CHAR(10)&amp;Checks!$AE$477)</f>
        <v/>
      </c>
      <c r="H47" s="125">
        <f>IF(Checks!$AH$477="","",Checks!$AH$477)</f>
        <v/>
      </c>
    </row>
    <row r="48" ht="246" customHeight="1">
      <c r="A48" s="124">
        <f>Checks!$A$478&amp;CHAR(10)&amp;IF(Checks!$I$478="","",Checks!$I$478&amp;": ")&amp;Checks!$J$478</f>
        <v/>
      </c>
      <c r="B48" s="124">
        <f>SUBSTITUTE(Checks!$K$478&amp;IF(Checks!$O$478="","",IF(Checks!$K$478="","",CHAR(10))&amp;"Note: "&amp;Checks!$O$478),"AMENITIES!","Ref: AMENITIES!")</f>
        <v/>
      </c>
      <c r="C48" s="124">
        <f>Checks!$N$478&amp;CHAR(10)&amp;IF(ISNUMBER(Checks!$R$478),TEXT(Checks!$R$478,"DD-MMM-YY HH:MM"),"")&amp;" "&amp;Checks!$P$478</f>
        <v/>
      </c>
      <c r="D48" s="124">
        <f>IF(Checks!$U$478="","",Checks!$U$478)&amp;IF(Checks!$AB$478="","",CHAR(10)&amp;"CA: "&amp;Checks!$AB$478)</f>
        <v/>
      </c>
      <c r="E48" s="124">
        <f>IF(Checks!$V$478="","",Checks!$V$478)&amp;IF(Checks!$AC$478="","",IF(Checks!$V$478="","",CHAR(10))&amp;"N/A just.: "&amp;Checks!$AC$478)&amp;IF(Checks!$W$478="","",CHAR(10)&amp;"Batch: "&amp;Checks!$W$478)&amp;IF(AND(Checks!$X$478="",Checks!$Y$478=""),"",CHAR(10)&amp;"Exp: "&amp;Checks!$X$478&amp;"  /  Act: "&amp;Checks!$Y$478)</f>
        <v/>
      </c>
      <c r="F48" s="124">
        <f>IF(Checks!$Z$478="","","Evidence: "&amp;Checks!$Z$478)&amp;IF(Checks!$AA$478="","",IF(Checks!$Z$478="","",CHAR(10))&amp;"CA: "&amp;Checks!$AA$478)</f>
        <v/>
      </c>
      <c r="G48" s="124">
        <f>IF(ISNUMBER(Checks!$AD$478),TEXT(Checks!$AD$478,"DD-MMM-YY HH:MM")&amp;" "&amp;Checks!$P$478,"")&amp;IF(Checks!$AE$478="","",CHAR(10)&amp;Checks!$AE$478)</f>
        <v/>
      </c>
      <c r="H48" s="125">
        <f>IF(Checks!$AH$478="","",Checks!$AH$478)</f>
        <v/>
      </c>
    </row>
    <row r="49" ht="81" customHeight="1">
      <c r="A49" s="124">
        <f>Checks!$A$479&amp;CHAR(10)&amp;IF(Checks!$I$479="","",Checks!$I$479&amp;": ")&amp;Checks!$J$479</f>
        <v/>
      </c>
      <c r="B49" s="124">
        <f>Checks!$K$479&amp;IF(Checks!$O$479="","",IF(Checks!$K$479="","",CHAR(10))&amp;"Note: "&amp;Checks!$O$479)</f>
        <v/>
      </c>
      <c r="C49" s="124">
        <f>Checks!$N$479&amp;CHAR(10)&amp;IF(ISNUMBER(Checks!$R$479),TEXT(Checks!$R$479,"DD-MMM-YY HH:MM"),"")&amp;" "&amp;Checks!$P$479</f>
        <v/>
      </c>
      <c r="D49" s="124">
        <f>IF(Checks!$U$479="","",Checks!$U$479)&amp;IF(Checks!$AB$479="","",CHAR(10)&amp;"CA: "&amp;Checks!$AB$479)</f>
        <v/>
      </c>
      <c r="E49" s="124">
        <f>IF(Checks!$V$479="","",Checks!$V$479)&amp;IF(Checks!$AC$479="","",IF(Checks!$V$479="","",CHAR(10))&amp;"N/A just.: "&amp;Checks!$AC$479)&amp;IF(Checks!$W$479="","",CHAR(10)&amp;"Batch: "&amp;Checks!$W$479)&amp;IF(AND(Checks!$X$479="",Checks!$Y$479=""),"",CHAR(10)&amp;"Exp: "&amp;Checks!$X$479&amp;"  /  Act: "&amp;Checks!$Y$479)</f>
        <v/>
      </c>
      <c r="F49" s="124">
        <f>IF(Checks!$Z$479="","","Evidence: "&amp;Checks!$Z$479)&amp;IF(Checks!$AA$479="","",IF(Checks!$Z$479="","",CHAR(10))&amp;"CA: "&amp;Checks!$AA$479)</f>
        <v/>
      </c>
      <c r="G49" s="124">
        <f>IF(ISNUMBER(Checks!$AD$479),TEXT(Checks!$AD$479,"DD-MMM-YY HH:MM")&amp;" "&amp;Checks!$P$479,"")&amp;IF(Checks!$AE$479="","",CHAR(10)&amp;Checks!$AE$479)</f>
        <v/>
      </c>
      <c r="H49" s="125">
        <f>IF(Checks!$AH$479="","",Checks!$AH$479)</f>
        <v/>
      </c>
    </row>
    <row r="50" ht="158" customHeight="1">
      <c r="A50" s="124">
        <f>Checks!$A$480&amp;CHAR(10)&amp;IF(Checks!$I$480="","",Checks!$I$480&amp;": ")&amp;Checks!$J$480</f>
        <v/>
      </c>
      <c r="B50" s="124">
        <f>SUBSTITUTE(Checks!$K$480&amp;IF(Checks!$O$480="","",IF(Checks!$K$480="","",CHAR(10))&amp;"Note: "&amp;Checks!$O$480),"SEAT LINEN!","Ref: SEAT LINEN!")</f>
        <v/>
      </c>
      <c r="C50" s="124">
        <f>Checks!$N$480&amp;CHAR(10)&amp;IF(ISNUMBER(Checks!$R$480),TEXT(Checks!$R$480,"DD-MMM-YY HH:MM"),"")&amp;" "&amp;Checks!$P$480</f>
        <v/>
      </c>
      <c r="D50" s="124">
        <f>IF(Checks!$U$480="","",Checks!$U$480)&amp;IF(Checks!$AB$480="","",CHAR(10)&amp;"CA: "&amp;Checks!$AB$480)</f>
        <v/>
      </c>
      <c r="E50" s="124">
        <f>IF(Checks!$V$480="","",Checks!$V$480)&amp;IF(Checks!$AC$480="","",IF(Checks!$V$480="","",CHAR(10))&amp;"N/A just.: "&amp;Checks!$AC$480)&amp;IF(Checks!$W$480="","",CHAR(10)&amp;"Batch: "&amp;Checks!$W$480)&amp;IF(AND(Checks!$X$480="",Checks!$Y$480=""),"",CHAR(10)&amp;"Exp: "&amp;Checks!$X$480&amp;"  /  Act: "&amp;Checks!$Y$480)</f>
        <v/>
      </c>
      <c r="F50" s="124">
        <f>IF(Checks!$Z$480="","","Evidence: "&amp;Checks!$Z$480)&amp;IF(Checks!$AA$480="","",IF(Checks!$Z$480="","",CHAR(10))&amp;"CA: "&amp;Checks!$AA$480)</f>
        <v/>
      </c>
      <c r="G50" s="124">
        <f>IF(ISNUMBER(Checks!$AD$480),TEXT(Checks!$AD$480,"DD-MMM-YY HH:MM")&amp;" "&amp;Checks!$P$480,"")&amp;IF(Checks!$AE$480="","",CHAR(10)&amp;Checks!$AE$480)</f>
        <v/>
      </c>
      <c r="H50" s="125">
        <f>IF(Checks!$AH$480="","",Checks!$AH$480)</f>
        <v/>
      </c>
    </row>
    <row r="52" ht="24" customHeight="1">
      <c r="A52" s="126" t="inlineStr">
        <is>
          <t>EXCEL INSERTION AREA (on-screen only, not printed) – A1 Galley Loading Diagram: Insert &gt; Picture here. On paper: staple behind this sheet as page A1.</t>
        </is>
      </c>
      <c r="B52" s="127" t="n"/>
      <c r="C52" s="127" t="n"/>
      <c r="D52" s="128" t="n"/>
      <c r="E52" s="126" t="inlineStr">
        <is>
          <t>EXCEL INSERTION AREA (on-screen only, not printed) – A2 Menu Checklist: Insert &gt; Picture here. On paper: staple behind this sheet as page A2.</t>
        </is>
      </c>
      <c r="F52" s="127" t="n"/>
      <c r="G52" s="127" t="n"/>
      <c r="H52" s="128" t="n"/>
    </row>
    <row r="53" ht="22" customHeight="1">
      <c r="A53" s="129" t="n"/>
      <c r="B53" s="130" t="n"/>
      <c r="C53" s="130" t="n"/>
      <c r="D53" s="131" t="n"/>
      <c r="E53" s="129"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3" t="n"/>
      <c r="B62" s="134" t="n"/>
      <c r="C62" s="134" t="n"/>
      <c r="D62" s="135" t="n"/>
      <c r="E62" s="133" t="n"/>
      <c r="F62" s="134" t="n"/>
      <c r="G62" s="134" t="n"/>
      <c r="H62" s="135" t="n"/>
    </row>
  </sheetData>
  <mergeCells count="46">
    <mergeCell ref="B11:D11"/>
    <mergeCell ref="A53:D62"/>
    <mergeCell ref="F18:H18"/>
    <mergeCell ref="C15:D15"/>
    <mergeCell ref="E53:H62"/>
    <mergeCell ref="B8:D8"/>
    <mergeCell ref="G11:H11"/>
    <mergeCell ref="A52:D52"/>
    <mergeCell ref="C14:D14"/>
    <mergeCell ref="F2:H2"/>
    <mergeCell ref="F17:H17"/>
    <mergeCell ref="A1:H1"/>
    <mergeCell ref="G8:H8"/>
    <mergeCell ref="A45:H45"/>
    <mergeCell ref="B10:D10"/>
    <mergeCell ref="G7:H7"/>
    <mergeCell ref="F13:H13"/>
    <mergeCell ref="B16:E16"/>
    <mergeCell ref="B9:D9"/>
    <mergeCell ref="C17:E17"/>
    <mergeCell ref="G6:H6"/>
    <mergeCell ref="A18:B18"/>
    <mergeCell ref="B6:D6"/>
    <mergeCell ref="G3:H3"/>
    <mergeCell ref="E52:H52"/>
    <mergeCell ref="B5:D5"/>
    <mergeCell ref="F14:H14"/>
    <mergeCell ref="C19:E19"/>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0">
    <cfRule type="expression" priority="16" dxfId="20">
      <formula>LEFT($H23,3)="N/A"</formula>
    </cfRule>
  </conditionalFormatting>
  <conditionalFormatting sqref="D23:D5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F14 MH0004 15-Oct-26 KUL-LHR Class EY</oddHeader>
    <oddFooter>&amp;L&amp;"Arial,Bold"&amp;8 F14 MH0004 15-Oct-26 KUL-LHR Class EY&amp;C&amp;"Arial"&amp;8 Printed: ____________________&amp;R&amp;"Arial"&amp;8 F14  Page &amp;P of &amp;N</oddFooter>
    <evenHeader/>
    <evenFooter/>
    <firstHeader/>
    <firstFooter/>
  </headerFooter>
  <rowBreaks count="2" manualBreakCount="2">
    <brk id="20" min="0" max="16383" man="1"/>
    <brk id="33" min="0" max="16383" man="1"/>
  </rowBreaks>
</worksheet>
</file>

<file path=xl/worksheets/sheet23.xml><?xml version="1.0" encoding="utf-8"?>
<worksheet xmlns="http://schemas.openxmlformats.org/spreadsheetml/2006/main">
  <sheetPr>
    <tabColor rgb="001F3864"/>
    <outlinePr summaryBelow="1" summaryRight="1"/>
    <pageSetUpPr fitToPage="1"/>
  </sheetPr>
  <dimension ref="A1:H6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F15  "&amp;Flights!$F$19&amp;"  "&amp;TEXT(Flights!$D$19,"DD-MMM-YY")&amp;" ("&amp;Flights!$E$19&amp;")  "&amp;Flights!$G$19&amp;" → "&amp;Flights!$H$19&amp;"  |  Class "&amp;Flights!$K$19</f>
        <v/>
      </c>
      <c r="B1" s="97" t="n"/>
      <c r="C1" s="97" t="n"/>
      <c r="D1" s="97" t="n"/>
      <c r="E1" s="97" t="n"/>
      <c r="F1" s="97" t="n"/>
      <c r="G1" s="97" t="n"/>
      <c r="H1" s="98" t="n"/>
    </row>
    <row r="2" ht="13" customHeight="1">
      <c r="A2" s="99" t="inlineStr">
        <is>
          <t>Flight / date</t>
        </is>
      </c>
      <c r="B2" s="100">
        <f>Flights!$F$19&amp;"   "&amp;TEXT(Flights!$D$19,"DD-MMM-YY")&amp;" ("&amp;Flights!$E$19&amp;")"</f>
        <v/>
      </c>
      <c r="C2" s="97" t="n"/>
      <c r="D2" s="98" t="n"/>
      <c r="E2" s="101" t="inlineStr">
        <is>
          <t>READINESS STATUS</t>
        </is>
      </c>
      <c r="F2" s="102">
        <f>Flights!$AT$19</f>
        <v/>
      </c>
      <c r="G2" s="97" t="n"/>
      <c r="H2" s="98" t="n"/>
    </row>
    <row r="3" ht="24" customHeight="1">
      <c r="A3" s="99" t="inlineStr">
        <is>
          <t>Sector / class / seat</t>
        </is>
      </c>
      <c r="B3" s="100">
        <f>Flights!$G$19&amp;" → "&amp;Flights!$H$19&amp;"   Class "&amp;Flights!$K$19&amp;"   Seat "&amp;Flights!$O$19</f>
        <v/>
      </c>
      <c r="C3" s="97" t="n"/>
      <c r="D3" s="98" t="n"/>
      <c r="E3" s="101" t="inlineStr">
        <is>
          <t>Checkpoint</t>
        </is>
      </c>
      <c r="F3" s="101" t="inlineStr">
        <is>
          <t>Due (local)</t>
        </is>
      </c>
      <c r="G3" s="103" t="inlineStr">
        <is>
          <t>% complete</t>
        </is>
      </c>
      <c r="H3" s="98" t="n"/>
    </row>
    <row r="4" ht="13" customHeight="1">
      <c r="A4" s="99" t="inlineStr">
        <is>
          <t>STD → STA (local)</t>
        </is>
      </c>
      <c r="B4" s="100">
        <f>IF(ISNUMBER(Flights!$I$19),TEXT(Flights!$I$19,"DD-MMM-YY HH:MM"),"")&amp;" "&amp;Flights!$G$19&amp;"  →  "&amp;IF(ISNUMBER(Flights!$J$19),TEXT(Flights!$J$19,"DD-MMM-YY HH:MM"),"")&amp;" "&amp;Flights!$H$19</f>
        <v/>
      </c>
      <c r="C4" s="97" t="n"/>
      <c r="D4" s="98" t="n"/>
      <c r="E4" s="99" t="inlineStr">
        <is>
          <t>T-7D – 7 days before departure</t>
        </is>
      </c>
      <c r="F4" s="104">
        <f>IF(ISNUMBER(Flights!$AG$19),TEXT(Flights!$AG$19,"DD-MMM-YY HH:MM"),"")&amp;" "&amp;Flights!$V$19</f>
        <v/>
      </c>
      <c r="G4" s="105">
        <f>Flights!$AJ$19</f>
        <v/>
      </c>
      <c r="H4" s="98" t="n"/>
    </row>
    <row r="5" ht="24" customHeight="1">
      <c r="A5" s="99" t="inlineStr">
        <is>
          <t>Fleet / aircraft ref</t>
        </is>
      </c>
      <c r="B5" s="100">
        <f>Flights!$L$19&amp;" – "&amp;Flights!$M$19</f>
        <v/>
      </c>
      <c r="C5" s="97" t="n"/>
      <c r="D5" s="98" t="n"/>
      <c r="E5" s="99" t="inlineStr">
        <is>
          <t>T-24H – production batch sensory</t>
        </is>
      </c>
      <c r="F5" s="104">
        <f>IF(ISNUMBER(Flights!$AH$19),TEXT(Flights!$AH$19,"DD-MMM-YY HH:MM"),"")&amp;" "&amp;Flights!$V$19</f>
        <v/>
      </c>
      <c r="G5" s="105">
        <f>Flights!$AK$19</f>
        <v/>
      </c>
      <c r="H5" s="98" t="n"/>
    </row>
    <row r="6" ht="13" customHeight="1">
      <c r="A6" s="99" t="inlineStr">
        <is>
          <t>Tail / Reg</t>
        </is>
      </c>
      <c r="B6" s="100">
        <f>IF(TRIM(Flights!$N$19)="","__________________",Flights!$N$19)</f>
        <v/>
      </c>
      <c r="C6" s="97" t="n"/>
      <c r="D6" s="98" t="n"/>
      <c r="E6" s="99" t="inlineStr">
        <is>
          <t>T-12H PREP – caterer prep only</t>
        </is>
      </c>
      <c r="F6" s="104">
        <f>IF(ISNUMBER(Flights!$AI$19),TEXT(Flights!$AI$19,"DD-MMM-YY HH:MM"),"")&amp;" "&amp;Flights!$V$19&amp;IF(Flights!$AI$19=Flights!$AH$19,"  (= T-24H due)","")</f>
        <v/>
      </c>
      <c r="G6" s="105">
        <f>Flights!$AL$19</f>
        <v/>
      </c>
      <c r="H6" s="98" t="n"/>
    </row>
    <row r="7" ht="13" customHeight="1">
      <c r="A7" s="99" t="inlineStr">
        <is>
          <t>Service type</t>
        </is>
      </c>
      <c r="B7" s="100">
        <f>Flights!$T$19</f>
        <v/>
      </c>
      <c r="C7" s="97" t="n"/>
      <c r="D7" s="98" t="n"/>
      <c r="E7" s="99" t="inlineStr">
        <is>
          <t>UPLIFT – on-board confirmation</t>
        </is>
      </c>
      <c r="F7" s="104">
        <f>"STD "&amp;IF(ISNUMBER(Flights!$I$19),TEXT(Flights!$I$19,"DD-MMM-YY HH:MM"),"")&amp;" "&amp;Flights!$G$19&amp;" (dep stn)"</f>
        <v/>
      </c>
      <c r="G7" s="105">
        <f>Flights!$AM$19</f>
        <v/>
      </c>
      <c r="H7" s="98" t="n"/>
    </row>
    <row r="8" ht="13" customHeight="1">
      <c r="A8" s="99" t="inlineStr">
        <is>
          <t>Meal uplift stn</t>
        </is>
      </c>
      <c r="B8" s="100">
        <f>Flights!$V$19&amp;"   (reference uplift stns: "&amp;Flights!$U$19&amp;")"</f>
        <v/>
      </c>
      <c r="C8" s="97" t="n"/>
      <c r="D8" s="98" t="n"/>
      <c r="E8" s="99" t="inlineStr">
        <is>
          <t>OVERALL (all checkpoints)</t>
        </is>
      </c>
      <c r="F8" s="106" t="inlineStr">
        <is>
          <t>–</t>
        </is>
      </c>
      <c r="G8" s="105">
        <f>Flights!$AN$19</f>
        <v/>
      </c>
      <c r="H8" s="98" t="n"/>
    </row>
    <row r="9" ht="13" customHeight="1">
      <c r="A9" s="99" t="inlineStr">
        <is>
          <t>Transit / remark</t>
        </is>
      </c>
      <c r="B9" s="100">
        <f>TRIM(Flights!$P$19&amp;"  "&amp;Flights!$Q$19)</f>
        <v/>
      </c>
      <c r="C9" s="97" t="n"/>
      <c r="D9" s="98" t="n"/>
      <c r="E9" s="99" t="inlineStr">
        <is>
          <t>Overdue / discrep. / invalid</t>
        </is>
      </c>
      <c r="F9" s="107">
        <f>Flights!$AP$19</f>
        <v/>
      </c>
      <c r="G9" s="107">
        <f>Flights!$AQ$19</f>
        <v/>
      </c>
      <c r="H9" s="107">
        <f>Flights!$AU$19</f>
        <v/>
      </c>
    </row>
    <row r="10" ht="13" customHeight="1">
      <c r="A10" s="99" t="inlineStr">
        <is>
          <t>Caterer</t>
        </is>
      </c>
      <c r="B10" s="100">
        <f>IF(TRIM(Flights!$X$19)="","__________________",Flights!$X$19)</f>
        <v/>
      </c>
      <c r="C10" s="97" t="n"/>
      <c r="D10" s="98" t="n"/>
      <c r="E10" s="99" t="inlineStr">
        <is>
          <t>Open reqd / clarif. / docs out</t>
        </is>
      </c>
      <c r="F10" s="107">
        <f>Flights!$AO$19</f>
        <v/>
      </c>
      <c r="G10" s="107">
        <f>Flights!$AS$19</f>
        <v/>
      </c>
      <c r="H10" s="107">
        <f>Flights!$AR$19</f>
        <v/>
      </c>
    </row>
    <row r="11" ht="13" customHeight="1">
      <c r="A11" s="99" t="inlineStr">
        <is>
          <t>Flight PIC</t>
        </is>
      </c>
      <c r="B11" s="100">
        <f>IF(TRIM(Flights!$Y$19)="","__________________",Flights!$Y$19)</f>
        <v/>
      </c>
      <c r="C11" s="97" t="n"/>
      <c r="D11" s="98" t="n"/>
      <c r="E11" s="99" t="inlineStr">
        <is>
          <t>Done / in scope | as of UTC</t>
        </is>
      </c>
      <c r="F11" s="107">
        <f>Flights!$AV$19&amp;" / "&amp;Flights!$AW$19</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IF(Documents!$F$19="","",Documents!$F$19)</f>
        <v/>
      </c>
      <c r="C14" s="115">
        <f>IF(Documents!$G$19="","",Documents!$G$19)&amp;IF(ISNUMBER(Documents!$H$19),"  "&amp;TEXT(Documents!$H$19,"DD-MMM-YY"),"")</f>
        <v/>
      </c>
      <c r="D14" s="98" t="n"/>
      <c r="E14" s="116">
        <f>IF(Documents!$J$19="OUTSTANDING","OUTSTANDING – attach before T-7D (due "&amp;IF(ISNUMBER(Flights!$AG$19),TEXT(Flights!$AG$19,"DD-MMM-YY HH:MM"),"")&amp;" "&amp;Flights!$V$19&amp;")",IF(Documents!$J$19="","Status not recorded",Documents!$J$19))</f>
        <v/>
      </c>
      <c r="F14" s="117">
        <f>"Staple behind this sheet as page A1."&amp;IF(Documents!$I$19="",""," Location: "&amp;Documents!$I$19)</f>
        <v/>
      </c>
      <c r="G14" s="97" t="n"/>
      <c r="H14" s="98" t="n"/>
    </row>
    <row r="15" ht="25" customHeight="1">
      <c r="A15" s="99" t="inlineStr">
        <is>
          <t>A2  Menu Checklist</t>
        </is>
      </c>
      <c r="B15" s="114">
        <f>IF(Documents!$K$19="","",Documents!$K$19)</f>
        <v/>
      </c>
      <c r="C15" s="115">
        <f>IF(Documents!$L$19="","",Documents!$L$19)&amp;IF(ISNUMBER(Documents!$M$19),"  "&amp;TEXT(Documents!$M$19,"DD-MMM-YY"),"")</f>
        <v/>
      </c>
      <c r="D15" s="98" t="n"/>
      <c r="E15" s="116">
        <f>IF(Documents!$O$19="OUTSTANDING","OUTSTANDING – attach before T-7D (due "&amp;IF(ISNUMBER(Flights!$AG$19),TEXT(Flights!$AG$19,"DD-MMM-YY HH:MM"),"")&amp;" "&amp;Flights!$V$19&amp;")",IF(Documents!$O$19="","Status not recorded",Documents!$O$19))</f>
        <v/>
      </c>
      <c r="F15" s="117">
        <f>"Staple behind this sheet as page A2."&amp;IF(Documents!$N$19="",""," Location: "&amp;Documents!$N$19)</f>
        <v/>
      </c>
      <c r="G15" s="97" t="n"/>
      <c r="H15" s="98" t="n"/>
    </row>
    <row r="16" ht="33" customHeight="1">
      <c r="A16" s="99" t="inlineStr">
        <is>
          <t>Document notes</t>
        </is>
      </c>
      <c r="B16" s="118">
        <f>IF(Documents!$Q$19="","",Documents!$Q$19)</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"&amp;IF(TRIM(Flights!$Y$19)="","__________________",Flights!$Y$19)</f>
        <v/>
      </c>
      <c r="B18" s="98" t="n"/>
      <c r="C18" s="100">
        <f>"Name: __________________"</f>
        <v/>
      </c>
      <c r="D18" s="97" t="n"/>
      <c r="E18" s="98" t="n"/>
      <c r="F18" s="100">
        <f>"Name: __________________"&amp;"   Station: "&amp;Flights!$V$19</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"&amp;IF(ISNUMBER(Flights!$AG$19),TEXT(Flights!$AG$19,"DD-MMM-YY HH:MM"),"")&amp;" "&amp;Flights!$V$19&amp;" (meal uplift stn)"&amp;" (rows with another due show their own)  |  Complete "&amp;IF(ISNUMBER(Flights!$AJ$19),TEXT(Flights!$AJ$19,"0%"),Flights!$AJ$19)&amp;"  |  9 lines"</f>
        <v/>
      </c>
      <c r="B22" s="97" t="n"/>
      <c r="C22" s="97" t="n"/>
      <c r="D22" s="97" t="n"/>
      <c r="E22" s="97" t="n"/>
      <c r="F22" s="97" t="n"/>
      <c r="G22" s="97" t="n"/>
      <c r="H22" s="98" t="n"/>
    </row>
    <row r="23" ht="81" customHeight="1">
      <c r="A23" s="124">
        <f>Checks!$A$481&amp;CHAR(10)&amp;IF(Checks!$I$481="","",Checks!$I$481&amp;": ")&amp;Checks!$J$481</f>
        <v/>
      </c>
      <c r="B23" s="124">
        <f>Checks!$K$481&amp;IF(Checks!$O$481="","",IF(Checks!$K$481="","",CHAR(10))&amp;"Note: "&amp;Checks!$O$481)</f>
        <v/>
      </c>
      <c r="C23" s="124">
        <f>Checks!$N$481&amp;CHAR(10)&amp;IF(ISNUMBER(Checks!$R$481),TEXT(Checks!$R$481,"DD-MMM-YY HH:MM"),"")&amp;" "&amp;Checks!$P$481</f>
        <v/>
      </c>
      <c r="D23" s="124">
        <f>IF(Checks!$U$481="","",Checks!$U$481)&amp;IF(Checks!$AB$481="","",CHAR(10)&amp;"CA: "&amp;Checks!$AB$481)</f>
        <v/>
      </c>
      <c r="E23" s="124">
        <f>IF(Checks!$V$481="","",Checks!$V$481)&amp;IF(Checks!$AC$481="","",IF(Checks!$V$481="","",CHAR(10))&amp;"N/A just.: "&amp;Checks!$AC$481)&amp;IF(Checks!$W$481="","",CHAR(10)&amp;"Batch: "&amp;Checks!$W$481)&amp;IF(AND(Checks!$X$481="",Checks!$Y$481=""),"",CHAR(10)&amp;"Exp: "&amp;Checks!$X$481&amp;"  /  Act: "&amp;Checks!$Y$481)</f>
        <v/>
      </c>
      <c r="F23" s="124">
        <f>IF(Checks!$Z$481="","","Evidence: "&amp;Checks!$Z$481)&amp;IF(Checks!$AA$481="","",IF(Checks!$Z$481="","",CHAR(10))&amp;"CA: "&amp;Checks!$AA$481)</f>
        <v/>
      </c>
      <c r="G23" s="124">
        <f>IF(ISNUMBER(Checks!$AD$481),TEXT(Checks!$AD$481,"DD-MMM-YY HH:MM")&amp;" "&amp;Checks!$P$481,"")&amp;IF(Checks!$AE$481="","",CHAR(10)&amp;Checks!$AE$481)</f>
        <v/>
      </c>
      <c r="H23" s="125">
        <f>IF(Checks!$AH$481="","",Checks!$AH$481)</f>
        <v/>
      </c>
    </row>
    <row r="24" ht="81" customHeight="1">
      <c r="A24" s="124">
        <f>Checks!$A$482&amp;CHAR(10)&amp;IF(Checks!$I$482="","",Checks!$I$482&amp;": ")&amp;Checks!$J$482</f>
        <v/>
      </c>
      <c r="B24" s="124">
        <f>Checks!$K$482&amp;IF(Checks!$O$482="","",IF(Checks!$K$482="","",CHAR(10))&amp;"Note: "&amp;Checks!$O$482)</f>
        <v/>
      </c>
      <c r="C24" s="124">
        <f>Checks!$N$482&amp;CHAR(10)&amp;IF(ISNUMBER(Checks!$R$482),TEXT(Checks!$R$482,"DD-MMM-YY HH:MM"),"")&amp;" "&amp;Checks!$P$482</f>
        <v/>
      </c>
      <c r="D24" s="124">
        <f>IF(Checks!$U$482="","",Checks!$U$482)&amp;IF(Checks!$AB$482="","",CHAR(10)&amp;"CA: "&amp;Checks!$AB$482)</f>
        <v/>
      </c>
      <c r="E24" s="124">
        <f>IF(Checks!$V$482="","",Checks!$V$482)&amp;IF(Checks!$AC$482="","",IF(Checks!$V$482="","",CHAR(10))&amp;"N/A just.: "&amp;Checks!$AC$482)&amp;IF(Checks!$W$482="","",CHAR(10)&amp;"Batch: "&amp;Checks!$W$482)&amp;IF(AND(Checks!$X$482="",Checks!$Y$482=""),"",CHAR(10)&amp;"Exp: "&amp;Checks!$X$482&amp;"  /  Act: "&amp;Checks!$Y$482)</f>
        <v/>
      </c>
      <c r="F24" s="124">
        <f>IF(Checks!$Z$482="","","Evidence: "&amp;Checks!$Z$482)&amp;IF(Checks!$AA$482="","",IF(Checks!$Z$482="","",CHAR(10))&amp;"CA: "&amp;Checks!$AA$482)</f>
        <v/>
      </c>
      <c r="G24" s="124">
        <f>IF(ISNUMBER(Checks!$AD$482),TEXT(Checks!$AD$482,"DD-MMM-YY HH:MM")&amp;" "&amp;Checks!$P$482,"")&amp;IF(Checks!$AE$482="","",CHAR(10)&amp;Checks!$AE$482)</f>
        <v/>
      </c>
      <c r="H24" s="125">
        <f>IF(Checks!$AH$482="","",Checks!$AH$482)</f>
        <v/>
      </c>
    </row>
    <row r="25" ht="92" customHeight="1">
      <c r="A25" s="124">
        <f>Checks!$A$483&amp;CHAR(10)&amp;IF(Checks!$I$483="","",Checks!$I$483&amp;": ")&amp;Checks!$J$483</f>
        <v/>
      </c>
      <c r="B25" s="124">
        <f>Checks!$K$483&amp;IF(Checks!$O$483="","",IF(Checks!$K$483="","",CHAR(10))&amp;"Note: "&amp;Checks!$O$483)</f>
        <v/>
      </c>
      <c r="C25" s="124">
        <f>Checks!$N$483&amp;CHAR(10)&amp;IF(ISNUMBER(Checks!$R$483),TEXT(Checks!$R$483,"DD-MMM-YY HH:MM"),"")&amp;" "&amp;Checks!$P$483</f>
        <v/>
      </c>
      <c r="D25" s="124">
        <f>IF(Checks!$U$483="","",Checks!$U$483)&amp;IF(Checks!$AB$483="","",CHAR(10)&amp;"CA: "&amp;Checks!$AB$483)</f>
        <v/>
      </c>
      <c r="E25" s="124">
        <f>IF(Checks!$V$483="","",Checks!$V$483)&amp;IF(Checks!$AC$483="","",IF(Checks!$V$483="","",CHAR(10))&amp;"N/A just.: "&amp;Checks!$AC$483)&amp;IF(Checks!$W$483="","",CHAR(10)&amp;"Batch: "&amp;Checks!$W$483)&amp;IF(AND(Checks!$X$483="",Checks!$Y$483=""),"",CHAR(10)&amp;"Exp: "&amp;Checks!$X$483&amp;"  /  Act: "&amp;Checks!$Y$483)</f>
        <v/>
      </c>
      <c r="F25" s="124">
        <f>IF(Checks!$Z$483="","","Evidence: "&amp;Checks!$Z$483)&amp;IF(Checks!$AA$483="","",IF(Checks!$Z$483="","",CHAR(10))&amp;"CA: "&amp;Checks!$AA$483)</f>
        <v/>
      </c>
      <c r="G25" s="124">
        <f>IF(ISNUMBER(Checks!$AD$483),TEXT(Checks!$AD$483,"DD-MMM-YY HH:MM")&amp;" "&amp;Checks!$P$483,"")&amp;IF(Checks!$AE$483="","",CHAR(10)&amp;Checks!$AE$483)</f>
        <v/>
      </c>
      <c r="H25" s="125">
        <f>IF(Checks!$AH$483="","",Checks!$AH$483)</f>
        <v/>
      </c>
    </row>
    <row r="26" ht="81" customHeight="1">
      <c r="A26" s="124">
        <f>Checks!$A$484&amp;CHAR(10)&amp;IF(Checks!$I$484="","",Checks!$I$484&amp;": ")&amp;Checks!$J$484</f>
        <v/>
      </c>
      <c r="B26" s="124">
        <f>Checks!$K$484&amp;IF(Checks!$O$484="","",IF(Checks!$K$484="","",CHAR(10))&amp;"Note: "&amp;Checks!$O$484)</f>
        <v/>
      </c>
      <c r="C26" s="124">
        <f>Checks!$N$484&amp;CHAR(10)&amp;IF(ISNUMBER(Checks!$R$484),TEXT(Checks!$R$484,"DD-MMM-YY HH:MM"),"")&amp;" "&amp;Checks!$P$484</f>
        <v/>
      </c>
      <c r="D26" s="124">
        <f>IF(Checks!$U$484="","",Checks!$U$484)&amp;IF(Checks!$AB$484="","",CHAR(10)&amp;"CA: "&amp;Checks!$AB$484)</f>
        <v/>
      </c>
      <c r="E26" s="124">
        <f>IF(Checks!$V$484="","",Checks!$V$484)&amp;IF(Checks!$AC$484="","",IF(Checks!$V$484="","",CHAR(10))&amp;"N/A just.: "&amp;Checks!$AC$484)&amp;IF(Checks!$W$484="","",CHAR(10)&amp;"Batch: "&amp;Checks!$W$484)&amp;IF(AND(Checks!$X$484="",Checks!$Y$484=""),"",CHAR(10)&amp;"Exp: "&amp;Checks!$X$484&amp;"  /  Act: "&amp;Checks!$Y$484)</f>
        <v/>
      </c>
      <c r="F26" s="124">
        <f>IF(Checks!$Z$484="","","Evidence: "&amp;Checks!$Z$484)&amp;IF(Checks!$AA$484="","",IF(Checks!$Z$484="","",CHAR(10))&amp;"CA: "&amp;Checks!$AA$484)</f>
        <v/>
      </c>
      <c r="G26" s="124">
        <f>IF(ISNUMBER(Checks!$AD$484),TEXT(Checks!$AD$484,"DD-MMM-YY HH:MM")&amp;" "&amp;Checks!$P$484,"")&amp;IF(Checks!$AE$484="","",CHAR(10)&amp;Checks!$AE$484)</f>
        <v/>
      </c>
      <c r="H26" s="125">
        <f>IF(Checks!$AH$484="","",Checks!$AH$484)</f>
        <v/>
      </c>
    </row>
    <row r="27" ht="81" customHeight="1">
      <c r="A27" s="124">
        <f>Checks!$A$485&amp;CHAR(10)&amp;IF(Checks!$I$485="","",Checks!$I$485&amp;": ")&amp;Checks!$J$485</f>
        <v/>
      </c>
      <c r="B27" s="124">
        <f>Checks!$K$485&amp;IF(Checks!$O$485="","",IF(Checks!$K$485="","",CHAR(10))&amp;"Note: "&amp;Checks!$O$485)</f>
        <v/>
      </c>
      <c r="C27" s="124">
        <f>Checks!$N$485&amp;CHAR(10)&amp;IF(ISNUMBER(Checks!$R$485),TEXT(Checks!$R$485,"DD-MMM-YY HH:MM"),"")&amp;" "&amp;Checks!$P$485</f>
        <v/>
      </c>
      <c r="D27" s="124">
        <f>IF(Checks!$U$485="","",Checks!$U$485)&amp;IF(Checks!$AB$485="","",CHAR(10)&amp;"CA: "&amp;Checks!$AB$485)</f>
        <v/>
      </c>
      <c r="E27" s="124">
        <f>IF(Checks!$V$485="","",Checks!$V$485)&amp;IF(Checks!$AC$485="","",IF(Checks!$V$485="","",CHAR(10))&amp;"N/A just.: "&amp;Checks!$AC$485)&amp;IF(Checks!$W$485="","",CHAR(10)&amp;"Batch: "&amp;Checks!$W$485)&amp;IF(AND(Checks!$X$485="",Checks!$Y$485=""),"",CHAR(10)&amp;"Exp: "&amp;Checks!$X$485&amp;"  /  Act: "&amp;Checks!$Y$485)</f>
        <v/>
      </c>
      <c r="F27" s="124">
        <f>IF(Checks!$Z$485="","","Evidence: "&amp;Checks!$Z$485)&amp;IF(Checks!$AA$485="","",IF(Checks!$Z$485="","",CHAR(10))&amp;"CA: "&amp;Checks!$AA$485)</f>
        <v/>
      </c>
      <c r="G27" s="124">
        <f>IF(ISNUMBER(Checks!$AD$485),TEXT(Checks!$AD$485,"DD-MMM-YY HH:MM")&amp;" "&amp;Checks!$P$485,"")&amp;IF(Checks!$AE$485="","",CHAR(10)&amp;Checks!$AE$485)</f>
        <v/>
      </c>
      <c r="H27" s="125">
        <f>IF(Checks!$AH$485="","",Checks!$AH$485)</f>
        <v/>
      </c>
    </row>
    <row r="28" ht="81" customHeight="1">
      <c r="A28" s="124">
        <f>Checks!$A$486&amp;CHAR(10)&amp;IF(Checks!$I$486="","",Checks!$I$486&amp;": ")&amp;Checks!$J$486</f>
        <v/>
      </c>
      <c r="B28" s="124">
        <f>Checks!$K$486&amp;IF(Checks!$O$486="","",IF(Checks!$K$486="","",CHAR(10))&amp;"Note: "&amp;Checks!$O$486)</f>
        <v/>
      </c>
      <c r="C28" s="124">
        <f>Checks!$N$486&amp;CHAR(10)&amp;IF(ISNUMBER(Checks!$R$486),TEXT(Checks!$R$486,"DD-MMM-YY HH:MM"),"")&amp;" "&amp;Checks!$P$486</f>
        <v/>
      </c>
      <c r="D28" s="124">
        <f>IF(Checks!$U$486="","",Checks!$U$486)&amp;IF(Checks!$AB$486="","",CHAR(10)&amp;"CA: "&amp;Checks!$AB$486)</f>
        <v/>
      </c>
      <c r="E28" s="124">
        <f>IF(Checks!$V$486="","",Checks!$V$486)&amp;IF(Checks!$AC$486="","",IF(Checks!$V$486="","",CHAR(10))&amp;"N/A just.: "&amp;Checks!$AC$486)&amp;IF(Checks!$W$486="","",CHAR(10)&amp;"Batch: "&amp;Checks!$W$486)&amp;IF(AND(Checks!$X$486="",Checks!$Y$486=""),"",CHAR(10)&amp;"Exp: "&amp;Checks!$X$486&amp;"  /  Act: "&amp;Checks!$Y$486)</f>
        <v/>
      </c>
      <c r="F28" s="124">
        <f>IF(Checks!$Z$486="","","Evidence: "&amp;Checks!$Z$486)&amp;IF(Checks!$AA$486="","",IF(Checks!$Z$486="","",CHAR(10))&amp;"CA: "&amp;Checks!$AA$486)</f>
        <v/>
      </c>
      <c r="G28" s="124">
        <f>IF(ISNUMBER(Checks!$AD$486),TEXT(Checks!$AD$486,"DD-MMM-YY HH:MM")&amp;" "&amp;Checks!$P$486,"")&amp;IF(Checks!$AE$486="","",CHAR(10)&amp;Checks!$AE$486)</f>
        <v/>
      </c>
      <c r="H28" s="125">
        <f>IF(Checks!$AH$486="","",Checks!$AH$486)</f>
        <v/>
      </c>
    </row>
    <row r="29" ht="81" customHeight="1">
      <c r="A29" s="124">
        <f>Checks!$A$487&amp;CHAR(10)&amp;IF(Checks!$I$487="","",Checks!$I$487&amp;": ")&amp;Checks!$J$487</f>
        <v/>
      </c>
      <c r="B29" s="124">
        <f>Checks!$K$487&amp;IF(Checks!$O$487="","",IF(Checks!$K$487="","",CHAR(10))&amp;"Note: "&amp;Checks!$O$487)</f>
        <v/>
      </c>
      <c r="C29" s="124">
        <f>Checks!$N$487&amp;CHAR(10)&amp;IF(ISNUMBER(Checks!$R$487),TEXT(Checks!$R$487,"DD-MMM-YY HH:MM"),"")&amp;" "&amp;Checks!$P$487</f>
        <v/>
      </c>
      <c r="D29" s="124">
        <f>IF(Checks!$U$487="","",Checks!$U$487)&amp;IF(Checks!$AB$487="","",CHAR(10)&amp;"CA: "&amp;Checks!$AB$487)</f>
        <v/>
      </c>
      <c r="E29" s="124">
        <f>IF(Checks!$V$487="","",Checks!$V$487)&amp;IF(Checks!$AC$487="","",IF(Checks!$V$487="","",CHAR(10))&amp;"N/A just.: "&amp;Checks!$AC$487)&amp;IF(Checks!$W$487="","",CHAR(10)&amp;"Batch: "&amp;Checks!$W$487)&amp;IF(AND(Checks!$X$487="",Checks!$Y$487=""),"",CHAR(10)&amp;"Exp: "&amp;Checks!$X$487&amp;"  /  Act: "&amp;Checks!$Y$487)</f>
        <v/>
      </c>
      <c r="F29" s="124">
        <f>IF(Checks!$Z$487="","","Evidence: "&amp;Checks!$Z$487)&amp;IF(Checks!$AA$487="","",IF(Checks!$Z$487="","",CHAR(10))&amp;"CA: "&amp;Checks!$AA$487)</f>
        <v/>
      </c>
      <c r="G29" s="124">
        <f>IF(ISNUMBER(Checks!$AD$487),TEXT(Checks!$AD$487,"DD-MMM-YY HH:MM")&amp;" "&amp;Checks!$P$487,"")&amp;IF(Checks!$AE$487="","",CHAR(10)&amp;Checks!$AE$487)</f>
        <v/>
      </c>
      <c r="H29" s="125">
        <f>IF(Checks!$AH$487="","",Checks!$AH$487)</f>
        <v/>
      </c>
    </row>
    <row r="30" ht="81" customHeight="1">
      <c r="A30" s="124">
        <f>Checks!$A$488&amp;CHAR(10)&amp;IF(Checks!$I$488="","",Checks!$I$488&amp;": ")&amp;Checks!$J$488</f>
        <v/>
      </c>
      <c r="B30" s="124">
        <f>Checks!$K$488&amp;IF(Checks!$O$488="","",IF(Checks!$K$488="","",CHAR(10))&amp;"Note: "&amp;Checks!$O$488)</f>
        <v/>
      </c>
      <c r="C30" s="124">
        <f>Checks!$N$488&amp;CHAR(10)&amp;IF(ISNUMBER(Checks!$R$488),TEXT(Checks!$R$488,"DD-MMM-YY HH:MM"),"")&amp;" "&amp;Checks!$P$488</f>
        <v/>
      </c>
      <c r="D30" s="124">
        <f>IF(Checks!$U$488="","",Checks!$U$488)&amp;IF(Checks!$AB$488="","",CHAR(10)&amp;"CA: "&amp;Checks!$AB$488)</f>
        <v/>
      </c>
      <c r="E30" s="124">
        <f>IF(Checks!$V$488="","",Checks!$V$488)&amp;IF(Checks!$AC$488="","",IF(Checks!$V$488="","",CHAR(10))&amp;"N/A just.: "&amp;Checks!$AC$488)&amp;IF(Checks!$W$488="","",CHAR(10)&amp;"Batch: "&amp;Checks!$W$488)&amp;IF(AND(Checks!$X$488="",Checks!$Y$488=""),"",CHAR(10)&amp;"Exp: "&amp;Checks!$X$488&amp;"  /  Act: "&amp;Checks!$Y$488)</f>
        <v/>
      </c>
      <c r="F30" s="124">
        <f>IF(Checks!$Z$488="","","Evidence: "&amp;Checks!$Z$488)&amp;IF(Checks!$AA$488="","",IF(Checks!$Z$488="","",CHAR(10))&amp;"CA: "&amp;Checks!$AA$488)</f>
        <v/>
      </c>
      <c r="G30" s="124">
        <f>IF(ISNUMBER(Checks!$AD$488),TEXT(Checks!$AD$488,"DD-MMM-YY HH:MM")&amp;" "&amp;Checks!$P$488,"")&amp;IF(Checks!$AE$488="","",CHAR(10)&amp;Checks!$AE$488)</f>
        <v/>
      </c>
      <c r="H30" s="125">
        <f>IF(Checks!$AH$488="","",Checks!$AH$488)</f>
        <v/>
      </c>
    </row>
    <row r="31" ht="81" customHeight="1">
      <c r="A31" s="124">
        <f>Checks!$A$489&amp;CHAR(10)&amp;IF(Checks!$I$489="","",Checks!$I$489&amp;": ")&amp;Checks!$J$489</f>
        <v/>
      </c>
      <c r="B31" s="124">
        <f>Checks!$K$489&amp;IF(Checks!$O$489="","",IF(Checks!$K$489="","",CHAR(10))&amp;"Note: "&amp;Checks!$O$489)</f>
        <v/>
      </c>
      <c r="C31" s="124">
        <f>Checks!$N$489&amp;CHAR(10)&amp;IF(ISNUMBER(Checks!$R$489),TEXT(Checks!$R$489,"DD-MMM-YY HH:MM"),"")&amp;" "&amp;Checks!$P$489</f>
        <v/>
      </c>
      <c r="D31" s="124">
        <f>IF(Checks!$U$489="","",Checks!$U$489)&amp;IF(Checks!$AB$489="","",CHAR(10)&amp;"CA: "&amp;Checks!$AB$489)</f>
        <v/>
      </c>
      <c r="E31" s="124">
        <f>IF(Checks!$V$489="","",Checks!$V$489)&amp;IF(Checks!$AC$489="","",IF(Checks!$V$489="","",CHAR(10))&amp;"N/A just.: "&amp;Checks!$AC$489)&amp;IF(Checks!$W$489="","",CHAR(10)&amp;"Batch: "&amp;Checks!$W$489)&amp;IF(AND(Checks!$X$489="",Checks!$Y$489=""),"",CHAR(10)&amp;"Exp: "&amp;Checks!$X$489&amp;"  /  Act: "&amp;Checks!$Y$489)</f>
        <v/>
      </c>
      <c r="F31" s="124">
        <f>IF(Checks!$Z$489="","","Evidence: "&amp;Checks!$Z$489)&amp;IF(Checks!$AA$489="","",IF(Checks!$Z$489="","",CHAR(10))&amp;"CA: "&amp;Checks!$AA$489)</f>
        <v/>
      </c>
      <c r="G31" s="124">
        <f>IF(ISNUMBER(Checks!$AD$489),TEXT(Checks!$AD$489,"DD-MMM-YY HH:MM")&amp;" "&amp;Checks!$P$489,"")&amp;IF(Checks!$AE$489="","",CHAR(10)&amp;Checks!$AE$489)</f>
        <v/>
      </c>
      <c r="H31" s="125">
        <f>IF(Checks!$AH$489="","",Checks!$AH$489)</f>
        <v/>
      </c>
    </row>
    <row r="32" ht="26" customHeight="1">
      <c r="A32" s="123">
        <f>"T-24H — Production batch sensory  |  Due "&amp;IF(ISNUMBER(Flights!$AH$19),TEXT(Flights!$AH$19,"DD-MMM-YY HH:MM"),"")&amp;" "&amp;Flights!$V$19&amp;" (meal uplift stn)"&amp;" (rows with another due show their own)  |  Complete "&amp;IF(ISNUMBER(Flights!$AK$19),TEXT(Flights!$AK$19,"0%"),Flights!$AK$19)&amp;"  |  1 lines"</f>
        <v/>
      </c>
      <c r="B32" s="97" t="n"/>
      <c r="C32" s="97" t="n"/>
      <c r="D32" s="97" t="n"/>
      <c r="E32" s="97" t="n"/>
      <c r="F32" s="97" t="n"/>
      <c r="G32" s="97" t="n"/>
      <c r="H32" s="98" t="n"/>
    </row>
    <row r="33" ht="81" customHeight="1">
      <c r="A33" s="124">
        <f>Checks!$A$490&amp;CHAR(10)&amp;IF(Checks!$I$490="","",Checks!$I$490&amp;": ")&amp;Checks!$J$490</f>
        <v/>
      </c>
      <c r="B33" s="124">
        <f>Checks!$K$490&amp;IF(Checks!$O$490="","",IF(Checks!$K$490="","",CHAR(10))&amp;"Note: "&amp;Checks!$O$490)</f>
        <v/>
      </c>
      <c r="C33" s="124">
        <f>Checks!$N$490&amp;CHAR(10)&amp;IF(ISNUMBER(Checks!$R$490),TEXT(Checks!$R$490,"DD-MMM-YY HH:MM"),"")&amp;" "&amp;Checks!$P$490</f>
        <v/>
      </c>
      <c r="D33" s="124">
        <f>IF(Checks!$U$490="","",Checks!$U$490)&amp;IF(Checks!$AB$490="","",CHAR(10)&amp;"CA: "&amp;Checks!$AB$490)</f>
        <v/>
      </c>
      <c r="E33" s="124">
        <f>IF(Checks!$V$490="","",Checks!$V$490)&amp;IF(Checks!$AC$490="","",IF(Checks!$V$490="","",CHAR(10))&amp;"N/A just.: "&amp;Checks!$AC$490)&amp;IF(Checks!$W$490="","",CHAR(10)&amp;"Batch: "&amp;Checks!$W$490)&amp;IF(AND(Checks!$X$490="",Checks!$Y$490=""),"",CHAR(10)&amp;"Exp: "&amp;Checks!$X$490&amp;"  /  Act: "&amp;Checks!$Y$490)</f>
        <v/>
      </c>
      <c r="F33" s="124">
        <f>IF(Checks!$Z$490="","","Evidence: "&amp;Checks!$Z$490)&amp;IF(Checks!$AA$490="","",IF(Checks!$Z$490="","",CHAR(10))&amp;"CA: "&amp;Checks!$AA$490)</f>
        <v/>
      </c>
      <c r="G33" s="124">
        <f>IF(ISNUMBER(Checks!$AD$490),TEXT(Checks!$AD$490,"DD-MMM-YY HH:MM")&amp;" "&amp;Checks!$P$490,"")&amp;IF(Checks!$AE$490="","",CHAR(10)&amp;Checks!$AE$490)</f>
        <v/>
      </c>
      <c r="H33" s="125">
        <f>IF(Checks!$AH$490="","",Checks!$AH$490)</f>
        <v/>
      </c>
    </row>
    <row r="34" ht="26" customHeight="1">
      <c r="A34" s="123">
        <f>"T-12H PREP — Preparation check at caterer (does NOT confirm loading)  |  Due "&amp;IF(ISNUMBER(Flights!$AI$19),TEXT(Flights!$AI$19,"DD-MMM-YY HH:MM"),"")&amp;" "&amp;Flights!$V$19&amp;" (meal uplift stn)"&amp;" (rows with another due show their own)  |  Complete "&amp;IF(ISNUMBER(Flights!$AL$19),TEXT(Flights!$AL$19,"0%"),Flights!$AL$19)&amp;"  |  10 lines"</f>
        <v/>
      </c>
      <c r="B34" s="97" t="n"/>
      <c r="C34" s="97" t="n"/>
      <c r="D34" s="97" t="n"/>
      <c r="E34" s="97" t="n"/>
      <c r="F34" s="97" t="n"/>
      <c r="G34" s="97" t="n"/>
      <c r="H34" s="98" t="n"/>
    </row>
    <row r="35" ht="81" customHeight="1">
      <c r="A35" s="124">
        <f>Checks!$A$491&amp;CHAR(10)&amp;IF(Checks!$I$491="","",Checks!$I$491&amp;": ")&amp;Checks!$J$491</f>
        <v/>
      </c>
      <c r="B35" s="124">
        <f>Checks!$K$491&amp;IF(Checks!$O$491="","",IF(Checks!$K$491="","",CHAR(10))&amp;"Note: "&amp;Checks!$O$491)</f>
        <v/>
      </c>
      <c r="C35" s="124">
        <f>Checks!$N$491&amp;CHAR(10)&amp;IF(ISNUMBER(Checks!$R$491),TEXT(Checks!$R$491,"DD-MMM-YY HH:MM"),"")&amp;" "&amp;Checks!$P$491</f>
        <v/>
      </c>
      <c r="D35" s="124">
        <f>IF(Checks!$U$491="","",Checks!$U$491)&amp;IF(Checks!$AB$491="","",CHAR(10)&amp;"CA: "&amp;Checks!$AB$491)</f>
        <v/>
      </c>
      <c r="E35" s="124">
        <f>IF(Checks!$V$491="","",Checks!$V$491)&amp;IF(Checks!$AC$491="","",IF(Checks!$V$491="","",CHAR(10))&amp;"N/A just.: "&amp;Checks!$AC$491)&amp;IF(Checks!$W$491="","",CHAR(10)&amp;"Batch: "&amp;Checks!$W$491)&amp;IF(AND(Checks!$X$491="",Checks!$Y$491=""),"",CHAR(10)&amp;"Exp: "&amp;Checks!$X$491&amp;"  /  Act: "&amp;Checks!$Y$491)</f>
        <v/>
      </c>
      <c r="F35" s="124">
        <f>IF(Checks!$Z$491="","","Evidence: "&amp;Checks!$Z$491)&amp;IF(Checks!$AA$491="","",IF(Checks!$Z$491="","",CHAR(10))&amp;"CA: "&amp;Checks!$AA$491)</f>
        <v/>
      </c>
      <c r="G35" s="124">
        <f>IF(ISNUMBER(Checks!$AD$491),TEXT(Checks!$AD$491,"DD-MMM-YY HH:MM")&amp;" "&amp;Checks!$P$491,"")&amp;IF(Checks!$AE$491="","",CHAR(10)&amp;Checks!$AE$491)</f>
        <v/>
      </c>
      <c r="H35" s="125">
        <f>IF(Checks!$AH$491="","",Checks!$AH$491)</f>
        <v/>
      </c>
    </row>
    <row r="36" ht="81" customHeight="1">
      <c r="A36" s="124">
        <f>Checks!$A$492&amp;CHAR(10)&amp;IF(Checks!$I$492="","",Checks!$I$492&amp;": ")&amp;Checks!$J$492</f>
        <v/>
      </c>
      <c r="B36" s="124">
        <f>Checks!$K$492&amp;IF(Checks!$O$492="","",IF(Checks!$K$492="","",CHAR(10))&amp;"Note: "&amp;Checks!$O$492)</f>
        <v/>
      </c>
      <c r="C36" s="124">
        <f>Checks!$N$492&amp;CHAR(10)&amp;IF(ISNUMBER(Checks!$R$492),TEXT(Checks!$R$492,"DD-MMM-YY HH:MM"),"")&amp;" "&amp;Checks!$P$492</f>
        <v/>
      </c>
      <c r="D36" s="124">
        <f>IF(Checks!$U$492="","",Checks!$U$492)&amp;IF(Checks!$AB$492="","",CHAR(10)&amp;"CA: "&amp;Checks!$AB$492)</f>
        <v/>
      </c>
      <c r="E36" s="124">
        <f>IF(Checks!$V$492="","",Checks!$V$492)&amp;IF(Checks!$AC$492="","",IF(Checks!$V$492="","",CHAR(10))&amp;"N/A just.: "&amp;Checks!$AC$492)&amp;IF(Checks!$W$492="","",CHAR(10)&amp;"Batch: "&amp;Checks!$W$492)&amp;IF(AND(Checks!$X$492="",Checks!$Y$492=""),"",CHAR(10)&amp;"Exp: "&amp;Checks!$X$492&amp;"  /  Act: "&amp;Checks!$Y$492)</f>
        <v/>
      </c>
      <c r="F36" s="124">
        <f>IF(Checks!$Z$492="","","Evidence: "&amp;Checks!$Z$492)&amp;IF(Checks!$AA$492="","",IF(Checks!$Z$492="","",CHAR(10))&amp;"CA: "&amp;Checks!$AA$492)</f>
        <v/>
      </c>
      <c r="G36" s="124">
        <f>IF(ISNUMBER(Checks!$AD$492),TEXT(Checks!$AD$492,"DD-MMM-YY HH:MM")&amp;" "&amp;Checks!$P$492,"")&amp;IF(Checks!$AE$492="","",CHAR(10)&amp;Checks!$AE$492)</f>
        <v/>
      </c>
      <c r="H36" s="125">
        <f>IF(Checks!$AH$492="","",Checks!$AH$492)</f>
        <v/>
      </c>
    </row>
    <row r="37" ht="81" customHeight="1">
      <c r="A37" s="124">
        <f>Checks!$A$493&amp;CHAR(10)&amp;IF(Checks!$I$493="","",Checks!$I$493&amp;": ")&amp;Checks!$J$493</f>
        <v/>
      </c>
      <c r="B37" s="124">
        <f>Checks!$K$493&amp;IF(Checks!$O$493="","",IF(Checks!$K$493="","",CHAR(10))&amp;"Note: "&amp;Checks!$O$493)</f>
        <v/>
      </c>
      <c r="C37" s="124">
        <f>Checks!$N$493&amp;CHAR(10)&amp;IF(ISNUMBER(Checks!$R$493),TEXT(Checks!$R$493,"DD-MMM-YY HH:MM"),"")&amp;" "&amp;Checks!$P$493</f>
        <v/>
      </c>
      <c r="D37" s="124">
        <f>IF(Checks!$U$493="","",Checks!$U$493)&amp;IF(Checks!$AB$493="","",CHAR(10)&amp;"CA: "&amp;Checks!$AB$493)</f>
        <v/>
      </c>
      <c r="E37" s="124">
        <f>IF(Checks!$V$493="","",Checks!$V$493)&amp;IF(Checks!$AC$493="","",IF(Checks!$V$493="","",CHAR(10))&amp;"N/A just.: "&amp;Checks!$AC$493)&amp;IF(Checks!$W$493="","",CHAR(10)&amp;"Batch: "&amp;Checks!$W$493)&amp;IF(AND(Checks!$X$493="",Checks!$Y$493=""),"",CHAR(10)&amp;"Exp: "&amp;Checks!$X$493&amp;"  /  Act: "&amp;Checks!$Y$493)</f>
        <v/>
      </c>
      <c r="F37" s="124">
        <f>IF(Checks!$Z$493="","","Evidence: "&amp;Checks!$Z$493)&amp;IF(Checks!$AA$493="","",IF(Checks!$Z$493="","",CHAR(10))&amp;"CA: "&amp;Checks!$AA$493)</f>
        <v/>
      </c>
      <c r="G37" s="124">
        <f>IF(ISNUMBER(Checks!$AD$493),TEXT(Checks!$AD$493,"DD-MMM-YY HH:MM")&amp;" "&amp;Checks!$P$493,"")&amp;IF(Checks!$AE$493="","",CHAR(10)&amp;Checks!$AE$493)</f>
        <v/>
      </c>
      <c r="H37" s="125">
        <f>IF(Checks!$AH$493="","",Checks!$AH$493)</f>
        <v/>
      </c>
    </row>
    <row r="38" ht="81" customHeight="1">
      <c r="A38" s="124">
        <f>Checks!$A$494&amp;CHAR(10)&amp;IF(Checks!$I$494="","",Checks!$I$494&amp;": ")&amp;Checks!$J$494</f>
        <v/>
      </c>
      <c r="B38" s="124">
        <f>Checks!$K$494&amp;IF(Checks!$O$494="","",IF(Checks!$K$494="","",CHAR(10))&amp;"Note: "&amp;Checks!$O$494)</f>
        <v/>
      </c>
      <c r="C38" s="124">
        <f>Checks!$N$494&amp;CHAR(10)&amp;IF(ISNUMBER(Checks!$R$494),TEXT(Checks!$R$494,"DD-MMM-YY HH:MM"),"")&amp;" "&amp;Checks!$P$494</f>
        <v/>
      </c>
      <c r="D38" s="124">
        <f>IF(Checks!$U$494="","",Checks!$U$494)&amp;IF(Checks!$AB$494="","",CHAR(10)&amp;"CA: "&amp;Checks!$AB$494)</f>
        <v/>
      </c>
      <c r="E38" s="124">
        <f>IF(Checks!$V$494="","",Checks!$V$494)&amp;IF(Checks!$AC$494="","",IF(Checks!$V$494="","",CHAR(10))&amp;"N/A just.: "&amp;Checks!$AC$494)&amp;IF(Checks!$W$494="","",CHAR(10)&amp;"Batch: "&amp;Checks!$W$494)&amp;IF(AND(Checks!$X$494="",Checks!$Y$494=""),"",CHAR(10)&amp;"Exp: "&amp;Checks!$X$494&amp;"  /  Act: "&amp;Checks!$Y$494)</f>
        <v/>
      </c>
      <c r="F38" s="124">
        <f>IF(Checks!$Z$494="","","Evidence: "&amp;Checks!$Z$494)&amp;IF(Checks!$AA$494="","",IF(Checks!$Z$494="","",CHAR(10))&amp;"CA: "&amp;Checks!$AA$494)</f>
        <v/>
      </c>
      <c r="G38" s="124">
        <f>IF(ISNUMBER(Checks!$AD$494),TEXT(Checks!$AD$494,"DD-MMM-YY HH:MM")&amp;" "&amp;Checks!$P$494,"")&amp;IF(Checks!$AE$494="","",CHAR(10)&amp;Checks!$AE$494)</f>
        <v/>
      </c>
      <c r="H38" s="125">
        <f>IF(Checks!$AH$494="","",Checks!$AH$494)</f>
        <v/>
      </c>
    </row>
    <row r="39" ht="81" customHeight="1">
      <c r="A39" s="124">
        <f>Checks!$A$495&amp;CHAR(10)&amp;IF(Checks!$I$495="","",Checks!$I$495&amp;": ")&amp;Checks!$J$495</f>
        <v/>
      </c>
      <c r="B39" s="124">
        <f>Checks!$K$495&amp;IF(Checks!$O$495="","",IF(Checks!$K$495="","",CHAR(10))&amp;"Note: "&amp;Checks!$O$495)</f>
        <v/>
      </c>
      <c r="C39" s="124">
        <f>Checks!$N$495&amp;CHAR(10)&amp;IF(ISNUMBER(Checks!$R$495),TEXT(Checks!$R$495,"DD-MMM-YY HH:MM"),"")&amp;" "&amp;Checks!$P$495</f>
        <v/>
      </c>
      <c r="D39" s="124">
        <f>IF(Checks!$U$495="","",Checks!$U$495)&amp;IF(Checks!$AB$495="","",CHAR(10)&amp;"CA: "&amp;Checks!$AB$495)</f>
        <v/>
      </c>
      <c r="E39" s="124">
        <f>IF(Checks!$V$495="","",Checks!$V$495)&amp;IF(Checks!$AC$495="","",IF(Checks!$V$495="","",CHAR(10))&amp;"N/A just.: "&amp;Checks!$AC$495)&amp;IF(Checks!$W$495="","",CHAR(10)&amp;"Batch: "&amp;Checks!$W$495)&amp;IF(AND(Checks!$X$495="",Checks!$Y$495=""),"",CHAR(10)&amp;"Exp: "&amp;Checks!$X$495&amp;"  /  Act: "&amp;Checks!$Y$495)</f>
        <v/>
      </c>
      <c r="F39" s="124">
        <f>IF(Checks!$Z$495="","","Evidence: "&amp;Checks!$Z$495)&amp;IF(Checks!$AA$495="","",IF(Checks!$Z$495="","",CHAR(10))&amp;"CA: "&amp;Checks!$AA$495)</f>
        <v/>
      </c>
      <c r="G39" s="124">
        <f>IF(ISNUMBER(Checks!$AD$495),TEXT(Checks!$AD$495,"DD-MMM-YY HH:MM")&amp;" "&amp;Checks!$P$495,"")&amp;IF(Checks!$AE$495="","",CHAR(10)&amp;Checks!$AE$495)</f>
        <v/>
      </c>
      <c r="H39" s="125">
        <f>IF(Checks!$AH$495="","",Checks!$AH$495)</f>
        <v/>
      </c>
    </row>
    <row r="40" ht="279" customHeight="1">
      <c r="A40" s="124">
        <f>Checks!$A$496&amp;CHAR(10)&amp;IF(Checks!$I$496="","",Checks!$I$496&amp;": ")&amp;Checks!$J$496</f>
        <v/>
      </c>
      <c r="B40" s="124">
        <f>SUBSTITUTE(Checks!$K$496&amp;IF(Checks!$O$496="","",IF(Checks!$K$496="","",CHAR(10))&amp;"Note: "&amp;Checks!$O$496),"AIRCRAFT TYPE!","Ref: AIRCRAFT TYPE!")</f>
        <v/>
      </c>
      <c r="C40" s="124">
        <f>Checks!$N$496&amp;CHAR(10)&amp;IF(ISNUMBER(Checks!$R$496),TEXT(Checks!$R$496,"DD-MMM-YY HH:MM"),"")&amp;" "&amp;Checks!$P$496</f>
        <v/>
      </c>
      <c r="D40" s="124">
        <f>IF(Checks!$U$496="","",Checks!$U$496)&amp;IF(Checks!$AB$496="","",CHAR(10)&amp;"CA: "&amp;Checks!$AB$496)</f>
        <v/>
      </c>
      <c r="E40" s="124">
        <f>IF(Checks!$V$496="","",Checks!$V$496)&amp;IF(Checks!$AC$496="","",IF(Checks!$V$496="","",CHAR(10))&amp;"N/A just.: "&amp;Checks!$AC$496)&amp;IF(Checks!$W$496="","",CHAR(10)&amp;"Batch: "&amp;Checks!$W$496)&amp;IF(AND(Checks!$X$496="",Checks!$Y$496=""),"",CHAR(10)&amp;"Exp: "&amp;Checks!$X$496&amp;"  /  Act: "&amp;Checks!$Y$496)</f>
        <v/>
      </c>
      <c r="F40" s="124">
        <f>IF(Checks!$Z$496="","","Evidence: "&amp;Checks!$Z$496)&amp;IF(Checks!$AA$496="","",IF(Checks!$Z$496="","",CHAR(10))&amp;"CA: "&amp;Checks!$AA$496)</f>
        <v/>
      </c>
      <c r="G40" s="124">
        <f>IF(ISNUMBER(Checks!$AD$496),TEXT(Checks!$AD$496,"DD-MMM-YY HH:MM")&amp;" "&amp;Checks!$P$496,"")&amp;IF(Checks!$AE$496="","",CHAR(10)&amp;Checks!$AE$496)</f>
        <v/>
      </c>
      <c r="H40" s="125">
        <f>IF(Checks!$AH$496="","",Checks!$AH$496)</f>
        <v/>
      </c>
    </row>
    <row r="41" ht="81" customHeight="1">
      <c r="A41" s="124">
        <f>Checks!$A$497&amp;CHAR(10)&amp;IF(Checks!$I$497="","",Checks!$I$497&amp;": ")&amp;Checks!$J$497</f>
        <v/>
      </c>
      <c r="B41" s="124">
        <f>Checks!$K$497&amp;IF(Checks!$O$497="","",IF(Checks!$K$497="","",CHAR(10))&amp;"Note: "&amp;Checks!$O$497)</f>
        <v/>
      </c>
      <c r="C41" s="124">
        <f>Checks!$N$497&amp;CHAR(10)&amp;IF(ISNUMBER(Checks!$R$497),TEXT(Checks!$R$497,"DD-MMM-YY HH:MM"),"")&amp;" "&amp;Checks!$P$497</f>
        <v/>
      </c>
      <c r="D41" s="124">
        <f>IF(Checks!$U$497="","",Checks!$U$497)&amp;IF(Checks!$AB$497="","",CHAR(10)&amp;"CA: "&amp;Checks!$AB$497)</f>
        <v/>
      </c>
      <c r="E41" s="124">
        <f>IF(Checks!$V$497="","",Checks!$V$497)&amp;IF(Checks!$AC$497="","",IF(Checks!$V$497="","",CHAR(10))&amp;"N/A just.: "&amp;Checks!$AC$497)&amp;IF(Checks!$W$497="","",CHAR(10)&amp;"Batch: "&amp;Checks!$W$497)&amp;IF(AND(Checks!$X$497="",Checks!$Y$497=""),"",CHAR(10)&amp;"Exp: "&amp;Checks!$X$497&amp;"  /  Act: "&amp;Checks!$Y$497)</f>
        <v/>
      </c>
      <c r="F41" s="124">
        <f>IF(Checks!$Z$497="","","Evidence: "&amp;Checks!$Z$497)&amp;IF(Checks!$AA$497="","",IF(Checks!$Z$497="","",CHAR(10))&amp;"CA: "&amp;Checks!$AA$497)</f>
        <v/>
      </c>
      <c r="G41" s="124">
        <f>IF(ISNUMBER(Checks!$AD$497),TEXT(Checks!$AD$497,"DD-MMM-YY HH:MM")&amp;" "&amp;Checks!$P$497,"")&amp;IF(Checks!$AE$497="","",CHAR(10)&amp;Checks!$AE$497)</f>
        <v/>
      </c>
      <c r="H41" s="125">
        <f>IF(Checks!$AH$497="","",Checks!$AH$497)</f>
        <v/>
      </c>
    </row>
    <row r="42" ht="114" customHeight="1">
      <c r="A42" s="124">
        <f>Checks!$A$498&amp;CHAR(10)&amp;IF(Checks!$I$498="","",Checks!$I$498&amp;": ")&amp;Checks!$J$498</f>
        <v/>
      </c>
      <c r="B42" s="124">
        <f>Checks!$K$498&amp;IF(Checks!$O$498="","",IF(Checks!$K$498="","",CHAR(10))&amp;"Note: "&amp;Checks!$O$498)</f>
        <v/>
      </c>
      <c r="C42" s="124">
        <f>Checks!$N$498&amp;CHAR(10)&amp;IF(ISNUMBER(Checks!$R$498),TEXT(Checks!$R$498,"DD-MMM-YY HH:MM"),"")&amp;" "&amp;Checks!$P$498</f>
        <v/>
      </c>
      <c r="D42" s="124">
        <f>IF(Checks!$U$498="","",Checks!$U$498)&amp;IF(Checks!$AB$498="","",CHAR(10)&amp;"CA: "&amp;Checks!$AB$498)</f>
        <v/>
      </c>
      <c r="E42" s="124">
        <f>IF(Checks!$V$498="","",Checks!$V$498)&amp;IF(Checks!$AC$498="","",IF(Checks!$V$498="","",CHAR(10))&amp;"N/A just.: "&amp;Checks!$AC$498)&amp;IF(Checks!$W$498="","",CHAR(10)&amp;"Batch: "&amp;Checks!$W$498)&amp;IF(AND(Checks!$X$498="",Checks!$Y$498=""),"",CHAR(10)&amp;"Exp: "&amp;Checks!$X$498&amp;"  /  Act: "&amp;Checks!$Y$498)</f>
        <v/>
      </c>
      <c r="F42" s="124">
        <f>IF(Checks!$Z$498="","","Evidence: "&amp;Checks!$Z$498)&amp;IF(Checks!$AA$498="","",IF(Checks!$Z$498="","",CHAR(10))&amp;"CA: "&amp;Checks!$AA$498)</f>
        <v/>
      </c>
      <c r="G42" s="124">
        <f>IF(ISNUMBER(Checks!$AD$498),TEXT(Checks!$AD$498,"DD-MMM-YY HH:MM")&amp;" "&amp;Checks!$P$498,"")&amp;IF(Checks!$AE$498="","",CHAR(10)&amp;Checks!$AE$498)</f>
        <v/>
      </c>
      <c r="H42" s="125">
        <f>IF(Checks!$AH$498="","",Checks!$AH$498)</f>
        <v/>
      </c>
    </row>
    <row r="43" ht="92" customHeight="1">
      <c r="A43" s="124">
        <f>Checks!$A$499&amp;CHAR(10)&amp;IF(Checks!$I$499="","",Checks!$I$499&amp;": ")&amp;Checks!$J$499</f>
        <v/>
      </c>
      <c r="B43" s="124">
        <f>Checks!$K$499&amp;IF(Checks!$O$499="","",IF(Checks!$K$499="","",CHAR(10))&amp;"Note: "&amp;Checks!$O$499)</f>
        <v/>
      </c>
      <c r="C43" s="124">
        <f>Checks!$N$499&amp;CHAR(10)&amp;IF(ISNUMBER(Checks!$R$499),TEXT(Checks!$R$499,"DD-MMM-YY HH:MM"),"")&amp;" "&amp;Checks!$P$499</f>
        <v/>
      </c>
      <c r="D43" s="124">
        <f>IF(Checks!$U$499="","",Checks!$U$499)&amp;IF(Checks!$AB$499="","",CHAR(10)&amp;"CA: "&amp;Checks!$AB$499)</f>
        <v/>
      </c>
      <c r="E43" s="124">
        <f>IF(Checks!$V$499="","",Checks!$V$499)&amp;IF(Checks!$AC$499="","",IF(Checks!$V$499="","",CHAR(10))&amp;"N/A just.: "&amp;Checks!$AC$499)&amp;IF(Checks!$W$499="","",CHAR(10)&amp;"Batch: "&amp;Checks!$W$499)&amp;IF(AND(Checks!$X$499="",Checks!$Y$499=""),"",CHAR(10)&amp;"Exp: "&amp;Checks!$X$499&amp;"  /  Act: "&amp;Checks!$Y$499)</f>
        <v/>
      </c>
      <c r="F43" s="124">
        <f>IF(Checks!$Z$499="","","Evidence: "&amp;Checks!$Z$499)&amp;IF(Checks!$AA$499="","",IF(Checks!$Z$499="","",CHAR(10))&amp;"CA: "&amp;Checks!$AA$499)</f>
        <v/>
      </c>
      <c r="G43" s="124">
        <f>IF(ISNUMBER(Checks!$AD$499),TEXT(Checks!$AD$499,"DD-MMM-YY HH:MM")&amp;" "&amp;Checks!$P$499,"")&amp;IF(Checks!$AE$499="","",CHAR(10)&amp;Checks!$AE$499)</f>
        <v/>
      </c>
      <c r="H43" s="125">
        <f>IF(Checks!$AH$499="","",Checks!$AH$499)</f>
        <v/>
      </c>
    </row>
    <row r="44" ht="224" customHeight="1">
      <c r="A44" s="124">
        <f>Checks!$A$500&amp;CHAR(10)&amp;IF(Checks!$I$500="","",Checks!$I$500&amp;": ")&amp;Checks!$J$500</f>
        <v/>
      </c>
      <c r="B44" s="124">
        <f>SUBSTITUTE(Checks!$K$500&amp;IF(Checks!$O$500="","",IF(Checks!$K$500="","",CHAR(10))&amp;"Note: "&amp;Checks!$O$500),"SEAT LINEN!","Ref: SEAT LINEN!")</f>
        <v/>
      </c>
      <c r="C44" s="124">
        <f>Checks!$N$500&amp;CHAR(10)&amp;IF(ISNUMBER(Checks!$R$500),TEXT(Checks!$R$500,"DD-MMM-YY HH:MM"),"")&amp;" "&amp;Checks!$P$500</f>
        <v/>
      </c>
      <c r="D44" s="124">
        <f>IF(Checks!$U$500="","",Checks!$U$500)&amp;IF(Checks!$AB$500="","",CHAR(10)&amp;"CA: "&amp;Checks!$AB$500)</f>
        <v/>
      </c>
      <c r="E44" s="124">
        <f>IF(Checks!$V$500="","",Checks!$V$500)&amp;IF(Checks!$AC$500="","",IF(Checks!$V$500="","",CHAR(10))&amp;"N/A just.: "&amp;Checks!$AC$500)&amp;IF(Checks!$W$500="","",CHAR(10)&amp;"Batch: "&amp;Checks!$W$500)&amp;IF(AND(Checks!$X$500="",Checks!$Y$500=""),"",CHAR(10)&amp;"Exp: "&amp;Checks!$X$500&amp;"  /  Act: "&amp;Checks!$Y$500)</f>
        <v/>
      </c>
      <c r="F44" s="124">
        <f>IF(Checks!$Z$500="","","Evidence: "&amp;Checks!$Z$500)&amp;IF(Checks!$AA$500="","",IF(Checks!$Z$500="","",CHAR(10))&amp;"CA: "&amp;Checks!$AA$500)</f>
        <v/>
      </c>
      <c r="G44" s="124">
        <f>IF(ISNUMBER(Checks!$AD$500),TEXT(Checks!$AD$500,"DD-MMM-YY HH:MM")&amp;" "&amp;Checks!$P$500,"")&amp;IF(Checks!$AE$500="","",CHAR(10)&amp;Checks!$AE$500)</f>
        <v/>
      </c>
      <c r="H44" s="125">
        <f>IF(Checks!$AH$500="","",Checks!$AH$500)</f>
        <v/>
      </c>
    </row>
    <row r="45" ht="26" customHeight="1">
      <c r="A45" s="123">
        <f>"UPLIFT — Physical uplift – on-board confirmation before departure  |  Due "&amp;"STD "&amp;IF(ISNUMBER(Flights!$I$19),TEXT(Flights!$I$19,"DD-MMM-YY HH:MM"),"")&amp;" "&amp;Flights!$G$19&amp;" (departure stn)"&amp;" (rows with another due show their own)  |  Complete "&amp;IF(ISNUMBER(Flights!$AM$19),TEXT(Flights!$AM$19,"0%"),Flights!$AM$19)&amp;"  |  5 lines"</f>
        <v/>
      </c>
      <c r="B45" s="97" t="n"/>
      <c r="C45" s="97" t="n"/>
      <c r="D45" s="97" t="n"/>
      <c r="E45" s="97" t="n"/>
      <c r="F45" s="97" t="n"/>
      <c r="G45" s="97" t="n"/>
      <c r="H45" s="98" t="n"/>
    </row>
    <row r="46" ht="81" customHeight="1">
      <c r="A46" s="124">
        <f>Checks!$A$501&amp;CHAR(10)&amp;IF(Checks!$I$501="","",Checks!$I$501&amp;": ")&amp;Checks!$J$501</f>
        <v/>
      </c>
      <c r="B46" s="124">
        <f>Checks!$K$501&amp;IF(Checks!$O$501="","",IF(Checks!$K$501="","",CHAR(10))&amp;"Note: "&amp;Checks!$O$501)</f>
        <v/>
      </c>
      <c r="C46" s="124">
        <f>Checks!$N$501&amp;CHAR(10)&amp;IF(ISNUMBER(Checks!$R$501),TEXT(Checks!$R$501,"DD-MMM-YY HH:MM"),"")&amp;" "&amp;Checks!$P$501</f>
        <v/>
      </c>
      <c r="D46" s="124">
        <f>IF(Checks!$U$501="","",Checks!$U$501)&amp;IF(Checks!$AB$501="","",CHAR(10)&amp;"CA: "&amp;Checks!$AB$501)</f>
        <v/>
      </c>
      <c r="E46" s="124">
        <f>IF(Checks!$V$501="","",Checks!$V$501)&amp;IF(Checks!$AC$501="","",IF(Checks!$V$501="","",CHAR(10))&amp;"N/A just.: "&amp;Checks!$AC$501)&amp;IF(Checks!$W$501="","",CHAR(10)&amp;"Batch: "&amp;Checks!$W$501)&amp;IF(AND(Checks!$X$501="",Checks!$Y$501=""),"",CHAR(10)&amp;"Exp: "&amp;Checks!$X$501&amp;"  /  Act: "&amp;Checks!$Y$501)</f>
        <v/>
      </c>
      <c r="F46" s="124">
        <f>IF(Checks!$Z$501="","","Evidence: "&amp;Checks!$Z$501)&amp;IF(Checks!$AA$501="","",IF(Checks!$Z$501="","",CHAR(10))&amp;"CA: "&amp;Checks!$AA$501)</f>
        <v/>
      </c>
      <c r="G46" s="124">
        <f>IF(ISNUMBER(Checks!$AD$501),TEXT(Checks!$AD$501,"DD-MMM-YY HH:MM")&amp;" "&amp;Checks!$P$501,"")&amp;IF(Checks!$AE$501="","",CHAR(10)&amp;Checks!$AE$501)</f>
        <v/>
      </c>
      <c r="H46" s="125">
        <f>IF(Checks!$AH$501="","",Checks!$AH$501)</f>
        <v/>
      </c>
    </row>
    <row r="47" ht="81" customHeight="1">
      <c r="A47" s="124">
        <f>Checks!$A$502&amp;CHAR(10)&amp;IF(Checks!$I$502="","",Checks!$I$502&amp;": ")&amp;Checks!$J$502</f>
        <v/>
      </c>
      <c r="B47" s="124">
        <f>Checks!$K$502&amp;IF(Checks!$O$502="","",IF(Checks!$K$502="","",CHAR(10))&amp;"Note: "&amp;Checks!$O$502)</f>
        <v/>
      </c>
      <c r="C47" s="124">
        <f>Checks!$N$502&amp;CHAR(10)&amp;IF(ISNUMBER(Checks!$R$502),TEXT(Checks!$R$502,"DD-MMM-YY HH:MM"),"")&amp;" "&amp;Checks!$P$502</f>
        <v/>
      </c>
      <c r="D47" s="124">
        <f>IF(Checks!$U$502="","",Checks!$U$502)&amp;IF(Checks!$AB$502="","",CHAR(10)&amp;"CA: "&amp;Checks!$AB$502)</f>
        <v/>
      </c>
      <c r="E47" s="124">
        <f>IF(Checks!$V$502="","",Checks!$V$502)&amp;IF(Checks!$AC$502="","",IF(Checks!$V$502="","",CHAR(10))&amp;"N/A just.: "&amp;Checks!$AC$502)&amp;IF(Checks!$W$502="","",CHAR(10)&amp;"Batch: "&amp;Checks!$W$502)&amp;IF(AND(Checks!$X$502="",Checks!$Y$502=""),"",CHAR(10)&amp;"Exp: "&amp;Checks!$X$502&amp;"  /  Act: "&amp;Checks!$Y$502)</f>
        <v/>
      </c>
      <c r="F47" s="124">
        <f>IF(Checks!$Z$502="","","Evidence: "&amp;Checks!$Z$502)&amp;IF(Checks!$AA$502="","",IF(Checks!$Z$502="","",CHAR(10))&amp;"CA: "&amp;Checks!$AA$502)</f>
        <v/>
      </c>
      <c r="G47" s="124">
        <f>IF(ISNUMBER(Checks!$AD$502),TEXT(Checks!$AD$502,"DD-MMM-YY HH:MM")&amp;" "&amp;Checks!$P$502,"")&amp;IF(Checks!$AE$502="","",CHAR(10)&amp;Checks!$AE$502)</f>
        <v/>
      </c>
      <c r="H47" s="125">
        <f>IF(Checks!$AH$502="","",Checks!$AH$502)</f>
        <v/>
      </c>
    </row>
    <row r="48" ht="114" customHeight="1">
      <c r="A48" s="124">
        <f>Checks!$A$503&amp;CHAR(10)&amp;IF(Checks!$I$503="","",Checks!$I$503&amp;": ")&amp;Checks!$J$503</f>
        <v/>
      </c>
      <c r="B48" s="124">
        <f>Checks!$K$503&amp;IF(Checks!$O$503="","",IF(Checks!$K$503="","",CHAR(10))&amp;"Note: "&amp;Checks!$O$503)</f>
        <v/>
      </c>
      <c r="C48" s="124">
        <f>Checks!$N$503&amp;CHAR(10)&amp;IF(ISNUMBER(Checks!$R$503),TEXT(Checks!$R$503,"DD-MMM-YY HH:MM"),"")&amp;" "&amp;Checks!$P$503</f>
        <v/>
      </c>
      <c r="D48" s="124">
        <f>IF(Checks!$U$503="","",Checks!$U$503)&amp;IF(Checks!$AB$503="","",CHAR(10)&amp;"CA: "&amp;Checks!$AB$503)</f>
        <v/>
      </c>
      <c r="E48" s="124">
        <f>IF(Checks!$V$503="","",Checks!$V$503)&amp;IF(Checks!$AC$503="","",IF(Checks!$V$503="","",CHAR(10))&amp;"N/A just.: "&amp;Checks!$AC$503)&amp;IF(Checks!$W$503="","",CHAR(10)&amp;"Batch: "&amp;Checks!$W$503)&amp;IF(AND(Checks!$X$503="",Checks!$Y$503=""),"",CHAR(10)&amp;"Exp: "&amp;Checks!$X$503&amp;"  /  Act: "&amp;Checks!$Y$503)</f>
        <v/>
      </c>
      <c r="F48" s="124">
        <f>IF(Checks!$Z$503="","","Evidence: "&amp;Checks!$Z$503)&amp;IF(Checks!$AA$503="","",IF(Checks!$Z$503="","",CHAR(10))&amp;"CA: "&amp;Checks!$AA$503)</f>
        <v/>
      </c>
      <c r="G48" s="124">
        <f>IF(ISNUMBER(Checks!$AD$503),TEXT(Checks!$AD$503,"DD-MMM-YY HH:MM")&amp;" "&amp;Checks!$P$503,"")&amp;IF(Checks!$AE$503="","",CHAR(10)&amp;Checks!$AE$503)</f>
        <v/>
      </c>
      <c r="H48" s="125">
        <f>IF(Checks!$AH$503="","",Checks!$AH$503)</f>
        <v/>
      </c>
    </row>
    <row r="49" ht="81" customHeight="1">
      <c r="A49" s="124">
        <f>Checks!$A$504&amp;CHAR(10)&amp;IF(Checks!$I$504="","",Checks!$I$504&amp;": ")&amp;Checks!$J$504</f>
        <v/>
      </c>
      <c r="B49" s="124">
        <f>Checks!$K$504&amp;IF(Checks!$O$504="","",IF(Checks!$K$504="","",CHAR(10))&amp;"Note: "&amp;Checks!$O$504)</f>
        <v/>
      </c>
      <c r="C49" s="124">
        <f>Checks!$N$504&amp;CHAR(10)&amp;IF(ISNUMBER(Checks!$R$504),TEXT(Checks!$R$504,"DD-MMM-YY HH:MM"),"")&amp;" "&amp;Checks!$P$504</f>
        <v/>
      </c>
      <c r="D49" s="124">
        <f>IF(Checks!$U$504="","",Checks!$U$504)&amp;IF(Checks!$AB$504="","",CHAR(10)&amp;"CA: "&amp;Checks!$AB$504)</f>
        <v/>
      </c>
      <c r="E49" s="124">
        <f>IF(Checks!$V$504="","",Checks!$V$504)&amp;IF(Checks!$AC$504="","",IF(Checks!$V$504="","",CHAR(10))&amp;"N/A just.: "&amp;Checks!$AC$504)&amp;IF(Checks!$W$504="","",CHAR(10)&amp;"Batch: "&amp;Checks!$W$504)&amp;IF(AND(Checks!$X$504="",Checks!$Y$504=""),"",CHAR(10)&amp;"Exp: "&amp;Checks!$X$504&amp;"  /  Act: "&amp;Checks!$Y$504)</f>
        <v/>
      </c>
      <c r="F49" s="124">
        <f>IF(Checks!$Z$504="","","Evidence: "&amp;Checks!$Z$504)&amp;IF(Checks!$AA$504="","",IF(Checks!$Z$504="","",CHAR(10))&amp;"CA: "&amp;Checks!$AA$504)</f>
        <v/>
      </c>
      <c r="G49" s="124">
        <f>IF(ISNUMBER(Checks!$AD$504),TEXT(Checks!$AD$504,"DD-MMM-YY HH:MM")&amp;" "&amp;Checks!$P$504,"")&amp;IF(Checks!$AE$504="","",CHAR(10)&amp;Checks!$AE$504)</f>
        <v/>
      </c>
      <c r="H49" s="125">
        <f>IF(Checks!$AH$504="","",Checks!$AH$504)</f>
        <v/>
      </c>
    </row>
    <row r="50" ht="158" customHeight="1">
      <c r="A50" s="124">
        <f>Checks!$A$505&amp;CHAR(10)&amp;IF(Checks!$I$505="","",Checks!$I$505&amp;": ")&amp;Checks!$J$505</f>
        <v/>
      </c>
      <c r="B50" s="124">
        <f>SUBSTITUTE(Checks!$K$505&amp;IF(Checks!$O$505="","",IF(Checks!$K$505="","",CHAR(10))&amp;"Note: "&amp;Checks!$O$505),"SEAT LINEN!","Ref: SEAT LINEN!")</f>
        <v/>
      </c>
      <c r="C50" s="124">
        <f>Checks!$N$505&amp;CHAR(10)&amp;IF(ISNUMBER(Checks!$R$505),TEXT(Checks!$R$505,"DD-MMM-YY HH:MM"),"")&amp;" "&amp;Checks!$P$505</f>
        <v/>
      </c>
      <c r="D50" s="124">
        <f>IF(Checks!$U$505="","",Checks!$U$505)&amp;IF(Checks!$AB$505="","",CHAR(10)&amp;"CA: "&amp;Checks!$AB$505)</f>
        <v/>
      </c>
      <c r="E50" s="124">
        <f>IF(Checks!$V$505="","",Checks!$V$505)&amp;IF(Checks!$AC$505="","",IF(Checks!$V$505="","",CHAR(10))&amp;"N/A just.: "&amp;Checks!$AC$505)&amp;IF(Checks!$W$505="","",CHAR(10)&amp;"Batch: "&amp;Checks!$W$505)&amp;IF(AND(Checks!$X$505="",Checks!$Y$505=""),"",CHAR(10)&amp;"Exp: "&amp;Checks!$X$505&amp;"  /  Act: "&amp;Checks!$Y$505)</f>
        <v/>
      </c>
      <c r="F50" s="124">
        <f>IF(Checks!$Z$505="","","Evidence: "&amp;Checks!$Z$505)&amp;IF(Checks!$AA$505="","",IF(Checks!$Z$505="","",CHAR(10))&amp;"CA: "&amp;Checks!$AA$505)</f>
        <v/>
      </c>
      <c r="G50" s="124">
        <f>IF(ISNUMBER(Checks!$AD$505),TEXT(Checks!$AD$505,"DD-MMM-YY HH:MM")&amp;" "&amp;Checks!$P$505,"")&amp;IF(Checks!$AE$505="","",CHAR(10)&amp;Checks!$AE$505)</f>
        <v/>
      </c>
      <c r="H50" s="125">
        <f>IF(Checks!$AH$505="","",Checks!$AH$505)</f>
        <v/>
      </c>
    </row>
    <row r="52" ht="24" customHeight="1">
      <c r="A52" s="126" t="inlineStr">
        <is>
          <t>EXCEL INSERTION AREA (on-screen only, not printed) – A1 Galley Loading Diagram: Insert &gt; Picture here. On paper: staple behind this sheet as page A1.</t>
        </is>
      </c>
      <c r="B52" s="127" t="n"/>
      <c r="C52" s="127" t="n"/>
      <c r="D52" s="128" t="n"/>
      <c r="E52" s="126" t="inlineStr">
        <is>
          <t>EXCEL INSERTION AREA (on-screen only, not printed) – A2 Menu Checklist: Insert &gt; Picture here. On paper: staple behind this sheet as page A2.</t>
        </is>
      </c>
      <c r="F52" s="127" t="n"/>
      <c r="G52" s="127" t="n"/>
      <c r="H52" s="128" t="n"/>
    </row>
    <row r="53" ht="22" customHeight="1">
      <c r="A53" s="129" t="n"/>
      <c r="B53" s="130" t="n"/>
      <c r="C53" s="130" t="n"/>
      <c r="D53" s="131" t="n"/>
      <c r="E53" s="129"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3" t="n"/>
      <c r="B62" s="134" t="n"/>
      <c r="C62" s="134" t="n"/>
      <c r="D62" s="135" t="n"/>
      <c r="E62" s="133" t="n"/>
      <c r="F62" s="134" t="n"/>
      <c r="G62" s="134" t="n"/>
      <c r="H62" s="135" t="n"/>
    </row>
  </sheetData>
  <mergeCells count="46">
    <mergeCell ref="B11:D11"/>
    <mergeCell ref="A53:D62"/>
    <mergeCell ref="F18:H18"/>
    <mergeCell ref="C15:D15"/>
    <mergeCell ref="E53:H62"/>
    <mergeCell ref="B8:D8"/>
    <mergeCell ref="G11:H11"/>
    <mergeCell ref="A52:D52"/>
    <mergeCell ref="C14:D14"/>
    <mergeCell ref="F2:H2"/>
    <mergeCell ref="F17:H17"/>
    <mergeCell ref="A1:H1"/>
    <mergeCell ref="G8:H8"/>
    <mergeCell ref="A45:H45"/>
    <mergeCell ref="B10:D10"/>
    <mergeCell ref="G7:H7"/>
    <mergeCell ref="F13:H13"/>
    <mergeCell ref="B16:E16"/>
    <mergeCell ref="B9:D9"/>
    <mergeCell ref="C17:E17"/>
    <mergeCell ref="G6:H6"/>
    <mergeCell ref="A18:B18"/>
    <mergeCell ref="B6:D6"/>
    <mergeCell ref="G3:H3"/>
    <mergeCell ref="E52:H52"/>
    <mergeCell ref="B5:D5"/>
    <mergeCell ref="F14:H14"/>
    <mergeCell ref="C19:E19"/>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0">
    <cfRule type="expression" priority="16" dxfId="20">
      <formula>LEFT($H23,3)="N/A"</formula>
    </cfRule>
  </conditionalFormatting>
  <conditionalFormatting sqref="D23:D5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F15 MH0003 25-Oct-26 LHR-KUL Class EY</oddHeader>
    <oddFooter>&amp;L&amp;"Arial,Bold"&amp;8 F15 MH0003 25-Oct-26 LHR-KUL Class EY&amp;C&amp;"Arial"&amp;8 Printed: ____________________&amp;R&amp;"Arial"&amp;8 F15  Page &amp;P of &amp;N</oddFooter>
    <evenHeader/>
    <evenFooter/>
    <firstHeader/>
    <firstFooter/>
  </headerFooter>
  <rowBreaks count="2" manualBreakCount="2">
    <brk id="20" min="0" max="16383" man="1"/>
    <brk id="33" min="0" max="16383" man="1"/>
  </rowBreaks>
</worksheet>
</file>

<file path=xl/worksheets/sheet24.xml><?xml version="1.0" encoding="utf-8"?>
<worksheet xmlns="http://schemas.openxmlformats.org/spreadsheetml/2006/main">
  <sheetPr>
    <tabColor rgb="001F3864"/>
    <outlinePr summaryBelow="1" summaryRight="1"/>
    <pageSetUpPr fitToPage="1"/>
  </sheetPr>
  <dimension ref="A1:H6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F16  "&amp;Flights!$F$20&amp;"  "&amp;TEXT(Flights!$D$20,"DD-MMM-YY")&amp;" ("&amp;Flights!$E$20&amp;")  "&amp;Flights!$G$20&amp;" → "&amp;Flights!$H$20&amp;"  |  Class "&amp;Flights!$K$20</f>
        <v/>
      </c>
      <c r="B1" s="97" t="n"/>
      <c r="C1" s="97" t="n"/>
      <c r="D1" s="97" t="n"/>
      <c r="E1" s="97" t="n"/>
      <c r="F1" s="97" t="n"/>
      <c r="G1" s="97" t="n"/>
      <c r="H1" s="98" t="n"/>
    </row>
    <row r="2" ht="13" customHeight="1">
      <c r="A2" s="99" t="inlineStr">
        <is>
          <t>Flight / date</t>
        </is>
      </c>
      <c r="B2" s="100">
        <f>Flights!$F$20&amp;"   "&amp;TEXT(Flights!$D$20,"DD-MMM-YY")&amp;" ("&amp;Flights!$E$20&amp;")"</f>
        <v/>
      </c>
      <c r="C2" s="97" t="n"/>
      <c r="D2" s="98" t="n"/>
      <c r="E2" s="101" t="inlineStr">
        <is>
          <t>READINESS STATUS</t>
        </is>
      </c>
      <c r="F2" s="102">
        <f>Flights!$AT$20</f>
        <v/>
      </c>
      <c r="G2" s="97" t="n"/>
      <c r="H2" s="98" t="n"/>
    </row>
    <row r="3" ht="24" customHeight="1">
      <c r="A3" s="99" t="inlineStr">
        <is>
          <t>Sector / class / seat</t>
        </is>
      </c>
      <c r="B3" s="100">
        <f>Flights!$G$20&amp;" → "&amp;Flights!$H$20&amp;"   Class "&amp;Flights!$K$20&amp;"   Seat "&amp;Flights!$O$20</f>
        <v/>
      </c>
      <c r="C3" s="97" t="n"/>
      <c r="D3" s="98" t="n"/>
      <c r="E3" s="101" t="inlineStr">
        <is>
          <t>Checkpoint</t>
        </is>
      </c>
      <c r="F3" s="101" t="inlineStr">
        <is>
          <t>Due (local)</t>
        </is>
      </c>
      <c r="G3" s="103" t="inlineStr">
        <is>
          <t>% complete</t>
        </is>
      </c>
      <c r="H3" s="98" t="n"/>
    </row>
    <row r="4" ht="13" customHeight="1">
      <c r="A4" s="99" t="inlineStr">
        <is>
          <t>STD → STA (local)</t>
        </is>
      </c>
      <c r="B4" s="100">
        <f>IF(ISNUMBER(Flights!$I$20),TEXT(Flights!$I$20,"DD-MMM-YY HH:MM"),"")&amp;" "&amp;Flights!$G$20&amp;"  →  "&amp;IF(ISNUMBER(Flights!$J$20),TEXT(Flights!$J$20,"DD-MMM-YY HH:MM"),"")&amp;" "&amp;Flights!$H$20</f>
        <v/>
      </c>
      <c r="C4" s="97" t="n"/>
      <c r="D4" s="98" t="n"/>
      <c r="E4" s="99" t="inlineStr">
        <is>
          <t>T-7D – 7 days before departure</t>
        </is>
      </c>
      <c r="F4" s="104">
        <f>IF(ISNUMBER(Flights!$AG$20),TEXT(Flights!$AG$20,"DD-MMM-YY HH:MM"),"")&amp;" "&amp;Flights!$V$20</f>
        <v/>
      </c>
      <c r="G4" s="105">
        <f>Flights!$AJ$20</f>
        <v/>
      </c>
      <c r="H4" s="98" t="n"/>
    </row>
    <row r="5" ht="24" customHeight="1">
      <c r="A5" s="99" t="inlineStr">
        <is>
          <t>Fleet / aircraft ref</t>
        </is>
      </c>
      <c r="B5" s="100">
        <f>Flights!$L$20&amp;" – "&amp;Flights!$M$20</f>
        <v/>
      </c>
      <c r="C5" s="97" t="n"/>
      <c r="D5" s="98" t="n"/>
      <c r="E5" s="99" t="inlineStr">
        <is>
          <t>T-24H – production batch sensory</t>
        </is>
      </c>
      <c r="F5" s="104">
        <f>IF(ISNUMBER(Flights!$AH$20),TEXT(Flights!$AH$20,"DD-MMM-YY HH:MM"),"")&amp;" "&amp;Flights!$V$20</f>
        <v/>
      </c>
      <c r="G5" s="105">
        <f>Flights!$AK$20</f>
        <v/>
      </c>
      <c r="H5" s="98" t="n"/>
    </row>
    <row r="6" ht="13" customHeight="1">
      <c r="A6" s="99" t="inlineStr">
        <is>
          <t>Tail / Reg</t>
        </is>
      </c>
      <c r="B6" s="100">
        <f>IF(TRIM(Flights!$N$20)="","__________________",Flights!$N$20)</f>
        <v/>
      </c>
      <c r="C6" s="97" t="n"/>
      <c r="D6" s="98" t="n"/>
      <c r="E6" s="99" t="inlineStr">
        <is>
          <t>T-12H PREP – caterer prep only</t>
        </is>
      </c>
      <c r="F6" s="104">
        <f>IF(ISNUMBER(Flights!$AI$20),TEXT(Flights!$AI$20,"DD-MMM-YY HH:MM"),"")&amp;" "&amp;Flights!$V$20&amp;IF(Flights!$AI$20=Flights!$AH$20,"  (= T-24H due)","")</f>
        <v/>
      </c>
      <c r="G6" s="105">
        <f>Flights!$AL$20</f>
        <v/>
      </c>
      <c r="H6" s="98" t="n"/>
    </row>
    <row r="7" ht="13" customHeight="1">
      <c r="A7" s="99" t="inlineStr">
        <is>
          <t>Service type</t>
        </is>
      </c>
      <c r="B7" s="100">
        <f>Flights!$T$20</f>
        <v/>
      </c>
      <c r="C7" s="97" t="n"/>
      <c r="D7" s="98" t="n"/>
      <c r="E7" s="99" t="inlineStr">
        <is>
          <t>UPLIFT – on-board confirmation</t>
        </is>
      </c>
      <c r="F7" s="104">
        <f>"STD "&amp;IF(ISNUMBER(Flights!$I$20),TEXT(Flights!$I$20,"DD-MMM-YY HH:MM"),"")&amp;" "&amp;Flights!$G$20&amp;" (dep stn)"</f>
        <v/>
      </c>
      <c r="G7" s="105">
        <f>Flights!$AM$20</f>
        <v/>
      </c>
      <c r="H7" s="98" t="n"/>
    </row>
    <row r="8" ht="13" customHeight="1">
      <c r="A8" s="99" t="inlineStr">
        <is>
          <t>Meal uplift stn</t>
        </is>
      </c>
      <c r="B8" s="100">
        <f>Flights!$V$20&amp;"   (reference uplift stns: "&amp;Flights!$U$20&amp;")"</f>
        <v/>
      </c>
      <c r="C8" s="97" t="n"/>
      <c r="D8" s="98" t="n"/>
      <c r="E8" s="99" t="inlineStr">
        <is>
          <t>OVERALL (all checkpoints)</t>
        </is>
      </c>
      <c r="F8" s="106" t="inlineStr">
        <is>
          <t>–</t>
        </is>
      </c>
      <c r="G8" s="105">
        <f>Flights!$AN$20</f>
        <v/>
      </c>
      <c r="H8" s="98" t="n"/>
    </row>
    <row r="9" ht="13" customHeight="1">
      <c r="A9" s="99" t="inlineStr">
        <is>
          <t>Transit / remark</t>
        </is>
      </c>
      <c r="B9" s="100">
        <f>TRIM(Flights!$P$20&amp;"  "&amp;Flights!$Q$20)</f>
        <v/>
      </c>
      <c r="C9" s="97" t="n"/>
      <c r="D9" s="98" t="n"/>
      <c r="E9" s="99" t="inlineStr">
        <is>
          <t>Overdue / discrep. / invalid</t>
        </is>
      </c>
      <c r="F9" s="107">
        <f>Flights!$AP$20</f>
        <v/>
      </c>
      <c r="G9" s="107">
        <f>Flights!$AQ$20</f>
        <v/>
      </c>
      <c r="H9" s="107">
        <f>Flights!$AU$20</f>
        <v/>
      </c>
    </row>
    <row r="10" ht="13" customHeight="1">
      <c r="A10" s="99" t="inlineStr">
        <is>
          <t>Caterer</t>
        </is>
      </c>
      <c r="B10" s="100">
        <f>IF(TRIM(Flights!$X$20)="","__________________",Flights!$X$20)</f>
        <v/>
      </c>
      <c r="C10" s="97" t="n"/>
      <c r="D10" s="98" t="n"/>
      <c r="E10" s="99" t="inlineStr">
        <is>
          <t>Open reqd / clarif. / docs out</t>
        </is>
      </c>
      <c r="F10" s="107">
        <f>Flights!$AO$20</f>
        <v/>
      </c>
      <c r="G10" s="107">
        <f>Flights!$AS$20</f>
        <v/>
      </c>
      <c r="H10" s="107">
        <f>Flights!$AR$20</f>
        <v/>
      </c>
    </row>
    <row r="11" ht="13" customHeight="1">
      <c r="A11" s="99" t="inlineStr">
        <is>
          <t>Flight PIC</t>
        </is>
      </c>
      <c r="B11" s="100">
        <f>IF(TRIM(Flights!$Y$20)="","__________________",Flights!$Y$20)</f>
        <v/>
      </c>
      <c r="C11" s="97" t="n"/>
      <c r="D11" s="98" t="n"/>
      <c r="E11" s="99" t="inlineStr">
        <is>
          <t>Done / in scope | as of UTC</t>
        </is>
      </c>
      <c r="F11" s="107">
        <f>Flights!$AV$20&amp;" / "&amp;Flights!$AW$20</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IF(Documents!$F$20="","",Documents!$F$20)</f>
        <v/>
      </c>
      <c r="C14" s="115">
        <f>IF(Documents!$G$20="","",Documents!$G$20)&amp;IF(ISNUMBER(Documents!$H$20),"  "&amp;TEXT(Documents!$H$20,"DD-MMM-YY"),"")</f>
        <v/>
      </c>
      <c r="D14" s="98" t="n"/>
      <c r="E14" s="116">
        <f>IF(Documents!$J$20="OUTSTANDING","OUTSTANDING – attach before T-7D (due "&amp;IF(ISNUMBER(Flights!$AG$20),TEXT(Flights!$AG$20,"DD-MMM-YY HH:MM"),"")&amp;" "&amp;Flights!$V$20&amp;")",IF(Documents!$J$20="","Status not recorded",Documents!$J$20))</f>
        <v/>
      </c>
      <c r="F14" s="117">
        <f>"Staple behind this sheet as page A1."&amp;IF(Documents!$I$20="",""," Location: "&amp;Documents!$I$20)</f>
        <v/>
      </c>
      <c r="G14" s="97" t="n"/>
      <c r="H14" s="98" t="n"/>
    </row>
    <row r="15" ht="25" customHeight="1">
      <c r="A15" s="99" t="inlineStr">
        <is>
          <t>A2  Menu Checklist</t>
        </is>
      </c>
      <c r="B15" s="114">
        <f>IF(Documents!$K$20="","",Documents!$K$20)</f>
        <v/>
      </c>
      <c r="C15" s="115">
        <f>IF(Documents!$L$20="","",Documents!$L$20)&amp;IF(ISNUMBER(Documents!$M$20),"  "&amp;TEXT(Documents!$M$20,"DD-MMM-YY"),"")</f>
        <v/>
      </c>
      <c r="D15" s="98" t="n"/>
      <c r="E15" s="116">
        <f>IF(Documents!$O$20="OUTSTANDING","OUTSTANDING – attach before T-7D (due "&amp;IF(ISNUMBER(Flights!$AG$20),TEXT(Flights!$AG$20,"DD-MMM-YY HH:MM"),"")&amp;" "&amp;Flights!$V$20&amp;")",IF(Documents!$O$20="","Status not recorded",Documents!$O$20))</f>
        <v/>
      </c>
      <c r="F15" s="117">
        <f>"Staple behind this sheet as page A2."&amp;IF(Documents!$N$20="",""," Location: "&amp;Documents!$N$20)</f>
        <v/>
      </c>
      <c r="G15" s="97" t="n"/>
      <c r="H15" s="98" t="n"/>
    </row>
    <row r="16" ht="33" customHeight="1">
      <c r="A16" s="99" t="inlineStr">
        <is>
          <t>Document notes</t>
        </is>
      </c>
      <c r="B16" s="118">
        <f>IF(Documents!$Q$20="","",Documents!$Q$20)</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"&amp;IF(TRIM(Flights!$Y$20)="","__________________",Flights!$Y$20)</f>
        <v/>
      </c>
      <c r="B18" s="98" t="n"/>
      <c r="C18" s="100">
        <f>"Name: __________________"</f>
        <v/>
      </c>
      <c r="D18" s="97" t="n"/>
      <c r="E18" s="98" t="n"/>
      <c r="F18" s="100">
        <f>"Name: __________________"&amp;"   Station: "&amp;Flights!$V$20</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"&amp;IF(ISNUMBER(Flights!$AG$20),TEXT(Flights!$AG$20,"DD-MMM-YY HH:MM"),"")&amp;" "&amp;Flights!$V$20&amp;" (meal uplift stn)"&amp;" (rows with another due show their own)  |  Complete "&amp;IF(ISNUMBER(Flights!$AJ$20),TEXT(Flights!$AJ$20,"0%"),Flights!$AJ$20)&amp;"  |  9 lines"</f>
        <v/>
      </c>
      <c r="B22" s="97" t="n"/>
      <c r="C22" s="97" t="n"/>
      <c r="D22" s="97" t="n"/>
      <c r="E22" s="97" t="n"/>
      <c r="F22" s="97" t="n"/>
      <c r="G22" s="97" t="n"/>
      <c r="H22" s="98" t="n"/>
    </row>
    <row r="23" ht="81" customHeight="1">
      <c r="A23" s="124">
        <f>Checks!$A$506&amp;CHAR(10)&amp;IF(Checks!$I$506="","",Checks!$I$506&amp;": ")&amp;Checks!$J$506</f>
        <v/>
      </c>
      <c r="B23" s="124">
        <f>Checks!$K$506&amp;IF(Checks!$O$506="","",IF(Checks!$K$506="","",CHAR(10))&amp;"Note: "&amp;Checks!$O$506)</f>
        <v/>
      </c>
      <c r="C23" s="124">
        <f>Checks!$N$506&amp;CHAR(10)&amp;IF(ISNUMBER(Checks!$R$506),TEXT(Checks!$R$506,"DD-MMM-YY HH:MM"),"")&amp;" "&amp;Checks!$P$506</f>
        <v/>
      </c>
      <c r="D23" s="124">
        <f>IF(Checks!$U$506="","",Checks!$U$506)&amp;IF(Checks!$AB$506="","",CHAR(10)&amp;"CA: "&amp;Checks!$AB$506)</f>
        <v/>
      </c>
      <c r="E23" s="124">
        <f>IF(Checks!$V$506="","",Checks!$V$506)&amp;IF(Checks!$AC$506="","",IF(Checks!$V$506="","",CHAR(10))&amp;"N/A just.: "&amp;Checks!$AC$506)&amp;IF(Checks!$W$506="","",CHAR(10)&amp;"Batch: "&amp;Checks!$W$506)&amp;IF(AND(Checks!$X$506="",Checks!$Y$506=""),"",CHAR(10)&amp;"Exp: "&amp;Checks!$X$506&amp;"  /  Act: "&amp;Checks!$Y$506)</f>
        <v/>
      </c>
      <c r="F23" s="124">
        <f>IF(Checks!$Z$506="","","Evidence: "&amp;Checks!$Z$506)&amp;IF(Checks!$AA$506="","",IF(Checks!$Z$506="","",CHAR(10))&amp;"CA: "&amp;Checks!$AA$506)</f>
        <v/>
      </c>
      <c r="G23" s="124">
        <f>IF(ISNUMBER(Checks!$AD$506),TEXT(Checks!$AD$506,"DD-MMM-YY HH:MM")&amp;" "&amp;Checks!$P$506,"")&amp;IF(Checks!$AE$506="","",CHAR(10)&amp;Checks!$AE$506)</f>
        <v/>
      </c>
      <c r="H23" s="125">
        <f>IF(Checks!$AH$506="","",Checks!$AH$506)</f>
        <v/>
      </c>
    </row>
    <row r="24" ht="81" customHeight="1">
      <c r="A24" s="124">
        <f>Checks!$A$507&amp;CHAR(10)&amp;IF(Checks!$I$507="","",Checks!$I$507&amp;": ")&amp;Checks!$J$507</f>
        <v/>
      </c>
      <c r="B24" s="124">
        <f>Checks!$K$507&amp;IF(Checks!$O$507="","",IF(Checks!$K$507="","",CHAR(10))&amp;"Note: "&amp;Checks!$O$507)</f>
        <v/>
      </c>
      <c r="C24" s="124">
        <f>Checks!$N$507&amp;CHAR(10)&amp;IF(ISNUMBER(Checks!$R$507),TEXT(Checks!$R$507,"DD-MMM-YY HH:MM"),"")&amp;" "&amp;Checks!$P$507</f>
        <v/>
      </c>
      <c r="D24" s="124">
        <f>IF(Checks!$U$507="","",Checks!$U$507)&amp;IF(Checks!$AB$507="","",CHAR(10)&amp;"CA: "&amp;Checks!$AB$507)</f>
        <v/>
      </c>
      <c r="E24" s="124">
        <f>IF(Checks!$V$507="","",Checks!$V$507)&amp;IF(Checks!$AC$507="","",IF(Checks!$V$507="","",CHAR(10))&amp;"N/A just.: "&amp;Checks!$AC$507)&amp;IF(Checks!$W$507="","",CHAR(10)&amp;"Batch: "&amp;Checks!$W$507)&amp;IF(AND(Checks!$X$507="",Checks!$Y$507=""),"",CHAR(10)&amp;"Exp: "&amp;Checks!$X$507&amp;"  /  Act: "&amp;Checks!$Y$507)</f>
        <v/>
      </c>
      <c r="F24" s="124">
        <f>IF(Checks!$Z$507="","","Evidence: "&amp;Checks!$Z$507)&amp;IF(Checks!$AA$507="","",IF(Checks!$Z$507="","",CHAR(10))&amp;"CA: "&amp;Checks!$AA$507)</f>
        <v/>
      </c>
      <c r="G24" s="124">
        <f>IF(ISNUMBER(Checks!$AD$507),TEXT(Checks!$AD$507,"DD-MMM-YY HH:MM")&amp;" "&amp;Checks!$P$507,"")&amp;IF(Checks!$AE$507="","",CHAR(10)&amp;Checks!$AE$507)</f>
        <v/>
      </c>
      <c r="H24" s="125">
        <f>IF(Checks!$AH$507="","",Checks!$AH$507)</f>
        <v/>
      </c>
    </row>
    <row r="25" ht="92" customHeight="1">
      <c r="A25" s="124">
        <f>Checks!$A$508&amp;CHAR(10)&amp;IF(Checks!$I$508="","",Checks!$I$508&amp;": ")&amp;Checks!$J$508</f>
        <v/>
      </c>
      <c r="B25" s="124">
        <f>Checks!$K$508&amp;IF(Checks!$O$508="","",IF(Checks!$K$508="","",CHAR(10))&amp;"Note: "&amp;Checks!$O$508)</f>
        <v/>
      </c>
      <c r="C25" s="124">
        <f>Checks!$N$508&amp;CHAR(10)&amp;IF(ISNUMBER(Checks!$R$508),TEXT(Checks!$R$508,"DD-MMM-YY HH:MM"),"")&amp;" "&amp;Checks!$P$508</f>
        <v/>
      </c>
      <c r="D25" s="124">
        <f>IF(Checks!$U$508="","",Checks!$U$508)&amp;IF(Checks!$AB$508="","",CHAR(10)&amp;"CA: "&amp;Checks!$AB$508)</f>
        <v/>
      </c>
      <c r="E25" s="124">
        <f>IF(Checks!$V$508="","",Checks!$V$508)&amp;IF(Checks!$AC$508="","",IF(Checks!$V$508="","",CHAR(10))&amp;"N/A just.: "&amp;Checks!$AC$508)&amp;IF(Checks!$W$508="","",CHAR(10)&amp;"Batch: "&amp;Checks!$W$508)&amp;IF(AND(Checks!$X$508="",Checks!$Y$508=""),"",CHAR(10)&amp;"Exp: "&amp;Checks!$X$508&amp;"  /  Act: "&amp;Checks!$Y$508)</f>
        <v/>
      </c>
      <c r="F25" s="124">
        <f>IF(Checks!$Z$508="","","Evidence: "&amp;Checks!$Z$508)&amp;IF(Checks!$AA$508="","",IF(Checks!$Z$508="","",CHAR(10))&amp;"CA: "&amp;Checks!$AA$508)</f>
        <v/>
      </c>
      <c r="G25" s="124">
        <f>IF(ISNUMBER(Checks!$AD$508),TEXT(Checks!$AD$508,"DD-MMM-YY HH:MM")&amp;" "&amp;Checks!$P$508,"")&amp;IF(Checks!$AE$508="","",CHAR(10)&amp;Checks!$AE$508)</f>
        <v/>
      </c>
      <c r="H25" s="125">
        <f>IF(Checks!$AH$508="","",Checks!$AH$508)</f>
        <v/>
      </c>
    </row>
    <row r="26" ht="81" customHeight="1">
      <c r="A26" s="124">
        <f>Checks!$A$509&amp;CHAR(10)&amp;IF(Checks!$I$509="","",Checks!$I$509&amp;": ")&amp;Checks!$J$509</f>
        <v/>
      </c>
      <c r="B26" s="124">
        <f>Checks!$K$509&amp;IF(Checks!$O$509="","",IF(Checks!$K$509="","",CHAR(10))&amp;"Note: "&amp;Checks!$O$509)</f>
        <v/>
      </c>
      <c r="C26" s="124">
        <f>Checks!$N$509&amp;CHAR(10)&amp;IF(ISNUMBER(Checks!$R$509),TEXT(Checks!$R$509,"DD-MMM-YY HH:MM"),"")&amp;" "&amp;Checks!$P$509</f>
        <v/>
      </c>
      <c r="D26" s="124">
        <f>IF(Checks!$U$509="","",Checks!$U$509)&amp;IF(Checks!$AB$509="","",CHAR(10)&amp;"CA: "&amp;Checks!$AB$509)</f>
        <v/>
      </c>
      <c r="E26" s="124">
        <f>IF(Checks!$V$509="","",Checks!$V$509)&amp;IF(Checks!$AC$509="","",IF(Checks!$V$509="","",CHAR(10))&amp;"N/A just.: "&amp;Checks!$AC$509)&amp;IF(Checks!$W$509="","",CHAR(10)&amp;"Batch: "&amp;Checks!$W$509)&amp;IF(AND(Checks!$X$509="",Checks!$Y$509=""),"",CHAR(10)&amp;"Exp: "&amp;Checks!$X$509&amp;"  /  Act: "&amp;Checks!$Y$509)</f>
        <v/>
      </c>
      <c r="F26" s="124">
        <f>IF(Checks!$Z$509="","","Evidence: "&amp;Checks!$Z$509)&amp;IF(Checks!$AA$509="","",IF(Checks!$Z$509="","",CHAR(10))&amp;"CA: "&amp;Checks!$AA$509)</f>
        <v/>
      </c>
      <c r="G26" s="124">
        <f>IF(ISNUMBER(Checks!$AD$509),TEXT(Checks!$AD$509,"DD-MMM-YY HH:MM")&amp;" "&amp;Checks!$P$509,"")&amp;IF(Checks!$AE$509="","",CHAR(10)&amp;Checks!$AE$509)</f>
        <v/>
      </c>
      <c r="H26" s="125">
        <f>IF(Checks!$AH$509="","",Checks!$AH$509)</f>
        <v/>
      </c>
    </row>
    <row r="27" ht="81" customHeight="1">
      <c r="A27" s="124">
        <f>Checks!$A$510&amp;CHAR(10)&amp;IF(Checks!$I$510="","",Checks!$I$510&amp;": ")&amp;Checks!$J$510</f>
        <v/>
      </c>
      <c r="B27" s="124">
        <f>Checks!$K$510&amp;IF(Checks!$O$510="","",IF(Checks!$K$510="","",CHAR(10))&amp;"Note: "&amp;Checks!$O$510)</f>
        <v/>
      </c>
      <c r="C27" s="124">
        <f>Checks!$N$510&amp;CHAR(10)&amp;IF(ISNUMBER(Checks!$R$510),TEXT(Checks!$R$510,"DD-MMM-YY HH:MM"),"")&amp;" "&amp;Checks!$P$510</f>
        <v/>
      </c>
      <c r="D27" s="124">
        <f>IF(Checks!$U$510="","",Checks!$U$510)&amp;IF(Checks!$AB$510="","",CHAR(10)&amp;"CA: "&amp;Checks!$AB$510)</f>
        <v/>
      </c>
      <c r="E27" s="124">
        <f>IF(Checks!$V$510="","",Checks!$V$510)&amp;IF(Checks!$AC$510="","",IF(Checks!$V$510="","",CHAR(10))&amp;"N/A just.: "&amp;Checks!$AC$510)&amp;IF(Checks!$W$510="","",CHAR(10)&amp;"Batch: "&amp;Checks!$W$510)&amp;IF(AND(Checks!$X$510="",Checks!$Y$510=""),"",CHAR(10)&amp;"Exp: "&amp;Checks!$X$510&amp;"  /  Act: "&amp;Checks!$Y$510)</f>
        <v/>
      </c>
      <c r="F27" s="124">
        <f>IF(Checks!$Z$510="","","Evidence: "&amp;Checks!$Z$510)&amp;IF(Checks!$AA$510="","",IF(Checks!$Z$510="","",CHAR(10))&amp;"CA: "&amp;Checks!$AA$510)</f>
        <v/>
      </c>
      <c r="G27" s="124">
        <f>IF(ISNUMBER(Checks!$AD$510),TEXT(Checks!$AD$510,"DD-MMM-YY HH:MM")&amp;" "&amp;Checks!$P$510,"")&amp;IF(Checks!$AE$510="","",CHAR(10)&amp;Checks!$AE$510)</f>
        <v/>
      </c>
      <c r="H27" s="125">
        <f>IF(Checks!$AH$510="","",Checks!$AH$510)</f>
        <v/>
      </c>
    </row>
    <row r="28" ht="81" customHeight="1">
      <c r="A28" s="124">
        <f>Checks!$A$511&amp;CHAR(10)&amp;IF(Checks!$I$511="","",Checks!$I$511&amp;": ")&amp;Checks!$J$511</f>
        <v/>
      </c>
      <c r="B28" s="124">
        <f>Checks!$K$511&amp;IF(Checks!$O$511="","",IF(Checks!$K$511="","",CHAR(10))&amp;"Note: "&amp;Checks!$O$511)</f>
        <v/>
      </c>
      <c r="C28" s="124">
        <f>Checks!$N$511&amp;CHAR(10)&amp;IF(ISNUMBER(Checks!$R$511),TEXT(Checks!$R$511,"DD-MMM-YY HH:MM"),"")&amp;" "&amp;Checks!$P$511</f>
        <v/>
      </c>
      <c r="D28" s="124">
        <f>IF(Checks!$U$511="","",Checks!$U$511)&amp;IF(Checks!$AB$511="","",CHAR(10)&amp;"CA: "&amp;Checks!$AB$511)</f>
        <v/>
      </c>
      <c r="E28" s="124">
        <f>IF(Checks!$V$511="","",Checks!$V$511)&amp;IF(Checks!$AC$511="","",IF(Checks!$V$511="","",CHAR(10))&amp;"N/A just.: "&amp;Checks!$AC$511)&amp;IF(Checks!$W$511="","",CHAR(10)&amp;"Batch: "&amp;Checks!$W$511)&amp;IF(AND(Checks!$X$511="",Checks!$Y$511=""),"",CHAR(10)&amp;"Exp: "&amp;Checks!$X$511&amp;"  /  Act: "&amp;Checks!$Y$511)</f>
        <v/>
      </c>
      <c r="F28" s="124">
        <f>IF(Checks!$Z$511="","","Evidence: "&amp;Checks!$Z$511)&amp;IF(Checks!$AA$511="","",IF(Checks!$Z$511="","",CHAR(10))&amp;"CA: "&amp;Checks!$AA$511)</f>
        <v/>
      </c>
      <c r="G28" s="124">
        <f>IF(ISNUMBER(Checks!$AD$511),TEXT(Checks!$AD$511,"DD-MMM-YY HH:MM")&amp;" "&amp;Checks!$P$511,"")&amp;IF(Checks!$AE$511="","",CHAR(10)&amp;Checks!$AE$511)</f>
        <v/>
      </c>
      <c r="H28" s="125">
        <f>IF(Checks!$AH$511="","",Checks!$AH$511)</f>
        <v/>
      </c>
    </row>
    <row r="29" ht="81" customHeight="1">
      <c r="A29" s="124">
        <f>Checks!$A$512&amp;CHAR(10)&amp;IF(Checks!$I$512="","",Checks!$I$512&amp;": ")&amp;Checks!$J$512</f>
        <v/>
      </c>
      <c r="B29" s="124">
        <f>Checks!$K$512&amp;IF(Checks!$O$512="","",IF(Checks!$K$512="","",CHAR(10))&amp;"Note: "&amp;Checks!$O$512)</f>
        <v/>
      </c>
      <c r="C29" s="124">
        <f>Checks!$N$512&amp;CHAR(10)&amp;IF(ISNUMBER(Checks!$R$512),TEXT(Checks!$R$512,"DD-MMM-YY HH:MM"),"")&amp;" "&amp;Checks!$P$512</f>
        <v/>
      </c>
      <c r="D29" s="124">
        <f>IF(Checks!$U$512="","",Checks!$U$512)&amp;IF(Checks!$AB$512="","",CHAR(10)&amp;"CA: "&amp;Checks!$AB$512)</f>
        <v/>
      </c>
      <c r="E29" s="124">
        <f>IF(Checks!$V$512="","",Checks!$V$512)&amp;IF(Checks!$AC$512="","",IF(Checks!$V$512="","",CHAR(10))&amp;"N/A just.: "&amp;Checks!$AC$512)&amp;IF(Checks!$W$512="","",CHAR(10)&amp;"Batch: "&amp;Checks!$W$512)&amp;IF(AND(Checks!$X$512="",Checks!$Y$512=""),"",CHAR(10)&amp;"Exp: "&amp;Checks!$X$512&amp;"  /  Act: "&amp;Checks!$Y$512)</f>
        <v/>
      </c>
      <c r="F29" s="124">
        <f>IF(Checks!$Z$512="","","Evidence: "&amp;Checks!$Z$512)&amp;IF(Checks!$AA$512="","",IF(Checks!$Z$512="","",CHAR(10))&amp;"CA: "&amp;Checks!$AA$512)</f>
        <v/>
      </c>
      <c r="G29" s="124">
        <f>IF(ISNUMBER(Checks!$AD$512),TEXT(Checks!$AD$512,"DD-MMM-YY HH:MM")&amp;" "&amp;Checks!$P$512,"")&amp;IF(Checks!$AE$512="","",CHAR(10)&amp;Checks!$AE$512)</f>
        <v/>
      </c>
      <c r="H29" s="125">
        <f>IF(Checks!$AH$512="","",Checks!$AH$512)</f>
        <v/>
      </c>
    </row>
    <row r="30" ht="81" customHeight="1">
      <c r="A30" s="124">
        <f>Checks!$A$513&amp;CHAR(10)&amp;IF(Checks!$I$513="","",Checks!$I$513&amp;": ")&amp;Checks!$J$513</f>
        <v/>
      </c>
      <c r="B30" s="124">
        <f>Checks!$K$513&amp;IF(Checks!$O$513="","",IF(Checks!$K$513="","",CHAR(10))&amp;"Note: "&amp;Checks!$O$513)</f>
        <v/>
      </c>
      <c r="C30" s="124">
        <f>Checks!$N$513&amp;CHAR(10)&amp;IF(ISNUMBER(Checks!$R$513),TEXT(Checks!$R$513,"DD-MMM-YY HH:MM"),"")&amp;" "&amp;Checks!$P$513</f>
        <v/>
      </c>
      <c r="D30" s="124">
        <f>IF(Checks!$U$513="","",Checks!$U$513)&amp;IF(Checks!$AB$513="","",CHAR(10)&amp;"CA: "&amp;Checks!$AB$513)</f>
        <v/>
      </c>
      <c r="E30" s="124">
        <f>IF(Checks!$V$513="","",Checks!$V$513)&amp;IF(Checks!$AC$513="","",IF(Checks!$V$513="","",CHAR(10))&amp;"N/A just.: "&amp;Checks!$AC$513)&amp;IF(Checks!$W$513="","",CHAR(10)&amp;"Batch: "&amp;Checks!$W$513)&amp;IF(AND(Checks!$X$513="",Checks!$Y$513=""),"",CHAR(10)&amp;"Exp: "&amp;Checks!$X$513&amp;"  /  Act: "&amp;Checks!$Y$513)</f>
        <v/>
      </c>
      <c r="F30" s="124">
        <f>IF(Checks!$Z$513="","","Evidence: "&amp;Checks!$Z$513)&amp;IF(Checks!$AA$513="","",IF(Checks!$Z$513="","",CHAR(10))&amp;"CA: "&amp;Checks!$AA$513)</f>
        <v/>
      </c>
      <c r="G30" s="124">
        <f>IF(ISNUMBER(Checks!$AD$513),TEXT(Checks!$AD$513,"DD-MMM-YY HH:MM")&amp;" "&amp;Checks!$P$513,"")&amp;IF(Checks!$AE$513="","",CHAR(10)&amp;Checks!$AE$513)</f>
        <v/>
      </c>
      <c r="H30" s="125">
        <f>IF(Checks!$AH$513="","",Checks!$AH$513)</f>
        <v/>
      </c>
    </row>
    <row r="31" ht="81" customHeight="1">
      <c r="A31" s="124">
        <f>Checks!$A$514&amp;CHAR(10)&amp;IF(Checks!$I$514="","",Checks!$I$514&amp;": ")&amp;Checks!$J$514</f>
        <v/>
      </c>
      <c r="B31" s="124">
        <f>Checks!$K$514&amp;IF(Checks!$O$514="","",IF(Checks!$K$514="","",CHAR(10))&amp;"Note: "&amp;Checks!$O$514)</f>
        <v/>
      </c>
      <c r="C31" s="124">
        <f>Checks!$N$514&amp;CHAR(10)&amp;IF(ISNUMBER(Checks!$R$514),TEXT(Checks!$R$514,"DD-MMM-YY HH:MM"),"")&amp;" "&amp;Checks!$P$514</f>
        <v/>
      </c>
      <c r="D31" s="124">
        <f>IF(Checks!$U$514="","",Checks!$U$514)&amp;IF(Checks!$AB$514="","",CHAR(10)&amp;"CA: "&amp;Checks!$AB$514)</f>
        <v/>
      </c>
      <c r="E31" s="124">
        <f>IF(Checks!$V$514="","",Checks!$V$514)&amp;IF(Checks!$AC$514="","",IF(Checks!$V$514="","",CHAR(10))&amp;"N/A just.: "&amp;Checks!$AC$514)&amp;IF(Checks!$W$514="","",CHAR(10)&amp;"Batch: "&amp;Checks!$W$514)&amp;IF(AND(Checks!$X$514="",Checks!$Y$514=""),"",CHAR(10)&amp;"Exp: "&amp;Checks!$X$514&amp;"  /  Act: "&amp;Checks!$Y$514)</f>
        <v/>
      </c>
      <c r="F31" s="124">
        <f>IF(Checks!$Z$514="","","Evidence: "&amp;Checks!$Z$514)&amp;IF(Checks!$AA$514="","",IF(Checks!$Z$514="","",CHAR(10))&amp;"CA: "&amp;Checks!$AA$514)</f>
        <v/>
      </c>
      <c r="G31" s="124">
        <f>IF(ISNUMBER(Checks!$AD$514),TEXT(Checks!$AD$514,"DD-MMM-YY HH:MM")&amp;" "&amp;Checks!$P$514,"")&amp;IF(Checks!$AE$514="","",CHAR(10)&amp;Checks!$AE$514)</f>
        <v/>
      </c>
      <c r="H31" s="125">
        <f>IF(Checks!$AH$514="","",Checks!$AH$514)</f>
        <v/>
      </c>
    </row>
    <row r="32" ht="26" customHeight="1">
      <c r="A32" s="123">
        <f>"T-24H — Production batch sensory  |  Due "&amp;IF(ISNUMBER(Flights!$AH$20),TEXT(Flights!$AH$20,"DD-MMM-YY HH:MM"),"")&amp;" "&amp;Flights!$V$20&amp;" (meal uplift stn)"&amp;" (rows with another due show their own)  |  Complete "&amp;IF(ISNUMBER(Flights!$AK$20),TEXT(Flights!$AK$20,"0%"),Flights!$AK$20)&amp;"  |  1 lines"</f>
        <v/>
      </c>
      <c r="B32" s="97" t="n"/>
      <c r="C32" s="97" t="n"/>
      <c r="D32" s="97" t="n"/>
      <c r="E32" s="97" t="n"/>
      <c r="F32" s="97" t="n"/>
      <c r="G32" s="97" t="n"/>
      <c r="H32" s="98" t="n"/>
    </row>
    <row r="33" ht="81" customHeight="1">
      <c r="A33" s="124">
        <f>Checks!$A$515&amp;CHAR(10)&amp;IF(Checks!$I$515="","",Checks!$I$515&amp;": ")&amp;Checks!$J$515</f>
        <v/>
      </c>
      <c r="B33" s="124">
        <f>Checks!$K$515&amp;IF(Checks!$O$515="","",IF(Checks!$K$515="","",CHAR(10))&amp;"Note: "&amp;Checks!$O$515)</f>
        <v/>
      </c>
      <c r="C33" s="124">
        <f>Checks!$N$515&amp;CHAR(10)&amp;IF(ISNUMBER(Checks!$R$515),TEXT(Checks!$R$515,"DD-MMM-YY HH:MM"),"")&amp;" "&amp;Checks!$P$515</f>
        <v/>
      </c>
      <c r="D33" s="124">
        <f>IF(Checks!$U$515="","",Checks!$U$515)&amp;IF(Checks!$AB$515="","",CHAR(10)&amp;"CA: "&amp;Checks!$AB$515)</f>
        <v/>
      </c>
      <c r="E33" s="124">
        <f>IF(Checks!$V$515="","",Checks!$V$515)&amp;IF(Checks!$AC$515="","",IF(Checks!$V$515="","",CHAR(10))&amp;"N/A just.: "&amp;Checks!$AC$515)&amp;IF(Checks!$W$515="","",CHAR(10)&amp;"Batch: "&amp;Checks!$W$515)&amp;IF(AND(Checks!$X$515="",Checks!$Y$515=""),"",CHAR(10)&amp;"Exp: "&amp;Checks!$X$515&amp;"  /  Act: "&amp;Checks!$Y$515)</f>
        <v/>
      </c>
      <c r="F33" s="124">
        <f>IF(Checks!$Z$515="","","Evidence: "&amp;Checks!$Z$515)&amp;IF(Checks!$AA$515="","",IF(Checks!$Z$515="","",CHAR(10))&amp;"CA: "&amp;Checks!$AA$515)</f>
        <v/>
      </c>
      <c r="G33" s="124">
        <f>IF(ISNUMBER(Checks!$AD$515),TEXT(Checks!$AD$515,"DD-MMM-YY HH:MM")&amp;" "&amp;Checks!$P$515,"")&amp;IF(Checks!$AE$515="","",CHAR(10)&amp;Checks!$AE$515)</f>
        <v/>
      </c>
      <c r="H33" s="125">
        <f>IF(Checks!$AH$515="","",Checks!$AH$515)</f>
        <v/>
      </c>
    </row>
    <row r="34" ht="26" customHeight="1">
      <c r="A34" s="123">
        <f>"T-12H PREP — Preparation check at caterer (does NOT confirm loading)  |  Due "&amp;IF(ISNUMBER(Flights!$AI$20),TEXT(Flights!$AI$20,"DD-MMM-YY HH:MM"),"")&amp;" "&amp;Flights!$V$20&amp;" (meal uplift stn)"&amp;" (rows with another due show their own)  |  Complete "&amp;IF(ISNUMBER(Flights!$AL$20),TEXT(Flights!$AL$20,"0%"),Flights!$AL$20)&amp;"  |  10 lines"</f>
        <v/>
      </c>
      <c r="B34" s="97" t="n"/>
      <c r="C34" s="97" t="n"/>
      <c r="D34" s="97" t="n"/>
      <c r="E34" s="97" t="n"/>
      <c r="F34" s="97" t="n"/>
      <c r="G34" s="97" t="n"/>
      <c r="H34" s="98" t="n"/>
    </row>
    <row r="35" ht="81" customHeight="1">
      <c r="A35" s="124">
        <f>Checks!$A$516&amp;CHAR(10)&amp;IF(Checks!$I$516="","",Checks!$I$516&amp;": ")&amp;Checks!$J$516</f>
        <v/>
      </c>
      <c r="B35" s="124">
        <f>Checks!$K$516&amp;IF(Checks!$O$516="","",IF(Checks!$K$516="","",CHAR(10))&amp;"Note: "&amp;Checks!$O$516)</f>
        <v/>
      </c>
      <c r="C35" s="124">
        <f>Checks!$N$516&amp;CHAR(10)&amp;IF(ISNUMBER(Checks!$R$516),TEXT(Checks!$R$516,"DD-MMM-YY HH:MM"),"")&amp;" "&amp;Checks!$P$516</f>
        <v/>
      </c>
      <c r="D35" s="124">
        <f>IF(Checks!$U$516="","",Checks!$U$516)&amp;IF(Checks!$AB$516="","",CHAR(10)&amp;"CA: "&amp;Checks!$AB$516)</f>
        <v/>
      </c>
      <c r="E35" s="124">
        <f>IF(Checks!$V$516="","",Checks!$V$516)&amp;IF(Checks!$AC$516="","",IF(Checks!$V$516="","",CHAR(10))&amp;"N/A just.: "&amp;Checks!$AC$516)&amp;IF(Checks!$W$516="","",CHAR(10)&amp;"Batch: "&amp;Checks!$W$516)&amp;IF(AND(Checks!$X$516="",Checks!$Y$516=""),"",CHAR(10)&amp;"Exp: "&amp;Checks!$X$516&amp;"  /  Act: "&amp;Checks!$Y$516)</f>
        <v/>
      </c>
      <c r="F35" s="124">
        <f>IF(Checks!$Z$516="","","Evidence: "&amp;Checks!$Z$516)&amp;IF(Checks!$AA$516="","",IF(Checks!$Z$516="","",CHAR(10))&amp;"CA: "&amp;Checks!$AA$516)</f>
        <v/>
      </c>
      <c r="G35" s="124">
        <f>IF(ISNUMBER(Checks!$AD$516),TEXT(Checks!$AD$516,"DD-MMM-YY HH:MM")&amp;" "&amp;Checks!$P$516,"")&amp;IF(Checks!$AE$516="","",CHAR(10)&amp;Checks!$AE$516)</f>
        <v/>
      </c>
      <c r="H35" s="125">
        <f>IF(Checks!$AH$516="","",Checks!$AH$516)</f>
        <v/>
      </c>
    </row>
    <row r="36" ht="81" customHeight="1">
      <c r="A36" s="124">
        <f>Checks!$A$517&amp;CHAR(10)&amp;IF(Checks!$I$517="","",Checks!$I$517&amp;": ")&amp;Checks!$J$517</f>
        <v/>
      </c>
      <c r="B36" s="124">
        <f>Checks!$K$517&amp;IF(Checks!$O$517="","",IF(Checks!$K$517="","",CHAR(10))&amp;"Note: "&amp;Checks!$O$517)</f>
        <v/>
      </c>
      <c r="C36" s="124">
        <f>Checks!$N$517&amp;CHAR(10)&amp;IF(ISNUMBER(Checks!$R$517),TEXT(Checks!$R$517,"DD-MMM-YY HH:MM"),"")&amp;" "&amp;Checks!$P$517</f>
        <v/>
      </c>
      <c r="D36" s="124">
        <f>IF(Checks!$U$517="","",Checks!$U$517)&amp;IF(Checks!$AB$517="","",CHAR(10)&amp;"CA: "&amp;Checks!$AB$517)</f>
        <v/>
      </c>
      <c r="E36" s="124">
        <f>IF(Checks!$V$517="","",Checks!$V$517)&amp;IF(Checks!$AC$517="","",IF(Checks!$V$517="","",CHAR(10))&amp;"N/A just.: "&amp;Checks!$AC$517)&amp;IF(Checks!$W$517="","",CHAR(10)&amp;"Batch: "&amp;Checks!$W$517)&amp;IF(AND(Checks!$X$517="",Checks!$Y$517=""),"",CHAR(10)&amp;"Exp: "&amp;Checks!$X$517&amp;"  /  Act: "&amp;Checks!$Y$517)</f>
        <v/>
      </c>
      <c r="F36" s="124">
        <f>IF(Checks!$Z$517="","","Evidence: "&amp;Checks!$Z$517)&amp;IF(Checks!$AA$517="","",IF(Checks!$Z$517="","",CHAR(10))&amp;"CA: "&amp;Checks!$AA$517)</f>
        <v/>
      </c>
      <c r="G36" s="124">
        <f>IF(ISNUMBER(Checks!$AD$517),TEXT(Checks!$AD$517,"DD-MMM-YY HH:MM")&amp;" "&amp;Checks!$P$517,"")&amp;IF(Checks!$AE$517="","",CHAR(10)&amp;Checks!$AE$517)</f>
        <v/>
      </c>
      <c r="H36" s="125">
        <f>IF(Checks!$AH$517="","",Checks!$AH$517)</f>
        <v/>
      </c>
    </row>
    <row r="37" ht="81" customHeight="1">
      <c r="A37" s="124">
        <f>Checks!$A$518&amp;CHAR(10)&amp;IF(Checks!$I$518="","",Checks!$I$518&amp;": ")&amp;Checks!$J$518</f>
        <v/>
      </c>
      <c r="B37" s="124">
        <f>Checks!$K$518&amp;IF(Checks!$O$518="","",IF(Checks!$K$518="","",CHAR(10))&amp;"Note: "&amp;Checks!$O$518)</f>
        <v/>
      </c>
      <c r="C37" s="124">
        <f>Checks!$N$518&amp;CHAR(10)&amp;IF(ISNUMBER(Checks!$R$518),TEXT(Checks!$R$518,"DD-MMM-YY HH:MM"),"")&amp;" "&amp;Checks!$P$518</f>
        <v/>
      </c>
      <c r="D37" s="124">
        <f>IF(Checks!$U$518="","",Checks!$U$518)&amp;IF(Checks!$AB$518="","",CHAR(10)&amp;"CA: "&amp;Checks!$AB$518)</f>
        <v/>
      </c>
      <c r="E37" s="124">
        <f>IF(Checks!$V$518="","",Checks!$V$518)&amp;IF(Checks!$AC$518="","",IF(Checks!$V$518="","",CHAR(10))&amp;"N/A just.: "&amp;Checks!$AC$518)&amp;IF(Checks!$W$518="","",CHAR(10)&amp;"Batch: "&amp;Checks!$W$518)&amp;IF(AND(Checks!$X$518="",Checks!$Y$518=""),"",CHAR(10)&amp;"Exp: "&amp;Checks!$X$518&amp;"  /  Act: "&amp;Checks!$Y$518)</f>
        <v/>
      </c>
      <c r="F37" s="124">
        <f>IF(Checks!$Z$518="","","Evidence: "&amp;Checks!$Z$518)&amp;IF(Checks!$AA$518="","",IF(Checks!$Z$518="","",CHAR(10))&amp;"CA: "&amp;Checks!$AA$518)</f>
        <v/>
      </c>
      <c r="G37" s="124">
        <f>IF(ISNUMBER(Checks!$AD$518),TEXT(Checks!$AD$518,"DD-MMM-YY HH:MM")&amp;" "&amp;Checks!$P$518,"")&amp;IF(Checks!$AE$518="","",CHAR(10)&amp;Checks!$AE$518)</f>
        <v/>
      </c>
      <c r="H37" s="125">
        <f>IF(Checks!$AH$518="","",Checks!$AH$518)</f>
        <v/>
      </c>
    </row>
    <row r="38" ht="81" customHeight="1">
      <c r="A38" s="124">
        <f>Checks!$A$519&amp;CHAR(10)&amp;IF(Checks!$I$519="","",Checks!$I$519&amp;": ")&amp;Checks!$J$519</f>
        <v/>
      </c>
      <c r="B38" s="124">
        <f>Checks!$K$519&amp;IF(Checks!$O$519="","",IF(Checks!$K$519="","",CHAR(10))&amp;"Note: "&amp;Checks!$O$519)</f>
        <v/>
      </c>
      <c r="C38" s="124">
        <f>Checks!$N$519&amp;CHAR(10)&amp;IF(ISNUMBER(Checks!$R$519),TEXT(Checks!$R$519,"DD-MMM-YY HH:MM"),"")&amp;" "&amp;Checks!$P$519</f>
        <v/>
      </c>
      <c r="D38" s="124">
        <f>IF(Checks!$U$519="","",Checks!$U$519)&amp;IF(Checks!$AB$519="","",CHAR(10)&amp;"CA: "&amp;Checks!$AB$519)</f>
        <v/>
      </c>
      <c r="E38" s="124">
        <f>IF(Checks!$V$519="","",Checks!$V$519)&amp;IF(Checks!$AC$519="","",IF(Checks!$V$519="","",CHAR(10))&amp;"N/A just.: "&amp;Checks!$AC$519)&amp;IF(Checks!$W$519="","",CHAR(10)&amp;"Batch: "&amp;Checks!$W$519)&amp;IF(AND(Checks!$X$519="",Checks!$Y$519=""),"",CHAR(10)&amp;"Exp: "&amp;Checks!$X$519&amp;"  /  Act: "&amp;Checks!$Y$519)</f>
        <v/>
      </c>
      <c r="F38" s="124">
        <f>IF(Checks!$Z$519="","","Evidence: "&amp;Checks!$Z$519)&amp;IF(Checks!$AA$519="","",IF(Checks!$Z$519="","",CHAR(10))&amp;"CA: "&amp;Checks!$AA$519)</f>
        <v/>
      </c>
      <c r="G38" s="124">
        <f>IF(ISNUMBER(Checks!$AD$519),TEXT(Checks!$AD$519,"DD-MMM-YY HH:MM")&amp;" "&amp;Checks!$P$519,"")&amp;IF(Checks!$AE$519="","",CHAR(10)&amp;Checks!$AE$519)</f>
        <v/>
      </c>
      <c r="H38" s="125">
        <f>IF(Checks!$AH$519="","",Checks!$AH$519)</f>
        <v/>
      </c>
    </row>
    <row r="39" ht="81" customHeight="1">
      <c r="A39" s="124">
        <f>Checks!$A$520&amp;CHAR(10)&amp;IF(Checks!$I$520="","",Checks!$I$520&amp;": ")&amp;Checks!$J$520</f>
        <v/>
      </c>
      <c r="B39" s="124">
        <f>Checks!$K$520&amp;IF(Checks!$O$520="","",IF(Checks!$K$520="","",CHAR(10))&amp;"Note: "&amp;Checks!$O$520)</f>
        <v/>
      </c>
      <c r="C39" s="124">
        <f>Checks!$N$520&amp;CHAR(10)&amp;IF(ISNUMBER(Checks!$R$520),TEXT(Checks!$R$520,"DD-MMM-YY HH:MM"),"")&amp;" "&amp;Checks!$P$520</f>
        <v/>
      </c>
      <c r="D39" s="124">
        <f>IF(Checks!$U$520="","",Checks!$U$520)&amp;IF(Checks!$AB$520="","",CHAR(10)&amp;"CA: "&amp;Checks!$AB$520)</f>
        <v/>
      </c>
      <c r="E39" s="124">
        <f>IF(Checks!$V$520="","",Checks!$V$520)&amp;IF(Checks!$AC$520="","",IF(Checks!$V$520="","",CHAR(10))&amp;"N/A just.: "&amp;Checks!$AC$520)&amp;IF(Checks!$W$520="","",CHAR(10)&amp;"Batch: "&amp;Checks!$W$520)&amp;IF(AND(Checks!$X$520="",Checks!$Y$520=""),"",CHAR(10)&amp;"Exp: "&amp;Checks!$X$520&amp;"  /  Act: "&amp;Checks!$Y$520)</f>
        <v/>
      </c>
      <c r="F39" s="124">
        <f>IF(Checks!$Z$520="","","Evidence: "&amp;Checks!$Z$520)&amp;IF(Checks!$AA$520="","",IF(Checks!$Z$520="","",CHAR(10))&amp;"CA: "&amp;Checks!$AA$520)</f>
        <v/>
      </c>
      <c r="G39" s="124">
        <f>IF(ISNUMBER(Checks!$AD$520),TEXT(Checks!$AD$520,"DD-MMM-YY HH:MM")&amp;" "&amp;Checks!$P$520,"")&amp;IF(Checks!$AE$520="","",CHAR(10)&amp;Checks!$AE$520)</f>
        <v/>
      </c>
      <c r="H39" s="125">
        <f>IF(Checks!$AH$520="","",Checks!$AH$520)</f>
        <v/>
      </c>
    </row>
    <row r="40" ht="158" customHeight="1">
      <c r="A40" s="124">
        <f>Checks!$A$521&amp;CHAR(10)&amp;IF(Checks!$I$521="","",Checks!$I$521&amp;": ")&amp;Checks!$J$521</f>
        <v/>
      </c>
      <c r="B40" s="124">
        <f>SUBSTITUTE(Checks!$K$521&amp;IF(Checks!$O$521="","",IF(Checks!$K$521="","",CHAR(10))&amp;"Note: "&amp;Checks!$O$521),"AIRCRAFT TYPE!","Ref: AIRCRAFT TYPE!")</f>
        <v/>
      </c>
      <c r="C40" s="124">
        <f>Checks!$N$521&amp;CHAR(10)&amp;IF(ISNUMBER(Checks!$R$521),TEXT(Checks!$R$521,"DD-MMM-YY HH:MM"),"")&amp;" "&amp;Checks!$P$521</f>
        <v/>
      </c>
      <c r="D40" s="124">
        <f>IF(Checks!$U$521="","",Checks!$U$521)&amp;IF(Checks!$AB$521="","",CHAR(10)&amp;"CA: "&amp;Checks!$AB$521)</f>
        <v/>
      </c>
      <c r="E40" s="124">
        <f>IF(Checks!$V$521="","",Checks!$V$521)&amp;IF(Checks!$AC$521="","",IF(Checks!$V$521="","",CHAR(10))&amp;"N/A just.: "&amp;Checks!$AC$521)&amp;IF(Checks!$W$521="","",CHAR(10)&amp;"Batch: "&amp;Checks!$W$521)&amp;IF(AND(Checks!$X$521="",Checks!$Y$521=""),"",CHAR(10)&amp;"Exp: "&amp;Checks!$X$521&amp;"  /  Act: "&amp;Checks!$Y$521)</f>
        <v/>
      </c>
      <c r="F40" s="124">
        <f>IF(Checks!$Z$521="","","Evidence: "&amp;Checks!$Z$521)&amp;IF(Checks!$AA$521="","",IF(Checks!$Z$521="","",CHAR(10))&amp;"CA: "&amp;Checks!$AA$521)</f>
        <v/>
      </c>
      <c r="G40" s="124">
        <f>IF(ISNUMBER(Checks!$AD$521),TEXT(Checks!$AD$521,"DD-MMM-YY HH:MM")&amp;" "&amp;Checks!$P$521,"")&amp;IF(Checks!$AE$521="","",CHAR(10)&amp;Checks!$AE$521)</f>
        <v/>
      </c>
      <c r="H40" s="125">
        <f>IF(Checks!$AH$521="","",Checks!$AH$521)</f>
        <v/>
      </c>
    </row>
    <row r="41" ht="81" customHeight="1">
      <c r="A41" s="124">
        <f>Checks!$A$522&amp;CHAR(10)&amp;IF(Checks!$I$522="","",Checks!$I$522&amp;": ")&amp;Checks!$J$522</f>
        <v/>
      </c>
      <c r="B41" s="124">
        <f>Checks!$K$522&amp;IF(Checks!$O$522="","",IF(Checks!$K$522="","",CHAR(10))&amp;"Note: "&amp;Checks!$O$522)</f>
        <v/>
      </c>
      <c r="C41" s="124">
        <f>Checks!$N$522&amp;CHAR(10)&amp;IF(ISNUMBER(Checks!$R$522),TEXT(Checks!$R$522,"DD-MMM-YY HH:MM"),"")&amp;" "&amp;Checks!$P$522</f>
        <v/>
      </c>
      <c r="D41" s="124">
        <f>IF(Checks!$U$522="","",Checks!$U$522)&amp;IF(Checks!$AB$522="","",CHAR(10)&amp;"CA: "&amp;Checks!$AB$522)</f>
        <v/>
      </c>
      <c r="E41" s="124">
        <f>IF(Checks!$V$522="","",Checks!$V$522)&amp;IF(Checks!$AC$522="","",IF(Checks!$V$522="","",CHAR(10))&amp;"N/A just.: "&amp;Checks!$AC$522)&amp;IF(Checks!$W$522="","",CHAR(10)&amp;"Batch: "&amp;Checks!$W$522)&amp;IF(AND(Checks!$X$522="",Checks!$Y$522=""),"",CHAR(10)&amp;"Exp: "&amp;Checks!$X$522&amp;"  /  Act: "&amp;Checks!$Y$522)</f>
        <v/>
      </c>
      <c r="F41" s="124">
        <f>IF(Checks!$Z$522="","","Evidence: "&amp;Checks!$Z$522)&amp;IF(Checks!$AA$522="","",IF(Checks!$Z$522="","",CHAR(10))&amp;"CA: "&amp;Checks!$AA$522)</f>
        <v/>
      </c>
      <c r="G41" s="124">
        <f>IF(ISNUMBER(Checks!$AD$522),TEXT(Checks!$AD$522,"DD-MMM-YY HH:MM")&amp;" "&amp;Checks!$P$522,"")&amp;IF(Checks!$AE$522="","",CHAR(10)&amp;Checks!$AE$522)</f>
        <v/>
      </c>
      <c r="H41" s="125">
        <f>IF(Checks!$AH$522="","",Checks!$AH$522)</f>
        <v/>
      </c>
    </row>
    <row r="42" ht="92" customHeight="1">
      <c r="A42" s="124">
        <f>Checks!$A$523&amp;CHAR(10)&amp;IF(Checks!$I$523="","",Checks!$I$523&amp;": ")&amp;Checks!$J$523</f>
        <v/>
      </c>
      <c r="B42" s="124">
        <f>Checks!$K$523&amp;IF(Checks!$O$523="","",IF(Checks!$K$523="","",CHAR(10))&amp;"Note: "&amp;Checks!$O$523)</f>
        <v/>
      </c>
      <c r="C42" s="124">
        <f>Checks!$N$523&amp;CHAR(10)&amp;IF(ISNUMBER(Checks!$R$523),TEXT(Checks!$R$523,"DD-MMM-YY HH:MM"),"")&amp;" "&amp;Checks!$P$523</f>
        <v/>
      </c>
      <c r="D42" s="124">
        <f>IF(Checks!$U$523="","",Checks!$U$523)&amp;IF(Checks!$AB$523="","",CHAR(10)&amp;"CA: "&amp;Checks!$AB$523)</f>
        <v/>
      </c>
      <c r="E42" s="124">
        <f>IF(Checks!$V$523="","",Checks!$V$523)&amp;IF(Checks!$AC$523="","",IF(Checks!$V$523="","",CHAR(10))&amp;"N/A just.: "&amp;Checks!$AC$523)&amp;IF(Checks!$W$523="","",CHAR(10)&amp;"Batch: "&amp;Checks!$W$523)&amp;IF(AND(Checks!$X$523="",Checks!$Y$523=""),"",CHAR(10)&amp;"Exp: "&amp;Checks!$X$523&amp;"  /  Act: "&amp;Checks!$Y$523)</f>
        <v/>
      </c>
      <c r="F42" s="124">
        <f>IF(Checks!$Z$523="","","Evidence: "&amp;Checks!$Z$523)&amp;IF(Checks!$AA$523="","",IF(Checks!$Z$523="","",CHAR(10))&amp;"CA: "&amp;Checks!$AA$523)</f>
        <v/>
      </c>
      <c r="G42" s="124">
        <f>IF(ISNUMBER(Checks!$AD$523),TEXT(Checks!$AD$523,"DD-MMM-YY HH:MM")&amp;" "&amp;Checks!$P$523,"")&amp;IF(Checks!$AE$523="","",CHAR(10)&amp;Checks!$AE$523)</f>
        <v/>
      </c>
      <c r="H42" s="125">
        <f>IF(Checks!$AH$523="","",Checks!$AH$523)</f>
        <v/>
      </c>
    </row>
    <row r="43" ht="246" customHeight="1">
      <c r="A43" s="124">
        <f>Checks!$A$524&amp;CHAR(10)&amp;IF(Checks!$I$524="","",Checks!$I$524&amp;": ")&amp;Checks!$J$524</f>
        <v/>
      </c>
      <c r="B43" s="124">
        <f>SUBSTITUTE(Checks!$K$524&amp;IF(Checks!$O$524="","",IF(Checks!$K$524="","",CHAR(10))&amp;"Note: "&amp;Checks!$O$524),"SEAT LINEN!","Ref: SEAT LINEN!")</f>
        <v/>
      </c>
      <c r="C43" s="124">
        <f>Checks!$N$524&amp;CHAR(10)&amp;IF(ISNUMBER(Checks!$R$524),TEXT(Checks!$R$524,"DD-MMM-YY HH:MM"),"")&amp;" "&amp;Checks!$P$524</f>
        <v/>
      </c>
      <c r="D43" s="124">
        <f>IF(Checks!$U$524="","",Checks!$U$524)&amp;IF(Checks!$AB$524="","",CHAR(10)&amp;"CA: "&amp;Checks!$AB$524)</f>
        <v/>
      </c>
      <c r="E43" s="124">
        <f>IF(Checks!$V$524="","",Checks!$V$524)&amp;IF(Checks!$AC$524="","",IF(Checks!$V$524="","",CHAR(10))&amp;"N/A just.: "&amp;Checks!$AC$524)&amp;IF(Checks!$W$524="","",CHAR(10)&amp;"Batch: "&amp;Checks!$W$524)&amp;IF(AND(Checks!$X$524="",Checks!$Y$524=""),"",CHAR(10)&amp;"Exp: "&amp;Checks!$X$524&amp;"  /  Act: "&amp;Checks!$Y$524)</f>
        <v/>
      </c>
      <c r="F43" s="124">
        <f>IF(Checks!$Z$524="","","Evidence: "&amp;Checks!$Z$524)&amp;IF(Checks!$AA$524="","",IF(Checks!$Z$524="","",CHAR(10))&amp;"CA: "&amp;Checks!$AA$524)</f>
        <v/>
      </c>
      <c r="G43" s="124">
        <f>IF(ISNUMBER(Checks!$AD$524),TEXT(Checks!$AD$524,"DD-MMM-YY HH:MM")&amp;" "&amp;Checks!$P$524,"")&amp;IF(Checks!$AE$524="","",CHAR(10)&amp;Checks!$AE$524)</f>
        <v/>
      </c>
      <c r="H43" s="125">
        <f>IF(Checks!$AH$524="","",Checks!$AH$524)</f>
        <v/>
      </c>
    </row>
    <row r="44" ht="103" customHeight="1">
      <c r="A44" s="124">
        <f>Checks!$A$525&amp;CHAR(10)&amp;IF(Checks!$I$525="","",Checks!$I$525&amp;": ")&amp;Checks!$J$525</f>
        <v/>
      </c>
      <c r="B44" s="124">
        <f>SUBSTITUTE(Checks!$K$525&amp;IF(Checks!$O$525="","",IF(Checks!$K$525="","",CHAR(10))&amp;"Note: "&amp;Checks!$O$525),"SALES CART!","Ref: SALES CART!")</f>
        <v/>
      </c>
      <c r="C44" s="124">
        <f>Checks!$N$525&amp;CHAR(10)&amp;IF(ISNUMBER(Checks!$R$525),TEXT(Checks!$R$525,"DD-MMM-YY HH:MM"),"")&amp;" "&amp;Checks!$P$525</f>
        <v/>
      </c>
      <c r="D44" s="124">
        <f>IF(Checks!$U$525="","",Checks!$U$525)&amp;IF(Checks!$AB$525="","",CHAR(10)&amp;"CA: "&amp;Checks!$AB$525)</f>
        <v/>
      </c>
      <c r="E44" s="124">
        <f>IF(Checks!$V$525="","",Checks!$V$525)&amp;IF(Checks!$AC$525="","",IF(Checks!$V$525="","",CHAR(10))&amp;"N/A just.: "&amp;Checks!$AC$525)&amp;IF(Checks!$W$525="","",CHAR(10)&amp;"Batch: "&amp;Checks!$W$525)&amp;IF(AND(Checks!$X$525="",Checks!$Y$525=""),"",CHAR(10)&amp;"Exp: "&amp;Checks!$X$525&amp;"  /  Act: "&amp;Checks!$Y$525)</f>
        <v/>
      </c>
      <c r="F44" s="124">
        <f>IF(Checks!$Z$525="","","Evidence: "&amp;Checks!$Z$525)&amp;IF(Checks!$AA$525="","",IF(Checks!$Z$525="","",CHAR(10))&amp;"CA: "&amp;Checks!$AA$525)</f>
        <v/>
      </c>
      <c r="G44" s="124">
        <f>IF(ISNUMBER(Checks!$AD$525),TEXT(Checks!$AD$525,"DD-MMM-YY HH:MM")&amp;" "&amp;Checks!$P$525,"")&amp;IF(Checks!$AE$525="","",CHAR(10)&amp;Checks!$AE$525)</f>
        <v/>
      </c>
      <c r="H44" s="125">
        <f>IF(Checks!$AH$525="","",Checks!$AH$525)</f>
        <v/>
      </c>
    </row>
    <row r="45" ht="26" customHeight="1">
      <c r="A45" s="123">
        <f>"UPLIFT — Physical uplift – on-board confirmation before departure  |  Due "&amp;"STD "&amp;IF(ISNUMBER(Flights!$I$20),TEXT(Flights!$I$20,"DD-MMM-YY HH:MM"),"")&amp;" "&amp;Flights!$G$20&amp;" (departure stn)"&amp;" (rows with another due show their own)  |  Complete "&amp;IF(ISNUMBER(Flights!$AM$20),TEXT(Flights!$AM$20,"0%"),Flights!$AM$20)&amp;"  |  5 lines"</f>
        <v/>
      </c>
      <c r="B45" s="97" t="n"/>
      <c r="C45" s="97" t="n"/>
      <c r="D45" s="97" t="n"/>
      <c r="E45" s="97" t="n"/>
      <c r="F45" s="97" t="n"/>
      <c r="G45" s="97" t="n"/>
      <c r="H45" s="98" t="n"/>
    </row>
    <row r="46" ht="81" customHeight="1">
      <c r="A46" s="124">
        <f>Checks!$A$526&amp;CHAR(10)&amp;IF(Checks!$I$526="","",Checks!$I$526&amp;": ")&amp;Checks!$J$526</f>
        <v/>
      </c>
      <c r="B46" s="124">
        <f>Checks!$K$526&amp;IF(Checks!$O$526="","",IF(Checks!$K$526="","",CHAR(10))&amp;"Note: "&amp;Checks!$O$526)</f>
        <v/>
      </c>
      <c r="C46" s="124">
        <f>Checks!$N$526&amp;CHAR(10)&amp;IF(ISNUMBER(Checks!$R$526),TEXT(Checks!$R$526,"DD-MMM-YY HH:MM"),"")&amp;" "&amp;Checks!$P$526</f>
        <v/>
      </c>
      <c r="D46" s="124">
        <f>IF(Checks!$U$526="","",Checks!$U$526)&amp;IF(Checks!$AB$526="","",CHAR(10)&amp;"CA: "&amp;Checks!$AB$526)</f>
        <v/>
      </c>
      <c r="E46" s="124">
        <f>IF(Checks!$V$526="","",Checks!$V$526)&amp;IF(Checks!$AC$526="","",IF(Checks!$V$526="","",CHAR(10))&amp;"N/A just.: "&amp;Checks!$AC$526)&amp;IF(Checks!$W$526="","",CHAR(10)&amp;"Batch: "&amp;Checks!$W$526)&amp;IF(AND(Checks!$X$526="",Checks!$Y$526=""),"",CHAR(10)&amp;"Exp: "&amp;Checks!$X$526&amp;"  /  Act: "&amp;Checks!$Y$526)</f>
        <v/>
      </c>
      <c r="F46" s="124">
        <f>IF(Checks!$Z$526="","","Evidence: "&amp;Checks!$Z$526)&amp;IF(Checks!$AA$526="","",IF(Checks!$Z$526="","",CHAR(10))&amp;"CA: "&amp;Checks!$AA$526)</f>
        <v/>
      </c>
      <c r="G46" s="124">
        <f>IF(ISNUMBER(Checks!$AD$526),TEXT(Checks!$AD$526,"DD-MMM-YY HH:MM")&amp;" "&amp;Checks!$P$526,"")&amp;IF(Checks!$AE$526="","",CHAR(10)&amp;Checks!$AE$526)</f>
        <v/>
      </c>
      <c r="H46" s="125">
        <f>IF(Checks!$AH$526="","",Checks!$AH$526)</f>
        <v/>
      </c>
    </row>
    <row r="47" ht="81" customHeight="1">
      <c r="A47" s="124">
        <f>Checks!$A$527&amp;CHAR(10)&amp;IF(Checks!$I$527="","",Checks!$I$527&amp;": ")&amp;Checks!$J$527</f>
        <v/>
      </c>
      <c r="B47" s="124">
        <f>Checks!$K$527&amp;IF(Checks!$O$527="","",IF(Checks!$K$527="","",CHAR(10))&amp;"Note: "&amp;Checks!$O$527)</f>
        <v/>
      </c>
      <c r="C47" s="124">
        <f>Checks!$N$527&amp;CHAR(10)&amp;IF(ISNUMBER(Checks!$R$527),TEXT(Checks!$R$527,"DD-MMM-YY HH:MM"),"")&amp;" "&amp;Checks!$P$527</f>
        <v/>
      </c>
      <c r="D47" s="124">
        <f>IF(Checks!$U$527="","",Checks!$U$527)&amp;IF(Checks!$AB$527="","",CHAR(10)&amp;"CA: "&amp;Checks!$AB$527)</f>
        <v/>
      </c>
      <c r="E47" s="124">
        <f>IF(Checks!$V$527="","",Checks!$V$527)&amp;IF(Checks!$AC$527="","",IF(Checks!$V$527="","",CHAR(10))&amp;"N/A just.: "&amp;Checks!$AC$527)&amp;IF(Checks!$W$527="","",CHAR(10)&amp;"Batch: "&amp;Checks!$W$527)&amp;IF(AND(Checks!$X$527="",Checks!$Y$527=""),"",CHAR(10)&amp;"Exp: "&amp;Checks!$X$527&amp;"  /  Act: "&amp;Checks!$Y$527)</f>
        <v/>
      </c>
      <c r="F47" s="124">
        <f>IF(Checks!$Z$527="","","Evidence: "&amp;Checks!$Z$527)&amp;IF(Checks!$AA$527="","",IF(Checks!$Z$527="","",CHAR(10))&amp;"CA: "&amp;Checks!$AA$527)</f>
        <v/>
      </c>
      <c r="G47" s="124">
        <f>IF(ISNUMBER(Checks!$AD$527),TEXT(Checks!$AD$527,"DD-MMM-YY HH:MM")&amp;" "&amp;Checks!$P$527,"")&amp;IF(Checks!$AE$527="","",CHAR(10)&amp;Checks!$AE$527)</f>
        <v/>
      </c>
      <c r="H47" s="125">
        <f>IF(Checks!$AH$527="","",Checks!$AH$527)</f>
        <v/>
      </c>
    </row>
    <row r="48" ht="81" customHeight="1">
      <c r="A48" s="124">
        <f>Checks!$A$528&amp;CHAR(10)&amp;IF(Checks!$I$528="","",Checks!$I$528&amp;": ")&amp;Checks!$J$528</f>
        <v/>
      </c>
      <c r="B48" s="124">
        <f>Checks!$K$528&amp;IF(Checks!$O$528="","",IF(Checks!$K$528="","",CHAR(10))&amp;"Note: "&amp;Checks!$O$528)</f>
        <v/>
      </c>
      <c r="C48" s="124">
        <f>Checks!$N$528&amp;CHAR(10)&amp;IF(ISNUMBER(Checks!$R$528),TEXT(Checks!$R$528,"DD-MMM-YY HH:MM"),"")&amp;" "&amp;Checks!$P$528</f>
        <v/>
      </c>
      <c r="D48" s="124">
        <f>IF(Checks!$U$528="","",Checks!$U$528)&amp;IF(Checks!$AB$528="","",CHAR(10)&amp;"CA: "&amp;Checks!$AB$528)</f>
        <v/>
      </c>
      <c r="E48" s="124">
        <f>IF(Checks!$V$528="","",Checks!$V$528)&amp;IF(Checks!$AC$528="","",IF(Checks!$V$528="","",CHAR(10))&amp;"N/A just.: "&amp;Checks!$AC$528)&amp;IF(Checks!$W$528="","",CHAR(10)&amp;"Batch: "&amp;Checks!$W$528)&amp;IF(AND(Checks!$X$528="",Checks!$Y$528=""),"",CHAR(10)&amp;"Exp: "&amp;Checks!$X$528&amp;"  /  Act: "&amp;Checks!$Y$528)</f>
        <v/>
      </c>
      <c r="F48" s="124">
        <f>IF(Checks!$Z$528="","","Evidence: "&amp;Checks!$Z$528)&amp;IF(Checks!$AA$528="","",IF(Checks!$Z$528="","",CHAR(10))&amp;"CA: "&amp;Checks!$AA$528)</f>
        <v/>
      </c>
      <c r="G48" s="124">
        <f>IF(ISNUMBER(Checks!$AD$528),TEXT(Checks!$AD$528,"DD-MMM-YY HH:MM")&amp;" "&amp;Checks!$P$528,"")&amp;IF(Checks!$AE$528="","",CHAR(10)&amp;Checks!$AE$528)</f>
        <v/>
      </c>
      <c r="H48" s="125">
        <f>IF(Checks!$AH$528="","",Checks!$AH$528)</f>
        <v/>
      </c>
    </row>
    <row r="49" ht="191" customHeight="1">
      <c r="A49" s="124">
        <f>Checks!$A$529&amp;CHAR(10)&amp;IF(Checks!$I$529="","",Checks!$I$529&amp;": ")&amp;Checks!$J$529</f>
        <v/>
      </c>
      <c r="B49" s="124">
        <f>SUBSTITUTE(Checks!$K$529&amp;IF(Checks!$O$529="","",IF(Checks!$K$529="","",CHAR(10))&amp;"Note: "&amp;Checks!$O$529),"SEAT LINEN!","Ref: SEAT LINEN!")</f>
        <v/>
      </c>
      <c r="C49" s="124">
        <f>Checks!$N$529&amp;CHAR(10)&amp;IF(ISNUMBER(Checks!$R$529),TEXT(Checks!$R$529,"DD-MMM-YY HH:MM"),"")&amp;" "&amp;Checks!$P$529</f>
        <v/>
      </c>
      <c r="D49" s="124">
        <f>IF(Checks!$U$529="","",Checks!$U$529)&amp;IF(Checks!$AB$529="","",CHAR(10)&amp;"CA: "&amp;Checks!$AB$529)</f>
        <v/>
      </c>
      <c r="E49" s="124">
        <f>IF(Checks!$V$529="","",Checks!$V$529)&amp;IF(Checks!$AC$529="","",IF(Checks!$V$529="","",CHAR(10))&amp;"N/A just.: "&amp;Checks!$AC$529)&amp;IF(Checks!$W$529="","",CHAR(10)&amp;"Batch: "&amp;Checks!$W$529)&amp;IF(AND(Checks!$X$529="",Checks!$Y$529=""),"",CHAR(10)&amp;"Exp: "&amp;Checks!$X$529&amp;"  /  Act: "&amp;Checks!$Y$529)</f>
        <v/>
      </c>
      <c r="F49" s="124">
        <f>IF(Checks!$Z$529="","","Evidence: "&amp;Checks!$Z$529)&amp;IF(Checks!$AA$529="","",IF(Checks!$Z$529="","",CHAR(10))&amp;"CA: "&amp;Checks!$AA$529)</f>
        <v/>
      </c>
      <c r="G49" s="124">
        <f>IF(ISNUMBER(Checks!$AD$529),TEXT(Checks!$AD$529,"DD-MMM-YY HH:MM")&amp;" "&amp;Checks!$P$529,"")&amp;IF(Checks!$AE$529="","",CHAR(10)&amp;Checks!$AE$529)</f>
        <v/>
      </c>
      <c r="H49" s="125">
        <f>IF(Checks!$AH$529="","",Checks!$AH$529)</f>
        <v/>
      </c>
    </row>
    <row r="50" ht="81" customHeight="1">
      <c r="A50" s="124">
        <f>Checks!$A$530&amp;CHAR(10)&amp;IF(Checks!$I$530="","",Checks!$I$530&amp;": ")&amp;Checks!$J$530</f>
        <v/>
      </c>
      <c r="B50" s="124">
        <f>SUBSTITUTE(Checks!$K$530&amp;IF(Checks!$O$530="","",IF(Checks!$K$530="","",CHAR(10))&amp;"Note: "&amp;Checks!$O$530),"SALES CART!","Ref: SALES CART!")</f>
        <v/>
      </c>
      <c r="C50" s="124">
        <f>Checks!$N$530&amp;CHAR(10)&amp;IF(ISNUMBER(Checks!$R$530),TEXT(Checks!$R$530,"DD-MMM-YY HH:MM"),"")&amp;" "&amp;Checks!$P$530</f>
        <v/>
      </c>
      <c r="D50" s="124">
        <f>IF(Checks!$U$530="","",Checks!$U$530)&amp;IF(Checks!$AB$530="","",CHAR(10)&amp;"CA: "&amp;Checks!$AB$530)</f>
        <v/>
      </c>
      <c r="E50" s="124">
        <f>IF(Checks!$V$530="","",Checks!$V$530)&amp;IF(Checks!$AC$530="","",IF(Checks!$V$530="","",CHAR(10))&amp;"N/A just.: "&amp;Checks!$AC$530)&amp;IF(Checks!$W$530="","",CHAR(10)&amp;"Batch: "&amp;Checks!$W$530)&amp;IF(AND(Checks!$X$530="",Checks!$Y$530=""),"",CHAR(10)&amp;"Exp: "&amp;Checks!$X$530&amp;"  /  Act: "&amp;Checks!$Y$530)</f>
        <v/>
      </c>
      <c r="F50" s="124">
        <f>IF(Checks!$Z$530="","","Evidence: "&amp;Checks!$Z$530)&amp;IF(Checks!$AA$530="","",IF(Checks!$Z$530="","",CHAR(10))&amp;"CA: "&amp;Checks!$AA$530)</f>
        <v/>
      </c>
      <c r="G50" s="124">
        <f>IF(ISNUMBER(Checks!$AD$530),TEXT(Checks!$AD$530,"DD-MMM-YY HH:MM")&amp;" "&amp;Checks!$P$530,"")&amp;IF(Checks!$AE$530="","",CHAR(10)&amp;Checks!$AE$530)</f>
        <v/>
      </c>
      <c r="H50" s="125">
        <f>IF(Checks!$AH$530="","",Checks!$AH$530)</f>
        <v/>
      </c>
    </row>
    <row r="52" ht="24" customHeight="1">
      <c r="A52" s="126" t="inlineStr">
        <is>
          <t>EXCEL INSERTION AREA (on-screen only, not printed) – A1 Galley Loading Diagram: Insert &gt; Picture here. On paper: staple behind this sheet as page A1.</t>
        </is>
      </c>
      <c r="B52" s="127" t="n"/>
      <c r="C52" s="127" t="n"/>
      <c r="D52" s="128" t="n"/>
      <c r="E52" s="126" t="inlineStr">
        <is>
          <t>EXCEL INSERTION AREA (on-screen only, not printed) – A2 Menu Checklist: Insert &gt; Picture here. On paper: staple behind this sheet as page A2.</t>
        </is>
      </c>
      <c r="F52" s="127" t="n"/>
      <c r="G52" s="127" t="n"/>
      <c r="H52" s="128" t="n"/>
    </row>
    <row r="53" ht="22" customHeight="1">
      <c r="A53" s="129" t="n"/>
      <c r="B53" s="130" t="n"/>
      <c r="C53" s="130" t="n"/>
      <c r="D53" s="131" t="n"/>
      <c r="E53" s="129"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3" t="n"/>
      <c r="B62" s="134" t="n"/>
      <c r="C62" s="134" t="n"/>
      <c r="D62" s="135" t="n"/>
      <c r="E62" s="133" t="n"/>
      <c r="F62" s="134" t="n"/>
      <c r="G62" s="134" t="n"/>
      <c r="H62" s="135" t="n"/>
    </row>
  </sheetData>
  <mergeCells count="46">
    <mergeCell ref="B11:D11"/>
    <mergeCell ref="A53:D62"/>
    <mergeCell ref="F18:H18"/>
    <mergeCell ref="C15:D15"/>
    <mergeCell ref="E53:H62"/>
    <mergeCell ref="B8:D8"/>
    <mergeCell ref="G11:H11"/>
    <mergeCell ref="A52:D52"/>
    <mergeCell ref="C14:D14"/>
    <mergeCell ref="F2:H2"/>
    <mergeCell ref="F17:H17"/>
    <mergeCell ref="A1:H1"/>
    <mergeCell ref="G8:H8"/>
    <mergeCell ref="A45:H45"/>
    <mergeCell ref="B10:D10"/>
    <mergeCell ref="G7:H7"/>
    <mergeCell ref="F13:H13"/>
    <mergeCell ref="B16:E16"/>
    <mergeCell ref="B9:D9"/>
    <mergeCell ref="C17:E17"/>
    <mergeCell ref="G6:H6"/>
    <mergeCell ref="A18:B18"/>
    <mergeCell ref="B6:D6"/>
    <mergeCell ref="G3:H3"/>
    <mergeCell ref="E52:H52"/>
    <mergeCell ref="B5:D5"/>
    <mergeCell ref="F14:H14"/>
    <mergeCell ref="C19:E19"/>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0">
    <cfRule type="expression" priority="16" dxfId="20">
      <formula>LEFT($H23,3)="N/A"</formula>
    </cfRule>
  </conditionalFormatting>
  <conditionalFormatting sqref="D23:D5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F16 MH0072 26-Oct-26 KUL-HKG Class EY</oddHeader>
    <oddFooter>&amp;L&amp;"Arial,Bold"&amp;8 F16 MH0072 26-Oct-26 KUL-HKG Class EY&amp;C&amp;"Arial"&amp;8 Printed: ____________________&amp;R&amp;"Arial"&amp;8 F16  Page &amp;P of &amp;N</oddFooter>
    <evenHeader/>
    <evenFooter/>
    <firstHeader/>
    <firstFooter/>
  </headerFooter>
  <rowBreaks count="2" manualBreakCount="2">
    <brk id="20" min="0" max="16383" man="1"/>
    <brk id="33" min="0" max="16383" man="1"/>
  </rowBreaks>
</worksheet>
</file>

<file path=xl/worksheets/sheet25.xml><?xml version="1.0" encoding="utf-8"?>
<worksheet xmlns="http://schemas.openxmlformats.org/spreadsheetml/2006/main">
  <sheetPr>
    <tabColor rgb="001F3864"/>
    <outlinePr summaryBelow="1" summaryRight="1"/>
    <pageSetUpPr fitToPage="1"/>
  </sheetPr>
  <dimension ref="A1:H80"/>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F17  "&amp;Flights!$F$21&amp;"  "&amp;TEXT(Flights!$D$21,"DD-MMM-YY")&amp;" ("&amp;Flights!$E$21&amp;")  "&amp;Flights!$G$21&amp;" → "&amp;Flights!$H$21&amp;"  |  Class "&amp;Flights!$K$21</f>
        <v/>
      </c>
      <c r="B1" s="97" t="n"/>
      <c r="C1" s="97" t="n"/>
      <c r="D1" s="97" t="n"/>
      <c r="E1" s="97" t="n"/>
      <c r="F1" s="97" t="n"/>
      <c r="G1" s="97" t="n"/>
      <c r="H1" s="98" t="n"/>
    </row>
    <row r="2" ht="13" customHeight="1">
      <c r="A2" s="99" t="inlineStr">
        <is>
          <t>Flight / date</t>
        </is>
      </c>
      <c r="B2" s="100">
        <f>Flights!$F$21&amp;"   "&amp;TEXT(Flights!$D$21,"DD-MMM-YY")&amp;" ("&amp;Flights!$E$21&amp;")"</f>
        <v/>
      </c>
      <c r="C2" s="97" t="n"/>
      <c r="D2" s="98" t="n"/>
      <c r="E2" s="101" t="inlineStr">
        <is>
          <t>READINESS STATUS</t>
        </is>
      </c>
      <c r="F2" s="102">
        <f>Flights!$AT$21</f>
        <v/>
      </c>
      <c r="G2" s="97" t="n"/>
      <c r="H2" s="98" t="n"/>
    </row>
    <row r="3" ht="24" customHeight="1">
      <c r="A3" s="99" t="inlineStr">
        <is>
          <t>Sector / class / seat</t>
        </is>
      </c>
      <c r="B3" s="100">
        <f>Flights!$G$21&amp;" → "&amp;Flights!$H$21&amp;"   Class "&amp;Flights!$K$21&amp;"   Seat "&amp;Flights!$O$21</f>
        <v/>
      </c>
      <c r="C3" s="97" t="n"/>
      <c r="D3" s="98" t="n"/>
      <c r="E3" s="101" t="inlineStr">
        <is>
          <t>Checkpoint</t>
        </is>
      </c>
      <c r="F3" s="101" t="inlineStr">
        <is>
          <t>Due (local)</t>
        </is>
      </c>
      <c r="G3" s="103" t="inlineStr">
        <is>
          <t>% complete</t>
        </is>
      </c>
      <c r="H3" s="98" t="n"/>
    </row>
    <row r="4" ht="13" customHeight="1">
      <c r="A4" s="99" t="inlineStr">
        <is>
          <t>STD → STA (local)</t>
        </is>
      </c>
      <c r="B4" s="100">
        <f>IF(ISNUMBER(Flights!$I$21),TEXT(Flights!$I$21,"DD-MMM-YY HH:MM"),"")&amp;" "&amp;Flights!$G$21&amp;"  →  "&amp;IF(ISNUMBER(Flights!$J$21),TEXT(Flights!$J$21,"DD-MMM-YY HH:MM"),"")&amp;" "&amp;Flights!$H$21</f>
        <v/>
      </c>
      <c r="C4" s="97" t="n"/>
      <c r="D4" s="98" t="n"/>
      <c r="E4" s="99" t="inlineStr">
        <is>
          <t>T-7D – 7 days before departure</t>
        </is>
      </c>
      <c r="F4" s="104">
        <f>IF(ISNUMBER(Flights!$AG$21),TEXT(Flights!$AG$21,"DD-MMM-YY HH:MM"),"")&amp;" "&amp;Flights!$V$21</f>
        <v/>
      </c>
      <c r="G4" s="105">
        <f>Flights!$AJ$21</f>
        <v/>
      </c>
      <c r="H4" s="98" t="n"/>
    </row>
    <row r="5" ht="24" customHeight="1">
      <c r="A5" s="99" t="inlineStr">
        <is>
          <t>Fleet / aircraft ref</t>
        </is>
      </c>
      <c r="B5" s="100">
        <f>Flights!$L$21&amp;" – "&amp;Flights!$M$21</f>
        <v/>
      </c>
      <c r="C5" s="97" t="n"/>
      <c r="D5" s="98" t="n"/>
      <c r="E5" s="99" t="inlineStr">
        <is>
          <t>T-24H – production batch sensory</t>
        </is>
      </c>
      <c r="F5" s="104">
        <f>IF(ISNUMBER(Flights!$AH$21),TEXT(Flights!$AH$21,"DD-MMM-YY HH:MM"),"")&amp;" "&amp;Flights!$V$21</f>
        <v/>
      </c>
      <c r="G5" s="105">
        <f>Flights!$AK$21</f>
        <v/>
      </c>
      <c r="H5" s="98" t="n"/>
    </row>
    <row r="6" ht="13" customHeight="1">
      <c r="A6" s="99" t="inlineStr">
        <is>
          <t>Tail / Reg</t>
        </is>
      </c>
      <c r="B6" s="100">
        <f>IF(TRIM(Flights!$N$21)="","__________________",Flights!$N$21)</f>
        <v/>
      </c>
      <c r="C6" s="97" t="n"/>
      <c r="D6" s="98" t="n"/>
      <c r="E6" s="99" t="inlineStr">
        <is>
          <t>T-12H PREP – caterer prep only</t>
        </is>
      </c>
      <c r="F6" s="104">
        <f>IF(ISNUMBER(Flights!$AI$21),TEXT(Flights!$AI$21,"DD-MMM-YY HH:MM"),"")&amp;" "&amp;Flights!$V$21&amp;IF(Flights!$AI$21=Flights!$AH$21,"  (= T-24H due)","")</f>
        <v/>
      </c>
      <c r="G6" s="105">
        <f>Flights!$AL$21</f>
        <v/>
      </c>
      <c r="H6" s="98" t="n"/>
    </row>
    <row r="7" ht="13" customHeight="1">
      <c r="A7" s="99" t="inlineStr">
        <is>
          <t>Service type</t>
        </is>
      </c>
      <c r="B7" s="100">
        <f>Flights!$T$21</f>
        <v/>
      </c>
      <c r="C7" s="97" t="n"/>
      <c r="D7" s="98" t="n"/>
      <c r="E7" s="99" t="inlineStr">
        <is>
          <t>UPLIFT – on-board confirmation</t>
        </is>
      </c>
      <c r="F7" s="104">
        <f>"STD "&amp;IF(ISNUMBER(Flights!$I$21),TEXT(Flights!$I$21,"DD-MMM-YY HH:MM"),"")&amp;" "&amp;Flights!$G$21&amp;" (dep stn)"</f>
        <v/>
      </c>
      <c r="G7" s="105">
        <f>Flights!$AM$21</f>
        <v/>
      </c>
      <c r="H7" s="98" t="n"/>
    </row>
    <row r="8" ht="13" customHeight="1">
      <c r="A8" s="99" t="inlineStr">
        <is>
          <t>Meal uplift stn</t>
        </is>
      </c>
      <c r="B8" s="100">
        <f>Flights!$V$21&amp;"   (reference uplift stns: "&amp;Flights!$U$21&amp;")"</f>
        <v/>
      </c>
      <c r="C8" s="97" t="n"/>
      <c r="D8" s="98" t="n"/>
      <c r="E8" s="99" t="inlineStr">
        <is>
          <t>OVERALL (all checkpoints)</t>
        </is>
      </c>
      <c r="F8" s="106" t="inlineStr">
        <is>
          <t>–</t>
        </is>
      </c>
      <c r="G8" s="105">
        <f>Flights!$AN$21</f>
        <v/>
      </c>
      <c r="H8" s="98" t="n"/>
    </row>
    <row r="9" ht="13" customHeight="1">
      <c r="A9" s="99" t="inlineStr">
        <is>
          <t>Transit / remark</t>
        </is>
      </c>
      <c r="B9" s="100">
        <f>TRIM(Flights!$P$21&amp;"  "&amp;Flights!$Q$21)</f>
        <v/>
      </c>
      <c r="C9" s="97" t="n"/>
      <c r="D9" s="98" t="n"/>
      <c r="E9" s="99" t="inlineStr">
        <is>
          <t>Overdue / discrep. / invalid</t>
        </is>
      </c>
      <c r="F9" s="107">
        <f>Flights!$AP$21</f>
        <v/>
      </c>
      <c r="G9" s="107">
        <f>Flights!$AQ$21</f>
        <v/>
      </c>
      <c r="H9" s="107">
        <f>Flights!$AU$21</f>
        <v/>
      </c>
    </row>
    <row r="10" ht="13" customHeight="1">
      <c r="A10" s="99" t="inlineStr">
        <is>
          <t>Caterer</t>
        </is>
      </c>
      <c r="B10" s="100">
        <f>IF(TRIM(Flights!$X$21)="","__________________",Flights!$X$21)</f>
        <v/>
      </c>
      <c r="C10" s="97" t="n"/>
      <c r="D10" s="98" t="n"/>
      <c r="E10" s="99" t="inlineStr">
        <is>
          <t>Open reqd / clarif. / docs out</t>
        </is>
      </c>
      <c r="F10" s="107">
        <f>Flights!$AO$21</f>
        <v/>
      </c>
      <c r="G10" s="107">
        <f>Flights!$AS$21</f>
        <v/>
      </c>
      <c r="H10" s="107">
        <f>Flights!$AR$21</f>
        <v/>
      </c>
    </row>
    <row r="11" ht="13" customHeight="1">
      <c r="A11" s="99" t="inlineStr">
        <is>
          <t>Flight PIC</t>
        </is>
      </c>
      <c r="B11" s="100">
        <f>IF(TRIM(Flights!$Y$21)="","__________________",Flights!$Y$21)</f>
        <v/>
      </c>
      <c r="C11" s="97" t="n"/>
      <c r="D11" s="98" t="n"/>
      <c r="E11" s="99" t="inlineStr">
        <is>
          <t>Done / in scope | as of UTC</t>
        </is>
      </c>
      <c r="F11" s="107">
        <f>Flights!$AV$21&amp;" / "&amp;Flights!$AW$21</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IF(Documents!$F$21="","",Documents!$F$21)</f>
        <v/>
      </c>
      <c r="C14" s="115">
        <f>IF(Documents!$G$21="","",Documents!$G$21)&amp;IF(ISNUMBER(Documents!$H$21),"  "&amp;TEXT(Documents!$H$21,"DD-MMM-YY"),"")</f>
        <v/>
      </c>
      <c r="D14" s="98" t="n"/>
      <c r="E14" s="116">
        <f>IF(Documents!$J$21="OUTSTANDING","OUTSTANDING – attach before T-7D (due "&amp;IF(ISNUMBER(Flights!$AG$21),TEXT(Flights!$AG$21,"DD-MMM-YY HH:MM"),"")&amp;" "&amp;Flights!$V$21&amp;")",IF(Documents!$J$21="","Status not recorded",Documents!$J$21))</f>
        <v/>
      </c>
      <c r="F14" s="117">
        <f>"Staple behind this sheet as page A1."&amp;IF(Documents!$I$21="",""," Location: "&amp;Documents!$I$21)</f>
        <v/>
      </c>
      <c r="G14" s="97" t="n"/>
      <c r="H14" s="98" t="n"/>
    </row>
    <row r="15" ht="25" customHeight="1">
      <c r="A15" s="99" t="inlineStr">
        <is>
          <t>A2  Menu Checklist</t>
        </is>
      </c>
      <c r="B15" s="114">
        <f>IF(Documents!$K$21="","",Documents!$K$21)</f>
        <v/>
      </c>
      <c r="C15" s="115">
        <f>IF(Documents!$L$21="","",Documents!$L$21)&amp;IF(ISNUMBER(Documents!$M$21),"  "&amp;TEXT(Documents!$M$21,"DD-MMM-YY"),"")</f>
        <v/>
      </c>
      <c r="D15" s="98" t="n"/>
      <c r="E15" s="116">
        <f>IF(Documents!$O$21="OUTSTANDING","OUTSTANDING – attach before T-7D (due "&amp;IF(ISNUMBER(Flights!$AG$21),TEXT(Flights!$AG$21,"DD-MMM-YY HH:MM"),"")&amp;" "&amp;Flights!$V$21&amp;")",IF(Documents!$O$21="","Status not recorded",Documents!$O$21))</f>
        <v/>
      </c>
      <c r="F15" s="117">
        <f>"Staple behind this sheet as page A2."&amp;IF(Documents!$N$21="",""," Location: "&amp;Documents!$N$21)</f>
        <v/>
      </c>
      <c r="G15" s="97" t="n"/>
      <c r="H15" s="98" t="n"/>
    </row>
    <row r="16" ht="33" customHeight="1">
      <c r="A16" s="99" t="inlineStr">
        <is>
          <t>Document notes</t>
        </is>
      </c>
      <c r="B16" s="118">
        <f>IF(Documents!$Q$21="","",Documents!$Q$21)</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"&amp;IF(TRIM(Flights!$Y$21)="","__________________",Flights!$Y$21)</f>
        <v/>
      </c>
      <c r="B18" s="98" t="n"/>
      <c r="C18" s="100">
        <f>"Name: __________________"</f>
        <v/>
      </c>
      <c r="D18" s="97" t="n"/>
      <c r="E18" s="98" t="n"/>
      <c r="F18" s="100">
        <f>"Name: __________________"&amp;"   Station: "&amp;Flights!$V$21</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"&amp;IF(ISNUMBER(Flights!$AG$21),TEXT(Flights!$AG$21,"DD-MMM-YY HH:MM"),"")&amp;" "&amp;Flights!$V$21&amp;" (meal uplift stn)"&amp;" (rows with another due show their own)  |  Complete "&amp;IF(ISNUMBER(Flights!$AJ$21),TEXT(Flights!$AJ$21,"0%"),Flights!$AJ$21)&amp;"  |  10 lines"</f>
        <v/>
      </c>
      <c r="B22" s="97" t="n"/>
      <c r="C22" s="97" t="n"/>
      <c r="D22" s="97" t="n"/>
      <c r="E22" s="97" t="n"/>
      <c r="F22" s="97" t="n"/>
      <c r="G22" s="97" t="n"/>
      <c r="H22" s="98" t="n"/>
    </row>
    <row r="23" ht="81" customHeight="1">
      <c r="A23" s="124">
        <f>Checks!$A$531&amp;CHAR(10)&amp;IF(Checks!$I$531="","",Checks!$I$531&amp;": ")&amp;Checks!$J$531</f>
        <v/>
      </c>
      <c r="B23" s="124">
        <f>Checks!$K$531&amp;IF(Checks!$O$531="","",IF(Checks!$K$531="","",CHAR(10))&amp;"Note: "&amp;Checks!$O$531)</f>
        <v/>
      </c>
      <c r="C23" s="124">
        <f>Checks!$N$531&amp;CHAR(10)&amp;IF(ISNUMBER(Checks!$R$531),TEXT(Checks!$R$531,"DD-MMM-YY HH:MM"),"")&amp;" "&amp;Checks!$P$531</f>
        <v/>
      </c>
      <c r="D23" s="124">
        <f>IF(Checks!$U$531="","",Checks!$U$531)&amp;IF(Checks!$AB$531="","",CHAR(10)&amp;"CA: "&amp;Checks!$AB$531)</f>
        <v/>
      </c>
      <c r="E23" s="124">
        <f>IF(Checks!$V$531="","",Checks!$V$531)&amp;IF(Checks!$AC$531="","",IF(Checks!$V$531="","",CHAR(10))&amp;"N/A just.: "&amp;Checks!$AC$531)&amp;IF(Checks!$W$531="","",CHAR(10)&amp;"Batch: "&amp;Checks!$W$531)&amp;IF(AND(Checks!$X$531="",Checks!$Y$531=""),"",CHAR(10)&amp;"Exp: "&amp;Checks!$X$531&amp;"  /  Act: "&amp;Checks!$Y$531)</f>
        <v/>
      </c>
      <c r="F23" s="124">
        <f>IF(Checks!$Z$531="","","Evidence: "&amp;Checks!$Z$531)&amp;IF(Checks!$AA$531="","",IF(Checks!$Z$531="","",CHAR(10))&amp;"CA: "&amp;Checks!$AA$531)</f>
        <v/>
      </c>
      <c r="G23" s="124">
        <f>IF(ISNUMBER(Checks!$AD$531),TEXT(Checks!$AD$531,"DD-MMM-YY HH:MM")&amp;" "&amp;Checks!$P$531,"")&amp;IF(Checks!$AE$531="","",CHAR(10)&amp;Checks!$AE$531)</f>
        <v/>
      </c>
      <c r="H23" s="125">
        <f>IF(Checks!$AH$531="","",Checks!$AH$531)</f>
        <v/>
      </c>
    </row>
    <row r="24" ht="81" customHeight="1">
      <c r="A24" s="124">
        <f>Checks!$A$532&amp;CHAR(10)&amp;IF(Checks!$I$532="","",Checks!$I$532&amp;": ")&amp;Checks!$J$532</f>
        <v/>
      </c>
      <c r="B24" s="124">
        <f>Checks!$K$532&amp;IF(Checks!$O$532="","",IF(Checks!$K$532="","",CHAR(10))&amp;"Note: "&amp;Checks!$O$532)</f>
        <v/>
      </c>
      <c r="C24" s="124">
        <f>Checks!$N$532&amp;CHAR(10)&amp;IF(ISNUMBER(Checks!$R$532),TEXT(Checks!$R$532,"DD-MMM-YY HH:MM"),"")&amp;" "&amp;Checks!$P$532</f>
        <v/>
      </c>
      <c r="D24" s="124">
        <f>IF(Checks!$U$532="","",Checks!$U$532)&amp;IF(Checks!$AB$532="","",CHAR(10)&amp;"CA: "&amp;Checks!$AB$532)</f>
        <v/>
      </c>
      <c r="E24" s="124">
        <f>IF(Checks!$V$532="","",Checks!$V$532)&amp;IF(Checks!$AC$532="","",IF(Checks!$V$532="","",CHAR(10))&amp;"N/A just.: "&amp;Checks!$AC$532)&amp;IF(Checks!$W$532="","",CHAR(10)&amp;"Batch: "&amp;Checks!$W$532)&amp;IF(AND(Checks!$X$532="",Checks!$Y$532=""),"",CHAR(10)&amp;"Exp: "&amp;Checks!$X$532&amp;"  /  Act: "&amp;Checks!$Y$532)</f>
        <v/>
      </c>
      <c r="F24" s="124">
        <f>IF(Checks!$Z$532="","","Evidence: "&amp;Checks!$Z$532)&amp;IF(Checks!$AA$532="","",IF(Checks!$Z$532="","",CHAR(10))&amp;"CA: "&amp;Checks!$AA$532)</f>
        <v/>
      </c>
      <c r="G24" s="124">
        <f>IF(ISNUMBER(Checks!$AD$532),TEXT(Checks!$AD$532,"DD-MMM-YY HH:MM")&amp;" "&amp;Checks!$P$532,"")&amp;IF(Checks!$AE$532="","",CHAR(10)&amp;Checks!$AE$532)</f>
        <v/>
      </c>
      <c r="H24" s="125">
        <f>IF(Checks!$AH$532="","",Checks!$AH$532)</f>
        <v/>
      </c>
    </row>
    <row r="25" ht="92" customHeight="1">
      <c r="A25" s="124">
        <f>Checks!$A$533&amp;CHAR(10)&amp;IF(Checks!$I$533="","",Checks!$I$533&amp;": ")&amp;Checks!$J$533</f>
        <v/>
      </c>
      <c r="B25" s="124">
        <f>Checks!$K$533&amp;IF(Checks!$O$533="","",IF(Checks!$K$533="","",CHAR(10))&amp;"Note: "&amp;Checks!$O$533)</f>
        <v/>
      </c>
      <c r="C25" s="124">
        <f>Checks!$N$533&amp;CHAR(10)&amp;IF(ISNUMBER(Checks!$R$533),TEXT(Checks!$R$533,"DD-MMM-YY HH:MM"),"")&amp;" "&amp;Checks!$P$533</f>
        <v/>
      </c>
      <c r="D25" s="124">
        <f>IF(Checks!$U$533="","",Checks!$U$533)&amp;IF(Checks!$AB$533="","",CHAR(10)&amp;"CA: "&amp;Checks!$AB$533)</f>
        <v/>
      </c>
      <c r="E25" s="124">
        <f>IF(Checks!$V$533="","",Checks!$V$533)&amp;IF(Checks!$AC$533="","",IF(Checks!$V$533="","",CHAR(10))&amp;"N/A just.: "&amp;Checks!$AC$533)&amp;IF(Checks!$W$533="","",CHAR(10)&amp;"Batch: "&amp;Checks!$W$533)&amp;IF(AND(Checks!$X$533="",Checks!$Y$533=""),"",CHAR(10)&amp;"Exp: "&amp;Checks!$X$533&amp;"  /  Act: "&amp;Checks!$Y$533)</f>
        <v/>
      </c>
      <c r="F25" s="124">
        <f>IF(Checks!$Z$533="","","Evidence: "&amp;Checks!$Z$533)&amp;IF(Checks!$AA$533="","",IF(Checks!$Z$533="","",CHAR(10))&amp;"CA: "&amp;Checks!$AA$533)</f>
        <v/>
      </c>
      <c r="G25" s="124">
        <f>IF(ISNUMBER(Checks!$AD$533),TEXT(Checks!$AD$533,"DD-MMM-YY HH:MM")&amp;" "&amp;Checks!$P$533,"")&amp;IF(Checks!$AE$533="","",CHAR(10)&amp;Checks!$AE$533)</f>
        <v/>
      </c>
      <c r="H25" s="125">
        <f>IF(Checks!$AH$533="","",Checks!$AH$533)</f>
        <v/>
      </c>
    </row>
    <row r="26" ht="81" customHeight="1">
      <c r="A26" s="124">
        <f>Checks!$A$534&amp;CHAR(10)&amp;IF(Checks!$I$534="","",Checks!$I$534&amp;": ")&amp;Checks!$J$534</f>
        <v/>
      </c>
      <c r="B26" s="124">
        <f>Checks!$K$534&amp;IF(Checks!$O$534="","",IF(Checks!$K$534="","",CHAR(10))&amp;"Note: "&amp;Checks!$O$534)</f>
        <v/>
      </c>
      <c r="C26" s="124">
        <f>Checks!$N$534&amp;CHAR(10)&amp;IF(ISNUMBER(Checks!$R$534),TEXT(Checks!$R$534,"DD-MMM-YY HH:MM"),"")&amp;" "&amp;Checks!$P$534</f>
        <v/>
      </c>
      <c r="D26" s="124">
        <f>IF(Checks!$U$534="","",Checks!$U$534)&amp;IF(Checks!$AB$534="","",CHAR(10)&amp;"CA: "&amp;Checks!$AB$534)</f>
        <v/>
      </c>
      <c r="E26" s="124">
        <f>IF(Checks!$V$534="","",Checks!$V$534)&amp;IF(Checks!$AC$534="","",IF(Checks!$V$534="","",CHAR(10))&amp;"N/A just.: "&amp;Checks!$AC$534)&amp;IF(Checks!$W$534="","",CHAR(10)&amp;"Batch: "&amp;Checks!$W$534)&amp;IF(AND(Checks!$X$534="",Checks!$Y$534=""),"",CHAR(10)&amp;"Exp: "&amp;Checks!$X$534&amp;"  /  Act: "&amp;Checks!$Y$534)</f>
        <v/>
      </c>
      <c r="F26" s="124">
        <f>IF(Checks!$Z$534="","","Evidence: "&amp;Checks!$Z$534)&amp;IF(Checks!$AA$534="","",IF(Checks!$Z$534="","",CHAR(10))&amp;"CA: "&amp;Checks!$AA$534)</f>
        <v/>
      </c>
      <c r="G26" s="124">
        <f>IF(ISNUMBER(Checks!$AD$534),TEXT(Checks!$AD$534,"DD-MMM-YY HH:MM")&amp;" "&amp;Checks!$P$534,"")&amp;IF(Checks!$AE$534="","",CHAR(10)&amp;Checks!$AE$534)</f>
        <v/>
      </c>
      <c r="H26" s="125">
        <f>IF(Checks!$AH$534="","",Checks!$AH$534)</f>
        <v/>
      </c>
    </row>
    <row r="27" ht="81" customHeight="1">
      <c r="A27" s="124">
        <f>Checks!$A$535&amp;CHAR(10)&amp;IF(Checks!$I$535="","",Checks!$I$535&amp;": ")&amp;Checks!$J$535</f>
        <v/>
      </c>
      <c r="B27" s="124">
        <f>Checks!$K$535&amp;IF(Checks!$O$535="","",IF(Checks!$K$535="","",CHAR(10))&amp;"Note: "&amp;Checks!$O$535)</f>
        <v/>
      </c>
      <c r="C27" s="124">
        <f>Checks!$N$535&amp;CHAR(10)&amp;IF(ISNUMBER(Checks!$R$535),TEXT(Checks!$R$535,"DD-MMM-YY HH:MM"),"")&amp;" "&amp;Checks!$P$535</f>
        <v/>
      </c>
      <c r="D27" s="124">
        <f>IF(Checks!$U$535="","",Checks!$U$535)&amp;IF(Checks!$AB$535="","",CHAR(10)&amp;"CA: "&amp;Checks!$AB$535)</f>
        <v/>
      </c>
      <c r="E27" s="124">
        <f>IF(Checks!$V$535="","",Checks!$V$535)&amp;IF(Checks!$AC$535="","",IF(Checks!$V$535="","",CHAR(10))&amp;"N/A just.: "&amp;Checks!$AC$535)&amp;IF(Checks!$W$535="","",CHAR(10)&amp;"Batch: "&amp;Checks!$W$535)&amp;IF(AND(Checks!$X$535="",Checks!$Y$535=""),"",CHAR(10)&amp;"Exp: "&amp;Checks!$X$535&amp;"  /  Act: "&amp;Checks!$Y$535)</f>
        <v/>
      </c>
      <c r="F27" s="124">
        <f>IF(Checks!$Z$535="","","Evidence: "&amp;Checks!$Z$535)&amp;IF(Checks!$AA$535="","",IF(Checks!$Z$535="","",CHAR(10))&amp;"CA: "&amp;Checks!$AA$535)</f>
        <v/>
      </c>
      <c r="G27" s="124">
        <f>IF(ISNUMBER(Checks!$AD$535),TEXT(Checks!$AD$535,"DD-MMM-YY HH:MM")&amp;" "&amp;Checks!$P$535,"")&amp;IF(Checks!$AE$535="","",CHAR(10)&amp;Checks!$AE$535)</f>
        <v/>
      </c>
      <c r="H27" s="125">
        <f>IF(Checks!$AH$535="","",Checks!$AH$535)</f>
        <v/>
      </c>
    </row>
    <row r="28" ht="81" customHeight="1">
      <c r="A28" s="124">
        <f>Checks!$A$536&amp;CHAR(10)&amp;IF(Checks!$I$536="","",Checks!$I$536&amp;": ")&amp;Checks!$J$536</f>
        <v/>
      </c>
      <c r="B28" s="124">
        <f>Checks!$K$536&amp;IF(Checks!$O$536="","",IF(Checks!$K$536="","",CHAR(10))&amp;"Note: "&amp;Checks!$O$536)</f>
        <v/>
      </c>
      <c r="C28" s="124">
        <f>Checks!$N$536&amp;CHAR(10)&amp;IF(ISNUMBER(Checks!$R$536),TEXT(Checks!$R$536,"DD-MMM-YY HH:MM"),"")&amp;" "&amp;Checks!$P$536</f>
        <v/>
      </c>
      <c r="D28" s="124">
        <f>IF(Checks!$U$536="","",Checks!$U$536)&amp;IF(Checks!$AB$536="","",CHAR(10)&amp;"CA: "&amp;Checks!$AB$536)</f>
        <v/>
      </c>
      <c r="E28" s="124">
        <f>IF(Checks!$V$536="","",Checks!$V$536)&amp;IF(Checks!$AC$536="","",IF(Checks!$V$536="","",CHAR(10))&amp;"N/A just.: "&amp;Checks!$AC$536)&amp;IF(Checks!$W$536="","",CHAR(10)&amp;"Batch: "&amp;Checks!$W$536)&amp;IF(AND(Checks!$X$536="",Checks!$Y$536=""),"",CHAR(10)&amp;"Exp: "&amp;Checks!$X$536&amp;"  /  Act: "&amp;Checks!$Y$536)</f>
        <v/>
      </c>
      <c r="F28" s="124">
        <f>IF(Checks!$Z$536="","","Evidence: "&amp;Checks!$Z$536)&amp;IF(Checks!$AA$536="","",IF(Checks!$Z$536="","",CHAR(10))&amp;"CA: "&amp;Checks!$AA$536)</f>
        <v/>
      </c>
      <c r="G28" s="124">
        <f>IF(ISNUMBER(Checks!$AD$536),TEXT(Checks!$AD$536,"DD-MMM-YY HH:MM")&amp;" "&amp;Checks!$P$536,"")&amp;IF(Checks!$AE$536="","",CHAR(10)&amp;Checks!$AE$536)</f>
        <v/>
      </c>
      <c r="H28" s="125">
        <f>IF(Checks!$AH$536="","",Checks!$AH$536)</f>
        <v/>
      </c>
    </row>
    <row r="29" ht="81" customHeight="1">
      <c r="A29" s="124">
        <f>Checks!$A$537&amp;CHAR(10)&amp;IF(Checks!$I$537="","",Checks!$I$537&amp;": ")&amp;Checks!$J$537</f>
        <v/>
      </c>
      <c r="B29" s="124">
        <f>Checks!$K$537&amp;IF(Checks!$O$537="","",IF(Checks!$K$537="","",CHAR(10))&amp;"Note: "&amp;Checks!$O$537)</f>
        <v/>
      </c>
      <c r="C29" s="124">
        <f>Checks!$N$537&amp;CHAR(10)&amp;IF(ISNUMBER(Checks!$R$537),TEXT(Checks!$R$537,"DD-MMM-YY HH:MM"),"")&amp;" "&amp;Checks!$P$537</f>
        <v/>
      </c>
      <c r="D29" s="124">
        <f>IF(Checks!$U$537="","",Checks!$U$537)&amp;IF(Checks!$AB$537="","",CHAR(10)&amp;"CA: "&amp;Checks!$AB$537)</f>
        <v/>
      </c>
      <c r="E29" s="124">
        <f>IF(Checks!$V$537="","",Checks!$V$537)&amp;IF(Checks!$AC$537="","",IF(Checks!$V$537="","",CHAR(10))&amp;"N/A just.: "&amp;Checks!$AC$537)&amp;IF(Checks!$W$537="","",CHAR(10)&amp;"Batch: "&amp;Checks!$W$537)&amp;IF(AND(Checks!$X$537="",Checks!$Y$537=""),"",CHAR(10)&amp;"Exp: "&amp;Checks!$X$537&amp;"  /  Act: "&amp;Checks!$Y$537)</f>
        <v/>
      </c>
      <c r="F29" s="124">
        <f>IF(Checks!$Z$537="","","Evidence: "&amp;Checks!$Z$537)&amp;IF(Checks!$AA$537="","",IF(Checks!$Z$537="","",CHAR(10))&amp;"CA: "&amp;Checks!$AA$537)</f>
        <v/>
      </c>
      <c r="G29" s="124">
        <f>IF(ISNUMBER(Checks!$AD$537),TEXT(Checks!$AD$537,"DD-MMM-YY HH:MM")&amp;" "&amp;Checks!$P$537,"")&amp;IF(Checks!$AE$537="","",CHAR(10)&amp;Checks!$AE$537)</f>
        <v/>
      </c>
      <c r="H29" s="125">
        <f>IF(Checks!$AH$537="","",Checks!$AH$537)</f>
        <v/>
      </c>
    </row>
    <row r="30" ht="81" customHeight="1">
      <c r="A30" s="124">
        <f>Checks!$A$538&amp;CHAR(10)&amp;IF(Checks!$I$538="","",Checks!$I$538&amp;": ")&amp;Checks!$J$538</f>
        <v/>
      </c>
      <c r="B30" s="124">
        <f>Checks!$K$538&amp;IF(Checks!$O$538="","",IF(Checks!$K$538="","",CHAR(10))&amp;"Note: "&amp;Checks!$O$538)</f>
        <v/>
      </c>
      <c r="C30" s="124">
        <f>Checks!$N$538&amp;CHAR(10)&amp;IF(ISNUMBER(Checks!$R$538),TEXT(Checks!$R$538,"DD-MMM-YY HH:MM"),"")&amp;" "&amp;Checks!$P$538</f>
        <v/>
      </c>
      <c r="D30" s="124">
        <f>IF(Checks!$U$538="","",Checks!$U$538)&amp;IF(Checks!$AB$538="","",CHAR(10)&amp;"CA: "&amp;Checks!$AB$538)</f>
        <v/>
      </c>
      <c r="E30" s="124">
        <f>IF(Checks!$V$538="","",Checks!$V$538)&amp;IF(Checks!$AC$538="","",IF(Checks!$V$538="","",CHAR(10))&amp;"N/A just.: "&amp;Checks!$AC$538)&amp;IF(Checks!$W$538="","",CHAR(10)&amp;"Batch: "&amp;Checks!$W$538)&amp;IF(AND(Checks!$X$538="",Checks!$Y$538=""),"",CHAR(10)&amp;"Exp: "&amp;Checks!$X$538&amp;"  /  Act: "&amp;Checks!$Y$538)</f>
        <v/>
      </c>
      <c r="F30" s="124">
        <f>IF(Checks!$Z$538="","","Evidence: "&amp;Checks!$Z$538)&amp;IF(Checks!$AA$538="","",IF(Checks!$Z$538="","",CHAR(10))&amp;"CA: "&amp;Checks!$AA$538)</f>
        <v/>
      </c>
      <c r="G30" s="124">
        <f>IF(ISNUMBER(Checks!$AD$538),TEXT(Checks!$AD$538,"DD-MMM-YY HH:MM")&amp;" "&amp;Checks!$P$538,"")&amp;IF(Checks!$AE$538="","",CHAR(10)&amp;Checks!$AE$538)</f>
        <v/>
      </c>
      <c r="H30" s="125">
        <f>IF(Checks!$AH$538="","",Checks!$AH$538)</f>
        <v/>
      </c>
    </row>
    <row r="31" ht="81" customHeight="1">
      <c r="A31" s="124">
        <f>Checks!$A$539&amp;CHAR(10)&amp;IF(Checks!$I$539="","",Checks!$I$539&amp;": ")&amp;Checks!$J$539</f>
        <v/>
      </c>
      <c r="B31" s="124">
        <f>Checks!$K$539&amp;IF(Checks!$O$539="","",IF(Checks!$K$539="","",CHAR(10))&amp;"Note: "&amp;Checks!$O$539)</f>
        <v/>
      </c>
      <c r="C31" s="124">
        <f>Checks!$N$539&amp;CHAR(10)&amp;IF(ISNUMBER(Checks!$R$539),TEXT(Checks!$R$539,"DD-MMM-YY HH:MM"),"")&amp;" "&amp;Checks!$P$539</f>
        <v/>
      </c>
      <c r="D31" s="124">
        <f>IF(Checks!$U$539="","",Checks!$U$539)&amp;IF(Checks!$AB$539="","",CHAR(10)&amp;"CA: "&amp;Checks!$AB$539)</f>
        <v/>
      </c>
      <c r="E31" s="124">
        <f>IF(Checks!$V$539="","",Checks!$V$539)&amp;IF(Checks!$AC$539="","",IF(Checks!$V$539="","",CHAR(10))&amp;"N/A just.: "&amp;Checks!$AC$539)&amp;IF(Checks!$W$539="","",CHAR(10)&amp;"Batch: "&amp;Checks!$W$539)&amp;IF(AND(Checks!$X$539="",Checks!$Y$539=""),"",CHAR(10)&amp;"Exp: "&amp;Checks!$X$539&amp;"  /  Act: "&amp;Checks!$Y$539)</f>
        <v/>
      </c>
      <c r="F31" s="124">
        <f>IF(Checks!$Z$539="","","Evidence: "&amp;Checks!$Z$539)&amp;IF(Checks!$AA$539="","",IF(Checks!$Z$539="","",CHAR(10))&amp;"CA: "&amp;Checks!$AA$539)</f>
        <v/>
      </c>
      <c r="G31" s="124">
        <f>IF(ISNUMBER(Checks!$AD$539),TEXT(Checks!$AD$539,"DD-MMM-YY HH:MM")&amp;" "&amp;Checks!$P$539,"")&amp;IF(Checks!$AE$539="","",CHAR(10)&amp;Checks!$AE$539)</f>
        <v/>
      </c>
      <c r="H31" s="125">
        <f>IF(Checks!$AH$539="","",Checks!$AH$539)</f>
        <v/>
      </c>
    </row>
    <row r="32" ht="191" customHeight="1">
      <c r="A32" s="124">
        <f>Checks!$A$540&amp;CHAR(10)&amp;IF(Checks!$I$540="","",Checks!$I$540&amp;": ")&amp;Checks!$J$540</f>
        <v/>
      </c>
      <c r="B32" s="124">
        <f>Checks!$K$540&amp;IF(Checks!$O$540="","",IF(Checks!$K$540="","",CHAR(10))&amp;"Note: "&amp;Checks!$O$540)</f>
        <v/>
      </c>
      <c r="C32" s="124">
        <f>Checks!$N$540&amp;CHAR(10)&amp;IF(ISNUMBER(Checks!$R$540),TEXT(Checks!$R$540,"DD-MMM-YY HH:MM"),"")&amp;" "&amp;Checks!$P$540</f>
        <v/>
      </c>
      <c r="D32" s="124">
        <f>IF(Checks!$U$540="","",Checks!$U$540)&amp;IF(Checks!$AB$540="","",CHAR(10)&amp;"CA: "&amp;Checks!$AB$540)</f>
        <v/>
      </c>
      <c r="E32" s="124">
        <f>IF(Checks!$V$540="","",Checks!$V$540)&amp;IF(Checks!$AC$540="","",IF(Checks!$V$540="","",CHAR(10))&amp;"N/A just.: "&amp;Checks!$AC$540)&amp;IF(Checks!$W$540="","",CHAR(10)&amp;"Batch: "&amp;Checks!$W$540)&amp;IF(AND(Checks!$X$540="",Checks!$Y$540=""),"",CHAR(10)&amp;"Exp: "&amp;Checks!$X$540&amp;"  /  Act: "&amp;Checks!$Y$540)</f>
        <v/>
      </c>
      <c r="F32" s="124">
        <f>IF(Checks!$Z$540="","","Evidence: "&amp;Checks!$Z$540)&amp;IF(Checks!$AA$540="","",IF(Checks!$Z$540="","",CHAR(10))&amp;"CA: "&amp;Checks!$AA$540)</f>
        <v/>
      </c>
      <c r="G32" s="124">
        <f>IF(ISNUMBER(Checks!$AD$540),TEXT(Checks!$AD$540,"DD-MMM-YY HH:MM")&amp;" "&amp;Checks!$P$540,"")&amp;IF(Checks!$AE$540="","",CHAR(10)&amp;Checks!$AE$540)</f>
        <v/>
      </c>
      <c r="H32" s="125">
        <f>IF(Checks!$AH$540="","",Checks!$AH$540)</f>
        <v/>
      </c>
    </row>
    <row r="33" ht="26" customHeight="1">
      <c r="A33" s="123">
        <f>"T-24H — Production batch sensory  |  Due "&amp;IF(ISNUMBER(Flights!$AH$21),TEXT(Flights!$AH$21,"DD-MMM-YY HH:MM"),"")&amp;" "&amp;Flights!$V$21&amp;" (meal uplift stn)"&amp;" (rows with another due show their own)  |  Complete "&amp;IF(ISNUMBER(Flights!$AK$21),TEXT(Flights!$AK$21,"0%"),Flights!$AK$21)&amp;"  |  1 lines"</f>
        <v/>
      </c>
      <c r="B33" s="97" t="n"/>
      <c r="C33" s="97" t="n"/>
      <c r="D33" s="97" t="n"/>
      <c r="E33" s="97" t="n"/>
      <c r="F33" s="97" t="n"/>
      <c r="G33" s="97" t="n"/>
      <c r="H33" s="98" t="n"/>
    </row>
    <row r="34" ht="81" customHeight="1">
      <c r="A34" s="124">
        <f>Checks!$A$541&amp;CHAR(10)&amp;IF(Checks!$I$541="","",Checks!$I$541&amp;": ")&amp;Checks!$J$541</f>
        <v/>
      </c>
      <c r="B34" s="124">
        <f>Checks!$K$541&amp;IF(Checks!$O$541="","",IF(Checks!$K$541="","",CHAR(10))&amp;"Note: "&amp;Checks!$O$541)</f>
        <v/>
      </c>
      <c r="C34" s="124">
        <f>Checks!$N$541&amp;CHAR(10)&amp;IF(ISNUMBER(Checks!$R$541),TEXT(Checks!$R$541,"DD-MMM-YY HH:MM"),"")&amp;" "&amp;Checks!$P$541</f>
        <v/>
      </c>
      <c r="D34" s="124">
        <f>IF(Checks!$U$541="","",Checks!$U$541)&amp;IF(Checks!$AB$541="","",CHAR(10)&amp;"CA: "&amp;Checks!$AB$541)</f>
        <v/>
      </c>
      <c r="E34" s="124">
        <f>IF(Checks!$V$541="","",Checks!$V$541)&amp;IF(Checks!$AC$541="","",IF(Checks!$V$541="","",CHAR(10))&amp;"N/A just.: "&amp;Checks!$AC$541)&amp;IF(Checks!$W$541="","",CHAR(10)&amp;"Batch: "&amp;Checks!$W$541)&amp;IF(AND(Checks!$X$541="",Checks!$Y$541=""),"",CHAR(10)&amp;"Exp: "&amp;Checks!$X$541&amp;"  /  Act: "&amp;Checks!$Y$541)</f>
        <v/>
      </c>
      <c r="F34" s="124">
        <f>IF(Checks!$Z$541="","","Evidence: "&amp;Checks!$Z$541)&amp;IF(Checks!$AA$541="","",IF(Checks!$Z$541="","",CHAR(10))&amp;"CA: "&amp;Checks!$AA$541)</f>
        <v/>
      </c>
      <c r="G34" s="124">
        <f>IF(ISNUMBER(Checks!$AD$541),TEXT(Checks!$AD$541,"DD-MMM-YY HH:MM")&amp;" "&amp;Checks!$P$541,"")&amp;IF(Checks!$AE$541="","",CHAR(10)&amp;Checks!$AE$541)</f>
        <v/>
      </c>
      <c r="H34" s="125">
        <f>IF(Checks!$AH$541="","",Checks!$AH$541)</f>
        <v/>
      </c>
    </row>
    <row r="35" ht="26" customHeight="1">
      <c r="A35" s="123">
        <f>"T-12H PREP — Preparation check at caterer (does NOT confirm loading)  |  Due "&amp;IF(ISNUMBER(Flights!$AI$21),TEXT(Flights!$AI$21,"DD-MMM-YY HH:MM"),"")&amp;" "&amp;Flights!$V$21&amp;" (meal uplift stn)"&amp;" (rows with another due show their own)  |  Complete "&amp;IF(ISNUMBER(Flights!$AL$21),TEXT(Flights!$AL$21,"0%"),Flights!$AL$21)&amp;"  |  18 lines"</f>
        <v/>
      </c>
      <c r="B35" s="97" t="n"/>
      <c r="C35" s="97" t="n"/>
      <c r="D35" s="97" t="n"/>
      <c r="E35" s="97" t="n"/>
      <c r="F35" s="97" t="n"/>
      <c r="G35" s="97" t="n"/>
      <c r="H35" s="98" t="n"/>
    </row>
    <row r="36" ht="81" customHeight="1">
      <c r="A36" s="124">
        <f>Checks!$A$542&amp;CHAR(10)&amp;IF(Checks!$I$542="","",Checks!$I$542&amp;": ")&amp;Checks!$J$542</f>
        <v/>
      </c>
      <c r="B36" s="124">
        <f>Checks!$K$542&amp;IF(Checks!$O$542="","",IF(Checks!$K$542="","",CHAR(10))&amp;"Note: "&amp;Checks!$O$542)</f>
        <v/>
      </c>
      <c r="C36" s="124">
        <f>Checks!$N$542&amp;CHAR(10)&amp;IF(ISNUMBER(Checks!$R$542),TEXT(Checks!$R$542,"DD-MMM-YY HH:MM"),"")&amp;" "&amp;Checks!$P$542</f>
        <v/>
      </c>
      <c r="D36" s="124">
        <f>IF(Checks!$U$542="","",Checks!$U$542)&amp;IF(Checks!$AB$542="","",CHAR(10)&amp;"CA: "&amp;Checks!$AB$542)</f>
        <v/>
      </c>
      <c r="E36" s="124">
        <f>IF(Checks!$V$542="","",Checks!$V$542)&amp;IF(Checks!$AC$542="","",IF(Checks!$V$542="","",CHAR(10))&amp;"N/A just.: "&amp;Checks!$AC$542)&amp;IF(Checks!$W$542="","",CHAR(10)&amp;"Batch: "&amp;Checks!$W$542)&amp;IF(AND(Checks!$X$542="",Checks!$Y$542=""),"",CHAR(10)&amp;"Exp: "&amp;Checks!$X$542&amp;"  /  Act: "&amp;Checks!$Y$542)</f>
        <v/>
      </c>
      <c r="F36" s="124">
        <f>IF(Checks!$Z$542="","","Evidence: "&amp;Checks!$Z$542)&amp;IF(Checks!$AA$542="","",IF(Checks!$Z$542="","",CHAR(10))&amp;"CA: "&amp;Checks!$AA$542)</f>
        <v/>
      </c>
      <c r="G36" s="124">
        <f>IF(ISNUMBER(Checks!$AD$542),TEXT(Checks!$AD$542,"DD-MMM-YY HH:MM")&amp;" "&amp;Checks!$P$542,"")&amp;IF(Checks!$AE$542="","",CHAR(10)&amp;Checks!$AE$542)</f>
        <v/>
      </c>
      <c r="H36" s="125">
        <f>IF(Checks!$AH$542="","",Checks!$AH$542)</f>
        <v/>
      </c>
    </row>
    <row r="37" ht="81" customHeight="1">
      <c r="A37" s="124">
        <f>Checks!$A$543&amp;CHAR(10)&amp;IF(Checks!$I$543="","",Checks!$I$543&amp;": ")&amp;Checks!$J$543</f>
        <v/>
      </c>
      <c r="B37" s="124">
        <f>Checks!$K$543&amp;IF(Checks!$O$543="","",IF(Checks!$K$543="","",CHAR(10))&amp;"Note: "&amp;Checks!$O$543)</f>
        <v/>
      </c>
      <c r="C37" s="124">
        <f>Checks!$N$543&amp;CHAR(10)&amp;IF(ISNUMBER(Checks!$R$543),TEXT(Checks!$R$543,"DD-MMM-YY HH:MM"),"")&amp;" "&amp;Checks!$P$543</f>
        <v/>
      </c>
      <c r="D37" s="124">
        <f>IF(Checks!$U$543="","",Checks!$U$543)&amp;IF(Checks!$AB$543="","",CHAR(10)&amp;"CA: "&amp;Checks!$AB$543)</f>
        <v/>
      </c>
      <c r="E37" s="124">
        <f>IF(Checks!$V$543="","",Checks!$V$543)&amp;IF(Checks!$AC$543="","",IF(Checks!$V$543="","",CHAR(10))&amp;"N/A just.: "&amp;Checks!$AC$543)&amp;IF(Checks!$W$543="","",CHAR(10)&amp;"Batch: "&amp;Checks!$W$543)&amp;IF(AND(Checks!$X$543="",Checks!$Y$543=""),"",CHAR(10)&amp;"Exp: "&amp;Checks!$X$543&amp;"  /  Act: "&amp;Checks!$Y$543)</f>
        <v/>
      </c>
      <c r="F37" s="124">
        <f>IF(Checks!$Z$543="","","Evidence: "&amp;Checks!$Z$543)&amp;IF(Checks!$AA$543="","",IF(Checks!$Z$543="","",CHAR(10))&amp;"CA: "&amp;Checks!$AA$543)</f>
        <v/>
      </c>
      <c r="G37" s="124">
        <f>IF(ISNUMBER(Checks!$AD$543),TEXT(Checks!$AD$543,"DD-MMM-YY HH:MM")&amp;" "&amp;Checks!$P$543,"")&amp;IF(Checks!$AE$543="","",CHAR(10)&amp;Checks!$AE$543)</f>
        <v/>
      </c>
      <c r="H37" s="125">
        <f>IF(Checks!$AH$543="","",Checks!$AH$543)</f>
        <v/>
      </c>
    </row>
    <row r="38" ht="81" customHeight="1">
      <c r="A38" s="124">
        <f>Checks!$A$544&amp;CHAR(10)&amp;IF(Checks!$I$544="","",Checks!$I$544&amp;": ")&amp;Checks!$J$544</f>
        <v/>
      </c>
      <c r="B38" s="124">
        <f>Checks!$K$544&amp;IF(Checks!$O$544="","",IF(Checks!$K$544="","",CHAR(10))&amp;"Note: "&amp;Checks!$O$544)</f>
        <v/>
      </c>
      <c r="C38" s="124">
        <f>Checks!$N$544&amp;CHAR(10)&amp;IF(ISNUMBER(Checks!$R$544),TEXT(Checks!$R$544,"DD-MMM-YY HH:MM"),"")&amp;" "&amp;Checks!$P$544</f>
        <v/>
      </c>
      <c r="D38" s="124">
        <f>IF(Checks!$U$544="","",Checks!$U$544)&amp;IF(Checks!$AB$544="","",CHAR(10)&amp;"CA: "&amp;Checks!$AB$544)</f>
        <v/>
      </c>
      <c r="E38" s="124">
        <f>IF(Checks!$V$544="","",Checks!$V$544)&amp;IF(Checks!$AC$544="","",IF(Checks!$V$544="","",CHAR(10))&amp;"N/A just.: "&amp;Checks!$AC$544)&amp;IF(Checks!$W$544="","",CHAR(10)&amp;"Batch: "&amp;Checks!$W$544)&amp;IF(AND(Checks!$X$544="",Checks!$Y$544=""),"",CHAR(10)&amp;"Exp: "&amp;Checks!$X$544&amp;"  /  Act: "&amp;Checks!$Y$544)</f>
        <v/>
      </c>
      <c r="F38" s="124">
        <f>IF(Checks!$Z$544="","","Evidence: "&amp;Checks!$Z$544)&amp;IF(Checks!$AA$544="","",IF(Checks!$Z$544="","",CHAR(10))&amp;"CA: "&amp;Checks!$AA$544)</f>
        <v/>
      </c>
      <c r="G38" s="124">
        <f>IF(ISNUMBER(Checks!$AD$544),TEXT(Checks!$AD$544,"DD-MMM-YY HH:MM")&amp;" "&amp;Checks!$P$544,"")&amp;IF(Checks!$AE$544="","",CHAR(10)&amp;Checks!$AE$544)</f>
        <v/>
      </c>
      <c r="H38" s="125">
        <f>IF(Checks!$AH$544="","",Checks!$AH$544)</f>
        <v/>
      </c>
    </row>
    <row r="39" ht="81" customHeight="1">
      <c r="A39" s="124">
        <f>Checks!$A$545&amp;CHAR(10)&amp;IF(Checks!$I$545="","",Checks!$I$545&amp;": ")&amp;Checks!$J$545</f>
        <v/>
      </c>
      <c r="B39" s="124">
        <f>Checks!$K$545&amp;IF(Checks!$O$545="","",IF(Checks!$K$545="","",CHAR(10))&amp;"Note: "&amp;Checks!$O$545)</f>
        <v/>
      </c>
      <c r="C39" s="124">
        <f>Checks!$N$545&amp;CHAR(10)&amp;IF(ISNUMBER(Checks!$R$545),TEXT(Checks!$R$545,"DD-MMM-YY HH:MM"),"")&amp;" "&amp;Checks!$P$545</f>
        <v/>
      </c>
      <c r="D39" s="124">
        <f>IF(Checks!$U$545="","",Checks!$U$545)&amp;IF(Checks!$AB$545="","",CHAR(10)&amp;"CA: "&amp;Checks!$AB$545)</f>
        <v/>
      </c>
      <c r="E39" s="124">
        <f>IF(Checks!$V$545="","",Checks!$V$545)&amp;IF(Checks!$AC$545="","",IF(Checks!$V$545="","",CHAR(10))&amp;"N/A just.: "&amp;Checks!$AC$545)&amp;IF(Checks!$W$545="","",CHAR(10)&amp;"Batch: "&amp;Checks!$W$545)&amp;IF(AND(Checks!$X$545="",Checks!$Y$545=""),"",CHAR(10)&amp;"Exp: "&amp;Checks!$X$545&amp;"  /  Act: "&amp;Checks!$Y$545)</f>
        <v/>
      </c>
      <c r="F39" s="124">
        <f>IF(Checks!$Z$545="","","Evidence: "&amp;Checks!$Z$545)&amp;IF(Checks!$AA$545="","",IF(Checks!$Z$545="","",CHAR(10))&amp;"CA: "&amp;Checks!$AA$545)</f>
        <v/>
      </c>
      <c r="G39" s="124">
        <f>IF(ISNUMBER(Checks!$AD$545),TEXT(Checks!$AD$545,"DD-MMM-YY HH:MM")&amp;" "&amp;Checks!$P$545,"")&amp;IF(Checks!$AE$545="","",CHAR(10)&amp;Checks!$AE$545)</f>
        <v/>
      </c>
      <c r="H39" s="125">
        <f>IF(Checks!$AH$545="","",Checks!$AH$545)</f>
        <v/>
      </c>
    </row>
    <row r="40" ht="81" customHeight="1">
      <c r="A40" s="124">
        <f>Checks!$A$546&amp;CHAR(10)&amp;IF(Checks!$I$546="","",Checks!$I$546&amp;": ")&amp;Checks!$J$546</f>
        <v/>
      </c>
      <c r="B40" s="124">
        <f>Checks!$K$546&amp;IF(Checks!$O$546="","",IF(Checks!$K$546="","",CHAR(10))&amp;"Note: "&amp;Checks!$O$546)</f>
        <v/>
      </c>
      <c r="C40" s="124">
        <f>Checks!$N$546&amp;CHAR(10)&amp;IF(ISNUMBER(Checks!$R$546),TEXT(Checks!$R$546,"DD-MMM-YY HH:MM"),"")&amp;" "&amp;Checks!$P$546</f>
        <v/>
      </c>
      <c r="D40" s="124">
        <f>IF(Checks!$U$546="","",Checks!$U$546)&amp;IF(Checks!$AB$546="","",CHAR(10)&amp;"CA: "&amp;Checks!$AB$546)</f>
        <v/>
      </c>
      <c r="E40" s="124">
        <f>IF(Checks!$V$546="","",Checks!$V$546)&amp;IF(Checks!$AC$546="","",IF(Checks!$V$546="","",CHAR(10))&amp;"N/A just.: "&amp;Checks!$AC$546)&amp;IF(Checks!$W$546="","",CHAR(10)&amp;"Batch: "&amp;Checks!$W$546)&amp;IF(AND(Checks!$X$546="",Checks!$Y$546=""),"",CHAR(10)&amp;"Exp: "&amp;Checks!$X$546&amp;"  /  Act: "&amp;Checks!$Y$546)</f>
        <v/>
      </c>
      <c r="F40" s="124">
        <f>IF(Checks!$Z$546="","","Evidence: "&amp;Checks!$Z$546)&amp;IF(Checks!$AA$546="","",IF(Checks!$Z$546="","",CHAR(10))&amp;"CA: "&amp;Checks!$AA$546)</f>
        <v/>
      </c>
      <c r="G40" s="124">
        <f>IF(ISNUMBER(Checks!$AD$546),TEXT(Checks!$AD$546,"DD-MMM-YY HH:MM")&amp;" "&amp;Checks!$P$546,"")&amp;IF(Checks!$AE$546="","",CHAR(10)&amp;Checks!$AE$546)</f>
        <v/>
      </c>
      <c r="H40" s="125">
        <f>IF(Checks!$AH$546="","",Checks!$AH$546)</f>
        <v/>
      </c>
    </row>
    <row r="41" ht="158" customHeight="1">
      <c r="A41" s="124">
        <f>Checks!$A$547&amp;CHAR(10)&amp;IF(Checks!$I$547="","",Checks!$I$547&amp;": ")&amp;Checks!$J$547</f>
        <v/>
      </c>
      <c r="B41" s="124">
        <f>SUBSTITUTE(Checks!$K$547&amp;IF(Checks!$O$547="","",IF(Checks!$K$547="","",CHAR(10))&amp;"Note: "&amp;Checks!$O$547),"AIRCRAFT TYPE!","Ref: AIRCRAFT TYPE!")</f>
        <v/>
      </c>
      <c r="C41" s="124">
        <f>Checks!$N$547&amp;CHAR(10)&amp;IF(ISNUMBER(Checks!$R$547),TEXT(Checks!$R$547,"DD-MMM-YY HH:MM"),"")&amp;" "&amp;Checks!$P$547</f>
        <v/>
      </c>
      <c r="D41" s="124">
        <f>IF(Checks!$U$547="","",Checks!$U$547)&amp;IF(Checks!$AB$547="","",CHAR(10)&amp;"CA: "&amp;Checks!$AB$547)</f>
        <v/>
      </c>
      <c r="E41" s="124">
        <f>IF(Checks!$V$547="","",Checks!$V$547)&amp;IF(Checks!$AC$547="","",IF(Checks!$V$547="","",CHAR(10))&amp;"N/A just.: "&amp;Checks!$AC$547)&amp;IF(Checks!$W$547="","",CHAR(10)&amp;"Batch: "&amp;Checks!$W$547)&amp;IF(AND(Checks!$X$547="",Checks!$Y$547=""),"",CHAR(10)&amp;"Exp: "&amp;Checks!$X$547&amp;"  /  Act: "&amp;Checks!$Y$547)</f>
        <v/>
      </c>
      <c r="F41" s="124">
        <f>IF(Checks!$Z$547="","","Evidence: "&amp;Checks!$Z$547)&amp;IF(Checks!$AA$547="","",IF(Checks!$Z$547="","",CHAR(10))&amp;"CA: "&amp;Checks!$AA$547)</f>
        <v/>
      </c>
      <c r="G41" s="124">
        <f>IF(ISNUMBER(Checks!$AD$547),TEXT(Checks!$AD$547,"DD-MMM-YY HH:MM")&amp;" "&amp;Checks!$P$547,"")&amp;IF(Checks!$AE$547="","",CHAR(10)&amp;Checks!$AE$547)</f>
        <v/>
      </c>
      <c r="H41" s="125">
        <f>IF(Checks!$AH$547="","",Checks!$AH$547)</f>
        <v/>
      </c>
    </row>
    <row r="42" ht="81" customHeight="1">
      <c r="A42" s="124">
        <f>Checks!$A$548&amp;CHAR(10)&amp;IF(Checks!$I$548="","",Checks!$I$548&amp;": ")&amp;Checks!$J$548</f>
        <v/>
      </c>
      <c r="B42" s="124">
        <f>Checks!$K$548&amp;IF(Checks!$O$548="","",IF(Checks!$K$548="","",CHAR(10))&amp;"Note: "&amp;Checks!$O$548)</f>
        <v/>
      </c>
      <c r="C42" s="124">
        <f>Checks!$N$548&amp;CHAR(10)&amp;IF(ISNUMBER(Checks!$R$548),TEXT(Checks!$R$548,"DD-MMM-YY HH:MM"),"")&amp;" "&amp;Checks!$P$548</f>
        <v/>
      </c>
      <c r="D42" s="124">
        <f>IF(Checks!$U$548="","",Checks!$U$548)&amp;IF(Checks!$AB$548="","",CHAR(10)&amp;"CA: "&amp;Checks!$AB$548)</f>
        <v/>
      </c>
      <c r="E42" s="124">
        <f>IF(Checks!$V$548="","",Checks!$V$548)&amp;IF(Checks!$AC$548="","",IF(Checks!$V$548="","",CHAR(10))&amp;"N/A just.: "&amp;Checks!$AC$548)&amp;IF(Checks!$W$548="","",CHAR(10)&amp;"Batch: "&amp;Checks!$W$548)&amp;IF(AND(Checks!$X$548="",Checks!$Y$548=""),"",CHAR(10)&amp;"Exp: "&amp;Checks!$X$548&amp;"  /  Act: "&amp;Checks!$Y$548)</f>
        <v/>
      </c>
      <c r="F42" s="124">
        <f>IF(Checks!$Z$548="","","Evidence: "&amp;Checks!$Z$548)&amp;IF(Checks!$AA$548="","",IF(Checks!$Z$548="","",CHAR(10))&amp;"CA: "&amp;Checks!$AA$548)</f>
        <v/>
      </c>
      <c r="G42" s="124">
        <f>IF(ISNUMBER(Checks!$AD$548),TEXT(Checks!$AD$548,"DD-MMM-YY HH:MM")&amp;" "&amp;Checks!$P$548,"")&amp;IF(Checks!$AE$548="","",CHAR(10)&amp;Checks!$AE$548)</f>
        <v/>
      </c>
      <c r="H42" s="125">
        <f>IF(Checks!$AH$548="","",Checks!$AH$548)</f>
        <v/>
      </c>
    </row>
    <row r="43" ht="92" customHeight="1">
      <c r="A43" s="124">
        <f>Checks!$A$549&amp;CHAR(10)&amp;IF(Checks!$I$549="","",Checks!$I$549&amp;": ")&amp;Checks!$J$549</f>
        <v/>
      </c>
      <c r="B43" s="124">
        <f>Checks!$K$549&amp;IF(Checks!$O$549="","",IF(Checks!$K$549="","",CHAR(10))&amp;"Note: "&amp;Checks!$O$549)</f>
        <v/>
      </c>
      <c r="C43" s="124">
        <f>Checks!$N$549&amp;CHAR(10)&amp;IF(ISNUMBER(Checks!$R$549),TEXT(Checks!$R$549,"DD-MMM-YY HH:MM"),"")&amp;" "&amp;Checks!$P$549</f>
        <v/>
      </c>
      <c r="D43" s="124">
        <f>IF(Checks!$U$549="","",Checks!$U$549)&amp;IF(Checks!$AB$549="","",CHAR(10)&amp;"CA: "&amp;Checks!$AB$549)</f>
        <v/>
      </c>
      <c r="E43" s="124">
        <f>IF(Checks!$V$549="","",Checks!$V$549)&amp;IF(Checks!$AC$549="","",IF(Checks!$V$549="","",CHAR(10))&amp;"N/A just.: "&amp;Checks!$AC$549)&amp;IF(Checks!$W$549="","",CHAR(10)&amp;"Batch: "&amp;Checks!$W$549)&amp;IF(AND(Checks!$X$549="",Checks!$Y$549=""),"",CHAR(10)&amp;"Exp: "&amp;Checks!$X$549&amp;"  /  Act: "&amp;Checks!$Y$549)</f>
        <v/>
      </c>
      <c r="F43" s="124">
        <f>IF(Checks!$Z$549="","","Evidence: "&amp;Checks!$Z$549)&amp;IF(Checks!$AA$549="","",IF(Checks!$Z$549="","",CHAR(10))&amp;"CA: "&amp;Checks!$AA$549)</f>
        <v/>
      </c>
      <c r="G43" s="124">
        <f>IF(ISNUMBER(Checks!$AD$549),TEXT(Checks!$AD$549,"DD-MMM-YY HH:MM")&amp;" "&amp;Checks!$P$549,"")&amp;IF(Checks!$AE$549="","",CHAR(10)&amp;Checks!$AE$549)</f>
        <v/>
      </c>
      <c r="H43" s="125">
        <f>IF(Checks!$AH$549="","",Checks!$AH$549)</f>
        <v/>
      </c>
    </row>
    <row r="44" ht="92" customHeight="1">
      <c r="A44" s="124">
        <f>Checks!$A$550&amp;CHAR(10)&amp;IF(Checks!$I$550="","",Checks!$I$550&amp;": ")&amp;Checks!$J$550</f>
        <v/>
      </c>
      <c r="B44" s="124">
        <f>Checks!$K$550&amp;IF(Checks!$O$550="","",IF(Checks!$K$550="","",CHAR(10))&amp;"Note: "&amp;Checks!$O$550)</f>
        <v/>
      </c>
      <c r="C44" s="124">
        <f>Checks!$N$550&amp;CHAR(10)&amp;IF(ISNUMBER(Checks!$R$550),TEXT(Checks!$R$550,"DD-MMM-YY HH:MM"),"")&amp;" "&amp;Checks!$P$550</f>
        <v/>
      </c>
      <c r="D44" s="124">
        <f>IF(Checks!$U$550="","",Checks!$U$550)&amp;IF(Checks!$AB$550="","",CHAR(10)&amp;"CA: "&amp;Checks!$AB$550)</f>
        <v/>
      </c>
      <c r="E44" s="124">
        <f>IF(Checks!$V$550="","",Checks!$V$550)&amp;IF(Checks!$AC$550="","",IF(Checks!$V$550="","",CHAR(10))&amp;"N/A just.: "&amp;Checks!$AC$550)&amp;IF(Checks!$W$550="","",CHAR(10)&amp;"Batch: "&amp;Checks!$W$550)&amp;IF(AND(Checks!$X$550="",Checks!$Y$550=""),"",CHAR(10)&amp;"Exp: "&amp;Checks!$X$550&amp;"  /  Act: "&amp;Checks!$Y$550)</f>
        <v/>
      </c>
      <c r="F44" s="124">
        <f>IF(Checks!$Z$550="","","Evidence: "&amp;Checks!$Z$550)&amp;IF(Checks!$AA$550="","",IF(Checks!$Z$550="","",CHAR(10))&amp;"CA: "&amp;Checks!$AA$550)</f>
        <v/>
      </c>
      <c r="G44" s="124">
        <f>IF(ISNUMBER(Checks!$AD$550),TEXT(Checks!$AD$550,"DD-MMM-YY HH:MM")&amp;" "&amp;Checks!$P$550,"")&amp;IF(Checks!$AE$550="","",CHAR(10)&amp;Checks!$AE$550)</f>
        <v/>
      </c>
      <c r="H44" s="125">
        <f>IF(Checks!$AH$550="","",Checks!$AH$550)</f>
        <v/>
      </c>
    </row>
    <row r="45" ht="92" customHeight="1">
      <c r="A45" s="124">
        <f>Checks!$A$551&amp;CHAR(10)&amp;IF(Checks!$I$551="","",Checks!$I$551&amp;": ")&amp;Checks!$J$551</f>
        <v/>
      </c>
      <c r="B45" s="124">
        <f>Checks!$K$551&amp;IF(Checks!$O$551="","",IF(Checks!$K$551="","",CHAR(10))&amp;"Note: "&amp;Checks!$O$551)</f>
        <v/>
      </c>
      <c r="C45" s="124">
        <f>Checks!$N$551&amp;CHAR(10)&amp;IF(ISNUMBER(Checks!$R$551),TEXT(Checks!$R$551,"DD-MMM-YY HH:MM"),"")&amp;" "&amp;Checks!$P$551</f>
        <v/>
      </c>
      <c r="D45" s="124">
        <f>IF(Checks!$U$551="","",Checks!$U$551)&amp;IF(Checks!$AB$551="","",CHAR(10)&amp;"CA: "&amp;Checks!$AB$551)</f>
        <v/>
      </c>
      <c r="E45" s="124">
        <f>IF(Checks!$V$551="","",Checks!$V$551)&amp;IF(Checks!$AC$551="","",IF(Checks!$V$551="","",CHAR(10))&amp;"N/A just.: "&amp;Checks!$AC$551)&amp;IF(Checks!$W$551="","",CHAR(10)&amp;"Batch: "&amp;Checks!$W$551)&amp;IF(AND(Checks!$X$551="",Checks!$Y$551=""),"",CHAR(10)&amp;"Exp: "&amp;Checks!$X$551&amp;"  /  Act: "&amp;Checks!$Y$551)</f>
        <v/>
      </c>
      <c r="F45" s="124">
        <f>IF(Checks!$Z$551="","","Evidence: "&amp;Checks!$Z$551)&amp;IF(Checks!$AA$551="","",IF(Checks!$Z$551="","",CHAR(10))&amp;"CA: "&amp;Checks!$AA$551)</f>
        <v/>
      </c>
      <c r="G45" s="124">
        <f>IF(ISNUMBER(Checks!$AD$551),TEXT(Checks!$AD$551,"DD-MMM-YY HH:MM")&amp;" "&amp;Checks!$P$551,"")&amp;IF(Checks!$AE$551="","",CHAR(10)&amp;Checks!$AE$551)</f>
        <v/>
      </c>
      <c r="H45" s="125">
        <f>IF(Checks!$AH$551="","",Checks!$AH$551)</f>
        <v/>
      </c>
    </row>
    <row r="46" ht="92" customHeight="1">
      <c r="A46" s="124">
        <f>Checks!$A$552&amp;CHAR(10)&amp;IF(Checks!$I$552="","",Checks!$I$552&amp;": ")&amp;Checks!$J$552</f>
        <v/>
      </c>
      <c r="B46" s="124">
        <f>Checks!$K$552&amp;IF(Checks!$O$552="","",IF(Checks!$K$552="","",CHAR(10))&amp;"Note: "&amp;Checks!$O$552)</f>
        <v/>
      </c>
      <c r="C46" s="124">
        <f>Checks!$N$552&amp;CHAR(10)&amp;IF(ISNUMBER(Checks!$R$552),TEXT(Checks!$R$552,"DD-MMM-YY HH:MM"),"")&amp;" "&amp;Checks!$P$552</f>
        <v/>
      </c>
      <c r="D46" s="124">
        <f>IF(Checks!$U$552="","",Checks!$U$552)&amp;IF(Checks!$AB$552="","",CHAR(10)&amp;"CA: "&amp;Checks!$AB$552)</f>
        <v/>
      </c>
      <c r="E46" s="124">
        <f>IF(Checks!$V$552="","",Checks!$V$552)&amp;IF(Checks!$AC$552="","",IF(Checks!$V$552="","",CHAR(10))&amp;"N/A just.: "&amp;Checks!$AC$552)&amp;IF(Checks!$W$552="","",CHAR(10)&amp;"Batch: "&amp;Checks!$W$552)&amp;IF(AND(Checks!$X$552="",Checks!$Y$552=""),"",CHAR(10)&amp;"Exp: "&amp;Checks!$X$552&amp;"  /  Act: "&amp;Checks!$Y$552)</f>
        <v/>
      </c>
      <c r="F46" s="124">
        <f>IF(Checks!$Z$552="","","Evidence: "&amp;Checks!$Z$552)&amp;IF(Checks!$AA$552="","",IF(Checks!$Z$552="","",CHAR(10))&amp;"CA: "&amp;Checks!$AA$552)</f>
        <v/>
      </c>
      <c r="G46" s="124">
        <f>IF(ISNUMBER(Checks!$AD$552),TEXT(Checks!$AD$552,"DD-MMM-YY HH:MM")&amp;" "&amp;Checks!$P$552,"")&amp;IF(Checks!$AE$552="","",CHAR(10)&amp;Checks!$AE$552)</f>
        <v/>
      </c>
      <c r="H46" s="125">
        <f>IF(Checks!$AH$552="","",Checks!$AH$552)</f>
        <v/>
      </c>
    </row>
    <row r="47" ht="246" customHeight="1">
      <c r="A47" s="124">
        <f>Checks!$A$553&amp;CHAR(10)&amp;IF(Checks!$I$553="","",Checks!$I$553&amp;": ")&amp;Checks!$J$553</f>
        <v/>
      </c>
      <c r="B47" s="124">
        <f>SUBSTITUTE(Checks!$K$553&amp;IF(Checks!$O$553="","",IF(Checks!$K$553="","",CHAR(10))&amp;"Note: "&amp;Checks!$O$553),"F&amp;B LINEN!","Ref: F&amp;B LINEN!")</f>
        <v/>
      </c>
      <c r="C47" s="124">
        <f>Checks!$N$553&amp;CHAR(10)&amp;IF(ISNUMBER(Checks!$R$553),TEXT(Checks!$R$553,"DD-MMM-YY HH:MM"),"")&amp;" "&amp;Checks!$P$553</f>
        <v/>
      </c>
      <c r="D47" s="124">
        <f>IF(Checks!$U$553="","",Checks!$U$553)&amp;IF(Checks!$AB$553="","",CHAR(10)&amp;"CA: "&amp;Checks!$AB$553)</f>
        <v/>
      </c>
      <c r="E47" s="124">
        <f>IF(Checks!$V$553="","",Checks!$V$553)&amp;IF(Checks!$AC$553="","",IF(Checks!$V$553="","",CHAR(10))&amp;"N/A just.: "&amp;Checks!$AC$553)&amp;IF(Checks!$W$553="","",CHAR(10)&amp;"Batch: "&amp;Checks!$W$553)&amp;IF(AND(Checks!$X$553="",Checks!$Y$553=""),"",CHAR(10)&amp;"Exp: "&amp;Checks!$X$553&amp;"  /  Act: "&amp;Checks!$Y$553)</f>
        <v/>
      </c>
      <c r="F47" s="124">
        <f>IF(Checks!$Z$553="","","Evidence: "&amp;Checks!$Z$553)&amp;IF(Checks!$AA$553="","",IF(Checks!$Z$553="","",CHAR(10))&amp;"CA: "&amp;Checks!$AA$553)</f>
        <v/>
      </c>
      <c r="G47" s="124">
        <f>IF(ISNUMBER(Checks!$AD$553),TEXT(Checks!$AD$553,"DD-MMM-YY HH:MM")&amp;" "&amp;Checks!$P$553,"")&amp;IF(Checks!$AE$553="","",CHAR(10)&amp;Checks!$AE$553)</f>
        <v/>
      </c>
      <c r="H47" s="125">
        <f>IF(Checks!$AH$553="","",Checks!$AH$553)</f>
        <v/>
      </c>
    </row>
    <row r="48" ht="246" customHeight="1">
      <c r="A48" s="124">
        <f>Checks!$A$554&amp;CHAR(10)&amp;IF(Checks!$I$554="","",Checks!$I$554&amp;": ")&amp;Checks!$J$554</f>
        <v/>
      </c>
      <c r="B48" s="124">
        <f>SUBSTITUTE(Checks!$K$554&amp;IF(Checks!$O$554="","",IF(Checks!$K$554="","",CHAR(10))&amp;"Note: "&amp;Checks!$O$554),"F&amp;B LINEN!","Ref: F&amp;B LINEN!")</f>
        <v/>
      </c>
      <c r="C48" s="124">
        <f>Checks!$N$554&amp;CHAR(10)&amp;IF(ISNUMBER(Checks!$R$554),TEXT(Checks!$R$554,"DD-MMM-YY HH:MM"),"")&amp;" "&amp;Checks!$P$554</f>
        <v/>
      </c>
      <c r="D48" s="124">
        <f>IF(Checks!$U$554="","",Checks!$U$554)&amp;IF(Checks!$AB$554="","",CHAR(10)&amp;"CA: "&amp;Checks!$AB$554)</f>
        <v/>
      </c>
      <c r="E48" s="124">
        <f>IF(Checks!$V$554="","",Checks!$V$554)&amp;IF(Checks!$AC$554="","",IF(Checks!$V$554="","",CHAR(10))&amp;"N/A just.: "&amp;Checks!$AC$554)&amp;IF(Checks!$W$554="","",CHAR(10)&amp;"Batch: "&amp;Checks!$W$554)&amp;IF(AND(Checks!$X$554="",Checks!$Y$554=""),"",CHAR(10)&amp;"Exp: "&amp;Checks!$X$554&amp;"  /  Act: "&amp;Checks!$Y$554)</f>
        <v/>
      </c>
      <c r="F48" s="124">
        <f>IF(Checks!$Z$554="","","Evidence: "&amp;Checks!$Z$554)&amp;IF(Checks!$AA$554="","",IF(Checks!$Z$554="","",CHAR(10))&amp;"CA: "&amp;Checks!$AA$554)</f>
        <v/>
      </c>
      <c r="G48" s="124">
        <f>IF(ISNUMBER(Checks!$AD$554),TEXT(Checks!$AD$554,"DD-MMM-YY HH:MM")&amp;" "&amp;Checks!$P$554,"")&amp;IF(Checks!$AE$554="","",CHAR(10)&amp;Checks!$AE$554)</f>
        <v/>
      </c>
      <c r="H48" s="125">
        <f>IF(Checks!$AH$554="","",Checks!$AH$554)</f>
        <v/>
      </c>
    </row>
    <row r="49" ht="103" customHeight="1">
      <c r="A49" s="124">
        <f>Checks!$A$555&amp;CHAR(10)&amp;IF(Checks!$I$555="","",Checks!$I$555&amp;": ")&amp;Checks!$J$555</f>
        <v/>
      </c>
      <c r="B49" s="124">
        <f>SUBSTITUTE(Checks!$K$555&amp;IF(Checks!$O$555="","",IF(Checks!$K$555="","",CHAR(10))&amp;"Note: "&amp;Checks!$O$555),"F&amp;B LINEN!","Ref: F&amp;B LINEN!")</f>
        <v/>
      </c>
      <c r="C49" s="124">
        <f>Checks!$N$555&amp;CHAR(10)&amp;IF(ISNUMBER(Checks!$R$555),TEXT(Checks!$R$555,"DD-MMM-YY HH:MM"),"")&amp;" "&amp;Checks!$P$555</f>
        <v/>
      </c>
      <c r="D49" s="124">
        <f>IF(Checks!$U$555="","",Checks!$U$555)&amp;IF(Checks!$AB$555="","",CHAR(10)&amp;"CA: "&amp;Checks!$AB$555)</f>
        <v/>
      </c>
      <c r="E49" s="124">
        <f>IF(Checks!$V$555="","",Checks!$V$555)&amp;IF(Checks!$AC$555="","",IF(Checks!$V$555="","",CHAR(10))&amp;"N/A just.: "&amp;Checks!$AC$555)&amp;IF(Checks!$W$555="","",CHAR(10)&amp;"Batch: "&amp;Checks!$W$555)&amp;IF(AND(Checks!$X$555="",Checks!$Y$555=""),"",CHAR(10)&amp;"Exp: "&amp;Checks!$X$555&amp;"  /  Act: "&amp;Checks!$Y$555)</f>
        <v/>
      </c>
      <c r="F49" s="124">
        <f>IF(Checks!$Z$555="","","Evidence: "&amp;Checks!$Z$555)&amp;IF(Checks!$AA$555="","",IF(Checks!$Z$555="","",CHAR(10))&amp;"CA: "&amp;Checks!$AA$555)</f>
        <v/>
      </c>
      <c r="G49" s="124">
        <f>IF(ISNUMBER(Checks!$AD$555),TEXT(Checks!$AD$555,"DD-MMM-YY HH:MM")&amp;" "&amp;Checks!$P$555,"")&amp;IF(Checks!$AE$555="","",CHAR(10)&amp;Checks!$AE$555)</f>
        <v/>
      </c>
      <c r="H49" s="125">
        <f>IF(Checks!$AH$555="","",Checks!$AH$555)</f>
        <v/>
      </c>
    </row>
    <row r="50" ht="92" customHeight="1">
      <c r="A50" s="124">
        <f>Checks!$A$556&amp;CHAR(10)&amp;IF(Checks!$I$556="","",Checks!$I$556&amp;": ")&amp;Checks!$J$556</f>
        <v/>
      </c>
      <c r="B50" s="124">
        <f>Checks!$K$556&amp;IF(Checks!$O$556="","",IF(Checks!$K$556="","",CHAR(10))&amp;"Note: "&amp;Checks!$O$556)</f>
        <v/>
      </c>
      <c r="C50" s="124">
        <f>Checks!$N$556&amp;CHAR(10)&amp;IF(ISNUMBER(Checks!$R$556),TEXT(Checks!$R$556,"DD-MMM-YY HH:MM"),"")&amp;" "&amp;Checks!$P$556</f>
        <v/>
      </c>
      <c r="D50" s="124">
        <f>IF(Checks!$U$556="","",Checks!$U$556)&amp;IF(Checks!$AB$556="","",CHAR(10)&amp;"CA: "&amp;Checks!$AB$556)</f>
        <v/>
      </c>
      <c r="E50" s="124">
        <f>IF(Checks!$V$556="","",Checks!$V$556)&amp;IF(Checks!$AC$556="","",IF(Checks!$V$556="","",CHAR(10))&amp;"N/A just.: "&amp;Checks!$AC$556)&amp;IF(Checks!$W$556="","",CHAR(10)&amp;"Batch: "&amp;Checks!$W$556)&amp;IF(AND(Checks!$X$556="",Checks!$Y$556=""),"",CHAR(10)&amp;"Exp: "&amp;Checks!$X$556&amp;"  /  Act: "&amp;Checks!$Y$556)</f>
        <v/>
      </c>
      <c r="F50" s="124">
        <f>IF(Checks!$Z$556="","","Evidence: "&amp;Checks!$Z$556)&amp;IF(Checks!$AA$556="","",IF(Checks!$Z$556="","",CHAR(10))&amp;"CA: "&amp;Checks!$AA$556)</f>
        <v/>
      </c>
      <c r="G50" s="124">
        <f>IF(ISNUMBER(Checks!$AD$556),TEXT(Checks!$AD$556,"DD-MMM-YY HH:MM")&amp;" "&amp;Checks!$P$556,"")&amp;IF(Checks!$AE$556="","",CHAR(10)&amp;Checks!$AE$556)</f>
        <v/>
      </c>
      <c r="H50" s="125">
        <f>IF(Checks!$AH$556="","",Checks!$AH$556)</f>
        <v/>
      </c>
    </row>
    <row r="51" ht="92" customHeight="1">
      <c r="A51" s="124">
        <f>Checks!$A$557&amp;CHAR(10)&amp;IF(Checks!$I$557="","",Checks!$I$557&amp;": ")&amp;Checks!$J$557</f>
        <v/>
      </c>
      <c r="B51" s="124">
        <f>Checks!$K$557&amp;IF(Checks!$O$557="","",IF(Checks!$K$557="","",CHAR(10))&amp;"Note: "&amp;Checks!$O$557)</f>
        <v/>
      </c>
      <c r="C51" s="124">
        <f>Checks!$N$557&amp;CHAR(10)&amp;IF(ISNUMBER(Checks!$R$557),TEXT(Checks!$R$557,"DD-MMM-YY HH:MM"),"")&amp;" "&amp;Checks!$P$557</f>
        <v/>
      </c>
      <c r="D51" s="124">
        <f>IF(Checks!$U$557="","",Checks!$U$557)&amp;IF(Checks!$AB$557="","",CHAR(10)&amp;"CA: "&amp;Checks!$AB$557)</f>
        <v/>
      </c>
      <c r="E51" s="124">
        <f>IF(Checks!$V$557="","",Checks!$V$557)&amp;IF(Checks!$AC$557="","",IF(Checks!$V$557="","",CHAR(10))&amp;"N/A just.: "&amp;Checks!$AC$557)&amp;IF(Checks!$W$557="","",CHAR(10)&amp;"Batch: "&amp;Checks!$W$557)&amp;IF(AND(Checks!$X$557="",Checks!$Y$557=""),"",CHAR(10)&amp;"Exp: "&amp;Checks!$X$557&amp;"  /  Act: "&amp;Checks!$Y$557)</f>
        <v/>
      </c>
      <c r="F51" s="124">
        <f>IF(Checks!$Z$557="","","Evidence: "&amp;Checks!$Z$557)&amp;IF(Checks!$AA$557="","",IF(Checks!$Z$557="","",CHAR(10))&amp;"CA: "&amp;Checks!$AA$557)</f>
        <v/>
      </c>
      <c r="G51" s="124">
        <f>IF(ISNUMBER(Checks!$AD$557),TEXT(Checks!$AD$557,"DD-MMM-YY HH:MM")&amp;" "&amp;Checks!$P$557,"")&amp;IF(Checks!$AE$557="","",CHAR(10)&amp;Checks!$AE$557)</f>
        <v/>
      </c>
      <c r="H51" s="125">
        <f>IF(Checks!$AH$557="","",Checks!$AH$557)</f>
        <v/>
      </c>
    </row>
    <row r="52" ht="92" customHeight="1">
      <c r="A52" s="124">
        <f>Checks!$A$558&amp;CHAR(10)&amp;IF(Checks!$I$558="","",Checks!$I$558&amp;": ")&amp;Checks!$J$558</f>
        <v/>
      </c>
      <c r="B52" s="124">
        <f>Checks!$K$558&amp;IF(Checks!$O$558="","",IF(Checks!$K$558="","",CHAR(10))&amp;"Note: "&amp;Checks!$O$558)</f>
        <v/>
      </c>
      <c r="C52" s="124">
        <f>Checks!$N$558&amp;CHAR(10)&amp;IF(ISNUMBER(Checks!$R$558),TEXT(Checks!$R$558,"DD-MMM-YY HH:MM"),"")&amp;" "&amp;Checks!$P$558</f>
        <v/>
      </c>
      <c r="D52" s="124">
        <f>IF(Checks!$U$558="","",Checks!$U$558)&amp;IF(Checks!$AB$558="","",CHAR(10)&amp;"CA: "&amp;Checks!$AB$558)</f>
        <v/>
      </c>
      <c r="E52" s="124">
        <f>IF(Checks!$V$558="","",Checks!$V$558)&amp;IF(Checks!$AC$558="","",IF(Checks!$V$558="","",CHAR(10))&amp;"N/A just.: "&amp;Checks!$AC$558)&amp;IF(Checks!$W$558="","",CHAR(10)&amp;"Batch: "&amp;Checks!$W$558)&amp;IF(AND(Checks!$X$558="",Checks!$Y$558=""),"",CHAR(10)&amp;"Exp: "&amp;Checks!$X$558&amp;"  /  Act: "&amp;Checks!$Y$558)</f>
        <v/>
      </c>
      <c r="F52" s="124">
        <f>IF(Checks!$Z$558="","","Evidence: "&amp;Checks!$Z$558)&amp;IF(Checks!$AA$558="","",IF(Checks!$Z$558="","",CHAR(10))&amp;"CA: "&amp;Checks!$AA$558)</f>
        <v/>
      </c>
      <c r="G52" s="124">
        <f>IF(ISNUMBER(Checks!$AD$558),TEXT(Checks!$AD$558,"DD-MMM-YY HH:MM")&amp;" "&amp;Checks!$P$558,"")&amp;IF(Checks!$AE$558="","",CHAR(10)&amp;Checks!$AE$558)</f>
        <v/>
      </c>
      <c r="H52" s="125">
        <f>IF(Checks!$AH$558="","",Checks!$AH$558)</f>
        <v/>
      </c>
    </row>
    <row r="53" ht="202" customHeight="1">
      <c r="A53" s="124">
        <f>Checks!$A$559&amp;CHAR(10)&amp;IF(Checks!$I$559="","",Checks!$I$559&amp;": ")&amp;Checks!$J$559</f>
        <v/>
      </c>
      <c r="B53" s="124">
        <f>SUBSTITUTE(Checks!$K$559&amp;IF(Checks!$O$559="","",IF(Checks!$K$559="","",CHAR(10))&amp;"Note: "&amp;Checks!$O$559),"SALES CART!","Ref: SALES CART!")</f>
        <v/>
      </c>
      <c r="C53" s="124">
        <f>Checks!$N$559&amp;CHAR(10)&amp;IF(ISNUMBER(Checks!$R$559),TEXT(Checks!$R$559,"DD-MMM-YY HH:MM"),"")&amp;" "&amp;Checks!$P$559</f>
        <v/>
      </c>
      <c r="D53" s="124">
        <f>IF(Checks!$U$559="","",Checks!$U$559)&amp;IF(Checks!$AB$559="","",CHAR(10)&amp;"CA: "&amp;Checks!$AB$559)</f>
        <v/>
      </c>
      <c r="E53" s="124">
        <f>IF(Checks!$V$559="","",Checks!$V$559)&amp;IF(Checks!$AC$559="","",IF(Checks!$V$559="","",CHAR(10))&amp;"N/A just.: "&amp;Checks!$AC$559)&amp;IF(Checks!$W$559="","",CHAR(10)&amp;"Batch: "&amp;Checks!$W$559)&amp;IF(AND(Checks!$X$559="",Checks!$Y$559=""),"",CHAR(10)&amp;"Exp: "&amp;Checks!$X$559&amp;"  /  Act: "&amp;Checks!$Y$559)</f>
        <v/>
      </c>
      <c r="F53" s="124">
        <f>IF(Checks!$Z$559="","","Evidence: "&amp;Checks!$Z$559)&amp;IF(Checks!$AA$559="","",IF(Checks!$Z$559="","",CHAR(10))&amp;"CA: "&amp;Checks!$AA$559)</f>
        <v/>
      </c>
      <c r="G53" s="124">
        <f>IF(ISNUMBER(Checks!$AD$559),TEXT(Checks!$AD$559,"DD-MMM-YY HH:MM")&amp;" "&amp;Checks!$P$559,"")&amp;IF(Checks!$AE$559="","",CHAR(10)&amp;Checks!$AE$559)</f>
        <v/>
      </c>
      <c r="H53" s="125">
        <f>IF(Checks!$AH$559="","",Checks!$AH$559)</f>
        <v/>
      </c>
    </row>
    <row r="54" ht="26" customHeight="1">
      <c r="A54" s="123">
        <f>"UPLIFT — Physical uplift – on-board confirmation before departure  |  Due "&amp;"STD "&amp;IF(ISNUMBER(Flights!$I$21),TEXT(Flights!$I$21,"DD-MMM-YY HH:MM"),"")&amp;" "&amp;Flights!$G$21&amp;" (departure stn)"&amp;" (rows with another due show their own)  |  Complete "&amp;IF(ISNUMBER(Flights!$AM$21),TEXT(Flights!$AM$21,"0%"),Flights!$AM$21)&amp;"  |  14 lines"</f>
        <v/>
      </c>
      <c r="B54" s="97" t="n"/>
      <c r="C54" s="97" t="n"/>
      <c r="D54" s="97" t="n"/>
      <c r="E54" s="97" t="n"/>
      <c r="F54" s="97" t="n"/>
      <c r="G54" s="97" t="n"/>
      <c r="H54" s="98" t="n"/>
    </row>
    <row r="55" ht="81" customHeight="1">
      <c r="A55" s="124">
        <f>Checks!$A$560&amp;CHAR(10)&amp;IF(Checks!$I$560="","",Checks!$I$560&amp;": ")&amp;Checks!$J$560</f>
        <v/>
      </c>
      <c r="B55" s="124">
        <f>Checks!$K$560&amp;IF(Checks!$O$560="","",IF(Checks!$K$560="","",CHAR(10))&amp;"Note: "&amp;Checks!$O$560)</f>
        <v/>
      </c>
      <c r="C55" s="124">
        <f>Checks!$N$560&amp;CHAR(10)&amp;IF(ISNUMBER(Checks!$R$560),TEXT(Checks!$R$560,"DD-MMM-YY HH:MM"),"")&amp;" "&amp;Checks!$P$560</f>
        <v/>
      </c>
      <c r="D55" s="124">
        <f>IF(Checks!$U$560="","",Checks!$U$560)&amp;IF(Checks!$AB$560="","",CHAR(10)&amp;"CA: "&amp;Checks!$AB$560)</f>
        <v/>
      </c>
      <c r="E55" s="124">
        <f>IF(Checks!$V$560="","",Checks!$V$560)&amp;IF(Checks!$AC$560="","",IF(Checks!$V$560="","",CHAR(10))&amp;"N/A just.: "&amp;Checks!$AC$560)&amp;IF(Checks!$W$560="","",CHAR(10)&amp;"Batch: "&amp;Checks!$W$560)&amp;IF(AND(Checks!$X$560="",Checks!$Y$560=""),"",CHAR(10)&amp;"Exp: "&amp;Checks!$X$560&amp;"  /  Act: "&amp;Checks!$Y$560)</f>
        <v/>
      </c>
      <c r="F55" s="124">
        <f>IF(Checks!$Z$560="","","Evidence: "&amp;Checks!$Z$560)&amp;IF(Checks!$AA$560="","",IF(Checks!$Z$560="","",CHAR(10))&amp;"CA: "&amp;Checks!$AA$560)</f>
        <v/>
      </c>
      <c r="G55" s="124">
        <f>IF(ISNUMBER(Checks!$AD$560),TEXT(Checks!$AD$560,"DD-MMM-YY HH:MM")&amp;" "&amp;Checks!$P$560,"")&amp;IF(Checks!$AE$560="","",CHAR(10)&amp;Checks!$AE$560)</f>
        <v/>
      </c>
      <c r="H55" s="125">
        <f>IF(Checks!$AH$560="","",Checks!$AH$560)</f>
        <v/>
      </c>
    </row>
    <row r="56" ht="81" customHeight="1">
      <c r="A56" s="124">
        <f>Checks!$A$561&amp;CHAR(10)&amp;IF(Checks!$I$561="","",Checks!$I$561&amp;": ")&amp;Checks!$J$561</f>
        <v/>
      </c>
      <c r="B56" s="124">
        <f>Checks!$K$561&amp;IF(Checks!$O$561="","",IF(Checks!$K$561="","",CHAR(10))&amp;"Note: "&amp;Checks!$O$561)</f>
        <v/>
      </c>
      <c r="C56" s="124">
        <f>Checks!$N$561&amp;CHAR(10)&amp;IF(ISNUMBER(Checks!$R$561),TEXT(Checks!$R$561,"DD-MMM-YY HH:MM"),"")&amp;" "&amp;Checks!$P$561</f>
        <v/>
      </c>
      <c r="D56" s="124">
        <f>IF(Checks!$U$561="","",Checks!$U$561)&amp;IF(Checks!$AB$561="","",CHAR(10)&amp;"CA: "&amp;Checks!$AB$561)</f>
        <v/>
      </c>
      <c r="E56" s="124">
        <f>IF(Checks!$V$561="","",Checks!$V$561)&amp;IF(Checks!$AC$561="","",IF(Checks!$V$561="","",CHAR(10))&amp;"N/A just.: "&amp;Checks!$AC$561)&amp;IF(Checks!$W$561="","",CHAR(10)&amp;"Batch: "&amp;Checks!$W$561)&amp;IF(AND(Checks!$X$561="",Checks!$Y$561=""),"",CHAR(10)&amp;"Exp: "&amp;Checks!$X$561&amp;"  /  Act: "&amp;Checks!$Y$561)</f>
        <v/>
      </c>
      <c r="F56" s="124">
        <f>IF(Checks!$Z$561="","","Evidence: "&amp;Checks!$Z$561)&amp;IF(Checks!$AA$561="","",IF(Checks!$Z$561="","",CHAR(10))&amp;"CA: "&amp;Checks!$AA$561)</f>
        <v/>
      </c>
      <c r="G56" s="124">
        <f>IF(ISNUMBER(Checks!$AD$561),TEXT(Checks!$AD$561,"DD-MMM-YY HH:MM")&amp;" "&amp;Checks!$P$561,"")&amp;IF(Checks!$AE$561="","",CHAR(10)&amp;Checks!$AE$561)</f>
        <v/>
      </c>
      <c r="H56" s="125">
        <f>IF(Checks!$AH$561="","",Checks!$AH$561)</f>
        <v/>
      </c>
    </row>
    <row r="57" ht="103" customHeight="1">
      <c r="A57" s="124">
        <f>Checks!$A$562&amp;CHAR(10)&amp;IF(Checks!$I$562="","",Checks!$I$562&amp;": ")&amp;Checks!$J$562</f>
        <v/>
      </c>
      <c r="B57" s="124">
        <f>Checks!$K$562&amp;IF(Checks!$O$562="","",IF(Checks!$K$562="","",CHAR(10))&amp;"Note: "&amp;Checks!$O$562)</f>
        <v/>
      </c>
      <c r="C57" s="124">
        <f>Checks!$N$562&amp;CHAR(10)&amp;IF(ISNUMBER(Checks!$R$562),TEXT(Checks!$R$562,"DD-MMM-YY HH:MM"),"")&amp;" "&amp;Checks!$P$562</f>
        <v/>
      </c>
      <c r="D57" s="124">
        <f>IF(Checks!$U$562="","",Checks!$U$562)&amp;IF(Checks!$AB$562="","",CHAR(10)&amp;"CA: "&amp;Checks!$AB$562)</f>
        <v/>
      </c>
      <c r="E57" s="124">
        <f>IF(Checks!$V$562="","",Checks!$V$562)&amp;IF(Checks!$AC$562="","",IF(Checks!$V$562="","",CHAR(10))&amp;"N/A just.: "&amp;Checks!$AC$562)&amp;IF(Checks!$W$562="","",CHAR(10)&amp;"Batch: "&amp;Checks!$W$562)&amp;IF(AND(Checks!$X$562="",Checks!$Y$562=""),"",CHAR(10)&amp;"Exp: "&amp;Checks!$X$562&amp;"  /  Act: "&amp;Checks!$Y$562)</f>
        <v/>
      </c>
      <c r="F57" s="124">
        <f>IF(Checks!$Z$562="","","Evidence: "&amp;Checks!$Z$562)&amp;IF(Checks!$AA$562="","",IF(Checks!$Z$562="","",CHAR(10))&amp;"CA: "&amp;Checks!$AA$562)</f>
        <v/>
      </c>
      <c r="G57" s="124">
        <f>IF(ISNUMBER(Checks!$AD$562),TEXT(Checks!$AD$562,"DD-MMM-YY HH:MM")&amp;" "&amp;Checks!$P$562,"")&amp;IF(Checks!$AE$562="","",CHAR(10)&amp;Checks!$AE$562)</f>
        <v/>
      </c>
      <c r="H57" s="125">
        <f>IF(Checks!$AH$562="","",Checks!$AH$562)</f>
        <v/>
      </c>
    </row>
    <row r="58" ht="81" customHeight="1">
      <c r="A58" s="124">
        <f>Checks!$A$563&amp;CHAR(10)&amp;IF(Checks!$I$563="","",Checks!$I$563&amp;": ")&amp;Checks!$J$563</f>
        <v/>
      </c>
      <c r="B58" s="124">
        <f>Checks!$K$563&amp;IF(Checks!$O$563="","",IF(Checks!$K$563="","",CHAR(10))&amp;"Note: "&amp;Checks!$O$563)</f>
        <v/>
      </c>
      <c r="C58" s="124">
        <f>Checks!$N$563&amp;CHAR(10)&amp;IF(ISNUMBER(Checks!$R$563),TEXT(Checks!$R$563,"DD-MMM-YY HH:MM"),"")&amp;" "&amp;Checks!$P$563</f>
        <v/>
      </c>
      <c r="D58" s="124">
        <f>IF(Checks!$U$563="","",Checks!$U$563)&amp;IF(Checks!$AB$563="","",CHAR(10)&amp;"CA: "&amp;Checks!$AB$563)</f>
        <v/>
      </c>
      <c r="E58" s="124">
        <f>IF(Checks!$V$563="","",Checks!$V$563)&amp;IF(Checks!$AC$563="","",IF(Checks!$V$563="","",CHAR(10))&amp;"N/A just.: "&amp;Checks!$AC$563)&amp;IF(Checks!$W$563="","",CHAR(10)&amp;"Batch: "&amp;Checks!$W$563)&amp;IF(AND(Checks!$X$563="",Checks!$Y$563=""),"",CHAR(10)&amp;"Exp: "&amp;Checks!$X$563&amp;"  /  Act: "&amp;Checks!$Y$563)</f>
        <v/>
      </c>
      <c r="F58" s="124">
        <f>IF(Checks!$Z$563="","","Evidence: "&amp;Checks!$Z$563)&amp;IF(Checks!$AA$563="","",IF(Checks!$Z$563="","",CHAR(10))&amp;"CA: "&amp;Checks!$AA$563)</f>
        <v/>
      </c>
      <c r="G58" s="124">
        <f>IF(ISNUMBER(Checks!$AD$563),TEXT(Checks!$AD$563,"DD-MMM-YY HH:MM")&amp;" "&amp;Checks!$P$563,"")&amp;IF(Checks!$AE$563="","",CHAR(10)&amp;Checks!$AE$563)</f>
        <v/>
      </c>
      <c r="H58" s="125">
        <f>IF(Checks!$AH$563="","",Checks!$AH$563)</f>
        <v/>
      </c>
    </row>
    <row r="59" ht="81" customHeight="1">
      <c r="A59" s="124">
        <f>Checks!$A$564&amp;CHAR(10)&amp;IF(Checks!$I$564="","",Checks!$I$564&amp;": ")&amp;Checks!$J$564</f>
        <v/>
      </c>
      <c r="B59" s="124">
        <f>Checks!$K$564&amp;IF(Checks!$O$564="","",IF(Checks!$K$564="","",CHAR(10))&amp;"Note: "&amp;Checks!$O$564)</f>
        <v/>
      </c>
      <c r="C59" s="124">
        <f>Checks!$N$564&amp;CHAR(10)&amp;IF(ISNUMBER(Checks!$R$564),TEXT(Checks!$R$564,"DD-MMM-YY HH:MM"),"")&amp;" "&amp;Checks!$P$564</f>
        <v/>
      </c>
      <c r="D59" s="124">
        <f>IF(Checks!$U$564="","",Checks!$U$564)&amp;IF(Checks!$AB$564="","",CHAR(10)&amp;"CA: "&amp;Checks!$AB$564)</f>
        <v/>
      </c>
      <c r="E59" s="124">
        <f>IF(Checks!$V$564="","",Checks!$V$564)&amp;IF(Checks!$AC$564="","",IF(Checks!$V$564="","",CHAR(10))&amp;"N/A just.: "&amp;Checks!$AC$564)&amp;IF(Checks!$W$564="","",CHAR(10)&amp;"Batch: "&amp;Checks!$W$564)&amp;IF(AND(Checks!$X$564="",Checks!$Y$564=""),"",CHAR(10)&amp;"Exp: "&amp;Checks!$X$564&amp;"  /  Act: "&amp;Checks!$Y$564)</f>
        <v/>
      </c>
      <c r="F59" s="124">
        <f>IF(Checks!$Z$564="","","Evidence: "&amp;Checks!$Z$564)&amp;IF(Checks!$AA$564="","",IF(Checks!$Z$564="","",CHAR(10))&amp;"CA: "&amp;Checks!$AA$564)</f>
        <v/>
      </c>
      <c r="G59" s="124">
        <f>IF(ISNUMBER(Checks!$AD$564),TEXT(Checks!$AD$564,"DD-MMM-YY HH:MM")&amp;" "&amp;Checks!$P$564,"")&amp;IF(Checks!$AE$564="","",CHAR(10)&amp;Checks!$AE$564)</f>
        <v/>
      </c>
      <c r="H59" s="125">
        <f>IF(Checks!$AH$564="","",Checks!$AH$564)</f>
        <v/>
      </c>
    </row>
    <row r="60" ht="81" customHeight="1">
      <c r="A60" s="124">
        <f>Checks!$A$565&amp;CHAR(10)&amp;IF(Checks!$I$565="","",Checks!$I$565&amp;": ")&amp;Checks!$J$565</f>
        <v/>
      </c>
      <c r="B60" s="124">
        <f>Checks!$K$565&amp;IF(Checks!$O$565="","",IF(Checks!$K$565="","",CHAR(10))&amp;"Note: "&amp;Checks!$O$565)</f>
        <v/>
      </c>
      <c r="C60" s="124">
        <f>Checks!$N$565&amp;CHAR(10)&amp;IF(ISNUMBER(Checks!$R$565),TEXT(Checks!$R$565,"DD-MMM-YY HH:MM"),"")&amp;" "&amp;Checks!$P$565</f>
        <v/>
      </c>
      <c r="D60" s="124">
        <f>IF(Checks!$U$565="","",Checks!$U$565)&amp;IF(Checks!$AB$565="","",CHAR(10)&amp;"CA: "&amp;Checks!$AB$565)</f>
        <v/>
      </c>
      <c r="E60" s="124">
        <f>IF(Checks!$V$565="","",Checks!$V$565)&amp;IF(Checks!$AC$565="","",IF(Checks!$V$565="","",CHAR(10))&amp;"N/A just.: "&amp;Checks!$AC$565)&amp;IF(Checks!$W$565="","",CHAR(10)&amp;"Batch: "&amp;Checks!$W$565)&amp;IF(AND(Checks!$X$565="",Checks!$Y$565=""),"",CHAR(10)&amp;"Exp: "&amp;Checks!$X$565&amp;"  /  Act: "&amp;Checks!$Y$565)</f>
        <v/>
      </c>
      <c r="F60" s="124">
        <f>IF(Checks!$Z$565="","","Evidence: "&amp;Checks!$Z$565)&amp;IF(Checks!$AA$565="","",IF(Checks!$Z$565="","",CHAR(10))&amp;"CA: "&amp;Checks!$AA$565)</f>
        <v/>
      </c>
      <c r="G60" s="124">
        <f>IF(ISNUMBER(Checks!$AD$565),TEXT(Checks!$AD$565,"DD-MMM-YY HH:MM")&amp;" "&amp;Checks!$P$565,"")&amp;IF(Checks!$AE$565="","",CHAR(10)&amp;Checks!$AE$565)</f>
        <v/>
      </c>
      <c r="H60" s="125">
        <f>IF(Checks!$AH$565="","",Checks!$AH$565)</f>
        <v/>
      </c>
    </row>
    <row r="61" ht="81" customHeight="1">
      <c r="A61" s="124">
        <f>Checks!$A$566&amp;CHAR(10)&amp;IF(Checks!$I$566="","",Checks!$I$566&amp;": ")&amp;Checks!$J$566</f>
        <v/>
      </c>
      <c r="B61" s="124">
        <f>Checks!$K$566&amp;IF(Checks!$O$566="","",IF(Checks!$K$566="","",CHAR(10))&amp;"Note: "&amp;Checks!$O$566)</f>
        <v/>
      </c>
      <c r="C61" s="124">
        <f>Checks!$N$566&amp;CHAR(10)&amp;IF(ISNUMBER(Checks!$R$566),TEXT(Checks!$R$566,"DD-MMM-YY HH:MM"),"")&amp;" "&amp;Checks!$P$566</f>
        <v/>
      </c>
      <c r="D61" s="124">
        <f>IF(Checks!$U$566="","",Checks!$U$566)&amp;IF(Checks!$AB$566="","",CHAR(10)&amp;"CA: "&amp;Checks!$AB$566)</f>
        <v/>
      </c>
      <c r="E61" s="124">
        <f>IF(Checks!$V$566="","",Checks!$V$566)&amp;IF(Checks!$AC$566="","",IF(Checks!$V$566="","",CHAR(10))&amp;"N/A just.: "&amp;Checks!$AC$566)&amp;IF(Checks!$W$566="","",CHAR(10)&amp;"Batch: "&amp;Checks!$W$566)&amp;IF(AND(Checks!$X$566="",Checks!$Y$566=""),"",CHAR(10)&amp;"Exp: "&amp;Checks!$X$566&amp;"  /  Act: "&amp;Checks!$Y$566)</f>
        <v/>
      </c>
      <c r="F61" s="124">
        <f>IF(Checks!$Z$566="","","Evidence: "&amp;Checks!$Z$566)&amp;IF(Checks!$AA$566="","",IF(Checks!$Z$566="","",CHAR(10))&amp;"CA: "&amp;Checks!$AA$566)</f>
        <v/>
      </c>
      <c r="G61" s="124">
        <f>IF(ISNUMBER(Checks!$AD$566),TEXT(Checks!$AD$566,"DD-MMM-YY HH:MM")&amp;" "&amp;Checks!$P$566,"")&amp;IF(Checks!$AE$566="","",CHAR(10)&amp;Checks!$AE$566)</f>
        <v/>
      </c>
      <c r="H61" s="125">
        <f>IF(Checks!$AH$566="","",Checks!$AH$566)</f>
        <v/>
      </c>
    </row>
    <row r="62" ht="180" customHeight="1">
      <c r="A62" s="124">
        <f>Checks!$A$567&amp;CHAR(10)&amp;IF(Checks!$I$567="","",Checks!$I$567&amp;": ")&amp;Checks!$J$567</f>
        <v/>
      </c>
      <c r="B62" s="124">
        <f>SUBSTITUTE(Checks!$K$567&amp;IF(Checks!$O$567="","",IF(Checks!$K$567="","",CHAR(10))&amp;"Note: "&amp;Checks!$O$567),"F&amp;B LINEN!","Ref: F&amp;B LINEN!")</f>
        <v/>
      </c>
      <c r="C62" s="124">
        <f>Checks!$N$567&amp;CHAR(10)&amp;IF(ISNUMBER(Checks!$R$567),TEXT(Checks!$R$567,"DD-MMM-YY HH:MM"),"")&amp;" "&amp;Checks!$P$567</f>
        <v/>
      </c>
      <c r="D62" s="124">
        <f>IF(Checks!$U$567="","",Checks!$U$567)&amp;IF(Checks!$AB$567="","",CHAR(10)&amp;"CA: "&amp;Checks!$AB$567)</f>
        <v/>
      </c>
      <c r="E62" s="124">
        <f>IF(Checks!$V$567="","",Checks!$V$567)&amp;IF(Checks!$AC$567="","",IF(Checks!$V$567="","",CHAR(10))&amp;"N/A just.: "&amp;Checks!$AC$567)&amp;IF(Checks!$W$567="","",CHAR(10)&amp;"Batch: "&amp;Checks!$W$567)&amp;IF(AND(Checks!$X$567="",Checks!$Y$567=""),"",CHAR(10)&amp;"Exp: "&amp;Checks!$X$567&amp;"  /  Act: "&amp;Checks!$Y$567)</f>
        <v/>
      </c>
      <c r="F62" s="124">
        <f>IF(Checks!$Z$567="","","Evidence: "&amp;Checks!$Z$567)&amp;IF(Checks!$AA$567="","",IF(Checks!$Z$567="","",CHAR(10))&amp;"CA: "&amp;Checks!$AA$567)</f>
        <v/>
      </c>
      <c r="G62" s="124">
        <f>IF(ISNUMBER(Checks!$AD$567),TEXT(Checks!$AD$567,"DD-MMM-YY HH:MM")&amp;" "&amp;Checks!$P$567,"")&amp;IF(Checks!$AE$567="","",CHAR(10)&amp;Checks!$AE$567)</f>
        <v/>
      </c>
      <c r="H62" s="125">
        <f>IF(Checks!$AH$567="","",Checks!$AH$567)</f>
        <v/>
      </c>
    </row>
    <row r="63" ht="180" customHeight="1">
      <c r="A63" s="124">
        <f>Checks!$A$568&amp;CHAR(10)&amp;IF(Checks!$I$568="","",Checks!$I$568&amp;": ")&amp;Checks!$J$568</f>
        <v/>
      </c>
      <c r="B63" s="124">
        <f>SUBSTITUTE(Checks!$K$568&amp;IF(Checks!$O$568="","",IF(Checks!$K$568="","",CHAR(10))&amp;"Note: "&amp;Checks!$O$568),"F&amp;B LINEN!","Ref: F&amp;B LINEN!")</f>
        <v/>
      </c>
      <c r="C63" s="124">
        <f>Checks!$N$568&amp;CHAR(10)&amp;IF(ISNUMBER(Checks!$R$568),TEXT(Checks!$R$568,"DD-MMM-YY HH:MM"),"")&amp;" "&amp;Checks!$P$568</f>
        <v/>
      </c>
      <c r="D63" s="124">
        <f>IF(Checks!$U$568="","",Checks!$U$568)&amp;IF(Checks!$AB$568="","",CHAR(10)&amp;"CA: "&amp;Checks!$AB$568)</f>
        <v/>
      </c>
      <c r="E63" s="124">
        <f>IF(Checks!$V$568="","",Checks!$V$568)&amp;IF(Checks!$AC$568="","",IF(Checks!$V$568="","",CHAR(10))&amp;"N/A just.: "&amp;Checks!$AC$568)&amp;IF(Checks!$W$568="","",CHAR(10)&amp;"Batch: "&amp;Checks!$W$568)&amp;IF(AND(Checks!$X$568="",Checks!$Y$568=""),"",CHAR(10)&amp;"Exp: "&amp;Checks!$X$568&amp;"  /  Act: "&amp;Checks!$Y$568)</f>
        <v/>
      </c>
      <c r="F63" s="124">
        <f>IF(Checks!$Z$568="","","Evidence: "&amp;Checks!$Z$568)&amp;IF(Checks!$AA$568="","",IF(Checks!$Z$568="","",CHAR(10))&amp;"CA: "&amp;Checks!$AA$568)</f>
        <v/>
      </c>
      <c r="G63" s="124">
        <f>IF(ISNUMBER(Checks!$AD$568),TEXT(Checks!$AD$568,"DD-MMM-YY HH:MM")&amp;" "&amp;Checks!$P$568,"")&amp;IF(Checks!$AE$568="","",CHAR(10)&amp;Checks!$AE$568)</f>
        <v/>
      </c>
      <c r="H63" s="125">
        <f>IF(Checks!$AH$568="","",Checks!$AH$568)</f>
        <v/>
      </c>
    </row>
    <row r="64" ht="81" customHeight="1">
      <c r="A64" s="124">
        <f>Checks!$A$569&amp;CHAR(10)&amp;IF(Checks!$I$569="","",Checks!$I$569&amp;": ")&amp;Checks!$J$569</f>
        <v/>
      </c>
      <c r="B64" s="124">
        <f>SUBSTITUTE(Checks!$K$569&amp;IF(Checks!$O$569="","",IF(Checks!$K$569="","",CHAR(10))&amp;"Note: "&amp;Checks!$O$569),"F&amp;B LINEN!","Ref: F&amp;B LINEN!")</f>
        <v/>
      </c>
      <c r="C64" s="124">
        <f>Checks!$N$569&amp;CHAR(10)&amp;IF(ISNUMBER(Checks!$R$569),TEXT(Checks!$R$569,"DD-MMM-YY HH:MM"),"")&amp;" "&amp;Checks!$P$569</f>
        <v/>
      </c>
      <c r="D64" s="124">
        <f>IF(Checks!$U$569="","",Checks!$U$569)&amp;IF(Checks!$AB$569="","",CHAR(10)&amp;"CA: "&amp;Checks!$AB$569)</f>
        <v/>
      </c>
      <c r="E64" s="124">
        <f>IF(Checks!$V$569="","",Checks!$V$569)&amp;IF(Checks!$AC$569="","",IF(Checks!$V$569="","",CHAR(10))&amp;"N/A just.: "&amp;Checks!$AC$569)&amp;IF(Checks!$W$569="","",CHAR(10)&amp;"Batch: "&amp;Checks!$W$569)&amp;IF(AND(Checks!$X$569="",Checks!$Y$569=""),"",CHAR(10)&amp;"Exp: "&amp;Checks!$X$569&amp;"  /  Act: "&amp;Checks!$Y$569)</f>
        <v/>
      </c>
      <c r="F64" s="124">
        <f>IF(Checks!$Z$569="","","Evidence: "&amp;Checks!$Z$569)&amp;IF(Checks!$AA$569="","",IF(Checks!$Z$569="","",CHAR(10))&amp;"CA: "&amp;Checks!$AA$569)</f>
        <v/>
      </c>
      <c r="G64" s="124">
        <f>IF(ISNUMBER(Checks!$AD$569),TEXT(Checks!$AD$569,"DD-MMM-YY HH:MM")&amp;" "&amp;Checks!$P$569,"")&amp;IF(Checks!$AE$569="","",CHAR(10)&amp;Checks!$AE$569)</f>
        <v/>
      </c>
      <c r="H64" s="125">
        <f>IF(Checks!$AH$569="","",Checks!$AH$569)</f>
        <v/>
      </c>
    </row>
    <row r="65" ht="81" customHeight="1">
      <c r="A65" s="124">
        <f>Checks!$A$570&amp;CHAR(10)&amp;IF(Checks!$I$570="","",Checks!$I$570&amp;": ")&amp;Checks!$J$570</f>
        <v/>
      </c>
      <c r="B65" s="124">
        <f>Checks!$K$570&amp;IF(Checks!$O$570="","",IF(Checks!$K$570="","",CHAR(10))&amp;"Note: "&amp;Checks!$O$570)</f>
        <v/>
      </c>
      <c r="C65" s="124">
        <f>Checks!$N$570&amp;CHAR(10)&amp;IF(ISNUMBER(Checks!$R$570),TEXT(Checks!$R$570,"DD-MMM-YY HH:MM"),"")&amp;" "&amp;Checks!$P$570</f>
        <v/>
      </c>
      <c r="D65" s="124">
        <f>IF(Checks!$U$570="","",Checks!$U$570)&amp;IF(Checks!$AB$570="","",CHAR(10)&amp;"CA: "&amp;Checks!$AB$570)</f>
        <v/>
      </c>
      <c r="E65" s="124">
        <f>IF(Checks!$V$570="","",Checks!$V$570)&amp;IF(Checks!$AC$570="","",IF(Checks!$V$570="","",CHAR(10))&amp;"N/A just.: "&amp;Checks!$AC$570)&amp;IF(Checks!$W$570="","",CHAR(10)&amp;"Batch: "&amp;Checks!$W$570)&amp;IF(AND(Checks!$X$570="",Checks!$Y$570=""),"",CHAR(10)&amp;"Exp: "&amp;Checks!$X$570&amp;"  /  Act: "&amp;Checks!$Y$570)</f>
        <v/>
      </c>
      <c r="F65" s="124">
        <f>IF(Checks!$Z$570="","","Evidence: "&amp;Checks!$Z$570)&amp;IF(Checks!$AA$570="","",IF(Checks!$Z$570="","",CHAR(10))&amp;"CA: "&amp;Checks!$AA$570)</f>
        <v/>
      </c>
      <c r="G65" s="124">
        <f>IF(ISNUMBER(Checks!$AD$570),TEXT(Checks!$AD$570,"DD-MMM-YY HH:MM")&amp;" "&amp;Checks!$P$570,"")&amp;IF(Checks!$AE$570="","",CHAR(10)&amp;Checks!$AE$570)</f>
        <v/>
      </c>
      <c r="H65" s="125">
        <f>IF(Checks!$AH$570="","",Checks!$AH$570)</f>
        <v/>
      </c>
    </row>
    <row r="66" ht="81" customHeight="1">
      <c r="A66" s="124">
        <f>Checks!$A$571&amp;CHAR(10)&amp;IF(Checks!$I$571="","",Checks!$I$571&amp;": ")&amp;Checks!$J$571</f>
        <v/>
      </c>
      <c r="B66" s="124">
        <f>Checks!$K$571&amp;IF(Checks!$O$571="","",IF(Checks!$K$571="","",CHAR(10))&amp;"Note: "&amp;Checks!$O$571)</f>
        <v/>
      </c>
      <c r="C66" s="124">
        <f>Checks!$N$571&amp;CHAR(10)&amp;IF(ISNUMBER(Checks!$R$571),TEXT(Checks!$R$571,"DD-MMM-YY HH:MM"),"")&amp;" "&amp;Checks!$P$571</f>
        <v/>
      </c>
      <c r="D66" s="124">
        <f>IF(Checks!$U$571="","",Checks!$U$571)&amp;IF(Checks!$AB$571="","",CHAR(10)&amp;"CA: "&amp;Checks!$AB$571)</f>
        <v/>
      </c>
      <c r="E66" s="124">
        <f>IF(Checks!$V$571="","",Checks!$V$571)&amp;IF(Checks!$AC$571="","",IF(Checks!$V$571="","",CHAR(10))&amp;"N/A just.: "&amp;Checks!$AC$571)&amp;IF(Checks!$W$571="","",CHAR(10)&amp;"Batch: "&amp;Checks!$W$571)&amp;IF(AND(Checks!$X$571="",Checks!$Y$571=""),"",CHAR(10)&amp;"Exp: "&amp;Checks!$X$571&amp;"  /  Act: "&amp;Checks!$Y$571)</f>
        <v/>
      </c>
      <c r="F66" s="124">
        <f>IF(Checks!$Z$571="","","Evidence: "&amp;Checks!$Z$571)&amp;IF(Checks!$AA$571="","",IF(Checks!$Z$571="","",CHAR(10))&amp;"CA: "&amp;Checks!$AA$571)</f>
        <v/>
      </c>
      <c r="G66" s="124">
        <f>IF(ISNUMBER(Checks!$AD$571),TEXT(Checks!$AD$571,"DD-MMM-YY HH:MM")&amp;" "&amp;Checks!$P$571,"")&amp;IF(Checks!$AE$571="","",CHAR(10)&amp;Checks!$AE$571)</f>
        <v/>
      </c>
      <c r="H66" s="125">
        <f>IF(Checks!$AH$571="","",Checks!$AH$571)</f>
        <v/>
      </c>
    </row>
    <row r="67" ht="81" customHeight="1">
      <c r="A67" s="124">
        <f>Checks!$A$572&amp;CHAR(10)&amp;IF(Checks!$I$572="","",Checks!$I$572&amp;": ")&amp;Checks!$J$572</f>
        <v/>
      </c>
      <c r="B67" s="124">
        <f>Checks!$K$572&amp;IF(Checks!$O$572="","",IF(Checks!$K$572="","",CHAR(10))&amp;"Note: "&amp;Checks!$O$572)</f>
        <v/>
      </c>
      <c r="C67" s="124">
        <f>Checks!$N$572&amp;CHAR(10)&amp;IF(ISNUMBER(Checks!$R$572),TEXT(Checks!$R$572,"DD-MMM-YY HH:MM"),"")&amp;" "&amp;Checks!$P$572</f>
        <v/>
      </c>
      <c r="D67" s="124">
        <f>IF(Checks!$U$572="","",Checks!$U$572)&amp;IF(Checks!$AB$572="","",CHAR(10)&amp;"CA: "&amp;Checks!$AB$572)</f>
        <v/>
      </c>
      <c r="E67" s="124">
        <f>IF(Checks!$V$572="","",Checks!$V$572)&amp;IF(Checks!$AC$572="","",IF(Checks!$V$572="","",CHAR(10))&amp;"N/A just.: "&amp;Checks!$AC$572)&amp;IF(Checks!$W$572="","",CHAR(10)&amp;"Batch: "&amp;Checks!$W$572)&amp;IF(AND(Checks!$X$572="",Checks!$Y$572=""),"",CHAR(10)&amp;"Exp: "&amp;Checks!$X$572&amp;"  /  Act: "&amp;Checks!$Y$572)</f>
        <v/>
      </c>
      <c r="F67" s="124">
        <f>IF(Checks!$Z$572="","","Evidence: "&amp;Checks!$Z$572)&amp;IF(Checks!$AA$572="","",IF(Checks!$Z$572="","",CHAR(10))&amp;"CA: "&amp;Checks!$AA$572)</f>
        <v/>
      </c>
      <c r="G67" s="124">
        <f>IF(ISNUMBER(Checks!$AD$572),TEXT(Checks!$AD$572,"DD-MMM-YY HH:MM")&amp;" "&amp;Checks!$P$572,"")&amp;IF(Checks!$AE$572="","",CHAR(10)&amp;Checks!$AE$572)</f>
        <v/>
      </c>
      <c r="H67" s="125">
        <f>IF(Checks!$AH$572="","",Checks!$AH$572)</f>
        <v/>
      </c>
    </row>
    <row r="68" ht="136" customHeight="1">
      <c r="A68" s="124">
        <f>Checks!$A$573&amp;CHAR(10)&amp;IF(Checks!$I$573="","",Checks!$I$573&amp;": ")&amp;Checks!$J$573</f>
        <v/>
      </c>
      <c r="B68" s="124">
        <f>SUBSTITUTE(Checks!$K$573&amp;IF(Checks!$O$573="","",IF(Checks!$K$573="","",CHAR(10))&amp;"Note: "&amp;Checks!$O$573),"SALES CART!","Ref: SALES CART!")</f>
        <v/>
      </c>
      <c r="C68" s="124">
        <f>Checks!$N$573&amp;CHAR(10)&amp;IF(ISNUMBER(Checks!$R$573),TEXT(Checks!$R$573,"DD-MMM-YY HH:MM"),"")&amp;" "&amp;Checks!$P$573</f>
        <v/>
      </c>
      <c r="D68" s="124">
        <f>IF(Checks!$U$573="","",Checks!$U$573)&amp;IF(Checks!$AB$573="","",CHAR(10)&amp;"CA: "&amp;Checks!$AB$573)</f>
        <v/>
      </c>
      <c r="E68" s="124">
        <f>IF(Checks!$V$573="","",Checks!$V$573)&amp;IF(Checks!$AC$573="","",IF(Checks!$V$573="","",CHAR(10))&amp;"N/A just.: "&amp;Checks!$AC$573)&amp;IF(Checks!$W$573="","",CHAR(10)&amp;"Batch: "&amp;Checks!$W$573)&amp;IF(AND(Checks!$X$573="",Checks!$Y$573=""),"",CHAR(10)&amp;"Exp: "&amp;Checks!$X$573&amp;"  /  Act: "&amp;Checks!$Y$573)</f>
        <v/>
      </c>
      <c r="F68" s="124">
        <f>IF(Checks!$Z$573="","","Evidence: "&amp;Checks!$Z$573)&amp;IF(Checks!$AA$573="","",IF(Checks!$Z$573="","",CHAR(10))&amp;"CA: "&amp;Checks!$AA$573)</f>
        <v/>
      </c>
      <c r="G68" s="124">
        <f>IF(ISNUMBER(Checks!$AD$573),TEXT(Checks!$AD$573,"DD-MMM-YY HH:MM")&amp;" "&amp;Checks!$P$573,"")&amp;IF(Checks!$AE$573="","",CHAR(10)&amp;Checks!$AE$573)</f>
        <v/>
      </c>
      <c r="H68" s="125">
        <f>IF(Checks!$AH$573="","",Checks!$AH$573)</f>
        <v/>
      </c>
    </row>
    <row r="70" ht="24" customHeight="1">
      <c r="A70" s="126" t="inlineStr">
        <is>
          <t>EXCEL INSERTION AREA (on-screen only, not printed) – A1 Galley Loading Diagram: Insert &gt; Picture here. On paper: staple behind this sheet as page A1.</t>
        </is>
      </c>
      <c r="B70" s="127" t="n"/>
      <c r="C70" s="127" t="n"/>
      <c r="D70" s="128" t="n"/>
      <c r="E70" s="126" t="inlineStr">
        <is>
          <t>EXCEL INSERTION AREA (on-screen only, not printed) – A2 Menu Checklist: Insert &gt; Picture here. On paper: staple behind this sheet as page A2.</t>
        </is>
      </c>
      <c r="F70" s="127" t="n"/>
      <c r="G70" s="127" t="n"/>
      <c r="H70" s="128" t="n"/>
    </row>
    <row r="71" ht="22" customHeight="1">
      <c r="A71" s="129" t="n"/>
      <c r="B71" s="130" t="n"/>
      <c r="C71" s="130" t="n"/>
      <c r="D71" s="131" t="n"/>
      <c r="E71" s="129" t="n"/>
      <c r="F71" s="130" t="n"/>
      <c r="G71" s="130" t="n"/>
      <c r="H71" s="131" t="n"/>
    </row>
    <row r="72" ht="22" customHeight="1">
      <c r="A72" s="132" t="n"/>
      <c r="B72" s="130" t="n"/>
      <c r="C72" s="130" t="n"/>
      <c r="D72" s="131" t="n"/>
      <c r="E72" s="132" t="n"/>
      <c r="F72" s="130" t="n"/>
      <c r="G72" s="130" t="n"/>
      <c r="H72" s="131" t="n"/>
    </row>
    <row r="73" ht="22" customHeight="1">
      <c r="A73" s="132" t="n"/>
      <c r="B73" s="130" t="n"/>
      <c r="C73" s="130" t="n"/>
      <c r="D73" s="131" t="n"/>
      <c r="E73" s="132" t="n"/>
      <c r="F73" s="130" t="n"/>
      <c r="G73" s="130" t="n"/>
      <c r="H73" s="131" t="n"/>
    </row>
    <row r="74" ht="22" customHeight="1">
      <c r="A74" s="132" t="n"/>
      <c r="B74" s="130" t="n"/>
      <c r="C74" s="130" t="n"/>
      <c r="D74" s="131" t="n"/>
      <c r="E74" s="132" t="n"/>
      <c r="F74" s="130" t="n"/>
      <c r="G74" s="130" t="n"/>
      <c r="H74" s="131" t="n"/>
    </row>
    <row r="75" ht="22" customHeight="1">
      <c r="A75" s="132" t="n"/>
      <c r="B75" s="130" t="n"/>
      <c r="C75" s="130" t="n"/>
      <c r="D75" s="131" t="n"/>
      <c r="E75" s="132" t="n"/>
      <c r="F75" s="130" t="n"/>
      <c r="G75" s="130" t="n"/>
      <c r="H75" s="131" t="n"/>
    </row>
    <row r="76" ht="22" customHeight="1">
      <c r="A76" s="132" t="n"/>
      <c r="B76" s="130" t="n"/>
      <c r="C76" s="130" t="n"/>
      <c r="D76" s="131" t="n"/>
      <c r="E76" s="132" t="n"/>
      <c r="F76" s="130" t="n"/>
      <c r="G76" s="130" t="n"/>
      <c r="H76" s="131" t="n"/>
    </row>
    <row r="77" ht="22" customHeight="1">
      <c r="A77" s="132" t="n"/>
      <c r="B77" s="130" t="n"/>
      <c r="C77" s="130" t="n"/>
      <c r="D77" s="131" t="n"/>
      <c r="E77" s="132"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3" t="n"/>
      <c r="B80" s="134" t="n"/>
      <c r="C80" s="134" t="n"/>
      <c r="D80" s="135" t="n"/>
      <c r="E80" s="133" t="n"/>
      <c r="F80" s="134" t="n"/>
      <c r="G80" s="134" t="n"/>
      <c r="H80" s="135" t="n"/>
    </row>
  </sheetData>
  <mergeCells count="46">
    <mergeCell ref="B11:D11"/>
    <mergeCell ref="E70:H70"/>
    <mergeCell ref="F18:H18"/>
    <mergeCell ref="C15:D15"/>
    <mergeCell ref="B8:D8"/>
    <mergeCell ref="G11:H11"/>
    <mergeCell ref="C14:D14"/>
    <mergeCell ref="F2:H2"/>
    <mergeCell ref="F17:H17"/>
    <mergeCell ref="A1:H1"/>
    <mergeCell ref="G8:H8"/>
    <mergeCell ref="B10:D10"/>
    <mergeCell ref="E71:H80"/>
    <mergeCell ref="G7:H7"/>
    <mergeCell ref="F13:H13"/>
    <mergeCell ref="A54:H54"/>
    <mergeCell ref="B16:E16"/>
    <mergeCell ref="B9:D9"/>
    <mergeCell ref="C17:E17"/>
    <mergeCell ref="G6:H6"/>
    <mergeCell ref="A18:B18"/>
    <mergeCell ref="B6:D6"/>
    <mergeCell ref="G3:H3"/>
    <mergeCell ref="A70:D70"/>
    <mergeCell ref="B5:D5"/>
    <mergeCell ref="F14:H14"/>
    <mergeCell ref="C19:E19"/>
    <mergeCell ref="B4:D4"/>
    <mergeCell ref="G5:H5"/>
    <mergeCell ref="C18:E18"/>
    <mergeCell ref="A33:H33"/>
    <mergeCell ref="A17:B17"/>
    <mergeCell ref="B7:D7"/>
    <mergeCell ref="A22:H22"/>
    <mergeCell ref="A71:D80"/>
    <mergeCell ref="G4:H4"/>
    <mergeCell ref="F16:H16"/>
    <mergeCell ref="B3:D3"/>
    <mergeCell ref="F19:H19"/>
    <mergeCell ref="A35:H35"/>
    <mergeCell ref="A12:D12"/>
    <mergeCell ref="A19:B19"/>
    <mergeCell ref="A20:H20"/>
    <mergeCell ref="C13:D13"/>
    <mergeCell ref="F15:H15"/>
    <mergeCell ref="B2:D2"/>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68">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68">
    <cfRule type="expression" priority="16" dxfId="20">
      <formula>LEFT($H23,3)="N/A"</formula>
    </cfRule>
  </conditionalFormatting>
  <conditionalFormatting sqref="D23:D68">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F17 MH0073 27-Oct-26 HKG-KUL Class BC</oddHeader>
    <oddFooter>&amp;L&amp;"Arial,Bold"&amp;8 F17 MH0073 27-Oct-26 HKG-KUL Class BC&amp;C&amp;"Arial"&amp;8 Printed: ____________________&amp;R&amp;"Arial"&amp;8 F17  Page &amp;P of &amp;N</oddFooter>
    <evenHeader/>
    <evenFooter/>
    <firstHeader/>
    <firstFooter/>
  </headerFooter>
  <rowBreaks count="1" manualBreakCount="1">
    <brk id="20" min="0" max="16383" man="1"/>
  </rowBreaks>
</worksheet>
</file>

<file path=xl/worksheets/sheet26.xml><?xml version="1.0" encoding="utf-8"?>
<worksheet xmlns="http://schemas.openxmlformats.org/spreadsheetml/2006/main">
  <sheetPr>
    <tabColor rgb="001F3864"/>
    <outlinePr summaryBelow="1" summaryRight="1"/>
    <pageSetUpPr fitToPage="1"/>
  </sheetPr>
  <dimension ref="A1:H8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F18  "&amp;Flights!$F$22&amp;"  "&amp;TEXT(Flights!$D$22,"DD-MMM-YY")&amp;" ("&amp;Flights!$E$22&amp;")  "&amp;Flights!$G$22&amp;" → "&amp;Flights!$H$22&amp;"  |  Class "&amp;Flights!$K$22</f>
        <v/>
      </c>
      <c r="B1" s="97" t="n"/>
      <c r="C1" s="97" t="n"/>
      <c r="D1" s="97" t="n"/>
      <c r="E1" s="97" t="n"/>
      <c r="F1" s="97" t="n"/>
      <c r="G1" s="97" t="n"/>
      <c r="H1" s="98" t="n"/>
    </row>
    <row r="2" ht="13" customHeight="1">
      <c r="A2" s="99" t="inlineStr">
        <is>
          <t>Flight / date</t>
        </is>
      </c>
      <c r="B2" s="100">
        <f>Flights!$F$22&amp;"   "&amp;TEXT(Flights!$D$22,"DD-MMM-YY")&amp;" ("&amp;Flights!$E$22&amp;")"</f>
        <v/>
      </c>
      <c r="C2" s="97" t="n"/>
      <c r="D2" s="98" t="n"/>
      <c r="E2" s="101" t="inlineStr">
        <is>
          <t>READINESS STATUS</t>
        </is>
      </c>
      <c r="F2" s="102">
        <f>Flights!$AT$22</f>
        <v/>
      </c>
      <c r="G2" s="97" t="n"/>
      <c r="H2" s="98" t="n"/>
    </row>
    <row r="3" ht="24" customHeight="1">
      <c r="A3" s="99" t="inlineStr">
        <is>
          <t>Sector / class / seat</t>
        </is>
      </c>
      <c r="B3" s="100">
        <f>Flights!$G$22&amp;" → "&amp;Flights!$H$22&amp;"   Class "&amp;Flights!$K$22&amp;"   Seat "&amp;Flights!$O$22</f>
        <v/>
      </c>
      <c r="C3" s="97" t="n"/>
      <c r="D3" s="98" t="n"/>
      <c r="E3" s="101" t="inlineStr">
        <is>
          <t>Checkpoint</t>
        </is>
      </c>
      <c r="F3" s="101" t="inlineStr">
        <is>
          <t>Due (local)</t>
        </is>
      </c>
      <c r="G3" s="103" t="inlineStr">
        <is>
          <t>% complete</t>
        </is>
      </c>
      <c r="H3" s="98" t="n"/>
    </row>
    <row r="4" ht="13" customHeight="1">
      <c r="A4" s="99" t="inlineStr">
        <is>
          <t>STD → STA (local)</t>
        </is>
      </c>
      <c r="B4" s="100">
        <f>IF(ISNUMBER(Flights!$I$22),TEXT(Flights!$I$22,"DD-MMM-YY HH:MM"),"")&amp;" "&amp;Flights!$G$22&amp;"  →  "&amp;IF(ISNUMBER(Flights!$J$22),TEXT(Flights!$J$22,"DD-MMM-YY HH:MM"),"")&amp;" "&amp;Flights!$H$22</f>
        <v/>
      </c>
      <c r="C4" s="97" t="n"/>
      <c r="D4" s="98" t="n"/>
      <c r="E4" s="99" t="inlineStr">
        <is>
          <t>T-7D – 7 days before departure</t>
        </is>
      </c>
      <c r="F4" s="104">
        <f>IF(ISNUMBER(Flights!$AG$22),TEXT(Flights!$AG$22,"DD-MMM-YY HH:MM"),"")&amp;" "&amp;Flights!$V$22</f>
        <v/>
      </c>
      <c r="G4" s="105">
        <f>Flights!$AJ$22</f>
        <v/>
      </c>
      <c r="H4" s="98" t="n"/>
    </row>
    <row r="5" ht="24" customHeight="1">
      <c r="A5" s="99" t="inlineStr">
        <is>
          <t>Fleet / aircraft ref</t>
        </is>
      </c>
      <c r="B5" s="100">
        <f>Flights!$L$22&amp;" – "&amp;Flights!$M$22</f>
        <v/>
      </c>
      <c r="C5" s="97" t="n"/>
      <c r="D5" s="98" t="n"/>
      <c r="E5" s="99" t="inlineStr">
        <is>
          <t>T-24H – production batch sensory</t>
        </is>
      </c>
      <c r="F5" s="104">
        <f>IF(ISNUMBER(Flights!$AH$22),TEXT(Flights!$AH$22,"DD-MMM-YY HH:MM"),"")&amp;" "&amp;Flights!$V$22</f>
        <v/>
      </c>
      <c r="G5" s="105">
        <f>Flights!$AK$22</f>
        <v/>
      </c>
      <c r="H5" s="98" t="n"/>
    </row>
    <row r="6" ht="13" customHeight="1">
      <c r="A6" s="99" t="inlineStr">
        <is>
          <t>Tail / Reg</t>
        </is>
      </c>
      <c r="B6" s="100">
        <f>IF(TRIM(Flights!$N$22)="","__________________",Flights!$N$22)</f>
        <v/>
      </c>
      <c r="C6" s="97" t="n"/>
      <c r="D6" s="98" t="n"/>
      <c r="E6" s="99" t="inlineStr">
        <is>
          <t>T-12H PREP – caterer prep only</t>
        </is>
      </c>
      <c r="F6" s="104">
        <f>IF(ISNUMBER(Flights!$AI$22),TEXT(Flights!$AI$22,"DD-MMM-YY HH:MM"),"")&amp;" "&amp;Flights!$V$22&amp;IF(Flights!$AI$22=Flights!$AH$22,"  (= T-24H due)","")</f>
        <v/>
      </c>
      <c r="G6" s="105">
        <f>Flights!$AL$22</f>
        <v/>
      </c>
      <c r="H6" s="98" t="n"/>
    </row>
    <row r="7" ht="13" customHeight="1">
      <c r="A7" s="99" t="inlineStr">
        <is>
          <t>Service type</t>
        </is>
      </c>
      <c r="B7" s="100">
        <f>Flights!$T$22</f>
        <v/>
      </c>
      <c r="C7" s="97" t="n"/>
      <c r="D7" s="98" t="n"/>
      <c r="E7" s="99" t="inlineStr">
        <is>
          <t>UPLIFT – on-board confirmation</t>
        </is>
      </c>
      <c r="F7" s="104">
        <f>"STD "&amp;IF(ISNUMBER(Flights!$I$22),TEXT(Flights!$I$22,"DD-MMM-YY HH:MM"),"")&amp;" "&amp;Flights!$G$22&amp;" (dep stn)"</f>
        <v/>
      </c>
      <c r="G7" s="105">
        <f>Flights!$AM$22</f>
        <v/>
      </c>
      <c r="H7" s="98" t="n"/>
    </row>
    <row r="8" ht="13" customHeight="1">
      <c r="A8" s="99" t="inlineStr">
        <is>
          <t>Meal uplift stn</t>
        </is>
      </c>
      <c r="B8" s="100">
        <f>Flights!$V$22&amp;"   (reference uplift stns: "&amp;Flights!$U$22&amp;")"</f>
        <v/>
      </c>
      <c r="C8" s="97" t="n"/>
      <c r="D8" s="98" t="n"/>
      <c r="E8" s="99" t="inlineStr">
        <is>
          <t>OVERALL (all checkpoints)</t>
        </is>
      </c>
      <c r="F8" s="106" t="inlineStr">
        <is>
          <t>–</t>
        </is>
      </c>
      <c r="G8" s="105">
        <f>Flights!$AN$22</f>
        <v/>
      </c>
      <c r="H8" s="98" t="n"/>
    </row>
    <row r="9" ht="13" customHeight="1">
      <c r="A9" s="99" t="inlineStr">
        <is>
          <t>Transit / remark</t>
        </is>
      </c>
      <c r="B9" s="100">
        <f>TRIM(Flights!$P$22&amp;"  "&amp;Flights!$Q$22)</f>
        <v/>
      </c>
      <c r="C9" s="97" t="n"/>
      <c r="D9" s="98" t="n"/>
      <c r="E9" s="99" t="inlineStr">
        <is>
          <t>Overdue / discrep. / invalid</t>
        </is>
      </c>
      <c r="F9" s="107">
        <f>Flights!$AP$22</f>
        <v/>
      </c>
      <c r="G9" s="107">
        <f>Flights!$AQ$22</f>
        <v/>
      </c>
      <c r="H9" s="107">
        <f>Flights!$AU$22</f>
        <v/>
      </c>
    </row>
    <row r="10" ht="13" customHeight="1">
      <c r="A10" s="99" t="inlineStr">
        <is>
          <t>Caterer</t>
        </is>
      </c>
      <c r="B10" s="100">
        <f>IF(TRIM(Flights!$X$22)="","__________________",Flights!$X$22)</f>
        <v/>
      </c>
      <c r="C10" s="97" t="n"/>
      <c r="D10" s="98" t="n"/>
      <c r="E10" s="99" t="inlineStr">
        <is>
          <t>Open reqd / clarif. / docs out</t>
        </is>
      </c>
      <c r="F10" s="107">
        <f>Flights!$AO$22</f>
        <v/>
      </c>
      <c r="G10" s="107">
        <f>Flights!$AS$22</f>
        <v/>
      </c>
      <c r="H10" s="107">
        <f>Flights!$AR$22</f>
        <v/>
      </c>
    </row>
    <row r="11" ht="13" customHeight="1">
      <c r="A11" s="99" t="inlineStr">
        <is>
          <t>Flight PIC</t>
        </is>
      </c>
      <c r="B11" s="100">
        <f>IF(TRIM(Flights!$Y$22)="","__________________",Flights!$Y$22)</f>
        <v/>
      </c>
      <c r="C11" s="97" t="n"/>
      <c r="D11" s="98" t="n"/>
      <c r="E11" s="99" t="inlineStr">
        <is>
          <t>Done / in scope | as of UTC</t>
        </is>
      </c>
      <c r="F11" s="107">
        <f>Flights!$AV$22&amp;" / "&amp;Flights!$AW$22</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IF(Documents!$F$22="","",Documents!$F$22)</f>
        <v/>
      </c>
      <c r="C14" s="115">
        <f>IF(Documents!$G$22="","",Documents!$G$22)&amp;IF(ISNUMBER(Documents!$H$22),"  "&amp;TEXT(Documents!$H$22,"DD-MMM-YY"),"")</f>
        <v/>
      </c>
      <c r="D14" s="98" t="n"/>
      <c r="E14" s="116">
        <f>IF(Documents!$J$22="OUTSTANDING","OUTSTANDING – attach before T-7D (due "&amp;IF(ISNUMBER(Flights!$AG$22),TEXT(Flights!$AG$22,"DD-MMM-YY HH:MM"),"")&amp;" "&amp;Flights!$V$22&amp;")",IF(Documents!$J$22="","Status not recorded",Documents!$J$22))</f>
        <v/>
      </c>
      <c r="F14" s="117">
        <f>"Staple behind this sheet as page A1."&amp;IF(Documents!$I$22="",""," Location: "&amp;Documents!$I$22)</f>
        <v/>
      </c>
      <c r="G14" s="97" t="n"/>
      <c r="H14" s="98" t="n"/>
    </row>
    <row r="15" ht="25" customHeight="1">
      <c r="A15" s="99" t="inlineStr">
        <is>
          <t>A2  Menu Checklist</t>
        </is>
      </c>
      <c r="B15" s="114">
        <f>IF(Documents!$K$22="","",Documents!$K$22)</f>
        <v/>
      </c>
      <c r="C15" s="115">
        <f>IF(Documents!$L$22="","",Documents!$L$22)&amp;IF(ISNUMBER(Documents!$M$22),"  "&amp;TEXT(Documents!$M$22,"DD-MMM-YY"),"")</f>
        <v/>
      </c>
      <c r="D15" s="98" t="n"/>
      <c r="E15" s="116">
        <f>IF(Documents!$O$22="OUTSTANDING","OUTSTANDING – attach before T-7D (due "&amp;IF(ISNUMBER(Flights!$AG$22),TEXT(Flights!$AG$22,"DD-MMM-YY HH:MM"),"")&amp;" "&amp;Flights!$V$22&amp;")",IF(Documents!$O$22="","Status not recorded",Documents!$O$22))</f>
        <v/>
      </c>
      <c r="F15" s="117">
        <f>"Staple behind this sheet as page A2."&amp;IF(Documents!$N$22="",""," Location: "&amp;Documents!$N$22)</f>
        <v/>
      </c>
      <c r="G15" s="97" t="n"/>
      <c r="H15" s="98" t="n"/>
    </row>
    <row r="16" ht="33" customHeight="1">
      <c r="A16" s="99" t="inlineStr">
        <is>
          <t>Document notes</t>
        </is>
      </c>
      <c r="B16" s="118">
        <f>IF(Documents!$Q$22="","",Documents!$Q$22)</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"&amp;IF(TRIM(Flights!$Y$22)="","__________________",Flights!$Y$22)</f>
        <v/>
      </c>
      <c r="B18" s="98" t="n"/>
      <c r="C18" s="100">
        <f>"Name: __________________"</f>
        <v/>
      </c>
      <c r="D18" s="97" t="n"/>
      <c r="E18" s="98" t="n"/>
      <c r="F18" s="100">
        <f>"Name: __________________"&amp;"   Station: "&amp;Flights!$V$22</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"&amp;IF(ISNUMBER(Flights!$AG$22),TEXT(Flights!$AG$22,"DD-MMM-YY HH:MM"),"")&amp;" "&amp;Flights!$V$22&amp;" (meal uplift stn)"&amp;" (rows with another due show their own)  |  Complete "&amp;IF(ISNUMBER(Flights!$AJ$22),TEXT(Flights!$AJ$22,"0%"),Flights!$AJ$22)&amp;"  |  9 lines"</f>
        <v/>
      </c>
      <c r="B22" s="97" t="n"/>
      <c r="C22" s="97" t="n"/>
      <c r="D22" s="97" t="n"/>
      <c r="E22" s="97" t="n"/>
      <c r="F22" s="97" t="n"/>
      <c r="G22" s="97" t="n"/>
      <c r="H22" s="98" t="n"/>
    </row>
    <row r="23" ht="81" customHeight="1">
      <c r="A23" s="124">
        <f>Checks!$A$574&amp;CHAR(10)&amp;IF(Checks!$I$574="","",Checks!$I$574&amp;": ")&amp;Checks!$J$574</f>
        <v/>
      </c>
      <c r="B23" s="124">
        <f>Checks!$K$574&amp;IF(Checks!$O$574="","",IF(Checks!$K$574="","",CHAR(10))&amp;"Note: "&amp;Checks!$O$574)</f>
        <v/>
      </c>
      <c r="C23" s="124">
        <f>Checks!$N$574&amp;CHAR(10)&amp;IF(ISNUMBER(Checks!$R$574),TEXT(Checks!$R$574,"DD-MMM-YY HH:MM"),"")&amp;" "&amp;Checks!$P$574</f>
        <v/>
      </c>
      <c r="D23" s="124">
        <f>IF(Checks!$U$574="","",Checks!$U$574)&amp;IF(Checks!$AB$574="","",CHAR(10)&amp;"CA: "&amp;Checks!$AB$574)</f>
        <v/>
      </c>
      <c r="E23" s="124">
        <f>IF(Checks!$V$574="","",Checks!$V$574)&amp;IF(Checks!$AC$574="","",IF(Checks!$V$574="","",CHAR(10))&amp;"N/A just.: "&amp;Checks!$AC$574)&amp;IF(Checks!$W$574="","",CHAR(10)&amp;"Batch: "&amp;Checks!$W$574)&amp;IF(AND(Checks!$X$574="",Checks!$Y$574=""),"",CHAR(10)&amp;"Exp: "&amp;Checks!$X$574&amp;"  /  Act: "&amp;Checks!$Y$574)</f>
        <v/>
      </c>
      <c r="F23" s="124">
        <f>IF(Checks!$Z$574="","","Evidence: "&amp;Checks!$Z$574)&amp;IF(Checks!$AA$574="","",IF(Checks!$Z$574="","",CHAR(10))&amp;"CA: "&amp;Checks!$AA$574)</f>
        <v/>
      </c>
      <c r="G23" s="124">
        <f>IF(ISNUMBER(Checks!$AD$574),TEXT(Checks!$AD$574,"DD-MMM-YY HH:MM")&amp;" "&amp;Checks!$P$574,"")&amp;IF(Checks!$AE$574="","",CHAR(10)&amp;Checks!$AE$574)</f>
        <v/>
      </c>
      <c r="H23" s="125">
        <f>IF(Checks!$AH$574="","",Checks!$AH$574)</f>
        <v/>
      </c>
    </row>
    <row r="24" ht="81" customHeight="1">
      <c r="A24" s="124">
        <f>Checks!$A$575&amp;CHAR(10)&amp;IF(Checks!$I$575="","",Checks!$I$575&amp;": ")&amp;Checks!$J$575</f>
        <v/>
      </c>
      <c r="B24" s="124">
        <f>Checks!$K$575&amp;IF(Checks!$O$575="","",IF(Checks!$K$575="","",CHAR(10))&amp;"Note: "&amp;Checks!$O$575)</f>
        <v/>
      </c>
      <c r="C24" s="124">
        <f>Checks!$N$575&amp;CHAR(10)&amp;IF(ISNUMBER(Checks!$R$575),TEXT(Checks!$R$575,"DD-MMM-YY HH:MM"),"")&amp;" "&amp;Checks!$P$575</f>
        <v/>
      </c>
      <c r="D24" s="124">
        <f>IF(Checks!$U$575="","",Checks!$U$575)&amp;IF(Checks!$AB$575="","",CHAR(10)&amp;"CA: "&amp;Checks!$AB$575)</f>
        <v/>
      </c>
      <c r="E24" s="124">
        <f>IF(Checks!$V$575="","",Checks!$V$575)&amp;IF(Checks!$AC$575="","",IF(Checks!$V$575="","",CHAR(10))&amp;"N/A just.: "&amp;Checks!$AC$575)&amp;IF(Checks!$W$575="","",CHAR(10)&amp;"Batch: "&amp;Checks!$W$575)&amp;IF(AND(Checks!$X$575="",Checks!$Y$575=""),"",CHAR(10)&amp;"Exp: "&amp;Checks!$X$575&amp;"  /  Act: "&amp;Checks!$Y$575)</f>
        <v/>
      </c>
      <c r="F24" s="124">
        <f>IF(Checks!$Z$575="","","Evidence: "&amp;Checks!$Z$575)&amp;IF(Checks!$AA$575="","",IF(Checks!$Z$575="","",CHAR(10))&amp;"CA: "&amp;Checks!$AA$575)</f>
        <v/>
      </c>
      <c r="G24" s="124">
        <f>IF(ISNUMBER(Checks!$AD$575),TEXT(Checks!$AD$575,"DD-MMM-YY HH:MM")&amp;" "&amp;Checks!$P$575,"")&amp;IF(Checks!$AE$575="","",CHAR(10)&amp;Checks!$AE$575)</f>
        <v/>
      </c>
      <c r="H24" s="125">
        <f>IF(Checks!$AH$575="","",Checks!$AH$575)</f>
        <v/>
      </c>
    </row>
    <row r="25" ht="92" customHeight="1">
      <c r="A25" s="124">
        <f>Checks!$A$576&amp;CHAR(10)&amp;IF(Checks!$I$576="","",Checks!$I$576&amp;": ")&amp;Checks!$J$576</f>
        <v/>
      </c>
      <c r="B25" s="124">
        <f>Checks!$K$576&amp;IF(Checks!$O$576="","",IF(Checks!$K$576="","",CHAR(10))&amp;"Note: "&amp;Checks!$O$576)</f>
        <v/>
      </c>
      <c r="C25" s="124">
        <f>Checks!$N$576&amp;CHAR(10)&amp;IF(ISNUMBER(Checks!$R$576),TEXT(Checks!$R$576,"DD-MMM-YY HH:MM"),"")&amp;" "&amp;Checks!$P$576</f>
        <v/>
      </c>
      <c r="D25" s="124">
        <f>IF(Checks!$U$576="","",Checks!$U$576)&amp;IF(Checks!$AB$576="","",CHAR(10)&amp;"CA: "&amp;Checks!$AB$576)</f>
        <v/>
      </c>
      <c r="E25" s="124">
        <f>IF(Checks!$V$576="","",Checks!$V$576)&amp;IF(Checks!$AC$576="","",IF(Checks!$V$576="","",CHAR(10))&amp;"N/A just.: "&amp;Checks!$AC$576)&amp;IF(Checks!$W$576="","",CHAR(10)&amp;"Batch: "&amp;Checks!$W$576)&amp;IF(AND(Checks!$X$576="",Checks!$Y$576=""),"",CHAR(10)&amp;"Exp: "&amp;Checks!$X$576&amp;"  /  Act: "&amp;Checks!$Y$576)</f>
        <v/>
      </c>
      <c r="F25" s="124">
        <f>IF(Checks!$Z$576="","","Evidence: "&amp;Checks!$Z$576)&amp;IF(Checks!$AA$576="","",IF(Checks!$Z$576="","",CHAR(10))&amp;"CA: "&amp;Checks!$AA$576)</f>
        <v/>
      </c>
      <c r="G25" s="124">
        <f>IF(ISNUMBER(Checks!$AD$576),TEXT(Checks!$AD$576,"DD-MMM-YY HH:MM")&amp;" "&amp;Checks!$P$576,"")&amp;IF(Checks!$AE$576="","",CHAR(10)&amp;Checks!$AE$576)</f>
        <v/>
      </c>
      <c r="H25" s="125">
        <f>IF(Checks!$AH$576="","",Checks!$AH$576)</f>
        <v/>
      </c>
    </row>
    <row r="26" ht="81" customHeight="1">
      <c r="A26" s="124">
        <f>Checks!$A$577&amp;CHAR(10)&amp;IF(Checks!$I$577="","",Checks!$I$577&amp;": ")&amp;Checks!$J$577</f>
        <v/>
      </c>
      <c r="B26" s="124">
        <f>Checks!$K$577&amp;IF(Checks!$O$577="","",IF(Checks!$K$577="","",CHAR(10))&amp;"Note: "&amp;Checks!$O$577)</f>
        <v/>
      </c>
      <c r="C26" s="124">
        <f>Checks!$N$577&amp;CHAR(10)&amp;IF(ISNUMBER(Checks!$R$577),TEXT(Checks!$R$577,"DD-MMM-YY HH:MM"),"")&amp;" "&amp;Checks!$P$577</f>
        <v/>
      </c>
      <c r="D26" s="124">
        <f>IF(Checks!$U$577="","",Checks!$U$577)&amp;IF(Checks!$AB$577="","",CHAR(10)&amp;"CA: "&amp;Checks!$AB$577)</f>
        <v/>
      </c>
      <c r="E26" s="124">
        <f>IF(Checks!$V$577="","",Checks!$V$577)&amp;IF(Checks!$AC$577="","",IF(Checks!$V$577="","",CHAR(10))&amp;"N/A just.: "&amp;Checks!$AC$577)&amp;IF(Checks!$W$577="","",CHAR(10)&amp;"Batch: "&amp;Checks!$W$577)&amp;IF(AND(Checks!$X$577="",Checks!$Y$577=""),"",CHAR(10)&amp;"Exp: "&amp;Checks!$X$577&amp;"  /  Act: "&amp;Checks!$Y$577)</f>
        <v/>
      </c>
      <c r="F26" s="124">
        <f>IF(Checks!$Z$577="","","Evidence: "&amp;Checks!$Z$577)&amp;IF(Checks!$AA$577="","",IF(Checks!$Z$577="","",CHAR(10))&amp;"CA: "&amp;Checks!$AA$577)</f>
        <v/>
      </c>
      <c r="G26" s="124">
        <f>IF(ISNUMBER(Checks!$AD$577),TEXT(Checks!$AD$577,"DD-MMM-YY HH:MM")&amp;" "&amp;Checks!$P$577,"")&amp;IF(Checks!$AE$577="","",CHAR(10)&amp;Checks!$AE$577)</f>
        <v/>
      </c>
      <c r="H26" s="125">
        <f>IF(Checks!$AH$577="","",Checks!$AH$577)</f>
        <v/>
      </c>
    </row>
    <row r="27" ht="81" customHeight="1">
      <c r="A27" s="124">
        <f>Checks!$A$578&amp;CHAR(10)&amp;IF(Checks!$I$578="","",Checks!$I$578&amp;": ")&amp;Checks!$J$578</f>
        <v/>
      </c>
      <c r="B27" s="124">
        <f>Checks!$K$578&amp;IF(Checks!$O$578="","",IF(Checks!$K$578="","",CHAR(10))&amp;"Note: "&amp;Checks!$O$578)</f>
        <v/>
      </c>
      <c r="C27" s="124">
        <f>Checks!$N$578&amp;CHAR(10)&amp;IF(ISNUMBER(Checks!$R$578),TEXT(Checks!$R$578,"DD-MMM-YY HH:MM"),"")&amp;" "&amp;Checks!$P$578</f>
        <v/>
      </c>
      <c r="D27" s="124">
        <f>IF(Checks!$U$578="","",Checks!$U$578)&amp;IF(Checks!$AB$578="","",CHAR(10)&amp;"CA: "&amp;Checks!$AB$578)</f>
        <v/>
      </c>
      <c r="E27" s="124">
        <f>IF(Checks!$V$578="","",Checks!$V$578)&amp;IF(Checks!$AC$578="","",IF(Checks!$V$578="","",CHAR(10))&amp;"N/A just.: "&amp;Checks!$AC$578)&amp;IF(Checks!$W$578="","",CHAR(10)&amp;"Batch: "&amp;Checks!$W$578)&amp;IF(AND(Checks!$X$578="",Checks!$Y$578=""),"",CHAR(10)&amp;"Exp: "&amp;Checks!$X$578&amp;"  /  Act: "&amp;Checks!$Y$578)</f>
        <v/>
      </c>
      <c r="F27" s="124">
        <f>IF(Checks!$Z$578="","","Evidence: "&amp;Checks!$Z$578)&amp;IF(Checks!$AA$578="","",IF(Checks!$Z$578="","",CHAR(10))&amp;"CA: "&amp;Checks!$AA$578)</f>
        <v/>
      </c>
      <c r="G27" s="124">
        <f>IF(ISNUMBER(Checks!$AD$578),TEXT(Checks!$AD$578,"DD-MMM-YY HH:MM")&amp;" "&amp;Checks!$P$578,"")&amp;IF(Checks!$AE$578="","",CHAR(10)&amp;Checks!$AE$578)</f>
        <v/>
      </c>
      <c r="H27" s="125">
        <f>IF(Checks!$AH$578="","",Checks!$AH$578)</f>
        <v/>
      </c>
    </row>
    <row r="28" ht="81" customHeight="1">
      <c r="A28" s="124">
        <f>Checks!$A$579&amp;CHAR(10)&amp;IF(Checks!$I$579="","",Checks!$I$579&amp;": ")&amp;Checks!$J$579</f>
        <v/>
      </c>
      <c r="B28" s="124">
        <f>Checks!$K$579&amp;IF(Checks!$O$579="","",IF(Checks!$K$579="","",CHAR(10))&amp;"Note: "&amp;Checks!$O$579)</f>
        <v/>
      </c>
      <c r="C28" s="124">
        <f>Checks!$N$579&amp;CHAR(10)&amp;IF(ISNUMBER(Checks!$R$579),TEXT(Checks!$R$579,"DD-MMM-YY HH:MM"),"")&amp;" "&amp;Checks!$P$579</f>
        <v/>
      </c>
      <c r="D28" s="124">
        <f>IF(Checks!$U$579="","",Checks!$U$579)&amp;IF(Checks!$AB$579="","",CHAR(10)&amp;"CA: "&amp;Checks!$AB$579)</f>
        <v/>
      </c>
      <c r="E28" s="124">
        <f>IF(Checks!$V$579="","",Checks!$V$579)&amp;IF(Checks!$AC$579="","",IF(Checks!$V$579="","",CHAR(10))&amp;"N/A just.: "&amp;Checks!$AC$579)&amp;IF(Checks!$W$579="","",CHAR(10)&amp;"Batch: "&amp;Checks!$W$579)&amp;IF(AND(Checks!$X$579="",Checks!$Y$579=""),"",CHAR(10)&amp;"Exp: "&amp;Checks!$X$579&amp;"  /  Act: "&amp;Checks!$Y$579)</f>
        <v/>
      </c>
      <c r="F28" s="124">
        <f>IF(Checks!$Z$579="","","Evidence: "&amp;Checks!$Z$579)&amp;IF(Checks!$AA$579="","",IF(Checks!$Z$579="","",CHAR(10))&amp;"CA: "&amp;Checks!$AA$579)</f>
        <v/>
      </c>
      <c r="G28" s="124">
        <f>IF(ISNUMBER(Checks!$AD$579),TEXT(Checks!$AD$579,"DD-MMM-YY HH:MM")&amp;" "&amp;Checks!$P$579,"")&amp;IF(Checks!$AE$579="","",CHAR(10)&amp;Checks!$AE$579)</f>
        <v/>
      </c>
      <c r="H28" s="125">
        <f>IF(Checks!$AH$579="","",Checks!$AH$579)</f>
        <v/>
      </c>
    </row>
    <row r="29" ht="81" customHeight="1">
      <c r="A29" s="124">
        <f>Checks!$A$580&amp;CHAR(10)&amp;IF(Checks!$I$580="","",Checks!$I$580&amp;": ")&amp;Checks!$J$580</f>
        <v/>
      </c>
      <c r="B29" s="124">
        <f>Checks!$K$580&amp;IF(Checks!$O$580="","",IF(Checks!$K$580="","",CHAR(10))&amp;"Note: "&amp;Checks!$O$580)</f>
        <v/>
      </c>
      <c r="C29" s="124">
        <f>Checks!$N$580&amp;CHAR(10)&amp;IF(ISNUMBER(Checks!$R$580),TEXT(Checks!$R$580,"DD-MMM-YY HH:MM"),"")&amp;" "&amp;Checks!$P$580</f>
        <v/>
      </c>
      <c r="D29" s="124">
        <f>IF(Checks!$U$580="","",Checks!$U$580)&amp;IF(Checks!$AB$580="","",CHAR(10)&amp;"CA: "&amp;Checks!$AB$580)</f>
        <v/>
      </c>
      <c r="E29" s="124">
        <f>IF(Checks!$V$580="","",Checks!$V$580)&amp;IF(Checks!$AC$580="","",IF(Checks!$V$580="","",CHAR(10))&amp;"N/A just.: "&amp;Checks!$AC$580)&amp;IF(Checks!$W$580="","",CHAR(10)&amp;"Batch: "&amp;Checks!$W$580)&amp;IF(AND(Checks!$X$580="",Checks!$Y$580=""),"",CHAR(10)&amp;"Exp: "&amp;Checks!$X$580&amp;"  /  Act: "&amp;Checks!$Y$580)</f>
        <v/>
      </c>
      <c r="F29" s="124">
        <f>IF(Checks!$Z$580="","","Evidence: "&amp;Checks!$Z$580)&amp;IF(Checks!$AA$580="","",IF(Checks!$Z$580="","",CHAR(10))&amp;"CA: "&amp;Checks!$AA$580)</f>
        <v/>
      </c>
      <c r="G29" s="124">
        <f>IF(ISNUMBER(Checks!$AD$580),TEXT(Checks!$AD$580,"DD-MMM-YY HH:MM")&amp;" "&amp;Checks!$P$580,"")&amp;IF(Checks!$AE$580="","",CHAR(10)&amp;Checks!$AE$580)</f>
        <v/>
      </c>
      <c r="H29" s="125">
        <f>IF(Checks!$AH$580="","",Checks!$AH$580)</f>
        <v/>
      </c>
    </row>
    <row r="30" ht="81" customHeight="1">
      <c r="A30" s="124">
        <f>Checks!$A$581&amp;CHAR(10)&amp;IF(Checks!$I$581="","",Checks!$I$581&amp;": ")&amp;Checks!$J$581</f>
        <v/>
      </c>
      <c r="B30" s="124">
        <f>Checks!$K$581&amp;IF(Checks!$O$581="","",IF(Checks!$K$581="","",CHAR(10))&amp;"Note: "&amp;Checks!$O$581)</f>
        <v/>
      </c>
      <c r="C30" s="124">
        <f>Checks!$N$581&amp;CHAR(10)&amp;IF(ISNUMBER(Checks!$R$581),TEXT(Checks!$R$581,"DD-MMM-YY HH:MM"),"")&amp;" "&amp;Checks!$P$581</f>
        <v/>
      </c>
      <c r="D30" s="124">
        <f>IF(Checks!$U$581="","",Checks!$U$581)&amp;IF(Checks!$AB$581="","",CHAR(10)&amp;"CA: "&amp;Checks!$AB$581)</f>
        <v/>
      </c>
      <c r="E30" s="124">
        <f>IF(Checks!$V$581="","",Checks!$V$581)&amp;IF(Checks!$AC$581="","",IF(Checks!$V$581="","",CHAR(10))&amp;"N/A just.: "&amp;Checks!$AC$581)&amp;IF(Checks!$W$581="","",CHAR(10)&amp;"Batch: "&amp;Checks!$W$581)&amp;IF(AND(Checks!$X$581="",Checks!$Y$581=""),"",CHAR(10)&amp;"Exp: "&amp;Checks!$X$581&amp;"  /  Act: "&amp;Checks!$Y$581)</f>
        <v/>
      </c>
      <c r="F30" s="124">
        <f>IF(Checks!$Z$581="","","Evidence: "&amp;Checks!$Z$581)&amp;IF(Checks!$AA$581="","",IF(Checks!$Z$581="","",CHAR(10))&amp;"CA: "&amp;Checks!$AA$581)</f>
        <v/>
      </c>
      <c r="G30" s="124">
        <f>IF(ISNUMBER(Checks!$AD$581),TEXT(Checks!$AD$581,"DD-MMM-YY HH:MM")&amp;" "&amp;Checks!$P$581,"")&amp;IF(Checks!$AE$581="","",CHAR(10)&amp;Checks!$AE$581)</f>
        <v/>
      </c>
      <c r="H30" s="125">
        <f>IF(Checks!$AH$581="","",Checks!$AH$581)</f>
        <v/>
      </c>
    </row>
    <row r="31" ht="81" customHeight="1">
      <c r="A31" s="124">
        <f>Checks!$A$582&amp;CHAR(10)&amp;IF(Checks!$I$582="","",Checks!$I$582&amp;": ")&amp;Checks!$J$582</f>
        <v/>
      </c>
      <c r="B31" s="124">
        <f>Checks!$K$582&amp;IF(Checks!$O$582="","",IF(Checks!$K$582="","",CHAR(10))&amp;"Note: "&amp;Checks!$O$582)</f>
        <v/>
      </c>
      <c r="C31" s="124">
        <f>Checks!$N$582&amp;CHAR(10)&amp;IF(ISNUMBER(Checks!$R$582),TEXT(Checks!$R$582,"DD-MMM-YY HH:MM"),"")&amp;" "&amp;Checks!$P$582</f>
        <v/>
      </c>
      <c r="D31" s="124">
        <f>IF(Checks!$U$582="","",Checks!$U$582)&amp;IF(Checks!$AB$582="","",CHAR(10)&amp;"CA: "&amp;Checks!$AB$582)</f>
        <v/>
      </c>
      <c r="E31" s="124">
        <f>IF(Checks!$V$582="","",Checks!$V$582)&amp;IF(Checks!$AC$582="","",IF(Checks!$V$582="","",CHAR(10))&amp;"N/A just.: "&amp;Checks!$AC$582)&amp;IF(Checks!$W$582="","",CHAR(10)&amp;"Batch: "&amp;Checks!$W$582)&amp;IF(AND(Checks!$X$582="",Checks!$Y$582=""),"",CHAR(10)&amp;"Exp: "&amp;Checks!$X$582&amp;"  /  Act: "&amp;Checks!$Y$582)</f>
        <v/>
      </c>
      <c r="F31" s="124">
        <f>IF(Checks!$Z$582="","","Evidence: "&amp;Checks!$Z$582)&amp;IF(Checks!$AA$582="","",IF(Checks!$Z$582="","",CHAR(10))&amp;"CA: "&amp;Checks!$AA$582)</f>
        <v/>
      </c>
      <c r="G31" s="124">
        <f>IF(ISNUMBER(Checks!$AD$582),TEXT(Checks!$AD$582,"DD-MMM-YY HH:MM")&amp;" "&amp;Checks!$P$582,"")&amp;IF(Checks!$AE$582="","",CHAR(10)&amp;Checks!$AE$582)</f>
        <v/>
      </c>
      <c r="H31" s="125">
        <f>IF(Checks!$AH$582="","",Checks!$AH$582)</f>
        <v/>
      </c>
    </row>
    <row r="32" ht="26" customHeight="1">
      <c r="A32" s="123">
        <f>"T-24H — Production batch sensory  |  Due "&amp;IF(ISNUMBER(Flights!$AH$22),TEXT(Flights!$AH$22,"DD-MMM-YY HH:MM"),"")&amp;" "&amp;Flights!$V$22&amp;" (meal uplift stn)"&amp;" (rows with another due show their own)  |  Complete "&amp;IF(ISNUMBER(Flights!$AK$22),TEXT(Flights!$AK$22,"0%"),Flights!$AK$22)&amp;"  |  1 lines"</f>
        <v/>
      </c>
      <c r="B32" s="97" t="n"/>
      <c r="C32" s="97" t="n"/>
      <c r="D32" s="97" t="n"/>
      <c r="E32" s="97" t="n"/>
      <c r="F32" s="97" t="n"/>
      <c r="G32" s="97" t="n"/>
      <c r="H32" s="98" t="n"/>
    </row>
    <row r="33" ht="81" customHeight="1">
      <c r="A33" s="124">
        <f>Checks!$A$583&amp;CHAR(10)&amp;IF(Checks!$I$583="","",Checks!$I$583&amp;": ")&amp;Checks!$J$583</f>
        <v/>
      </c>
      <c r="B33" s="124">
        <f>Checks!$K$583&amp;IF(Checks!$O$583="","",IF(Checks!$K$583="","",CHAR(10))&amp;"Note: "&amp;Checks!$O$583)</f>
        <v/>
      </c>
      <c r="C33" s="124">
        <f>Checks!$N$583&amp;CHAR(10)&amp;IF(ISNUMBER(Checks!$R$583),TEXT(Checks!$R$583,"DD-MMM-YY HH:MM"),"")&amp;" "&amp;Checks!$P$583</f>
        <v/>
      </c>
      <c r="D33" s="124">
        <f>IF(Checks!$U$583="","",Checks!$U$583)&amp;IF(Checks!$AB$583="","",CHAR(10)&amp;"CA: "&amp;Checks!$AB$583)</f>
        <v/>
      </c>
      <c r="E33" s="124">
        <f>IF(Checks!$V$583="","",Checks!$V$583)&amp;IF(Checks!$AC$583="","",IF(Checks!$V$583="","",CHAR(10))&amp;"N/A just.: "&amp;Checks!$AC$583)&amp;IF(Checks!$W$583="","",CHAR(10)&amp;"Batch: "&amp;Checks!$W$583)&amp;IF(AND(Checks!$X$583="",Checks!$Y$583=""),"",CHAR(10)&amp;"Exp: "&amp;Checks!$X$583&amp;"  /  Act: "&amp;Checks!$Y$583)</f>
        <v/>
      </c>
      <c r="F33" s="124">
        <f>IF(Checks!$Z$583="","","Evidence: "&amp;Checks!$Z$583)&amp;IF(Checks!$AA$583="","",IF(Checks!$Z$583="","",CHAR(10))&amp;"CA: "&amp;Checks!$AA$583)</f>
        <v/>
      </c>
      <c r="G33" s="124">
        <f>IF(ISNUMBER(Checks!$AD$583),TEXT(Checks!$AD$583,"DD-MMM-YY HH:MM")&amp;" "&amp;Checks!$P$583,"")&amp;IF(Checks!$AE$583="","",CHAR(10)&amp;Checks!$AE$583)</f>
        <v/>
      </c>
      <c r="H33" s="125">
        <f>IF(Checks!$AH$583="","",Checks!$AH$583)</f>
        <v/>
      </c>
    </row>
    <row r="34" ht="26" customHeight="1">
      <c r="A34" s="123">
        <f>"T-12H PREP — Preparation check at caterer (does NOT confirm loading)  |  Due "&amp;IF(ISNUMBER(Flights!$AI$22),TEXT(Flights!$AI$22,"DD-MMM-YY HH:MM"),"")&amp;" "&amp;Flights!$V$22&amp;" (meal uplift stn)"&amp;" (rows with another due show their own)  |  Complete "&amp;IF(ISNUMBER(Flights!$AL$22),TEXT(Flights!$AL$22,"0%"),Flights!$AL$22)&amp;"  |  20 lines"</f>
        <v/>
      </c>
      <c r="B34" s="97" t="n"/>
      <c r="C34" s="97" t="n"/>
      <c r="D34" s="97" t="n"/>
      <c r="E34" s="97" t="n"/>
      <c r="F34" s="97" t="n"/>
      <c r="G34" s="97" t="n"/>
      <c r="H34" s="98" t="n"/>
    </row>
    <row r="35" ht="81" customHeight="1">
      <c r="A35" s="124">
        <f>Checks!$A$584&amp;CHAR(10)&amp;IF(Checks!$I$584="","",Checks!$I$584&amp;": ")&amp;Checks!$J$584</f>
        <v/>
      </c>
      <c r="B35" s="124">
        <f>Checks!$K$584&amp;IF(Checks!$O$584="","",IF(Checks!$K$584="","",CHAR(10))&amp;"Note: "&amp;Checks!$O$584)</f>
        <v/>
      </c>
      <c r="C35" s="124">
        <f>Checks!$N$584&amp;CHAR(10)&amp;IF(ISNUMBER(Checks!$R$584),TEXT(Checks!$R$584,"DD-MMM-YY HH:MM"),"")&amp;" "&amp;Checks!$P$584</f>
        <v/>
      </c>
      <c r="D35" s="124">
        <f>IF(Checks!$U$584="","",Checks!$U$584)&amp;IF(Checks!$AB$584="","",CHAR(10)&amp;"CA: "&amp;Checks!$AB$584)</f>
        <v/>
      </c>
      <c r="E35" s="124">
        <f>IF(Checks!$V$584="","",Checks!$V$584)&amp;IF(Checks!$AC$584="","",IF(Checks!$V$584="","",CHAR(10))&amp;"N/A just.: "&amp;Checks!$AC$584)&amp;IF(Checks!$W$584="","",CHAR(10)&amp;"Batch: "&amp;Checks!$W$584)&amp;IF(AND(Checks!$X$584="",Checks!$Y$584=""),"",CHAR(10)&amp;"Exp: "&amp;Checks!$X$584&amp;"  /  Act: "&amp;Checks!$Y$584)</f>
        <v/>
      </c>
      <c r="F35" s="124">
        <f>IF(Checks!$Z$584="","","Evidence: "&amp;Checks!$Z$584)&amp;IF(Checks!$AA$584="","",IF(Checks!$Z$584="","",CHAR(10))&amp;"CA: "&amp;Checks!$AA$584)</f>
        <v/>
      </c>
      <c r="G35" s="124">
        <f>IF(ISNUMBER(Checks!$AD$584),TEXT(Checks!$AD$584,"DD-MMM-YY HH:MM")&amp;" "&amp;Checks!$P$584,"")&amp;IF(Checks!$AE$584="","",CHAR(10)&amp;Checks!$AE$584)</f>
        <v/>
      </c>
      <c r="H35" s="125">
        <f>IF(Checks!$AH$584="","",Checks!$AH$584)</f>
        <v/>
      </c>
    </row>
    <row r="36" ht="81" customHeight="1">
      <c r="A36" s="124">
        <f>Checks!$A$585&amp;CHAR(10)&amp;IF(Checks!$I$585="","",Checks!$I$585&amp;": ")&amp;Checks!$J$585</f>
        <v/>
      </c>
      <c r="B36" s="124">
        <f>Checks!$K$585&amp;IF(Checks!$O$585="","",IF(Checks!$K$585="","",CHAR(10))&amp;"Note: "&amp;Checks!$O$585)</f>
        <v/>
      </c>
      <c r="C36" s="124">
        <f>Checks!$N$585&amp;CHAR(10)&amp;IF(ISNUMBER(Checks!$R$585),TEXT(Checks!$R$585,"DD-MMM-YY HH:MM"),"")&amp;" "&amp;Checks!$P$585</f>
        <v/>
      </c>
      <c r="D36" s="124">
        <f>IF(Checks!$U$585="","",Checks!$U$585)&amp;IF(Checks!$AB$585="","",CHAR(10)&amp;"CA: "&amp;Checks!$AB$585)</f>
        <v/>
      </c>
      <c r="E36" s="124">
        <f>IF(Checks!$V$585="","",Checks!$V$585)&amp;IF(Checks!$AC$585="","",IF(Checks!$V$585="","",CHAR(10))&amp;"N/A just.: "&amp;Checks!$AC$585)&amp;IF(Checks!$W$585="","",CHAR(10)&amp;"Batch: "&amp;Checks!$W$585)&amp;IF(AND(Checks!$X$585="",Checks!$Y$585=""),"",CHAR(10)&amp;"Exp: "&amp;Checks!$X$585&amp;"  /  Act: "&amp;Checks!$Y$585)</f>
        <v/>
      </c>
      <c r="F36" s="124">
        <f>IF(Checks!$Z$585="","","Evidence: "&amp;Checks!$Z$585)&amp;IF(Checks!$AA$585="","",IF(Checks!$Z$585="","",CHAR(10))&amp;"CA: "&amp;Checks!$AA$585)</f>
        <v/>
      </c>
      <c r="G36" s="124">
        <f>IF(ISNUMBER(Checks!$AD$585),TEXT(Checks!$AD$585,"DD-MMM-YY HH:MM")&amp;" "&amp;Checks!$P$585,"")&amp;IF(Checks!$AE$585="","",CHAR(10)&amp;Checks!$AE$585)</f>
        <v/>
      </c>
      <c r="H36" s="125">
        <f>IF(Checks!$AH$585="","",Checks!$AH$585)</f>
        <v/>
      </c>
    </row>
    <row r="37" ht="81" customHeight="1">
      <c r="A37" s="124">
        <f>Checks!$A$586&amp;CHAR(10)&amp;IF(Checks!$I$586="","",Checks!$I$586&amp;": ")&amp;Checks!$J$586</f>
        <v/>
      </c>
      <c r="B37" s="124">
        <f>Checks!$K$586&amp;IF(Checks!$O$586="","",IF(Checks!$K$586="","",CHAR(10))&amp;"Note: "&amp;Checks!$O$586)</f>
        <v/>
      </c>
      <c r="C37" s="124">
        <f>Checks!$N$586&amp;CHAR(10)&amp;IF(ISNUMBER(Checks!$R$586),TEXT(Checks!$R$586,"DD-MMM-YY HH:MM"),"")&amp;" "&amp;Checks!$P$586</f>
        <v/>
      </c>
      <c r="D37" s="124">
        <f>IF(Checks!$U$586="","",Checks!$U$586)&amp;IF(Checks!$AB$586="","",CHAR(10)&amp;"CA: "&amp;Checks!$AB$586)</f>
        <v/>
      </c>
      <c r="E37" s="124">
        <f>IF(Checks!$V$586="","",Checks!$V$586)&amp;IF(Checks!$AC$586="","",IF(Checks!$V$586="","",CHAR(10))&amp;"N/A just.: "&amp;Checks!$AC$586)&amp;IF(Checks!$W$586="","",CHAR(10)&amp;"Batch: "&amp;Checks!$W$586)&amp;IF(AND(Checks!$X$586="",Checks!$Y$586=""),"",CHAR(10)&amp;"Exp: "&amp;Checks!$X$586&amp;"  /  Act: "&amp;Checks!$Y$586)</f>
        <v/>
      </c>
      <c r="F37" s="124">
        <f>IF(Checks!$Z$586="","","Evidence: "&amp;Checks!$Z$586)&amp;IF(Checks!$AA$586="","",IF(Checks!$Z$586="","",CHAR(10))&amp;"CA: "&amp;Checks!$AA$586)</f>
        <v/>
      </c>
      <c r="G37" s="124">
        <f>IF(ISNUMBER(Checks!$AD$586),TEXT(Checks!$AD$586,"DD-MMM-YY HH:MM")&amp;" "&amp;Checks!$P$586,"")&amp;IF(Checks!$AE$586="","",CHAR(10)&amp;Checks!$AE$586)</f>
        <v/>
      </c>
      <c r="H37" s="125">
        <f>IF(Checks!$AH$586="","",Checks!$AH$586)</f>
        <v/>
      </c>
    </row>
    <row r="38" ht="81" customHeight="1">
      <c r="A38" s="124">
        <f>Checks!$A$587&amp;CHAR(10)&amp;IF(Checks!$I$587="","",Checks!$I$587&amp;": ")&amp;Checks!$J$587</f>
        <v/>
      </c>
      <c r="B38" s="124">
        <f>Checks!$K$587&amp;IF(Checks!$O$587="","",IF(Checks!$K$587="","",CHAR(10))&amp;"Note: "&amp;Checks!$O$587)</f>
        <v/>
      </c>
      <c r="C38" s="124">
        <f>Checks!$N$587&amp;CHAR(10)&amp;IF(ISNUMBER(Checks!$R$587),TEXT(Checks!$R$587,"DD-MMM-YY HH:MM"),"")&amp;" "&amp;Checks!$P$587</f>
        <v/>
      </c>
      <c r="D38" s="124">
        <f>IF(Checks!$U$587="","",Checks!$U$587)&amp;IF(Checks!$AB$587="","",CHAR(10)&amp;"CA: "&amp;Checks!$AB$587)</f>
        <v/>
      </c>
      <c r="E38" s="124">
        <f>IF(Checks!$V$587="","",Checks!$V$587)&amp;IF(Checks!$AC$587="","",IF(Checks!$V$587="","",CHAR(10))&amp;"N/A just.: "&amp;Checks!$AC$587)&amp;IF(Checks!$W$587="","",CHAR(10)&amp;"Batch: "&amp;Checks!$W$587)&amp;IF(AND(Checks!$X$587="",Checks!$Y$587=""),"",CHAR(10)&amp;"Exp: "&amp;Checks!$X$587&amp;"  /  Act: "&amp;Checks!$Y$587)</f>
        <v/>
      </c>
      <c r="F38" s="124">
        <f>IF(Checks!$Z$587="","","Evidence: "&amp;Checks!$Z$587)&amp;IF(Checks!$AA$587="","",IF(Checks!$Z$587="","",CHAR(10))&amp;"CA: "&amp;Checks!$AA$587)</f>
        <v/>
      </c>
      <c r="G38" s="124">
        <f>IF(ISNUMBER(Checks!$AD$587),TEXT(Checks!$AD$587,"DD-MMM-YY HH:MM")&amp;" "&amp;Checks!$P$587,"")&amp;IF(Checks!$AE$587="","",CHAR(10)&amp;Checks!$AE$587)</f>
        <v/>
      </c>
      <c r="H38" s="125">
        <f>IF(Checks!$AH$587="","",Checks!$AH$587)</f>
        <v/>
      </c>
    </row>
    <row r="39" ht="81" customHeight="1">
      <c r="A39" s="124">
        <f>Checks!$A$588&amp;CHAR(10)&amp;IF(Checks!$I$588="","",Checks!$I$588&amp;": ")&amp;Checks!$J$588</f>
        <v/>
      </c>
      <c r="B39" s="124">
        <f>Checks!$K$588&amp;IF(Checks!$O$588="","",IF(Checks!$K$588="","",CHAR(10))&amp;"Note: "&amp;Checks!$O$588)</f>
        <v/>
      </c>
      <c r="C39" s="124">
        <f>Checks!$N$588&amp;CHAR(10)&amp;IF(ISNUMBER(Checks!$R$588),TEXT(Checks!$R$588,"DD-MMM-YY HH:MM"),"")&amp;" "&amp;Checks!$P$588</f>
        <v/>
      </c>
      <c r="D39" s="124">
        <f>IF(Checks!$U$588="","",Checks!$U$588)&amp;IF(Checks!$AB$588="","",CHAR(10)&amp;"CA: "&amp;Checks!$AB$588)</f>
        <v/>
      </c>
      <c r="E39" s="124">
        <f>IF(Checks!$V$588="","",Checks!$V$588)&amp;IF(Checks!$AC$588="","",IF(Checks!$V$588="","",CHAR(10))&amp;"N/A just.: "&amp;Checks!$AC$588)&amp;IF(Checks!$W$588="","",CHAR(10)&amp;"Batch: "&amp;Checks!$W$588)&amp;IF(AND(Checks!$X$588="",Checks!$Y$588=""),"",CHAR(10)&amp;"Exp: "&amp;Checks!$X$588&amp;"  /  Act: "&amp;Checks!$Y$588)</f>
        <v/>
      </c>
      <c r="F39" s="124">
        <f>IF(Checks!$Z$588="","","Evidence: "&amp;Checks!$Z$588)&amp;IF(Checks!$AA$588="","",IF(Checks!$Z$588="","",CHAR(10))&amp;"CA: "&amp;Checks!$AA$588)</f>
        <v/>
      </c>
      <c r="G39" s="124">
        <f>IF(ISNUMBER(Checks!$AD$588),TEXT(Checks!$AD$588,"DD-MMM-YY HH:MM")&amp;" "&amp;Checks!$P$588,"")&amp;IF(Checks!$AE$588="","",CHAR(10)&amp;Checks!$AE$588)</f>
        <v/>
      </c>
      <c r="H39" s="125">
        <f>IF(Checks!$AH$588="","",Checks!$AH$588)</f>
        <v/>
      </c>
    </row>
    <row r="40" ht="169" customHeight="1">
      <c r="A40" s="124">
        <f>Checks!$A$589&amp;CHAR(10)&amp;IF(Checks!$I$589="","",Checks!$I$589&amp;": ")&amp;Checks!$J$589</f>
        <v/>
      </c>
      <c r="B40" s="124">
        <f>SUBSTITUTE(Checks!$K$589&amp;IF(Checks!$O$589="","",IF(Checks!$K$589="","",CHAR(10))&amp;"Note: "&amp;Checks!$O$589),"AIRCRAFT TYPE!","Ref: AIRCRAFT TYPE!")</f>
        <v/>
      </c>
      <c r="C40" s="124">
        <f>Checks!$N$589&amp;CHAR(10)&amp;IF(ISNUMBER(Checks!$R$589),TEXT(Checks!$R$589,"DD-MMM-YY HH:MM"),"")&amp;" "&amp;Checks!$P$589</f>
        <v/>
      </c>
      <c r="D40" s="124">
        <f>IF(Checks!$U$589="","",Checks!$U$589)&amp;IF(Checks!$AB$589="","",CHAR(10)&amp;"CA: "&amp;Checks!$AB$589)</f>
        <v/>
      </c>
      <c r="E40" s="124">
        <f>IF(Checks!$V$589="","",Checks!$V$589)&amp;IF(Checks!$AC$589="","",IF(Checks!$V$589="","",CHAR(10))&amp;"N/A just.: "&amp;Checks!$AC$589)&amp;IF(Checks!$W$589="","",CHAR(10)&amp;"Batch: "&amp;Checks!$W$589)&amp;IF(AND(Checks!$X$589="",Checks!$Y$589=""),"",CHAR(10)&amp;"Exp: "&amp;Checks!$X$589&amp;"  /  Act: "&amp;Checks!$Y$589)</f>
        <v/>
      </c>
      <c r="F40" s="124">
        <f>IF(Checks!$Z$589="","","Evidence: "&amp;Checks!$Z$589)&amp;IF(Checks!$AA$589="","",IF(Checks!$Z$589="","",CHAR(10))&amp;"CA: "&amp;Checks!$AA$589)</f>
        <v/>
      </c>
      <c r="G40" s="124">
        <f>IF(ISNUMBER(Checks!$AD$589),TEXT(Checks!$AD$589,"DD-MMM-YY HH:MM")&amp;" "&amp;Checks!$P$589,"")&amp;IF(Checks!$AE$589="","",CHAR(10)&amp;Checks!$AE$589)</f>
        <v/>
      </c>
      <c r="H40" s="125">
        <f>IF(Checks!$AH$589="","",Checks!$AH$589)</f>
        <v/>
      </c>
    </row>
    <row r="41" ht="81" customHeight="1">
      <c r="A41" s="124">
        <f>Checks!$A$590&amp;CHAR(10)&amp;IF(Checks!$I$590="","",Checks!$I$590&amp;": ")&amp;Checks!$J$590</f>
        <v/>
      </c>
      <c r="B41" s="124">
        <f>Checks!$K$590&amp;IF(Checks!$O$590="","",IF(Checks!$K$590="","",CHAR(10))&amp;"Note: "&amp;Checks!$O$590)</f>
        <v/>
      </c>
      <c r="C41" s="124">
        <f>Checks!$N$590&amp;CHAR(10)&amp;IF(ISNUMBER(Checks!$R$590),TEXT(Checks!$R$590,"DD-MMM-YY HH:MM"),"")&amp;" "&amp;Checks!$P$590</f>
        <v/>
      </c>
      <c r="D41" s="124">
        <f>IF(Checks!$U$590="","",Checks!$U$590)&amp;IF(Checks!$AB$590="","",CHAR(10)&amp;"CA: "&amp;Checks!$AB$590)</f>
        <v/>
      </c>
      <c r="E41" s="124">
        <f>IF(Checks!$V$590="","",Checks!$V$590)&amp;IF(Checks!$AC$590="","",IF(Checks!$V$590="","",CHAR(10))&amp;"N/A just.: "&amp;Checks!$AC$590)&amp;IF(Checks!$W$590="","",CHAR(10)&amp;"Batch: "&amp;Checks!$W$590)&amp;IF(AND(Checks!$X$590="",Checks!$Y$590=""),"",CHAR(10)&amp;"Exp: "&amp;Checks!$X$590&amp;"  /  Act: "&amp;Checks!$Y$590)</f>
        <v/>
      </c>
      <c r="F41" s="124">
        <f>IF(Checks!$Z$590="","","Evidence: "&amp;Checks!$Z$590)&amp;IF(Checks!$AA$590="","",IF(Checks!$Z$590="","",CHAR(10))&amp;"CA: "&amp;Checks!$AA$590)</f>
        <v/>
      </c>
      <c r="G41" s="124">
        <f>IF(ISNUMBER(Checks!$AD$590),TEXT(Checks!$AD$590,"DD-MMM-YY HH:MM")&amp;" "&amp;Checks!$P$590,"")&amp;IF(Checks!$AE$590="","",CHAR(10)&amp;Checks!$AE$590)</f>
        <v/>
      </c>
      <c r="H41" s="125">
        <f>IF(Checks!$AH$590="","",Checks!$AH$590)</f>
        <v/>
      </c>
    </row>
    <row r="42" ht="81" customHeight="1">
      <c r="A42" s="124">
        <f>Checks!$A$591&amp;CHAR(10)&amp;IF(Checks!$I$591="","",Checks!$I$591&amp;": ")&amp;Checks!$J$591</f>
        <v/>
      </c>
      <c r="B42" s="124">
        <f>Checks!$K$591&amp;IF(Checks!$O$591="","",IF(Checks!$K$591="","",CHAR(10))&amp;"Note: "&amp;Checks!$O$591)</f>
        <v/>
      </c>
      <c r="C42" s="124">
        <f>Checks!$N$591&amp;CHAR(10)&amp;IF(ISNUMBER(Checks!$R$591),TEXT(Checks!$R$591,"DD-MMM-YY HH:MM"),"")&amp;" "&amp;Checks!$P$591</f>
        <v/>
      </c>
      <c r="D42" s="124">
        <f>IF(Checks!$U$591="","",Checks!$U$591)&amp;IF(Checks!$AB$591="","",CHAR(10)&amp;"CA: "&amp;Checks!$AB$591)</f>
        <v/>
      </c>
      <c r="E42" s="124">
        <f>IF(Checks!$V$591="","",Checks!$V$591)&amp;IF(Checks!$AC$591="","",IF(Checks!$V$591="","",CHAR(10))&amp;"N/A just.: "&amp;Checks!$AC$591)&amp;IF(Checks!$W$591="","",CHAR(10)&amp;"Batch: "&amp;Checks!$W$591)&amp;IF(AND(Checks!$X$591="",Checks!$Y$591=""),"",CHAR(10)&amp;"Exp: "&amp;Checks!$X$591&amp;"  /  Act: "&amp;Checks!$Y$591)</f>
        <v/>
      </c>
      <c r="F42" s="124">
        <f>IF(Checks!$Z$591="","","Evidence: "&amp;Checks!$Z$591)&amp;IF(Checks!$AA$591="","",IF(Checks!$Z$591="","",CHAR(10))&amp;"CA: "&amp;Checks!$AA$591)</f>
        <v/>
      </c>
      <c r="G42" s="124">
        <f>IF(ISNUMBER(Checks!$AD$591),TEXT(Checks!$AD$591,"DD-MMM-YY HH:MM")&amp;" "&amp;Checks!$P$591,"")&amp;IF(Checks!$AE$591="","",CHAR(10)&amp;Checks!$AE$591)</f>
        <v/>
      </c>
      <c r="H42" s="125">
        <f>IF(Checks!$AH$591="","",Checks!$AH$591)</f>
        <v/>
      </c>
    </row>
    <row r="43" ht="92" customHeight="1">
      <c r="A43" s="124">
        <f>Checks!$A$592&amp;CHAR(10)&amp;IF(Checks!$I$592="","",Checks!$I$592&amp;": ")&amp;Checks!$J$592</f>
        <v/>
      </c>
      <c r="B43" s="124">
        <f>Checks!$K$592&amp;IF(Checks!$O$592="","",IF(Checks!$K$592="","",CHAR(10))&amp;"Note: "&amp;Checks!$O$592)</f>
        <v/>
      </c>
      <c r="C43" s="124">
        <f>Checks!$N$592&amp;CHAR(10)&amp;IF(ISNUMBER(Checks!$R$592),TEXT(Checks!$R$592,"DD-MMM-YY HH:MM"),"")&amp;" "&amp;Checks!$P$592</f>
        <v/>
      </c>
      <c r="D43" s="124">
        <f>IF(Checks!$U$592="","",Checks!$U$592)&amp;IF(Checks!$AB$592="","",CHAR(10)&amp;"CA: "&amp;Checks!$AB$592)</f>
        <v/>
      </c>
      <c r="E43" s="124">
        <f>IF(Checks!$V$592="","",Checks!$V$592)&amp;IF(Checks!$AC$592="","",IF(Checks!$V$592="","",CHAR(10))&amp;"N/A just.: "&amp;Checks!$AC$592)&amp;IF(Checks!$W$592="","",CHAR(10)&amp;"Batch: "&amp;Checks!$W$592)&amp;IF(AND(Checks!$X$592="",Checks!$Y$592=""),"",CHAR(10)&amp;"Exp: "&amp;Checks!$X$592&amp;"  /  Act: "&amp;Checks!$Y$592)</f>
        <v/>
      </c>
      <c r="F43" s="124">
        <f>IF(Checks!$Z$592="","","Evidence: "&amp;Checks!$Z$592)&amp;IF(Checks!$AA$592="","",IF(Checks!$Z$592="","",CHAR(10))&amp;"CA: "&amp;Checks!$AA$592)</f>
        <v/>
      </c>
      <c r="G43" s="124">
        <f>IF(ISNUMBER(Checks!$AD$592),TEXT(Checks!$AD$592,"DD-MMM-YY HH:MM")&amp;" "&amp;Checks!$P$592,"")&amp;IF(Checks!$AE$592="","",CHAR(10)&amp;Checks!$AE$592)</f>
        <v/>
      </c>
      <c r="H43" s="125">
        <f>IF(Checks!$AH$592="","",Checks!$AH$592)</f>
        <v/>
      </c>
    </row>
    <row r="44" ht="92" customHeight="1">
      <c r="A44" s="124">
        <f>Checks!$A$593&amp;CHAR(10)&amp;IF(Checks!$I$593="","",Checks!$I$593&amp;": ")&amp;Checks!$J$593</f>
        <v/>
      </c>
      <c r="B44" s="124">
        <f>Checks!$K$593&amp;IF(Checks!$O$593="","",IF(Checks!$K$593="","",CHAR(10))&amp;"Note: "&amp;Checks!$O$593)</f>
        <v/>
      </c>
      <c r="C44" s="124">
        <f>Checks!$N$593&amp;CHAR(10)&amp;IF(ISNUMBER(Checks!$R$593),TEXT(Checks!$R$593,"DD-MMM-YY HH:MM"),"")&amp;" "&amp;Checks!$P$593</f>
        <v/>
      </c>
      <c r="D44" s="124">
        <f>IF(Checks!$U$593="","",Checks!$U$593)&amp;IF(Checks!$AB$593="","",CHAR(10)&amp;"CA: "&amp;Checks!$AB$593)</f>
        <v/>
      </c>
      <c r="E44" s="124">
        <f>IF(Checks!$V$593="","",Checks!$V$593)&amp;IF(Checks!$AC$593="","",IF(Checks!$V$593="","",CHAR(10))&amp;"N/A just.: "&amp;Checks!$AC$593)&amp;IF(Checks!$W$593="","",CHAR(10)&amp;"Batch: "&amp;Checks!$W$593)&amp;IF(AND(Checks!$X$593="",Checks!$Y$593=""),"",CHAR(10)&amp;"Exp: "&amp;Checks!$X$593&amp;"  /  Act: "&amp;Checks!$Y$593)</f>
        <v/>
      </c>
      <c r="F44" s="124">
        <f>IF(Checks!$Z$593="","","Evidence: "&amp;Checks!$Z$593)&amp;IF(Checks!$AA$593="","",IF(Checks!$Z$593="","",CHAR(10))&amp;"CA: "&amp;Checks!$AA$593)</f>
        <v/>
      </c>
      <c r="G44" s="124">
        <f>IF(ISNUMBER(Checks!$AD$593),TEXT(Checks!$AD$593,"DD-MMM-YY HH:MM")&amp;" "&amp;Checks!$P$593,"")&amp;IF(Checks!$AE$593="","",CHAR(10)&amp;Checks!$AE$593)</f>
        <v/>
      </c>
      <c r="H44" s="125">
        <f>IF(Checks!$AH$593="","",Checks!$AH$593)</f>
        <v/>
      </c>
    </row>
    <row r="45" ht="92" customHeight="1">
      <c r="A45" s="124">
        <f>Checks!$A$594&amp;CHAR(10)&amp;IF(Checks!$I$594="","",Checks!$I$594&amp;": ")&amp;Checks!$J$594</f>
        <v/>
      </c>
      <c r="B45" s="124">
        <f>Checks!$K$594&amp;IF(Checks!$O$594="","",IF(Checks!$K$594="","",CHAR(10))&amp;"Note: "&amp;Checks!$O$594)</f>
        <v/>
      </c>
      <c r="C45" s="124">
        <f>Checks!$N$594&amp;CHAR(10)&amp;IF(ISNUMBER(Checks!$R$594),TEXT(Checks!$R$594,"DD-MMM-YY HH:MM"),"")&amp;" "&amp;Checks!$P$594</f>
        <v/>
      </c>
      <c r="D45" s="124">
        <f>IF(Checks!$U$594="","",Checks!$U$594)&amp;IF(Checks!$AB$594="","",CHAR(10)&amp;"CA: "&amp;Checks!$AB$594)</f>
        <v/>
      </c>
      <c r="E45" s="124">
        <f>IF(Checks!$V$594="","",Checks!$V$594)&amp;IF(Checks!$AC$594="","",IF(Checks!$V$594="","",CHAR(10))&amp;"N/A just.: "&amp;Checks!$AC$594)&amp;IF(Checks!$W$594="","",CHAR(10)&amp;"Batch: "&amp;Checks!$W$594)&amp;IF(AND(Checks!$X$594="",Checks!$Y$594=""),"",CHAR(10)&amp;"Exp: "&amp;Checks!$X$594&amp;"  /  Act: "&amp;Checks!$Y$594)</f>
        <v/>
      </c>
      <c r="F45" s="124">
        <f>IF(Checks!$Z$594="","","Evidence: "&amp;Checks!$Z$594)&amp;IF(Checks!$AA$594="","",IF(Checks!$Z$594="","",CHAR(10))&amp;"CA: "&amp;Checks!$AA$594)</f>
        <v/>
      </c>
      <c r="G45" s="124">
        <f>IF(ISNUMBER(Checks!$AD$594),TEXT(Checks!$AD$594,"DD-MMM-YY HH:MM")&amp;" "&amp;Checks!$P$594,"")&amp;IF(Checks!$AE$594="","",CHAR(10)&amp;Checks!$AE$594)</f>
        <v/>
      </c>
      <c r="H45" s="125">
        <f>IF(Checks!$AH$594="","",Checks!$AH$594)</f>
        <v/>
      </c>
    </row>
    <row r="46" ht="92" customHeight="1">
      <c r="A46" s="124">
        <f>Checks!$A$595&amp;CHAR(10)&amp;IF(Checks!$I$595="","",Checks!$I$595&amp;": ")&amp;Checks!$J$595</f>
        <v/>
      </c>
      <c r="B46" s="124">
        <f>Checks!$K$595&amp;IF(Checks!$O$595="","",IF(Checks!$K$595="","",CHAR(10))&amp;"Note: "&amp;Checks!$O$595)</f>
        <v/>
      </c>
      <c r="C46" s="124">
        <f>Checks!$N$595&amp;CHAR(10)&amp;IF(ISNUMBER(Checks!$R$595),TEXT(Checks!$R$595,"DD-MMM-YY HH:MM"),"")&amp;" "&amp;Checks!$P$595</f>
        <v/>
      </c>
      <c r="D46" s="124">
        <f>IF(Checks!$U$595="","",Checks!$U$595)&amp;IF(Checks!$AB$595="","",CHAR(10)&amp;"CA: "&amp;Checks!$AB$595)</f>
        <v/>
      </c>
      <c r="E46" s="124">
        <f>IF(Checks!$V$595="","",Checks!$V$595)&amp;IF(Checks!$AC$595="","",IF(Checks!$V$595="","",CHAR(10))&amp;"N/A just.: "&amp;Checks!$AC$595)&amp;IF(Checks!$W$595="","",CHAR(10)&amp;"Batch: "&amp;Checks!$W$595)&amp;IF(AND(Checks!$X$595="",Checks!$Y$595=""),"",CHAR(10)&amp;"Exp: "&amp;Checks!$X$595&amp;"  /  Act: "&amp;Checks!$Y$595)</f>
        <v/>
      </c>
      <c r="F46" s="124">
        <f>IF(Checks!$Z$595="","","Evidence: "&amp;Checks!$Z$595)&amp;IF(Checks!$AA$595="","",IF(Checks!$Z$595="","",CHAR(10))&amp;"CA: "&amp;Checks!$AA$595)</f>
        <v/>
      </c>
      <c r="G46" s="124">
        <f>IF(ISNUMBER(Checks!$AD$595),TEXT(Checks!$AD$595,"DD-MMM-YY HH:MM")&amp;" "&amp;Checks!$P$595,"")&amp;IF(Checks!$AE$595="","",CHAR(10)&amp;Checks!$AE$595)</f>
        <v/>
      </c>
      <c r="H46" s="125">
        <f>IF(Checks!$AH$595="","",Checks!$AH$595)</f>
        <v/>
      </c>
    </row>
    <row r="47" ht="92" customHeight="1">
      <c r="A47" s="124">
        <f>Checks!$A$596&amp;CHAR(10)&amp;IF(Checks!$I$596="","",Checks!$I$596&amp;": ")&amp;Checks!$J$596</f>
        <v/>
      </c>
      <c r="B47" s="124">
        <f>Checks!$K$596&amp;IF(Checks!$O$596="","",IF(Checks!$K$596="","",CHAR(10))&amp;"Note: "&amp;Checks!$O$596)</f>
        <v/>
      </c>
      <c r="C47" s="124">
        <f>Checks!$N$596&amp;CHAR(10)&amp;IF(ISNUMBER(Checks!$R$596),TEXT(Checks!$R$596,"DD-MMM-YY HH:MM"),"")&amp;" "&amp;Checks!$P$596</f>
        <v/>
      </c>
      <c r="D47" s="124">
        <f>IF(Checks!$U$596="","",Checks!$U$596)&amp;IF(Checks!$AB$596="","",CHAR(10)&amp;"CA: "&amp;Checks!$AB$596)</f>
        <v/>
      </c>
      <c r="E47" s="124">
        <f>IF(Checks!$V$596="","",Checks!$V$596)&amp;IF(Checks!$AC$596="","",IF(Checks!$V$596="","",CHAR(10))&amp;"N/A just.: "&amp;Checks!$AC$596)&amp;IF(Checks!$W$596="","",CHAR(10)&amp;"Batch: "&amp;Checks!$W$596)&amp;IF(AND(Checks!$X$596="",Checks!$Y$596=""),"",CHAR(10)&amp;"Exp: "&amp;Checks!$X$596&amp;"  /  Act: "&amp;Checks!$Y$596)</f>
        <v/>
      </c>
      <c r="F47" s="124">
        <f>IF(Checks!$Z$596="","","Evidence: "&amp;Checks!$Z$596)&amp;IF(Checks!$AA$596="","",IF(Checks!$Z$596="","",CHAR(10))&amp;"CA: "&amp;Checks!$AA$596)</f>
        <v/>
      </c>
      <c r="G47" s="124">
        <f>IF(ISNUMBER(Checks!$AD$596),TEXT(Checks!$AD$596,"DD-MMM-YY HH:MM")&amp;" "&amp;Checks!$P$596,"")&amp;IF(Checks!$AE$596="","",CHAR(10)&amp;Checks!$AE$596)</f>
        <v/>
      </c>
      <c r="H47" s="125">
        <f>IF(Checks!$AH$596="","",Checks!$AH$596)</f>
        <v/>
      </c>
    </row>
    <row r="48" ht="114" customHeight="1">
      <c r="A48" s="124">
        <f>Checks!$A$597&amp;CHAR(10)&amp;IF(Checks!$I$597="","",Checks!$I$597&amp;": ")&amp;Checks!$J$597</f>
        <v/>
      </c>
      <c r="B48" s="124">
        <f>SUBSTITUTE(Checks!$K$597&amp;IF(Checks!$O$597="","",IF(Checks!$K$597="","",CHAR(10))&amp;"Note: "&amp;Checks!$O$597),"F&amp;B LINEN!","Ref: F&amp;B LINEN!")</f>
        <v/>
      </c>
      <c r="C48" s="124">
        <f>Checks!$N$597&amp;CHAR(10)&amp;IF(ISNUMBER(Checks!$R$597),TEXT(Checks!$R$597,"DD-MMM-YY HH:MM"),"")&amp;" "&amp;Checks!$P$597</f>
        <v/>
      </c>
      <c r="D48" s="124">
        <f>IF(Checks!$U$597="","",Checks!$U$597)&amp;IF(Checks!$AB$597="","",CHAR(10)&amp;"CA: "&amp;Checks!$AB$597)</f>
        <v/>
      </c>
      <c r="E48" s="124">
        <f>IF(Checks!$V$597="","",Checks!$V$597)&amp;IF(Checks!$AC$597="","",IF(Checks!$V$597="","",CHAR(10))&amp;"N/A just.: "&amp;Checks!$AC$597)&amp;IF(Checks!$W$597="","",CHAR(10)&amp;"Batch: "&amp;Checks!$W$597)&amp;IF(AND(Checks!$X$597="",Checks!$Y$597=""),"",CHAR(10)&amp;"Exp: "&amp;Checks!$X$597&amp;"  /  Act: "&amp;Checks!$Y$597)</f>
        <v/>
      </c>
      <c r="F48" s="124">
        <f>IF(Checks!$Z$597="","","Evidence: "&amp;Checks!$Z$597)&amp;IF(Checks!$AA$597="","",IF(Checks!$Z$597="","",CHAR(10))&amp;"CA: "&amp;Checks!$AA$597)</f>
        <v/>
      </c>
      <c r="G48" s="124">
        <f>IF(ISNUMBER(Checks!$AD$597),TEXT(Checks!$AD$597,"DD-MMM-YY HH:MM")&amp;" "&amp;Checks!$P$597,"")&amp;IF(Checks!$AE$597="","",CHAR(10)&amp;Checks!$AE$597)</f>
        <v/>
      </c>
      <c r="H48" s="125">
        <f>IF(Checks!$AH$597="","",Checks!$AH$597)</f>
        <v/>
      </c>
    </row>
    <row r="49" ht="92" customHeight="1">
      <c r="A49" s="124">
        <f>Checks!$A$598&amp;CHAR(10)&amp;IF(Checks!$I$598="","",Checks!$I$598&amp;": ")&amp;Checks!$J$598</f>
        <v/>
      </c>
      <c r="B49" s="124">
        <f>Checks!$K$598&amp;IF(Checks!$O$598="","",IF(Checks!$K$598="","",CHAR(10))&amp;"Note: "&amp;Checks!$O$598)</f>
        <v/>
      </c>
      <c r="C49" s="124">
        <f>Checks!$N$598&amp;CHAR(10)&amp;IF(ISNUMBER(Checks!$R$598),TEXT(Checks!$R$598,"DD-MMM-YY HH:MM"),"")&amp;" "&amp;Checks!$P$598</f>
        <v/>
      </c>
      <c r="D49" s="124">
        <f>IF(Checks!$U$598="","",Checks!$U$598)&amp;IF(Checks!$AB$598="","",CHAR(10)&amp;"CA: "&amp;Checks!$AB$598)</f>
        <v/>
      </c>
      <c r="E49" s="124">
        <f>IF(Checks!$V$598="","",Checks!$V$598)&amp;IF(Checks!$AC$598="","",IF(Checks!$V$598="","",CHAR(10))&amp;"N/A just.: "&amp;Checks!$AC$598)&amp;IF(Checks!$W$598="","",CHAR(10)&amp;"Batch: "&amp;Checks!$W$598)&amp;IF(AND(Checks!$X$598="",Checks!$Y$598=""),"",CHAR(10)&amp;"Exp: "&amp;Checks!$X$598&amp;"  /  Act: "&amp;Checks!$Y$598)</f>
        <v/>
      </c>
      <c r="F49" s="124">
        <f>IF(Checks!$Z$598="","","Evidence: "&amp;Checks!$Z$598)&amp;IF(Checks!$AA$598="","",IF(Checks!$Z$598="","",CHAR(10))&amp;"CA: "&amp;Checks!$AA$598)</f>
        <v/>
      </c>
      <c r="G49" s="124">
        <f>IF(ISNUMBER(Checks!$AD$598),TEXT(Checks!$AD$598,"DD-MMM-YY HH:MM")&amp;" "&amp;Checks!$P$598,"")&amp;IF(Checks!$AE$598="","",CHAR(10)&amp;Checks!$AE$598)</f>
        <v/>
      </c>
      <c r="H49" s="125">
        <f>IF(Checks!$AH$598="","",Checks!$AH$598)</f>
        <v/>
      </c>
    </row>
    <row r="50" ht="92" customHeight="1">
      <c r="A50" s="124">
        <f>Checks!$A$599&amp;CHAR(10)&amp;IF(Checks!$I$599="","",Checks!$I$599&amp;": ")&amp;Checks!$J$599</f>
        <v/>
      </c>
      <c r="B50" s="124">
        <f>Checks!$K$599&amp;IF(Checks!$O$599="","",IF(Checks!$K$599="","",CHAR(10))&amp;"Note: "&amp;Checks!$O$599)</f>
        <v/>
      </c>
      <c r="C50" s="124">
        <f>Checks!$N$599&amp;CHAR(10)&amp;IF(ISNUMBER(Checks!$R$599),TEXT(Checks!$R$599,"DD-MMM-YY HH:MM"),"")&amp;" "&amp;Checks!$P$599</f>
        <v/>
      </c>
      <c r="D50" s="124">
        <f>IF(Checks!$U$599="","",Checks!$U$599)&amp;IF(Checks!$AB$599="","",CHAR(10)&amp;"CA: "&amp;Checks!$AB$599)</f>
        <v/>
      </c>
      <c r="E50" s="124">
        <f>IF(Checks!$V$599="","",Checks!$V$599)&amp;IF(Checks!$AC$599="","",IF(Checks!$V$599="","",CHAR(10))&amp;"N/A just.: "&amp;Checks!$AC$599)&amp;IF(Checks!$W$599="","",CHAR(10)&amp;"Batch: "&amp;Checks!$W$599)&amp;IF(AND(Checks!$X$599="",Checks!$Y$599=""),"",CHAR(10)&amp;"Exp: "&amp;Checks!$X$599&amp;"  /  Act: "&amp;Checks!$Y$599)</f>
        <v/>
      </c>
      <c r="F50" s="124">
        <f>IF(Checks!$Z$599="","","Evidence: "&amp;Checks!$Z$599)&amp;IF(Checks!$AA$599="","",IF(Checks!$Z$599="","",CHAR(10))&amp;"CA: "&amp;Checks!$AA$599)</f>
        <v/>
      </c>
      <c r="G50" s="124">
        <f>IF(ISNUMBER(Checks!$AD$599),TEXT(Checks!$AD$599,"DD-MMM-YY HH:MM")&amp;" "&amp;Checks!$P$599,"")&amp;IF(Checks!$AE$599="","",CHAR(10)&amp;Checks!$AE$599)</f>
        <v/>
      </c>
      <c r="H50" s="125">
        <f>IF(Checks!$AH$599="","",Checks!$AH$599)</f>
        <v/>
      </c>
    </row>
    <row r="51" ht="92" customHeight="1">
      <c r="A51" s="124">
        <f>Checks!$A$600&amp;CHAR(10)&amp;IF(Checks!$I$600="","",Checks!$I$600&amp;": ")&amp;Checks!$J$600</f>
        <v/>
      </c>
      <c r="B51" s="124">
        <f>Checks!$K$600&amp;IF(Checks!$O$600="","",IF(Checks!$K$600="","",CHAR(10))&amp;"Note: "&amp;Checks!$O$600)</f>
        <v/>
      </c>
      <c r="C51" s="124">
        <f>Checks!$N$600&amp;CHAR(10)&amp;IF(ISNUMBER(Checks!$R$600),TEXT(Checks!$R$600,"DD-MMM-YY HH:MM"),"")&amp;" "&amp;Checks!$P$600</f>
        <v/>
      </c>
      <c r="D51" s="124">
        <f>IF(Checks!$U$600="","",Checks!$U$600)&amp;IF(Checks!$AB$600="","",CHAR(10)&amp;"CA: "&amp;Checks!$AB$600)</f>
        <v/>
      </c>
      <c r="E51" s="124">
        <f>IF(Checks!$V$600="","",Checks!$V$600)&amp;IF(Checks!$AC$600="","",IF(Checks!$V$600="","",CHAR(10))&amp;"N/A just.: "&amp;Checks!$AC$600)&amp;IF(Checks!$W$600="","",CHAR(10)&amp;"Batch: "&amp;Checks!$W$600)&amp;IF(AND(Checks!$X$600="",Checks!$Y$600=""),"",CHAR(10)&amp;"Exp: "&amp;Checks!$X$600&amp;"  /  Act: "&amp;Checks!$Y$600)</f>
        <v/>
      </c>
      <c r="F51" s="124">
        <f>IF(Checks!$Z$600="","","Evidence: "&amp;Checks!$Z$600)&amp;IF(Checks!$AA$600="","",IF(Checks!$Z$600="","",CHAR(10))&amp;"CA: "&amp;Checks!$AA$600)</f>
        <v/>
      </c>
      <c r="G51" s="124">
        <f>IF(ISNUMBER(Checks!$AD$600),TEXT(Checks!$AD$600,"DD-MMM-YY HH:MM")&amp;" "&amp;Checks!$P$600,"")&amp;IF(Checks!$AE$600="","",CHAR(10)&amp;Checks!$AE$600)</f>
        <v/>
      </c>
      <c r="H51" s="125">
        <f>IF(Checks!$AH$600="","",Checks!$AH$600)</f>
        <v/>
      </c>
    </row>
    <row r="52" ht="92" customHeight="1">
      <c r="A52" s="124">
        <f>Checks!$A$601&amp;CHAR(10)&amp;IF(Checks!$I$601="","",Checks!$I$601&amp;": ")&amp;Checks!$J$601</f>
        <v/>
      </c>
      <c r="B52" s="124">
        <f>Checks!$K$601&amp;IF(Checks!$O$601="","",IF(Checks!$K$601="","",CHAR(10))&amp;"Note: "&amp;Checks!$O$601)</f>
        <v/>
      </c>
      <c r="C52" s="124">
        <f>Checks!$N$601&amp;CHAR(10)&amp;IF(ISNUMBER(Checks!$R$601),TEXT(Checks!$R$601,"DD-MMM-YY HH:MM"),"")&amp;" "&amp;Checks!$P$601</f>
        <v/>
      </c>
      <c r="D52" s="124">
        <f>IF(Checks!$U$601="","",Checks!$U$601)&amp;IF(Checks!$AB$601="","",CHAR(10)&amp;"CA: "&amp;Checks!$AB$601)</f>
        <v/>
      </c>
      <c r="E52" s="124">
        <f>IF(Checks!$V$601="","",Checks!$V$601)&amp;IF(Checks!$AC$601="","",IF(Checks!$V$601="","",CHAR(10))&amp;"N/A just.: "&amp;Checks!$AC$601)&amp;IF(Checks!$W$601="","",CHAR(10)&amp;"Batch: "&amp;Checks!$W$601)&amp;IF(AND(Checks!$X$601="",Checks!$Y$601=""),"",CHAR(10)&amp;"Exp: "&amp;Checks!$X$601&amp;"  /  Act: "&amp;Checks!$Y$601)</f>
        <v/>
      </c>
      <c r="F52" s="124">
        <f>IF(Checks!$Z$601="","","Evidence: "&amp;Checks!$Z$601)&amp;IF(Checks!$AA$601="","",IF(Checks!$Z$601="","",CHAR(10))&amp;"CA: "&amp;Checks!$AA$601)</f>
        <v/>
      </c>
      <c r="G52" s="124">
        <f>IF(ISNUMBER(Checks!$AD$601),TEXT(Checks!$AD$601,"DD-MMM-YY HH:MM")&amp;" "&amp;Checks!$P$601,"")&amp;IF(Checks!$AE$601="","",CHAR(10)&amp;Checks!$AE$601)</f>
        <v/>
      </c>
      <c r="H52" s="125">
        <f>IF(Checks!$AH$601="","",Checks!$AH$601)</f>
        <v/>
      </c>
    </row>
    <row r="53" ht="81" customHeight="1">
      <c r="A53" s="124">
        <f>Checks!$A$602&amp;CHAR(10)&amp;IF(Checks!$I$602="","",Checks!$I$602&amp;": ")&amp;Checks!$J$602</f>
        <v/>
      </c>
      <c r="B53" s="124">
        <f>Checks!$K$602&amp;IF(Checks!$O$602="","",IF(Checks!$K$602="","",CHAR(10))&amp;"Note: "&amp;Checks!$O$602)</f>
        <v/>
      </c>
      <c r="C53" s="124">
        <f>Checks!$N$602&amp;CHAR(10)&amp;IF(ISNUMBER(Checks!$R$602),TEXT(Checks!$R$602,"DD-MMM-YY HH:MM"),"")&amp;" "&amp;Checks!$P$602</f>
        <v/>
      </c>
      <c r="D53" s="124">
        <f>IF(Checks!$U$602="","",Checks!$U$602)&amp;IF(Checks!$AB$602="","",CHAR(10)&amp;"CA: "&amp;Checks!$AB$602)</f>
        <v/>
      </c>
      <c r="E53" s="124">
        <f>IF(Checks!$V$602="","",Checks!$V$602)&amp;IF(Checks!$AC$602="","",IF(Checks!$V$602="","",CHAR(10))&amp;"N/A just.: "&amp;Checks!$AC$602)&amp;IF(Checks!$W$602="","",CHAR(10)&amp;"Batch: "&amp;Checks!$W$602)&amp;IF(AND(Checks!$X$602="",Checks!$Y$602=""),"",CHAR(10)&amp;"Exp: "&amp;Checks!$X$602&amp;"  /  Act: "&amp;Checks!$Y$602)</f>
        <v/>
      </c>
      <c r="F53" s="124">
        <f>IF(Checks!$Z$602="","","Evidence: "&amp;Checks!$Z$602)&amp;IF(Checks!$AA$602="","",IF(Checks!$Z$602="","",CHAR(10))&amp;"CA: "&amp;Checks!$AA$602)</f>
        <v/>
      </c>
      <c r="G53" s="124">
        <f>IF(ISNUMBER(Checks!$AD$602),TEXT(Checks!$AD$602,"DD-MMM-YY HH:MM")&amp;" "&amp;Checks!$P$602,"")&amp;IF(Checks!$AE$602="","",CHAR(10)&amp;Checks!$AE$602)</f>
        <v/>
      </c>
      <c r="H53" s="125">
        <f>IF(Checks!$AH$602="","",Checks!$AH$602)</f>
        <v/>
      </c>
    </row>
    <row r="54" ht="103" customHeight="1">
      <c r="A54" s="124">
        <f>Checks!$A$603&amp;CHAR(10)&amp;IF(Checks!$I$603="","",Checks!$I$603&amp;": ")&amp;Checks!$J$603</f>
        <v/>
      </c>
      <c r="B54" s="124">
        <f>Checks!$K$603&amp;IF(Checks!$O$603="","",IF(Checks!$K$603="","",CHAR(10))&amp;"Note: "&amp;Checks!$O$603)</f>
        <v/>
      </c>
      <c r="C54" s="124">
        <f>Checks!$N$603&amp;CHAR(10)&amp;IF(ISNUMBER(Checks!$R$603),TEXT(Checks!$R$603,"DD-MMM-YY HH:MM"),"")&amp;" "&amp;Checks!$P$603</f>
        <v/>
      </c>
      <c r="D54" s="124">
        <f>IF(Checks!$U$603="","",Checks!$U$603)&amp;IF(Checks!$AB$603="","",CHAR(10)&amp;"CA: "&amp;Checks!$AB$603)</f>
        <v/>
      </c>
      <c r="E54" s="124">
        <f>IF(Checks!$V$603="","",Checks!$V$603)&amp;IF(Checks!$AC$603="","",IF(Checks!$V$603="","",CHAR(10))&amp;"N/A just.: "&amp;Checks!$AC$603)&amp;IF(Checks!$W$603="","",CHAR(10)&amp;"Batch: "&amp;Checks!$W$603)&amp;IF(AND(Checks!$X$603="",Checks!$Y$603=""),"",CHAR(10)&amp;"Exp: "&amp;Checks!$X$603&amp;"  /  Act: "&amp;Checks!$Y$603)</f>
        <v/>
      </c>
      <c r="F54" s="124">
        <f>IF(Checks!$Z$603="","","Evidence: "&amp;Checks!$Z$603)&amp;IF(Checks!$AA$603="","",IF(Checks!$Z$603="","",CHAR(10))&amp;"CA: "&amp;Checks!$AA$603)</f>
        <v/>
      </c>
      <c r="G54" s="124">
        <f>IF(ISNUMBER(Checks!$AD$603),TEXT(Checks!$AD$603,"DD-MMM-YY HH:MM")&amp;" "&amp;Checks!$P$603,"")&amp;IF(Checks!$AE$603="","",CHAR(10)&amp;Checks!$AE$603)</f>
        <v/>
      </c>
      <c r="H54" s="125">
        <f>IF(Checks!$AH$603="","",Checks!$AH$603)</f>
        <v/>
      </c>
    </row>
    <row r="55" ht="26" customHeight="1">
      <c r="A55" s="123">
        <f>"UPLIFT — Physical uplift – on-board confirmation before departure  |  Due "&amp;"STD "&amp;IF(ISNUMBER(Flights!$I$22),TEXT(Flights!$I$22,"DD-MMM-YY HH:MM"),"")&amp;" "&amp;Flights!$G$22&amp;" (departure stn)"&amp;" (rows with another due show their own)  |  Complete "&amp;IF(ISNUMBER(Flights!$AM$22),TEXT(Flights!$AM$22,"0%"),Flights!$AM$22)&amp;"  |  15 lines"</f>
        <v/>
      </c>
      <c r="B55" s="97" t="n"/>
      <c r="C55" s="97" t="n"/>
      <c r="D55" s="97" t="n"/>
      <c r="E55" s="97" t="n"/>
      <c r="F55" s="97" t="n"/>
      <c r="G55" s="97" t="n"/>
      <c r="H55" s="98" t="n"/>
    </row>
    <row r="56" ht="81" customHeight="1">
      <c r="A56" s="124">
        <f>Checks!$A$604&amp;CHAR(10)&amp;IF(Checks!$I$604="","",Checks!$I$604&amp;": ")&amp;Checks!$J$604</f>
        <v/>
      </c>
      <c r="B56" s="124">
        <f>Checks!$K$604&amp;IF(Checks!$O$604="","",IF(Checks!$K$604="","",CHAR(10))&amp;"Note: "&amp;Checks!$O$604)</f>
        <v/>
      </c>
      <c r="C56" s="124">
        <f>Checks!$N$604&amp;CHAR(10)&amp;IF(ISNUMBER(Checks!$R$604),TEXT(Checks!$R$604,"DD-MMM-YY HH:MM"),"")&amp;" "&amp;Checks!$P$604</f>
        <v/>
      </c>
      <c r="D56" s="124">
        <f>IF(Checks!$U$604="","",Checks!$U$604)&amp;IF(Checks!$AB$604="","",CHAR(10)&amp;"CA: "&amp;Checks!$AB$604)</f>
        <v/>
      </c>
      <c r="E56" s="124">
        <f>IF(Checks!$V$604="","",Checks!$V$604)&amp;IF(Checks!$AC$604="","",IF(Checks!$V$604="","",CHAR(10))&amp;"N/A just.: "&amp;Checks!$AC$604)&amp;IF(Checks!$W$604="","",CHAR(10)&amp;"Batch: "&amp;Checks!$W$604)&amp;IF(AND(Checks!$X$604="",Checks!$Y$604=""),"",CHAR(10)&amp;"Exp: "&amp;Checks!$X$604&amp;"  /  Act: "&amp;Checks!$Y$604)</f>
        <v/>
      </c>
      <c r="F56" s="124">
        <f>IF(Checks!$Z$604="","","Evidence: "&amp;Checks!$Z$604)&amp;IF(Checks!$AA$604="","",IF(Checks!$Z$604="","",CHAR(10))&amp;"CA: "&amp;Checks!$AA$604)</f>
        <v/>
      </c>
      <c r="G56" s="124">
        <f>IF(ISNUMBER(Checks!$AD$604),TEXT(Checks!$AD$604,"DD-MMM-YY HH:MM")&amp;" "&amp;Checks!$P$604,"")&amp;IF(Checks!$AE$604="","",CHAR(10)&amp;Checks!$AE$604)</f>
        <v/>
      </c>
      <c r="H56" s="125">
        <f>IF(Checks!$AH$604="","",Checks!$AH$604)</f>
        <v/>
      </c>
    </row>
    <row r="57" ht="81" customHeight="1">
      <c r="A57" s="124">
        <f>Checks!$A$605&amp;CHAR(10)&amp;IF(Checks!$I$605="","",Checks!$I$605&amp;": ")&amp;Checks!$J$605</f>
        <v/>
      </c>
      <c r="B57" s="124">
        <f>Checks!$K$605&amp;IF(Checks!$O$605="","",IF(Checks!$K$605="","",CHAR(10))&amp;"Note: "&amp;Checks!$O$605)</f>
        <v/>
      </c>
      <c r="C57" s="124">
        <f>Checks!$N$605&amp;CHAR(10)&amp;IF(ISNUMBER(Checks!$R$605),TEXT(Checks!$R$605,"DD-MMM-YY HH:MM"),"")&amp;" "&amp;Checks!$P$605</f>
        <v/>
      </c>
      <c r="D57" s="124">
        <f>IF(Checks!$U$605="","",Checks!$U$605)&amp;IF(Checks!$AB$605="","",CHAR(10)&amp;"CA: "&amp;Checks!$AB$605)</f>
        <v/>
      </c>
      <c r="E57" s="124">
        <f>IF(Checks!$V$605="","",Checks!$V$605)&amp;IF(Checks!$AC$605="","",IF(Checks!$V$605="","",CHAR(10))&amp;"N/A just.: "&amp;Checks!$AC$605)&amp;IF(Checks!$W$605="","",CHAR(10)&amp;"Batch: "&amp;Checks!$W$605)&amp;IF(AND(Checks!$X$605="",Checks!$Y$605=""),"",CHAR(10)&amp;"Exp: "&amp;Checks!$X$605&amp;"  /  Act: "&amp;Checks!$Y$605)</f>
        <v/>
      </c>
      <c r="F57" s="124">
        <f>IF(Checks!$Z$605="","","Evidence: "&amp;Checks!$Z$605)&amp;IF(Checks!$AA$605="","",IF(Checks!$Z$605="","",CHAR(10))&amp;"CA: "&amp;Checks!$AA$605)</f>
        <v/>
      </c>
      <c r="G57" s="124">
        <f>IF(ISNUMBER(Checks!$AD$605),TEXT(Checks!$AD$605,"DD-MMM-YY HH:MM")&amp;" "&amp;Checks!$P$605,"")&amp;IF(Checks!$AE$605="","",CHAR(10)&amp;Checks!$AE$605)</f>
        <v/>
      </c>
      <c r="H57" s="125">
        <f>IF(Checks!$AH$605="","",Checks!$AH$605)</f>
        <v/>
      </c>
    </row>
    <row r="58" ht="81" customHeight="1">
      <c r="A58" s="124">
        <f>Checks!$A$606&amp;CHAR(10)&amp;IF(Checks!$I$606="","",Checks!$I$606&amp;": ")&amp;Checks!$J$606</f>
        <v/>
      </c>
      <c r="B58" s="124">
        <f>Checks!$K$606&amp;IF(Checks!$O$606="","",IF(Checks!$K$606="","",CHAR(10))&amp;"Note: "&amp;Checks!$O$606)</f>
        <v/>
      </c>
      <c r="C58" s="124">
        <f>Checks!$N$606&amp;CHAR(10)&amp;IF(ISNUMBER(Checks!$R$606),TEXT(Checks!$R$606,"DD-MMM-YY HH:MM"),"")&amp;" "&amp;Checks!$P$606</f>
        <v/>
      </c>
      <c r="D58" s="124">
        <f>IF(Checks!$U$606="","",Checks!$U$606)&amp;IF(Checks!$AB$606="","",CHAR(10)&amp;"CA: "&amp;Checks!$AB$606)</f>
        <v/>
      </c>
      <c r="E58" s="124">
        <f>IF(Checks!$V$606="","",Checks!$V$606)&amp;IF(Checks!$AC$606="","",IF(Checks!$V$606="","",CHAR(10))&amp;"N/A just.: "&amp;Checks!$AC$606)&amp;IF(Checks!$W$606="","",CHAR(10)&amp;"Batch: "&amp;Checks!$W$606)&amp;IF(AND(Checks!$X$606="",Checks!$Y$606=""),"",CHAR(10)&amp;"Exp: "&amp;Checks!$X$606&amp;"  /  Act: "&amp;Checks!$Y$606)</f>
        <v/>
      </c>
      <c r="F58" s="124">
        <f>IF(Checks!$Z$606="","","Evidence: "&amp;Checks!$Z$606)&amp;IF(Checks!$AA$606="","",IF(Checks!$Z$606="","",CHAR(10))&amp;"CA: "&amp;Checks!$AA$606)</f>
        <v/>
      </c>
      <c r="G58" s="124">
        <f>IF(ISNUMBER(Checks!$AD$606),TEXT(Checks!$AD$606,"DD-MMM-YY HH:MM")&amp;" "&amp;Checks!$P$606,"")&amp;IF(Checks!$AE$606="","",CHAR(10)&amp;Checks!$AE$606)</f>
        <v/>
      </c>
      <c r="H58" s="125">
        <f>IF(Checks!$AH$606="","",Checks!$AH$606)</f>
        <v/>
      </c>
    </row>
    <row r="59" ht="81" customHeight="1">
      <c r="A59" s="124">
        <f>Checks!$A$607&amp;CHAR(10)&amp;IF(Checks!$I$607="","",Checks!$I$607&amp;": ")&amp;Checks!$J$607</f>
        <v/>
      </c>
      <c r="B59" s="124">
        <f>Checks!$K$607&amp;IF(Checks!$O$607="","",IF(Checks!$K$607="","",CHAR(10))&amp;"Note: "&amp;Checks!$O$607)</f>
        <v/>
      </c>
      <c r="C59" s="124">
        <f>Checks!$N$607&amp;CHAR(10)&amp;IF(ISNUMBER(Checks!$R$607),TEXT(Checks!$R$607,"DD-MMM-YY HH:MM"),"")&amp;" "&amp;Checks!$P$607</f>
        <v/>
      </c>
      <c r="D59" s="124">
        <f>IF(Checks!$U$607="","",Checks!$U$607)&amp;IF(Checks!$AB$607="","",CHAR(10)&amp;"CA: "&amp;Checks!$AB$607)</f>
        <v/>
      </c>
      <c r="E59" s="124">
        <f>IF(Checks!$V$607="","",Checks!$V$607)&amp;IF(Checks!$AC$607="","",IF(Checks!$V$607="","",CHAR(10))&amp;"N/A just.: "&amp;Checks!$AC$607)&amp;IF(Checks!$W$607="","",CHAR(10)&amp;"Batch: "&amp;Checks!$W$607)&amp;IF(AND(Checks!$X$607="",Checks!$Y$607=""),"",CHAR(10)&amp;"Exp: "&amp;Checks!$X$607&amp;"  /  Act: "&amp;Checks!$Y$607)</f>
        <v/>
      </c>
      <c r="F59" s="124">
        <f>IF(Checks!$Z$607="","","Evidence: "&amp;Checks!$Z$607)&amp;IF(Checks!$AA$607="","",IF(Checks!$Z$607="","",CHAR(10))&amp;"CA: "&amp;Checks!$AA$607)</f>
        <v/>
      </c>
      <c r="G59" s="124">
        <f>IF(ISNUMBER(Checks!$AD$607),TEXT(Checks!$AD$607,"DD-MMM-YY HH:MM")&amp;" "&amp;Checks!$P$607,"")&amp;IF(Checks!$AE$607="","",CHAR(10)&amp;Checks!$AE$607)</f>
        <v/>
      </c>
      <c r="H59" s="125">
        <f>IF(Checks!$AH$607="","",Checks!$AH$607)</f>
        <v/>
      </c>
    </row>
    <row r="60" ht="81" customHeight="1">
      <c r="A60" s="124">
        <f>Checks!$A$608&amp;CHAR(10)&amp;IF(Checks!$I$608="","",Checks!$I$608&amp;": ")&amp;Checks!$J$608</f>
        <v/>
      </c>
      <c r="B60" s="124">
        <f>Checks!$K$608&amp;IF(Checks!$O$608="","",IF(Checks!$K$608="","",CHAR(10))&amp;"Note: "&amp;Checks!$O$608)</f>
        <v/>
      </c>
      <c r="C60" s="124">
        <f>Checks!$N$608&amp;CHAR(10)&amp;IF(ISNUMBER(Checks!$R$608),TEXT(Checks!$R$608,"DD-MMM-YY HH:MM"),"")&amp;" "&amp;Checks!$P$608</f>
        <v/>
      </c>
      <c r="D60" s="124">
        <f>IF(Checks!$U$608="","",Checks!$U$608)&amp;IF(Checks!$AB$608="","",CHAR(10)&amp;"CA: "&amp;Checks!$AB$608)</f>
        <v/>
      </c>
      <c r="E60" s="124">
        <f>IF(Checks!$V$608="","",Checks!$V$608)&amp;IF(Checks!$AC$608="","",IF(Checks!$V$608="","",CHAR(10))&amp;"N/A just.: "&amp;Checks!$AC$608)&amp;IF(Checks!$W$608="","",CHAR(10)&amp;"Batch: "&amp;Checks!$W$608)&amp;IF(AND(Checks!$X$608="",Checks!$Y$608=""),"",CHAR(10)&amp;"Exp: "&amp;Checks!$X$608&amp;"  /  Act: "&amp;Checks!$Y$608)</f>
        <v/>
      </c>
      <c r="F60" s="124">
        <f>IF(Checks!$Z$608="","","Evidence: "&amp;Checks!$Z$608)&amp;IF(Checks!$AA$608="","",IF(Checks!$Z$608="","",CHAR(10))&amp;"CA: "&amp;Checks!$AA$608)</f>
        <v/>
      </c>
      <c r="G60" s="124">
        <f>IF(ISNUMBER(Checks!$AD$608),TEXT(Checks!$AD$608,"DD-MMM-YY HH:MM")&amp;" "&amp;Checks!$P$608,"")&amp;IF(Checks!$AE$608="","",CHAR(10)&amp;Checks!$AE$608)</f>
        <v/>
      </c>
      <c r="H60" s="125">
        <f>IF(Checks!$AH$608="","",Checks!$AH$608)</f>
        <v/>
      </c>
    </row>
    <row r="61" ht="81" customHeight="1">
      <c r="A61" s="124">
        <f>Checks!$A$609&amp;CHAR(10)&amp;IF(Checks!$I$609="","",Checks!$I$609&amp;": ")&amp;Checks!$J$609</f>
        <v/>
      </c>
      <c r="B61" s="124">
        <f>Checks!$K$609&amp;IF(Checks!$O$609="","",IF(Checks!$K$609="","",CHAR(10))&amp;"Note: "&amp;Checks!$O$609)</f>
        <v/>
      </c>
      <c r="C61" s="124">
        <f>Checks!$N$609&amp;CHAR(10)&amp;IF(ISNUMBER(Checks!$R$609),TEXT(Checks!$R$609,"DD-MMM-YY HH:MM"),"")&amp;" "&amp;Checks!$P$609</f>
        <v/>
      </c>
      <c r="D61" s="124">
        <f>IF(Checks!$U$609="","",Checks!$U$609)&amp;IF(Checks!$AB$609="","",CHAR(10)&amp;"CA: "&amp;Checks!$AB$609)</f>
        <v/>
      </c>
      <c r="E61" s="124">
        <f>IF(Checks!$V$609="","",Checks!$V$609)&amp;IF(Checks!$AC$609="","",IF(Checks!$V$609="","",CHAR(10))&amp;"N/A just.: "&amp;Checks!$AC$609)&amp;IF(Checks!$W$609="","",CHAR(10)&amp;"Batch: "&amp;Checks!$W$609)&amp;IF(AND(Checks!$X$609="",Checks!$Y$609=""),"",CHAR(10)&amp;"Exp: "&amp;Checks!$X$609&amp;"  /  Act: "&amp;Checks!$Y$609)</f>
        <v/>
      </c>
      <c r="F61" s="124">
        <f>IF(Checks!$Z$609="","","Evidence: "&amp;Checks!$Z$609)&amp;IF(Checks!$AA$609="","",IF(Checks!$Z$609="","",CHAR(10))&amp;"CA: "&amp;Checks!$AA$609)</f>
        <v/>
      </c>
      <c r="G61" s="124">
        <f>IF(ISNUMBER(Checks!$AD$609),TEXT(Checks!$AD$609,"DD-MMM-YY HH:MM")&amp;" "&amp;Checks!$P$609,"")&amp;IF(Checks!$AE$609="","",CHAR(10)&amp;Checks!$AE$609)</f>
        <v/>
      </c>
      <c r="H61" s="125">
        <f>IF(Checks!$AH$609="","",Checks!$AH$609)</f>
        <v/>
      </c>
    </row>
    <row r="62" ht="81" customHeight="1">
      <c r="A62" s="124">
        <f>Checks!$A$610&amp;CHAR(10)&amp;IF(Checks!$I$610="","",Checks!$I$610&amp;": ")&amp;Checks!$J$610</f>
        <v/>
      </c>
      <c r="B62" s="124">
        <f>Checks!$K$610&amp;IF(Checks!$O$610="","",IF(Checks!$K$610="","",CHAR(10))&amp;"Note: "&amp;Checks!$O$610)</f>
        <v/>
      </c>
      <c r="C62" s="124">
        <f>Checks!$N$610&amp;CHAR(10)&amp;IF(ISNUMBER(Checks!$R$610),TEXT(Checks!$R$610,"DD-MMM-YY HH:MM"),"")&amp;" "&amp;Checks!$P$610</f>
        <v/>
      </c>
      <c r="D62" s="124">
        <f>IF(Checks!$U$610="","",Checks!$U$610)&amp;IF(Checks!$AB$610="","",CHAR(10)&amp;"CA: "&amp;Checks!$AB$610)</f>
        <v/>
      </c>
      <c r="E62" s="124">
        <f>IF(Checks!$V$610="","",Checks!$V$610)&amp;IF(Checks!$AC$610="","",IF(Checks!$V$610="","",CHAR(10))&amp;"N/A just.: "&amp;Checks!$AC$610)&amp;IF(Checks!$W$610="","",CHAR(10)&amp;"Batch: "&amp;Checks!$W$610)&amp;IF(AND(Checks!$X$610="",Checks!$Y$610=""),"",CHAR(10)&amp;"Exp: "&amp;Checks!$X$610&amp;"  /  Act: "&amp;Checks!$Y$610)</f>
        <v/>
      </c>
      <c r="F62" s="124">
        <f>IF(Checks!$Z$610="","","Evidence: "&amp;Checks!$Z$610)&amp;IF(Checks!$AA$610="","",IF(Checks!$Z$610="","",CHAR(10))&amp;"CA: "&amp;Checks!$AA$610)</f>
        <v/>
      </c>
      <c r="G62" s="124">
        <f>IF(ISNUMBER(Checks!$AD$610),TEXT(Checks!$AD$610,"DD-MMM-YY HH:MM")&amp;" "&amp;Checks!$P$610,"")&amp;IF(Checks!$AE$610="","",CHAR(10)&amp;Checks!$AE$610)</f>
        <v/>
      </c>
      <c r="H62" s="125">
        <f>IF(Checks!$AH$610="","",Checks!$AH$610)</f>
        <v/>
      </c>
    </row>
    <row r="63" ht="81" customHeight="1">
      <c r="A63" s="124">
        <f>Checks!$A$611&amp;CHAR(10)&amp;IF(Checks!$I$611="","",Checks!$I$611&amp;": ")&amp;Checks!$J$611</f>
        <v/>
      </c>
      <c r="B63" s="124">
        <f>Checks!$K$611&amp;IF(Checks!$O$611="","",IF(Checks!$K$611="","",CHAR(10))&amp;"Note: "&amp;Checks!$O$611)</f>
        <v/>
      </c>
      <c r="C63" s="124">
        <f>Checks!$N$611&amp;CHAR(10)&amp;IF(ISNUMBER(Checks!$R$611),TEXT(Checks!$R$611,"DD-MMM-YY HH:MM"),"")&amp;" "&amp;Checks!$P$611</f>
        <v/>
      </c>
      <c r="D63" s="124">
        <f>IF(Checks!$U$611="","",Checks!$U$611)&amp;IF(Checks!$AB$611="","",CHAR(10)&amp;"CA: "&amp;Checks!$AB$611)</f>
        <v/>
      </c>
      <c r="E63" s="124">
        <f>IF(Checks!$V$611="","",Checks!$V$611)&amp;IF(Checks!$AC$611="","",IF(Checks!$V$611="","",CHAR(10))&amp;"N/A just.: "&amp;Checks!$AC$611)&amp;IF(Checks!$W$611="","",CHAR(10)&amp;"Batch: "&amp;Checks!$W$611)&amp;IF(AND(Checks!$X$611="",Checks!$Y$611=""),"",CHAR(10)&amp;"Exp: "&amp;Checks!$X$611&amp;"  /  Act: "&amp;Checks!$Y$611)</f>
        <v/>
      </c>
      <c r="F63" s="124">
        <f>IF(Checks!$Z$611="","","Evidence: "&amp;Checks!$Z$611)&amp;IF(Checks!$AA$611="","",IF(Checks!$Z$611="","",CHAR(10))&amp;"CA: "&amp;Checks!$AA$611)</f>
        <v/>
      </c>
      <c r="G63" s="124">
        <f>IF(ISNUMBER(Checks!$AD$611),TEXT(Checks!$AD$611,"DD-MMM-YY HH:MM")&amp;" "&amp;Checks!$P$611,"")&amp;IF(Checks!$AE$611="","",CHAR(10)&amp;Checks!$AE$611)</f>
        <v/>
      </c>
      <c r="H63" s="125">
        <f>IF(Checks!$AH$611="","",Checks!$AH$611)</f>
        <v/>
      </c>
    </row>
    <row r="64" ht="81" customHeight="1">
      <c r="A64" s="124">
        <f>Checks!$A$612&amp;CHAR(10)&amp;IF(Checks!$I$612="","",Checks!$I$612&amp;": ")&amp;Checks!$J$612</f>
        <v/>
      </c>
      <c r="B64" s="124">
        <f>SUBSTITUTE(Checks!$K$612&amp;IF(Checks!$O$612="","",IF(Checks!$K$612="","",CHAR(10))&amp;"Note: "&amp;Checks!$O$612),"F&amp;B LINEN!","Ref: F&amp;B LINEN!")</f>
        <v/>
      </c>
      <c r="C64" s="124">
        <f>Checks!$N$612&amp;CHAR(10)&amp;IF(ISNUMBER(Checks!$R$612),TEXT(Checks!$R$612,"DD-MMM-YY HH:MM"),"")&amp;" "&amp;Checks!$P$612</f>
        <v/>
      </c>
      <c r="D64" s="124">
        <f>IF(Checks!$U$612="","",Checks!$U$612)&amp;IF(Checks!$AB$612="","",CHAR(10)&amp;"CA: "&amp;Checks!$AB$612)</f>
        <v/>
      </c>
      <c r="E64" s="124">
        <f>IF(Checks!$V$612="","",Checks!$V$612)&amp;IF(Checks!$AC$612="","",IF(Checks!$V$612="","",CHAR(10))&amp;"N/A just.: "&amp;Checks!$AC$612)&amp;IF(Checks!$W$612="","",CHAR(10)&amp;"Batch: "&amp;Checks!$W$612)&amp;IF(AND(Checks!$X$612="",Checks!$Y$612=""),"",CHAR(10)&amp;"Exp: "&amp;Checks!$X$612&amp;"  /  Act: "&amp;Checks!$Y$612)</f>
        <v/>
      </c>
      <c r="F64" s="124">
        <f>IF(Checks!$Z$612="","","Evidence: "&amp;Checks!$Z$612)&amp;IF(Checks!$AA$612="","",IF(Checks!$Z$612="","",CHAR(10))&amp;"CA: "&amp;Checks!$AA$612)</f>
        <v/>
      </c>
      <c r="G64" s="124">
        <f>IF(ISNUMBER(Checks!$AD$612),TEXT(Checks!$AD$612,"DD-MMM-YY HH:MM")&amp;" "&amp;Checks!$P$612,"")&amp;IF(Checks!$AE$612="","",CHAR(10)&amp;Checks!$AE$612)</f>
        <v/>
      </c>
      <c r="H64" s="125">
        <f>IF(Checks!$AH$612="","",Checks!$AH$612)</f>
        <v/>
      </c>
    </row>
    <row r="65" ht="81" customHeight="1">
      <c r="A65" s="124">
        <f>Checks!$A$613&amp;CHAR(10)&amp;IF(Checks!$I$613="","",Checks!$I$613&amp;": ")&amp;Checks!$J$613</f>
        <v/>
      </c>
      <c r="B65" s="124">
        <f>Checks!$K$613&amp;IF(Checks!$O$613="","",IF(Checks!$K$613="","",CHAR(10))&amp;"Note: "&amp;Checks!$O$613)</f>
        <v/>
      </c>
      <c r="C65" s="124">
        <f>Checks!$N$613&amp;CHAR(10)&amp;IF(ISNUMBER(Checks!$R$613),TEXT(Checks!$R$613,"DD-MMM-YY HH:MM"),"")&amp;" "&amp;Checks!$P$613</f>
        <v/>
      </c>
      <c r="D65" s="124">
        <f>IF(Checks!$U$613="","",Checks!$U$613)&amp;IF(Checks!$AB$613="","",CHAR(10)&amp;"CA: "&amp;Checks!$AB$613)</f>
        <v/>
      </c>
      <c r="E65" s="124">
        <f>IF(Checks!$V$613="","",Checks!$V$613)&amp;IF(Checks!$AC$613="","",IF(Checks!$V$613="","",CHAR(10))&amp;"N/A just.: "&amp;Checks!$AC$613)&amp;IF(Checks!$W$613="","",CHAR(10)&amp;"Batch: "&amp;Checks!$W$613)&amp;IF(AND(Checks!$X$613="",Checks!$Y$613=""),"",CHAR(10)&amp;"Exp: "&amp;Checks!$X$613&amp;"  /  Act: "&amp;Checks!$Y$613)</f>
        <v/>
      </c>
      <c r="F65" s="124">
        <f>IF(Checks!$Z$613="","","Evidence: "&amp;Checks!$Z$613)&amp;IF(Checks!$AA$613="","",IF(Checks!$Z$613="","",CHAR(10))&amp;"CA: "&amp;Checks!$AA$613)</f>
        <v/>
      </c>
      <c r="G65" s="124">
        <f>IF(ISNUMBER(Checks!$AD$613),TEXT(Checks!$AD$613,"DD-MMM-YY HH:MM")&amp;" "&amp;Checks!$P$613,"")&amp;IF(Checks!$AE$613="","",CHAR(10)&amp;Checks!$AE$613)</f>
        <v/>
      </c>
      <c r="H65" s="125">
        <f>IF(Checks!$AH$613="","",Checks!$AH$613)</f>
        <v/>
      </c>
    </row>
    <row r="66" ht="81" customHeight="1">
      <c r="A66" s="124">
        <f>Checks!$A$614&amp;CHAR(10)&amp;IF(Checks!$I$614="","",Checks!$I$614&amp;": ")&amp;Checks!$J$614</f>
        <v/>
      </c>
      <c r="B66" s="124">
        <f>Checks!$K$614&amp;IF(Checks!$O$614="","",IF(Checks!$K$614="","",CHAR(10))&amp;"Note: "&amp;Checks!$O$614)</f>
        <v/>
      </c>
      <c r="C66" s="124">
        <f>Checks!$N$614&amp;CHAR(10)&amp;IF(ISNUMBER(Checks!$R$614),TEXT(Checks!$R$614,"DD-MMM-YY HH:MM"),"")&amp;" "&amp;Checks!$P$614</f>
        <v/>
      </c>
      <c r="D66" s="124">
        <f>IF(Checks!$U$614="","",Checks!$U$614)&amp;IF(Checks!$AB$614="","",CHAR(10)&amp;"CA: "&amp;Checks!$AB$614)</f>
        <v/>
      </c>
      <c r="E66" s="124">
        <f>IF(Checks!$V$614="","",Checks!$V$614)&amp;IF(Checks!$AC$614="","",IF(Checks!$V$614="","",CHAR(10))&amp;"N/A just.: "&amp;Checks!$AC$614)&amp;IF(Checks!$W$614="","",CHAR(10)&amp;"Batch: "&amp;Checks!$W$614)&amp;IF(AND(Checks!$X$614="",Checks!$Y$614=""),"",CHAR(10)&amp;"Exp: "&amp;Checks!$X$614&amp;"  /  Act: "&amp;Checks!$Y$614)</f>
        <v/>
      </c>
      <c r="F66" s="124">
        <f>IF(Checks!$Z$614="","","Evidence: "&amp;Checks!$Z$614)&amp;IF(Checks!$AA$614="","",IF(Checks!$Z$614="","",CHAR(10))&amp;"CA: "&amp;Checks!$AA$614)</f>
        <v/>
      </c>
      <c r="G66" s="124">
        <f>IF(ISNUMBER(Checks!$AD$614),TEXT(Checks!$AD$614,"DD-MMM-YY HH:MM")&amp;" "&amp;Checks!$P$614,"")&amp;IF(Checks!$AE$614="","",CHAR(10)&amp;Checks!$AE$614)</f>
        <v/>
      </c>
      <c r="H66" s="125">
        <f>IF(Checks!$AH$614="","",Checks!$AH$614)</f>
        <v/>
      </c>
    </row>
    <row r="67" ht="81" customHeight="1">
      <c r="A67" s="124">
        <f>Checks!$A$615&amp;CHAR(10)&amp;IF(Checks!$I$615="","",Checks!$I$615&amp;": ")&amp;Checks!$J$615</f>
        <v/>
      </c>
      <c r="B67" s="124">
        <f>Checks!$K$615&amp;IF(Checks!$O$615="","",IF(Checks!$K$615="","",CHAR(10))&amp;"Note: "&amp;Checks!$O$615)</f>
        <v/>
      </c>
      <c r="C67" s="124">
        <f>Checks!$N$615&amp;CHAR(10)&amp;IF(ISNUMBER(Checks!$R$615),TEXT(Checks!$R$615,"DD-MMM-YY HH:MM"),"")&amp;" "&amp;Checks!$P$615</f>
        <v/>
      </c>
      <c r="D67" s="124">
        <f>IF(Checks!$U$615="","",Checks!$U$615)&amp;IF(Checks!$AB$615="","",CHAR(10)&amp;"CA: "&amp;Checks!$AB$615)</f>
        <v/>
      </c>
      <c r="E67" s="124">
        <f>IF(Checks!$V$615="","",Checks!$V$615)&amp;IF(Checks!$AC$615="","",IF(Checks!$V$615="","",CHAR(10))&amp;"N/A just.: "&amp;Checks!$AC$615)&amp;IF(Checks!$W$615="","",CHAR(10)&amp;"Batch: "&amp;Checks!$W$615)&amp;IF(AND(Checks!$X$615="",Checks!$Y$615=""),"",CHAR(10)&amp;"Exp: "&amp;Checks!$X$615&amp;"  /  Act: "&amp;Checks!$Y$615)</f>
        <v/>
      </c>
      <c r="F67" s="124">
        <f>IF(Checks!$Z$615="","","Evidence: "&amp;Checks!$Z$615)&amp;IF(Checks!$AA$615="","",IF(Checks!$Z$615="","",CHAR(10))&amp;"CA: "&amp;Checks!$AA$615)</f>
        <v/>
      </c>
      <c r="G67" s="124">
        <f>IF(ISNUMBER(Checks!$AD$615),TEXT(Checks!$AD$615,"DD-MMM-YY HH:MM")&amp;" "&amp;Checks!$P$615,"")&amp;IF(Checks!$AE$615="","",CHAR(10)&amp;Checks!$AE$615)</f>
        <v/>
      </c>
      <c r="H67" s="125">
        <f>IF(Checks!$AH$615="","",Checks!$AH$615)</f>
        <v/>
      </c>
    </row>
    <row r="68" ht="81" customHeight="1">
      <c r="A68" s="124">
        <f>Checks!$A$616&amp;CHAR(10)&amp;IF(Checks!$I$616="","",Checks!$I$616&amp;": ")&amp;Checks!$J$616</f>
        <v/>
      </c>
      <c r="B68" s="124">
        <f>Checks!$K$616&amp;IF(Checks!$O$616="","",IF(Checks!$K$616="","",CHAR(10))&amp;"Note: "&amp;Checks!$O$616)</f>
        <v/>
      </c>
      <c r="C68" s="124">
        <f>Checks!$N$616&amp;CHAR(10)&amp;IF(ISNUMBER(Checks!$R$616),TEXT(Checks!$R$616,"DD-MMM-YY HH:MM"),"")&amp;" "&amp;Checks!$P$616</f>
        <v/>
      </c>
      <c r="D68" s="124">
        <f>IF(Checks!$U$616="","",Checks!$U$616)&amp;IF(Checks!$AB$616="","",CHAR(10)&amp;"CA: "&amp;Checks!$AB$616)</f>
        <v/>
      </c>
      <c r="E68" s="124">
        <f>IF(Checks!$V$616="","",Checks!$V$616)&amp;IF(Checks!$AC$616="","",IF(Checks!$V$616="","",CHAR(10))&amp;"N/A just.: "&amp;Checks!$AC$616)&amp;IF(Checks!$W$616="","",CHAR(10)&amp;"Batch: "&amp;Checks!$W$616)&amp;IF(AND(Checks!$X$616="",Checks!$Y$616=""),"",CHAR(10)&amp;"Exp: "&amp;Checks!$X$616&amp;"  /  Act: "&amp;Checks!$Y$616)</f>
        <v/>
      </c>
      <c r="F68" s="124">
        <f>IF(Checks!$Z$616="","","Evidence: "&amp;Checks!$Z$616)&amp;IF(Checks!$AA$616="","",IF(Checks!$Z$616="","",CHAR(10))&amp;"CA: "&amp;Checks!$AA$616)</f>
        <v/>
      </c>
      <c r="G68" s="124">
        <f>IF(ISNUMBER(Checks!$AD$616),TEXT(Checks!$AD$616,"DD-MMM-YY HH:MM")&amp;" "&amp;Checks!$P$616,"")&amp;IF(Checks!$AE$616="","",CHAR(10)&amp;Checks!$AE$616)</f>
        <v/>
      </c>
      <c r="H68" s="125">
        <f>IF(Checks!$AH$616="","",Checks!$AH$616)</f>
        <v/>
      </c>
    </row>
    <row r="69" ht="81" customHeight="1">
      <c r="A69" s="124">
        <f>Checks!$A$617&amp;CHAR(10)&amp;IF(Checks!$I$617="","",Checks!$I$617&amp;": ")&amp;Checks!$J$617</f>
        <v/>
      </c>
      <c r="B69" s="124">
        <f>Checks!$K$617&amp;IF(Checks!$O$617="","",IF(Checks!$K$617="","",CHAR(10))&amp;"Note: "&amp;Checks!$O$617)</f>
        <v/>
      </c>
      <c r="C69" s="124">
        <f>Checks!$N$617&amp;CHAR(10)&amp;IF(ISNUMBER(Checks!$R$617),TEXT(Checks!$R$617,"DD-MMM-YY HH:MM"),"")&amp;" "&amp;Checks!$P$617</f>
        <v/>
      </c>
      <c r="D69" s="124">
        <f>IF(Checks!$U$617="","",Checks!$U$617)&amp;IF(Checks!$AB$617="","",CHAR(10)&amp;"CA: "&amp;Checks!$AB$617)</f>
        <v/>
      </c>
      <c r="E69" s="124">
        <f>IF(Checks!$V$617="","",Checks!$V$617)&amp;IF(Checks!$AC$617="","",IF(Checks!$V$617="","",CHAR(10))&amp;"N/A just.: "&amp;Checks!$AC$617)&amp;IF(Checks!$W$617="","",CHAR(10)&amp;"Batch: "&amp;Checks!$W$617)&amp;IF(AND(Checks!$X$617="",Checks!$Y$617=""),"",CHAR(10)&amp;"Exp: "&amp;Checks!$X$617&amp;"  /  Act: "&amp;Checks!$Y$617)</f>
        <v/>
      </c>
      <c r="F69" s="124">
        <f>IF(Checks!$Z$617="","","Evidence: "&amp;Checks!$Z$617)&amp;IF(Checks!$AA$617="","",IF(Checks!$Z$617="","",CHAR(10))&amp;"CA: "&amp;Checks!$AA$617)</f>
        <v/>
      </c>
      <c r="G69" s="124">
        <f>IF(ISNUMBER(Checks!$AD$617),TEXT(Checks!$AD$617,"DD-MMM-YY HH:MM")&amp;" "&amp;Checks!$P$617,"")&amp;IF(Checks!$AE$617="","",CHAR(10)&amp;Checks!$AE$617)</f>
        <v/>
      </c>
      <c r="H69" s="125">
        <f>IF(Checks!$AH$617="","",Checks!$AH$617)</f>
        <v/>
      </c>
    </row>
    <row r="70" ht="81" customHeight="1">
      <c r="A70" s="124">
        <f>Checks!$A$618&amp;CHAR(10)&amp;IF(Checks!$I$618="","",Checks!$I$618&amp;": ")&amp;Checks!$J$618</f>
        <v/>
      </c>
      <c r="B70" s="124">
        <f>Checks!$K$618&amp;IF(Checks!$O$618="","",IF(Checks!$K$618="","",CHAR(10))&amp;"Note: "&amp;Checks!$O$618)</f>
        <v/>
      </c>
      <c r="C70" s="124">
        <f>Checks!$N$618&amp;CHAR(10)&amp;IF(ISNUMBER(Checks!$R$618),TEXT(Checks!$R$618,"DD-MMM-YY HH:MM"),"")&amp;" "&amp;Checks!$P$618</f>
        <v/>
      </c>
      <c r="D70" s="124">
        <f>IF(Checks!$U$618="","",Checks!$U$618)&amp;IF(Checks!$AB$618="","",CHAR(10)&amp;"CA: "&amp;Checks!$AB$618)</f>
        <v/>
      </c>
      <c r="E70" s="124">
        <f>IF(Checks!$V$618="","",Checks!$V$618)&amp;IF(Checks!$AC$618="","",IF(Checks!$V$618="","",CHAR(10))&amp;"N/A just.: "&amp;Checks!$AC$618)&amp;IF(Checks!$W$618="","",CHAR(10)&amp;"Batch: "&amp;Checks!$W$618)&amp;IF(AND(Checks!$X$618="",Checks!$Y$618=""),"",CHAR(10)&amp;"Exp: "&amp;Checks!$X$618&amp;"  /  Act: "&amp;Checks!$Y$618)</f>
        <v/>
      </c>
      <c r="F70" s="124">
        <f>IF(Checks!$Z$618="","","Evidence: "&amp;Checks!$Z$618)&amp;IF(Checks!$AA$618="","",IF(Checks!$Z$618="","",CHAR(10))&amp;"CA: "&amp;Checks!$AA$618)</f>
        <v/>
      </c>
      <c r="G70" s="124">
        <f>IF(ISNUMBER(Checks!$AD$618),TEXT(Checks!$AD$618,"DD-MMM-YY HH:MM")&amp;" "&amp;Checks!$P$618,"")&amp;IF(Checks!$AE$618="","",CHAR(10)&amp;Checks!$AE$618)</f>
        <v/>
      </c>
      <c r="H70" s="125">
        <f>IF(Checks!$AH$618="","",Checks!$AH$618)</f>
        <v/>
      </c>
    </row>
    <row r="72" ht="24" customHeight="1">
      <c r="A72" s="126" t="inlineStr">
        <is>
          <t>EXCEL INSERTION AREA (on-screen only, not printed) – A1 Galley Loading Diagram: Insert &gt; Picture here. On paper: staple behind this sheet as page A1.</t>
        </is>
      </c>
      <c r="B72" s="127" t="n"/>
      <c r="C72" s="127" t="n"/>
      <c r="D72" s="128" t="n"/>
      <c r="E72" s="126" t="inlineStr">
        <is>
          <t>EXCEL INSERTION AREA (on-screen only, not printed) – A2 Menu Checklist: Insert &gt; Picture here. On paper: staple behind this sheet as page A2.</t>
        </is>
      </c>
      <c r="F72" s="127" t="n"/>
      <c r="G72" s="127" t="n"/>
      <c r="H72" s="128" t="n"/>
    </row>
    <row r="73" ht="22" customHeight="1">
      <c r="A73" s="129" t="n"/>
      <c r="B73" s="130" t="n"/>
      <c r="C73" s="130" t="n"/>
      <c r="D73" s="131" t="n"/>
      <c r="E73" s="129" t="n"/>
      <c r="F73" s="130" t="n"/>
      <c r="G73" s="130" t="n"/>
      <c r="H73" s="131" t="n"/>
    </row>
    <row r="74" ht="22" customHeight="1">
      <c r="A74" s="132" t="n"/>
      <c r="B74" s="130" t="n"/>
      <c r="C74" s="130" t="n"/>
      <c r="D74" s="131" t="n"/>
      <c r="E74" s="132" t="n"/>
      <c r="F74" s="130" t="n"/>
      <c r="G74" s="130" t="n"/>
      <c r="H74" s="131" t="n"/>
    </row>
    <row r="75" ht="22" customHeight="1">
      <c r="A75" s="132" t="n"/>
      <c r="B75" s="130" t="n"/>
      <c r="C75" s="130" t="n"/>
      <c r="D75" s="131" t="n"/>
      <c r="E75" s="132" t="n"/>
      <c r="F75" s="130" t="n"/>
      <c r="G75" s="130" t="n"/>
      <c r="H75" s="131" t="n"/>
    </row>
    <row r="76" ht="22" customHeight="1">
      <c r="A76" s="132" t="n"/>
      <c r="B76" s="130" t="n"/>
      <c r="C76" s="130" t="n"/>
      <c r="D76" s="131" t="n"/>
      <c r="E76" s="132" t="n"/>
      <c r="F76" s="130" t="n"/>
      <c r="G76" s="130" t="n"/>
      <c r="H76" s="131" t="n"/>
    </row>
    <row r="77" ht="22" customHeight="1">
      <c r="A77" s="132" t="n"/>
      <c r="B77" s="130" t="n"/>
      <c r="C77" s="130" t="n"/>
      <c r="D77" s="131" t="n"/>
      <c r="E77" s="132"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2" t="n"/>
      <c r="B80" s="130" t="n"/>
      <c r="C80" s="130" t="n"/>
      <c r="D80" s="131" t="n"/>
      <c r="E80" s="132" t="n"/>
      <c r="F80" s="130" t="n"/>
      <c r="G80" s="130" t="n"/>
      <c r="H80" s="131" t="n"/>
    </row>
    <row r="81" ht="22" customHeight="1">
      <c r="A81" s="132" t="n"/>
      <c r="B81" s="130" t="n"/>
      <c r="C81" s="130" t="n"/>
      <c r="D81" s="131" t="n"/>
      <c r="E81" s="132" t="n"/>
      <c r="F81" s="130" t="n"/>
      <c r="G81" s="130" t="n"/>
      <c r="H81" s="131" t="n"/>
    </row>
    <row r="82" ht="22" customHeight="1">
      <c r="A82" s="133" t="n"/>
      <c r="B82" s="134" t="n"/>
      <c r="C82" s="134" t="n"/>
      <c r="D82" s="135" t="n"/>
      <c r="E82" s="133" t="n"/>
      <c r="F82" s="134" t="n"/>
      <c r="G82" s="134" t="n"/>
      <c r="H82" s="135" t="n"/>
    </row>
  </sheetData>
  <mergeCells count="46">
    <mergeCell ref="B11:D11"/>
    <mergeCell ref="F18:H18"/>
    <mergeCell ref="C15:D15"/>
    <mergeCell ref="B8:D8"/>
    <mergeCell ref="G11:H11"/>
    <mergeCell ref="A72:D72"/>
    <mergeCell ref="C14:D14"/>
    <mergeCell ref="F2:H2"/>
    <mergeCell ref="F17:H17"/>
    <mergeCell ref="E72:H72"/>
    <mergeCell ref="A1:H1"/>
    <mergeCell ref="G8:H8"/>
    <mergeCell ref="B10:D10"/>
    <mergeCell ref="G7:H7"/>
    <mergeCell ref="F13:H13"/>
    <mergeCell ref="B16:E16"/>
    <mergeCell ref="A73:D82"/>
    <mergeCell ref="B9:D9"/>
    <mergeCell ref="C17:E17"/>
    <mergeCell ref="G6:H6"/>
    <mergeCell ref="A18:B18"/>
    <mergeCell ref="B6:D6"/>
    <mergeCell ref="G3:H3"/>
    <mergeCell ref="B5:D5"/>
    <mergeCell ref="A55:H55"/>
    <mergeCell ref="F14:H14"/>
    <mergeCell ref="C19:E19"/>
    <mergeCell ref="E73:H82"/>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7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70">
    <cfRule type="expression" priority="16" dxfId="20">
      <formula>LEFT($H23,3)="N/A"</formula>
    </cfRule>
  </conditionalFormatting>
  <conditionalFormatting sqref="D23:D7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F18 MH0052 27-Oct-26 KUL-KIX Class BC</oddHeader>
    <oddFooter>&amp;L&amp;"Arial,Bold"&amp;8 F18 MH0052 27-Oct-26 KUL-KIX Class BC&amp;C&amp;"Arial"&amp;8 Printed: ____________________&amp;R&amp;"Arial"&amp;8 F18  Page &amp;P of &amp;N</oddFooter>
    <evenHeader/>
    <evenFooter/>
    <firstHeader/>
    <firstFooter/>
  </headerFooter>
  <rowBreaks count="2" manualBreakCount="2">
    <brk id="20" min="0" max="16383" man="1"/>
    <brk id="33" min="0" max="16383" man="1"/>
  </rowBreaks>
</worksheet>
</file>

<file path=xl/worksheets/sheet27.xml><?xml version="1.0" encoding="utf-8"?>
<worksheet xmlns="http://schemas.openxmlformats.org/spreadsheetml/2006/main">
  <sheetPr>
    <tabColor rgb="001F3864"/>
    <outlinePr summaryBelow="1" summaryRight="1"/>
    <pageSetUpPr fitToPage="1"/>
  </sheetPr>
  <dimension ref="A1:H62"/>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F19  "&amp;Flights!$F$23&amp;"  "&amp;TEXT(Flights!$D$23,"DD-MMM-YY")&amp;" ("&amp;Flights!$E$23&amp;")  "&amp;Flights!$G$23&amp;" → "&amp;Flights!$H$23&amp;"  |  Class "&amp;Flights!$K$23</f>
        <v/>
      </c>
      <c r="B1" s="97" t="n"/>
      <c r="C1" s="97" t="n"/>
      <c r="D1" s="97" t="n"/>
      <c r="E1" s="97" t="n"/>
      <c r="F1" s="97" t="n"/>
      <c r="G1" s="97" t="n"/>
      <c r="H1" s="98" t="n"/>
    </row>
    <row r="2" ht="13" customHeight="1">
      <c r="A2" s="99" t="inlineStr">
        <is>
          <t>Flight / date</t>
        </is>
      </c>
      <c r="B2" s="100">
        <f>Flights!$F$23&amp;"   "&amp;TEXT(Flights!$D$23,"DD-MMM-YY")&amp;" ("&amp;Flights!$E$23&amp;")"</f>
        <v/>
      </c>
      <c r="C2" s="97" t="n"/>
      <c r="D2" s="98" t="n"/>
      <c r="E2" s="101" t="inlineStr">
        <is>
          <t>READINESS STATUS</t>
        </is>
      </c>
      <c r="F2" s="102">
        <f>Flights!$AT$23</f>
        <v/>
      </c>
      <c r="G2" s="97" t="n"/>
      <c r="H2" s="98" t="n"/>
    </row>
    <row r="3" ht="24" customHeight="1">
      <c r="A3" s="99" t="inlineStr">
        <is>
          <t>Sector / class / seat</t>
        </is>
      </c>
      <c r="B3" s="100">
        <f>Flights!$G$23&amp;" → "&amp;Flights!$H$23&amp;"   Class "&amp;Flights!$K$23&amp;"   Seat "&amp;Flights!$O$23</f>
        <v/>
      </c>
      <c r="C3" s="97" t="n"/>
      <c r="D3" s="98" t="n"/>
      <c r="E3" s="101" t="inlineStr">
        <is>
          <t>Checkpoint</t>
        </is>
      </c>
      <c r="F3" s="101" t="inlineStr">
        <is>
          <t>Due (local)</t>
        </is>
      </c>
      <c r="G3" s="103" t="inlineStr">
        <is>
          <t>% complete</t>
        </is>
      </c>
      <c r="H3" s="98" t="n"/>
    </row>
    <row r="4" ht="13" customHeight="1">
      <c r="A4" s="99" t="inlineStr">
        <is>
          <t>STD → STA (local)</t>
        </is>
      </c>
      <c r="B4" s="100">
        <f>IF(ISNUMBER(Flights!$I$23),TEXT(Flights!$I$23,"DD-MMM-YY HH:MM"),"")&amp;" "&amp;Flights!$G$23&amp;"  →  "&amp;IF(ISNUMBER(Flights!$J$23),TEXT(Flights!$J$23,"DD-MMM-YY HH:MM"),"")&amp;" "&amp;Flights!$H$23</f>
        <v/>
      </c>
      <c r="C4" s="97" t="n"/>
      <c r="D4" s="98" t="n"/>
      <c r="E4" s="99" t="inlineStr">
        <is>
          <t>T-7D – 7 days before departure</t>
        </is>
      </c>
      <c r="F4" s="104">
        <f>IF(ISNUMBER(Flights!$AG$23),TEXT(Flights!$AG$23,"DD-MMM-YY HH:MM"),"")&amp;" "&amp;Flights!$V$23</f>
        <v/>
      </c>
      <c r="G4" s="105">
        <f>Flights!$AJ$23</f>
        <v/>
      </c>
      <c r="H4" s="98" t="n"/>
    </row>
    <row r="5" ht="24" customHeight="1">
      <c r="A5" s="99" t="inlineStr">
        <is>
          <t>Fleet / aircraft ref</t>
        </is>
      </c>
      <c r="B5" s="100">
        <f>Flights!$L$23&amp;" – "&amp;Flights!$M$23</f>
        <v/>
      </c>
      <c r="C5" s="97" t="n"/>
      <c r="D5" s="98" t="n"/>
      <c r="E5" s="99" t="inlineStr">
        <is>
          <t>T-24H – production batch sensory</t>
        </is>
      </c>
      <c r="F5" s="104">
        <f>IF(ISNUMBER(Flights!$AH$23),TEXT(Flights!$AH$23,"DD-MMM-YY HH:MM"),"")&amp;" "&amp;Flights!$V$23</f>
        <v/>
      </c>
      <c r="G5" s="105">
        <f>Flights!$AK$23</f>
        <v/>
      </c>
      <c r="H5" s="98" t="n"/>
    </row>
    <row r="6" ht="13" customHeight="1">
      <c r="A6" s="99" t="inlineStr">
        <is>
          <t>Tail / Reg</t>
        </is>
      </c>
      <c r="B6" s="100">
        <f>IF(TRIM(Flights!$N$23)="","__________________",Flights!$N$23)</f>
        <v/>
      </c>
      <c r="C6" s="97" t="n"/>
      <c r="D6" s="98" t="n"/>
      <c r="E6" s="99" t="inlineStr">
        <is>
          <t>T-12H PREP – caterer prep only</t>
        </is>
      </c>
      <c r="F6" s="104">
        <f>IF(ISNUMBER(Flights!$AI$23),TEXT(Flights!$AI$23,"DD-MMM-YY HH:MM"),"")&amp;" "&amp;Flights!$V$23&amp;IF(Flights!$AI$23=Flights!$AH$23,"  (= T-24H due)","")</f>
        <v/>
      </c>
      <c r="G6" s="105">
        <f>Flights!$AL$23</f>
        <v/>
      </c>
      <c r="H6" s="98" t="n"/>
    </row>
    <row r="7" ht="13" customHeight="1">
      <c r="A7" s="99" t="inlineStr">
        <is>
          <t>Service type</t>
        </is>
      </c>
      <c r="B7" s="100">
        <f>Flights!$T$23</f>
        <v/>
      </c>
      <c r="C7" s="97" t="n"/>
      <c r="D7" s="98" t="n"/>
      <c r="E7" s="99" t="inlineStr">
        <is>
          <t>UPLIFT – on-board confirmation</t>
        </is>
      </c>
      <c r="F7" s="104">
        <f>"STD "&amp;IF(ISNUMBER(Flights!$I$23),TEXT(Flights!$I$23,"DD-MMM-YY HH:MM"),"")&amp;" "&amp;Flights!$G$23&amp;" (dep stn)"</f>
        <v/>
      </c>
      <c r="G7" s="105">
        <f>Flights!$AM$23</f>
        <v/>
      </c>
      <c r="H7" s="98" t="n"/>
    </row>
    <row r="8" ht="13" customHeight="1">
      <c r="A8" s="99" t="inlineStr">
        <is>
          <t>Meal uplift stn</t>
        </is>
      </c>
      <c r="B8" s="100">
        <f>Flights!$V$23&amp;"   (reference uplift stns: "&amp;Flights!$U$23&amp;")"</f>
        <v/>
      </c>
      <c r="C8" s="97" t="n"/>
      <c r="D8" s="98" t="n"/>
      <c r="E8" s="99" t="inlineStr">
        <is>
          <t>OVERALL (all checkpoints)</t>
        </is>
      </c>
      <c r="F8" s="106" t="inlineStr">
        <is>
          <t>–</t>
        </is>
      </c>
      <c r="G8" s="105">
        <f>Flights!$AN$23</f>
        <v/>
      </c>
      <c r="H8" s="98" t="n"/>
    </row>
    <row r="9" ht="13" customHeight="1">
      <c r="A9" s="99" t="inlineStr">
        <is>
          <t>Transit / remark</t>
        </is>
      </c>
      <c r="B9" s="100">
        <f>TRIM(Flights!$P$23&amp;"  "&amp;Flights!$Q$23)</f>
        <v/>
      </c>
      <c r="C9" s="97" t="n"/>
      <c r="D9" s="98" t="n"/>
      <c r="E9" s="99" t="inlineStr">
        <is>
          <t>Overdue / discrep. / invalid</t>
        </is>
      </c>
      <c r="F9" s="107">
        <f>Flights!$AP$23</f>
        <v/>
      </c>
      <c r="G9" s="107">
        <f>Flights!$AQ$23</f>
        <v/>
      </c>
      <c r="H9" s="107">
        <f>Flights!$AU$23</f>
        <v/>
      </c>
    </row>
    <row r="10" ht="13" customHeight="1">
      <c r="A10" s="99" t="inlineStr">
        <is>
          <t>Caterer</t>
        </is>
      </c>
      <c r="B10" s="100">
        <f>IF(TRIM(Flights!$X$23)="","__________________",Flights!$X$23)</f>
        <v/>
      </c>
      <c r="C10" s="97" t="n"/>
      <c r="D10" s="98" t="n"/>
      <c r="E10" s="99" t="inlineStr">
        <is>
          <t>Open reqd / clarif. / docs out</t>
        </is>
      </c>
      <c r="F10" s="107">
        <f>Flights!$AO$23</f>
        <v/>
      </c>
      <c r="G10" s="107">
        <f>Flights!$AS$23</f>
        <v/>
      </c>
      <c r="H10" s="107">
        <f>Flights!$AR$23</f>
        <v/>
      </c>
    </row>
    <row r="11" ht="13" customHeight="1">
      <c r="A11" s="99" t="inlineStr">
        <is>
          <t>Flight PIC</t>
        </is>
      </c>
      <c r="B11" s="100">
        <f>IF(TRIM(Flights!$Y$23)="","__________________",Flights!$Y$23)</f>
        <v/>
      </c>
      <c r="C11" s="97" t="n"/>
      <c r="D11" s="98" t="n"/>
      <c r="E11" s="99" t="inlineStr">
        <is>
          <t>Done / in scope | as of UTC</t>
        </is>
      </c>
      <c r="F11" s="107">
        <f>Flights!$AV$23&amp;" / "&amp;Flights!$AW$23</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IF(Documents!$F$23="","",Documents!$F$23)</f>
        <v/>
      </c>
      <c r="C14" s="115">
        <f>IF(Documents!$G$23="","",Documents!$G$23)&amp;IF(ISNUMBER(Documents!$H$23),"  "&amp;TEXT(Documents!$H$23,"DD-MMM-YY"),"")</f>
        <v/>
      </c>
      <c r="D14" s="98" t="n"/>
      <c r="E14" s="116">
        <f>IF(Documents!$J$23="OUTSTANDING","OUTSTANDING – attach before T-7D (due "&amp;IF(ISNUMBER(Flights!$AG$23),TEXT(Flights!$AG$23,"DD-MMM-YY HH:MM"),"")&amp;" "&amp;Flights!$V$23&amp;")",IF(Documents!$J$23="","Status not recorded",Documents!$J$23))</f>
        <v/>
      </c>
      <c r="F14" s="117">
        <f>"Staple behind this sheet as page A1."&amp;IF(Documents!$I$23="",""," Location: "&amp;Documents!$I$23)</f>
        <v/>
      </c>
      <c r="G14" s="97" t="n"/>
      <c r="H14" s="98" t="n"/>
    </row>
    <row r="15" ht="25" customHeight="1">
      <c r="A15" s="99" t="inlineStr">
        <is>
          <t>A2  Menu Checklist</t>
        </is>
      </c>
      <c r="B15" s="114">
        <f>IF(Documents!$K$23="","",Documents!$K$23)</f>
        <v/>
      </c>
      <c r="C15" s="115">
        <f>IF(Documents!$L$23="","",Documents!$L$23)&amp;IF(ISNUMBER(Documents!$M$23),"  "&amp;TEXT(Documents!$M$23,"DD-MMM-YY"),"")</f>
        <v/>
      </c>
      <c r="D15" s="98" t="n"/>
      <c r="E15" s="116">
        <f>IF(Documents!$O$23="OUTSTANDING","OUTSTANDING – attach before T-7D (due "&amp;IF(ISNUMBER(Flights!$AG$23),TEXT(Flights!$AG$23,"DD-MMM-YY HH:MM"),"")&amp;" "&amp;Flights!$V$23&amp;")",IF(Documents!$O$23="","Status not recorded",Documents!$O$23))</f>
        <v/>
      </c>
      <c r="F15" s="117">
        <f>"Staple behind this sheet as page A2."&amp;IF(Documents!$N$23="",""," Location: "&amp;Documents!$N$23)</f>
        <v/>
      </c>
      <c r="G15" s="97" t="n"/>
      <c r="H15" s="98" t="n"/>
    </row>
    <row r="16" ht="33" customHeight="1">
      <c r="A16" s="99" t="inlineStr">
        <is>
          <t>Document notes</t>
        </is>
      </c>
      <c r="B16" s="118">
        <f>IF(Documents!$Q$23="","",Documents!$Q$23)</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"&amp;IF(TRIM(Flights!$Y$23)="","__________________",Flights!$Y$23)</f>
        <v/>
      </c>
      <c r="B18" s="98" t="n"/>
      <c r="C18" s="100">
        <f>"Name: __________________"</f>
        <v/>
      </c>
      <c r="D18" s="97" t="n"/>
      <c r="E18" s="98" t="n"/>
      <c r="F18" s="100">
        <f>"Name: __________________"&amp;"   Station: "&amp;Flights!$V$23</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"&amp;IF(ISNUMBER(Flights!$AG$23),TEXT(Flights!$AG$23,"DD-MMM-YY HH:MM"),"")&amp;" "&amp;Flights!$V$23&amp;" (meal uplift stn)"&amp;" (rows with another due show their own)  |  Complete "&amp;IF(ISNUMBER(Flights!$AJ$23),TEXT(Flights!$AJ$23,"0%"),Flights!$AJ$23)&amp;"  |  9 lines"</f>
        <v/>
      </c>
      <c r="B22" s="97" t="n"/>
      <c r="C22" s="97" t="n"/>
      <c r="D22" s="97" t="n"/>
      <c r="E22" s="97" t="n"/>
      <c r="F22" s="97" t="n"/>
      <c r="G22" s="97" t="n"/>
      <c r="H22" s="98" t="n"/>
    </row>
    <row r="23" ht="81" customHeight="1">
      <c r="A23" s="124">
        <f>Checks!$A$619&amp;CHAR(10)&amp;IF(Checks!$I$619="","",Checks!$I$619&amp;": ")&amp;Checks!$J$619</f>
        <v/>
      </c>
      <c r="B23" s="124">
        <f>Checks!$K$619&amp;IF(Checks!$O$619="","",IF(Checks!$K$619="","",CHAR(10))&amp;"Note: "&amp;Checks!$O$619)</f>
        <v/>
      </c>
      <c r="C23" s="124">
        <f>Checks!$N$619&amp;CHAR(10)&amp;IF(ISNUMBER(Checks!$R$619),TEXT(Checks!$R$619,"DD-MMM-YY HH:MM"),"")&amp;" "&amp;Checks!$P$619</f>
        <v/>
      </c>
      <c r="D23" s="124">
        <f>IF(Checks!$U$619="","",Checks!$U$619)&amp;IF(Checks!$AB$619="","",CHAR(10)&amp;"CA: "&amp;Checks!$AB$619)</f>
        <v/>
      </c>
      <c r="E23" s="124">
        <f>IF(Checks!$V$619="","",Checks!$V$619)&amp;IF(Checks!$AC$619="","",IF(Checks!$V$619="","",CHAR(10))&amp;"N/A just.: "&amp;Checks!$AC$619)&amp;IF(Checks!$W$619="","",CHAR(10)&amp;"Batch: "&amp;Checks!$W$619)&amp;IF(AND(Checks!$X$619="",Checks!$Y$619=""),"",CHAR(10)&amp;"Exp: "&amp;Checks!$X$619&amp;"  /  Act: "&amp;Checks!$Y$619)</f>
        <v/>
      </c>
      <c r="F23" s="124">
        <f>IF(Checks!$Z$619="","","Evidence: "&amp;Checks!$Z$619)&amp;IF(Checks!$AA$619="","",IF(Checks!$Z$619="","",CHAR(10))&amp;"CA: "&amp;Checks!$AA$619)</f>
        <v/>
      </c>
      <c r="G23" s="124">
        <f>IF(ISNUMBER(Checks!$AD$619),TEXT(Checks!$AD$619,"DD-MMM-YY HH:MM")&amp;" "&amp;Checks!$P$619,"")&amp;IF(Checks!$AE$619="","",CHAR(10)&amp;Checks!$AE$619)</f>
        <v/>
      </c>
      <c r="H23" s="125">
        <f>IF(Checks!$AH$619="","",Checks!$AH$619)</f>
        <v/>
      </c>
    </row>
    <row r="24" ht="81" customHeight="1">
      <c r="A24" s="124">
        <f>Checks!$A$620&amp;CHAR(10)&amp;IF(Checks!$I$620="","",Checks!$I$620&amp;": ")&amp;Checks!$J$620</f>
        <v/>
      </c>
      <c r="B24" s="124">
        <f>Checks!$K$620&amp;IF(Checks!$O$620="","",IF(Checks!$K$620="","",CHAR(10))&amp;"Note: "&amp;Checks!$O$620)</f>
        <v/>
      </c>
      <c r="C24" s="124">
        <f>Checks!$N$620&amp;CHAR(10)&amp;IF(ISNUMBER(Checks!$R$620),TEXT(Checks!$R$620,"DD-MMM-YY HH:MM"),"")&amp;" "&amp;Checks!$P$620</f>
        <v/>
      </c>
      <c r="D24" s="124">
        <f>IF(Checks!$U$620="","",Checks!$U$620)&amp;IF(Checks!$AB$620="","",CHAR(10)&amp;"CA: "&amp;Checks!$AB$620)</f>
        <v/>
      </c>
      <c r="E24" s="124">
        <f>IF(Checks!$V$620="","",Checks!$V$620)&amp;IF(Checks!$AC$620="","",IF(Checks!$V$620="","",CHAR(10))&amp;"N/A just.: "&amp;Checks!$AC$620)&amp;IF(Checks!$W$620="","",CHAR(10)&amp;"Batch: "&amp;Checks!$W$620)&amp;IF(AND(Checks!$X$620="",Checks!$Y$620=""),"",CHAR(10)&amp;"Exp: "&amp;Checks!$X$620&amp;"  /  Act: "&amp;Checks!$Y$620)</f>
        <v/>
      </c>
      <c r="F24" s="124">
        <f>IF(Checks!$Z$620="","","Evidence: "&amp;Checks!$Z$620)&amp;IF(Checks!$AA$620="","",IF(Checks!$Z$620="","",CHAR(10))&amp;"CA: "&amp;Checks!$AA$620)</f>
        <v/>
      </c>
      <c r="G24" s="124">
        <f>IF(ISNUMBER(Checks!$AD$620),TEXT(Checks!$AD$620,"DD-MMM-YY HH:MM")&amp;" "&amp;Checks!$P$620,"")&amp;IF(Checks!$AE$620="","",CHAR(10)&amp;Checks!$AE$620)</f>
        <v/>
      </c>
      <c r="H24" s="125">
        <f>IF(Checks!$AH$620="","",Checks!$AH$620)</f>
        <v/>
      </c>
    </row>
    <row r="25" ht="92" customHeight="1">
      <c r="A25" s="124">
        <f>Checks!$A$621&amp;CHAR(10)&amp;IF(Checks!$I$621="","",Checks!$I$621&amp;": ")&amp;Checks!$J$621</f>
        <v/>
      </c>
      <c r="B25" s="124">
        <f>Checks!$K$621&amp;IF(Checks!$O$621="","",IF(Checks!$K$621="","",CHAR(10))&amp;"Note: "&amp;Checks!$O$621)</f>
        <v/>
      </c>
      <c r="C25" s="124">
        <f>Checks!$N$621&amp;CHAR(10)&amp;IF(ISNUMBER(Checks!$R$621),TEXT(Checks!$R$621,"DD-MMM-YY HH:MM"),"")&amp;" "&amp;Checks!$P$621</f>
        <v/>
      </c>
      <c r="D25" s="124">
        <f>IF(Checks!$U$621="","",Checks!$U$621)&amp;IF(Checks!$AB$621="","",CHAR(10)&amp;"CA: "&amp;Checks!$AB$621)</f>
        <v/>
      </c>
      <c r="E25" s="124">
        <f>IF(Checks!$V$621="","",Checks!$V$621)&amp;IF(Checks!$AC$621="","",IF(Checks!$V$621="","",CHAR(10))&amp;"N/A just.: "&amp;Checks!$AC$621)&amp;IF(Checks!$W$621="","",CHAR(10)&amp;"Batch: "&amp;Checks!$W$621)&amp;IF(AND(Checks!$X$621="",Checks!$Y$621=""),"",CHAR(10)&amp;"Exp: "&amp;Checks!$X$621&amp;"  /  Act: "&amp;Checks!$Y$621)</f>
        <v/>
      </c>
      <c r="F25" s="124">
        <f>IF(Checks!$Z$621="","","Evidence: "&amp;Checks!$Z$621)&amp;IF(Checks!$AA$621="","",IF(Checks!$Z$621="","",CHAR(10))&amp;"CA: "&amp;Checks!$AA$621)</f>
        <v/>
      </c>
      <c r="G25" s="124">
        <f>IF(ISNUMBER(Checks!$AD$621),TEXT(Checks!$AD$621,"DD-MMM-YY HH:MM")&amp;" "&amp;Checks!$P$621,"")&amp;IF(Checks!$AE$621="","",CHAR(10)&amp;Checks!$AE$621)</f>
        <v/>
      </c>
      <c r="H25" s="125">
        <f>IF(Checks!$AH$621="","",Checks!$AH$621)</f>
        <v/>
      </c>
    </row>
    <row r="26" ht="81" customHeight="1">
      <c r="A26" s="124">
        <f>Checks!$A$622&amp;CHAR(10)&amp;IF(Checks!$I$622="","",Checks!$I$622&amp;": ")&amp;Checks!$J$622</f>
        <v/>
      </c>
      <c r="B26" s="124">
        <f>Checks!$K$622&amp;IF(Checks!$O$622="","",IF(Checks!$K$622="","",CHAR(10))&amp;"Note: "&amp;Checks!$O$622)</f>
        <v/>
      </c>
      <c r="C26" s="124">
        <f>Checks!$N$622&amp;CHAR(10)&amp;IF(ISNUMBER(Checks!$R$622),TEXT(Checks!$R$622,"DD-MMM-YY HH:MM"),"")&amp;" "&amp;Checks!$P$622</f>
        <v/>
      </c>
      <c r="D26" s="124">
        <f>IF(Checks!$U$622="","",Checks!$U$622)&amp;IF(Checks!$AB$622="","",CHAR(10)&amp;"CA: "&amp;Checks!$AB$622)</f>
        <v/>
      </c>
      <c r="E26" s="124">
        <f>IF(Checks!$V$622="","",Checks!$V$622)&amp;IF(Checks!$AC$622="","",IF(Checks!$V$622="","",CHAR(10))&amp;"N/A just.: "&amp;Checks!$AC$622)&amp;IF(Checks!$W$622="","",CHAR(10)&amp;"Batch: "&amp;Checks!$W$622)&amp;IF(AND(Checks!$X$622="",Checks!$Y$622=""),"",CHAR(10)&amp;"Exp: "&amp;Checks!$X$622&amp;"  /  Act: "&amp;Checks!$Y$622)</f>
        <v/>
      </c>
      <c r="F26" s="124">
        <f>IF(Checks!$Z$622="","","Evidence: "&amp;Checks!$Z$622)&amp;IF(Checks!$AA$622="","",IF(Checks!$Z$622="","",CHAR(10))&amp;"CA: "&amp;Checks!$AA$622)</f>
        <v/>
      </c>
      <c r="G26" s="124">
        <f>IF(ISNUMBER(Checks!$AD$622),TEXT(Checks!$AD$622,"DD-MMM-YY HH:MM")&amp;" "&amp;Checks!$P$622,"")&amp;IF(Checks!$AE$622="","",CHAR(10)&amp;Checks!$AE$622)</f>
        <v/>
      </c>
      <c r="H26" s="125">
        <f>IF(Checks!$AH$622="","",Checks!$AH$622)</f>
        <v/>
      </c>
    </row>
    <row r="27" ht="81" customHeight="1">
      <c r="A27" s="124">
        <f>Checks!$A$623&amp;CHAR(10)&amp;IF(Checks!$I$623="","",Checks!$I$623&amp;": ")&amp;Checks!$J$623</f>
        <v/>
      </c>
      <c r="B27" s="124">
        <f>Checks!$K$623&amp;IF(Checks!$O$623="","",IF(Checks!$K$623="","",CHAR(10))&amp;"Note: "&amp;Checks!$O$623)</f>
        <v/>
      </c>
      <c r="C27" s="124">
        <f>Checks!$N$623&amp;CHAR(10)&amp;IF(ISNUMBER(Checks!$R$623),TEXT(Checks!$R$623,"DD-MMM-YY HH:MM"),"")&amp;" "&amp;Checks!$P$623</f>
        <v/>
      </c>
      <c r="D27" s="124">
        <f>IF(Checks!$U$623="","",Checks!$U$623)&amp;IF(Checks!$AB$623="","",CHAR(10)&amp;"CA: "&amp;Checks!$AB$623)</f>
        <v/>
      </c>
      <c r="E27" s="124">
        <f>IF(Checks!$V$623="","",Checks!$V$623)&amp;IF(Checks!$AC$623="","",IF(Checks!$V$623="","",CHAR(10))&amp;"N/A just.: "&amp;Checks!$AC$623)&amp;IF(Checks!$W$623="","",CHAR(10)&amp;"Batch: "&amp;Checks!$W$623)&amp;IF(AND(Checks!$X$623="",Checks!$Y$623=""),"",CHAR(10)&amp;"Exp: "&amp;Checks!$X$623&amp;"  /  Act: "&amp;Checks!$Y$623)</f>
        <v/>
      </c>
      <c r="F27" s="124">
        <f>IF(Checks!$Z$623="","","Evidence: "&amp;Checks!$Z$623)&amp;IF(Checks!$AA$623="","",IF(Checks!$Z$623="","",CHAR(10))&amp;"CA: "&amp;Checks!$AA$623)</f>
        <v/>
      </c>
      <c r="G27" s="124">
        <f>IF(ISNUMBER(Checks!$AD$623),TEXT(Checks!$AD$623,"DD-MMM-YY HH:MM")&amp;" "&amp;Checks!$P$623,"")&amp;IF(Checks!$AE$623="","",CHAR(10)&amp;Checks!$AE$623)</f>
        <v/>
      </c>
      <c r="H27" s="125">
        <f>IF(Checks!$AH$623="","",Checks!$AH$623)</f>
        <v/>
      </c>
    </row>
    <row r="28" ht="81" customHeight="1">
      <c r="A28" s="124">
        <f>Checks!$A$624&amp;CHAR(10)&amp;IF(Checks!$I$624="","",Checks!$I$624&amp;": ")&amp;Checks!$J$624</f>
        <v/>
      </c>
      <c r="B28" s="124">
        <f>Checks!$K$624&amp;IF(Checks!$O$624="","",IF(Checks!$K$624="","",CHAR(10))&amp;"Note: "&amp;Checks!$O$624)</f>
        <v/>
      </c>
      <c r="C28" s="124">
        <f>Checks!$N$624&amp;CHAR(10)&amp;IF(ISNUMBER(Checks!$R$624),TEXT(Checks!$R$624,"DD-MMM-YY HH:MM"),"")&amp;" "&amp;Checks!$P$624</f>
        <v/>
      </c>
      <c r="D28" s="124">
        <f>IF(Checks!$U$624="","",Checks!$U$624)&amp;IF(Checks!$AB$624="","",CHAR(10)&amp;"CA: "&amp;Checks!$AB$624)</f>
        <v/>
      </c>
      <c r="E28" s="124">
        <f>IF(Checks!$V$624="","",Checks!$V$624)&amp;IF(Checks!$AC$624="","",IF(Checks!$V$624="","",CHAR(10))&amp;"N/A just.: "&amp;Checks!$AC$624)&amp;IF(Checks!$W$624="","",CHAR(10)&amp;"Batch: "&amp;Checks!$W$624)&amp;IF(AND(Checks!$X$624="",Checks!$Y$624=""),"",CHAR(10)&amp;"Exp: "&amp;Checks!$X$624&amp;"  /  Act: "&amp;Checks!$Y$624)</f>
        <v/>
      </c>
      <c r="F28" s="124">
        <f>IF(Checks!$Z$624="","","Evidence: "&amp;Checks!$Z$624)&amp;IF(Checks!$AA$624="","",IF(Checks!$Z$624="","",CHAR(10))&amp;"CA: "&amp;Checks!$AA$624)</f>
        <v/>
      </c>
      <c r="G28" s="124">
        <f>IF(ISNUMBER(Checks!$AD$624),TEXT(Checks!$AD$624,"DD-MMM-YY HH:MM")&amp;" "&amp;Checks!$P$624,"")&amp;IF(Checks!$AE$624="","",CHAR(10)&amp;Checks!$AE$624)</f>
        <v/>
      </c>
      <c r="H28" s="125">
        <f>IF(Checks!$AH$624="","",Checks!$AH$624)</f>
        <v/>
      </c>
    </row>
    <row r="29" ht="81" customHeight="1">
      <c r="A29" s="124">
        <f>Checks!$A$625&amp;CHAR(10)&amp;IF(Checks!$I$625="","",Checks!$I$625&amp;": ")&amp;Checks!$J$625</f>
        <v/>
      </c>
      <c r="B29" s="124">
        <f>Checks!$K$625&amp;IF(Checks!$O$625="","",IF(Checks!$K$625="","",CHAR(10))&amp;"Note: "&amp;Checks!$O$625)</f>
        <v/>
      </c>
      <c r="C29" s="124">
        <f>Checks!$N$625&amp;CHAR(10)&amp;IF(ISNUMBER(Checks!$R$625),TEXT(Checks!$R$625,"DD-MMM-YY HH:MM"),"")&amp;" "&amp;Checks!$P$625</f>
        <v/>
      </c>
      <c r="D29" s="124">
        <f>IF(Checks!$U$625="","",Checks!$U$625)&amp;IF(Checks!$AB$625="","",CHAR(10)&amp;"CA: "&amp;Checks!$AB$625)</f>
        <v/>
      </c>
      <c r="E29" s="124">
        <f>IF(Checks!$V$625="","",Checks!$V$625)&amp;IF(Checks!$AC$625="","",IF(Checks!$V$625="","",CHAR(10))&amp;"N/A just.: "&amp;Checks!$AC$625)&amp;IF(Checks!$W$625="","",CHAR(10)&amp;"Batch: "&amp;Checks!$W$625)&amp;IF(AND(Checks!$X$625="",Checks!$Y$625=""),"",CHAR(10)&amp;"Exp: "&amp;Checks!$X$625&amp;"  /  Act: "&amp;Checks!$Y$625)</f>
        <v/>
      </c>
      <c r="F29" s="124">
        <f>IF(Checks!$Z$625="","","Evidence: "&amp;Checks!$Z$625)&amp;IF(Checks!$AA$625="","",IF(Checks!$Z$625="","",CHAR(10))&amp;"CA: "&amp;Checks!$AA$625)</f>
        <v/>
      </c>
      <c r="G29" s="124">
        <f>IF(ISNUMBER(Checks!$AD$625),TEXT(Checks!$AD$625,"DD-MMM-YY HH:MM")&amp;" "&amp;Checks!$P$625,"")&amp;IF(Checks!$AE$625="","",CHAR(10)&amp;Checks!$AE$625)</f>
        <v/>
      </c>
      <c r="H29" s="125">
        <f>IF(Checks!$AH$625="","",Checks!$AH$625)</f>
        <v/>
      </c>
    </row>
    <row r="30" ht="81" customHeight="1">
      <c r="A30" s="124">
        <f>Checks!$A$626&amp;CHAR(10)&amp;IF(Checks!$I$626="","",Checks!$I$626&amp;": ")&amp;Checks!$J$626</f>
        <v/>
      </c>
      <c r="B30" s="124">
        <f>Checks!$K$626&amp;IF(Checks!$O$626="","",IF(Checks!$K$626="","",CHAR(10))&amp;"Note: "&amp;Checks!$O$626)</f>
        <v/>
      </c>
      <c r="C30" s="124">
        <f>Checks!$N$626&amp;CHAR(10)&amp;IF(ISNUMBER(Checks!$R$626),TEXT(Checks!$R$626,"DD-MMM-YY HH:MM"),"")&amp;" "&amp;Checks!$P$626</f>
        <v/>
      </c>
      <c r="D30" s="124">
        <f>IF(Checks!$U$626="","",Checks!$U$626)&amp;IF(Checks!$AB$626="","",CHAR(10)&amp;"CA: "&amp;Checks!$AB$626)</f>
        <v/>
      </c>
      <c r="E30" s="124">
        <f>IF(Checks!$V$626="","",Checks!$V$626)&amp;IF(Checks!$AC$626="","",IF(Checks!$V$626="","",CHAR(10))&amp;"N/A just.: "&amp;Checks!$AC$626)&amp;IF(Checks!$W$626="","",CHAR(10)&amp;"Batch: "&amp;Checks!$W$626)&amp;IF(AND(Checks!$X$626="",Checks!$Y$626=""),"",CHAR(10)&amp;"Exp: "&amp;Checks!$X$626&amp;"  /  Act: "&amp;Checks!$Y$626)</f>
        <v/>
      </c>
      <c r="F30" s="124">
        <f>IF(Checks!$Z$626="","","Evidence: "&amp;Checks!$Z$626)&amp;IF(Checks!$AA$626="","",IF(Checks!$Z$626="","",CHAR(10))&amp;"CA: "&amp;Checks!$AA$626)</f>
        <v/>
      </c>
      <c r="G30" s="124">
        <f>IF(ISNUMBER(Checks!$AD$626),TEXT(Checks!$AD$626,"DD-MMM-YY HH:MM")&amp;" "&amp;Checks!$P$626,"")&amp;IF(Checks!$AE$626="","",CHAR(10)&amp;Checks!$AE$626)</f>
        <v/>
      </c>
      <c r="H30" s="125">
        <f>IF(Checks!$AH$626="","",Checks!$AH$626)</f>
        <v/>
      </c>
    </row>
    <row r="31" ht="81" customHeight="1">
      <c r="A31" s="124">
        <f>Checks!$A$627&amp;CHAR(10)&amp;IF(Checks!$I$627="","",Checks!$I$627&amp;": ")&amp;Checks!$J$627</f>
        <v/>
      </c>
      <c r="B31" s="124">
        <f>Checks!$K$627&amp;IF(Checks!$O$627="","",IF(Checks!$K$627="","",CHAR(10))&amp;"Note: "&amp;Checks!$O$627)</f>
        <v/>
      </c>
      <c r="C31" s="124">
        <f>Checks!$N$627&amp;CHAR(10)&amp;IF(ISNUMBER(Checks!$R$627),TEXT(Checks!$R$627,"DD-MMM-YY HH:MM"),"")&amp;" "&amp;Checks!$P$627</f>
        <v/>
      </c>
      <c r="D31" s="124">
        <f>IF(Checks!$U$627="","",Checks!$U$627)&amp;IF(Checks!$AB$627="","",CHAR(10)&amp;"CA: "&amp;Checks!$AB$627)</f>
        <v/>
      </c>
      <c r="E31" s="124">
        <f>IF(Checks!$V$627="","",Checks!$V$627)&amp;IF(Checks!$AC$627="","",IF(Checks!$V$627="","",CHAR(10))&amp;"N/A just.: "&amp;Checks!$AC$627)&amp;IF(Checks!$W$627="","",CHAR(10)&amp;"Batch: "&amp;Checks!$W$627)&amp;IF(AND(Checks!$X$627="",Checks!$Y$627=""),"",CHAR(10)&amp;"Exp: "&amp;Checks!$X$627&amp;"  /  Act: "&amp;Checks!$Y$627)</f>
        <v/>
      </c>
      <c r="F31" s="124">
        <f>IF(Checks!$Z$627="","","Evidence: "&amp;Checks!$Z$627)&amp;IF(Checks!$AA$627="","",IF(Checks!$Z$627="","",CHAR(10))&amp;"CA: "&amp;Checks!$AA$627)</f>
        <v/>
      </c>
      <c r="G31" s="124">
        <f>IF(ISNUMBER(Checks!$AD$627),TEXT(Checks!$AD$627,"DD-MMM-YY HH:MM")&amp;" "&amp;Checks!$P$627,"")&amp;IF(Checks!$AE$627="","",CHAR(10)&amp;Checks!$AE$627)</f>
        <v/>
      </c>
      <c r="H31" s="125">
        <f>IF(Checks!$AH$627="","",Checks!$AH$627)</f>
        <v/>
      </c>
    </row>
    <row r="32" ht="26" customHeight="1">
      <c r="A32" s="123">
        <f>"T-24H — Production batch sensory  |  Due "&amp;IF(ISNUMBER(Flights!$AH$23),TEXT(Flights!$AH$23,"DD-MMM-YY HH:MM"),"")&amp;" "&amp;Flights!$V$23&amp;" (meal uplift stn)"&amp;" (rows with another due show their own)  |  Complete "&amp;IF(ISNUMBER(Flights!$AK$23),TEXT(Flights!$AK$23,"0%"),Flights!$AK$23)&amp;"  |  1 lines"</f>
        <v/>
      </c>
      <c r="B32" s="97" t="n"/>
      <c r="C32" s="97" t="n"/>
      <c r="D32" s="97" t="n"/>
      <c r="E32" s="97" t="n"/>
      <c r="F32" s="97" t="n"/>
      <c r="G32" s="97" t="n"/>
      <c r="H32" s="98" t="n"/>
    </row>
    <row r="33" ht="81" customHeight="1">
      <c r="A33" s="124">
        <f>Checks!$A$628&amp;CHAR(10)&amp;IF(Checks!$I$628="","",Checks!$I$628&amp;": ")&amp;Checks!$J$628</f>
        <v/>
      </c>
      <c r="B33" s="124">
        <f>Checks!$K$628&amp;IF(Checks!$O$628="","",IF(Checks!$K$628="","",CHAR(10))&amp;"Note: "&amp;Checks!$O$628)</f>
        <v/>
      </c>
      <c r="C33" s="124">
        <f>Checks!$N$628&amp;CHAR(10)&amp;IF(ISNUMBER(Checks!$R$628),TEXT(Checks!$R$628,"DD-MMM-YY HH:MM"),"")&amp;" "&amp;Checks!$P$628</f>
        <v/>
      </c>
      <c r="D33" s="124">
        <f>IF(Checks!$U$628="","",Checks!$U$628)&amp;IF(Checks!$AB$628="","",CHAR(10)&amp;"CA: "&amp;Checks!$AB$628)</f>
        <v/>
      </c>
      <c r="E33" s="124">
        <f>IF(Checks!$V$628="","",Checks!$V$628)&amp;IF(Checks!$AC$628="","",IF(Checks!$V$628="","",CHAR(10))&amp;"N/A just.: "&amp;Checks!$AC$628)&amp;IF(Checks!$W$628="","",CHAR(10)&amp;"Batch: "&amp;Checks!$W$628)&amp;IF(AND(Checks!$X$628="",Checks!$Y$628=""),"",CHAR(10)&amp;"Exp: "&amp;Checks!$X$628&amp;"  /  Act: "&amp;Checks!$Y$628)</f>
        <v/>
      </c>
      <c r="F33" s="124">
        <f>IF(Checks!$Z$628="","","Evidence: "&amp;Checks!$Z$628)&amp;IF(Checks!$AA$628="","",IF(Checks!$Z$628="","",CHAR(10))&amp;"CA: "&amp;Checks!$AA$628)</f>
        <v/>
      </c>
      <c r="G33" s="124">
        <f>IF(ISNUMBER(Checks!$AD$628),TEXT(Checks!$AD$628,"DD-MMM-YY HH:MM")&amp;" "&amp;Checks!$P$628,"")&amp;IF(Checks!$AE$628="","",CHAR(10)&amp;Checks!$AE$628)</f>
        <v/>
      </c>
      <c r="H33" s="125">
        <f>IF(Checks!$AH$628="","",Checks!$AH$628)</f>
        <v/>
      </c>
    </row>
    <row r="34" ht="26" customHeight="1">
      <c r="A34" s="123">
        <f>"T-12H PREP — Preparation check at caterer (does NOT confirm loading)  |  Due "&amp;IF(ISNUMBER(Flights!$AI$23),TEXT(Flights!$AI$23,"DD-MMM-YY HH:MM"),"")&amp;" "&amp;Flights!$V$23&amp;" (meal uplift stn)"&amp;" (rows with another due show their own)  |  Complete "&amp;IF(ISNUMBER(Flights!$AL$23),TEXT(Flights!$AL$23,"0%"),Flights!$AL$23)&amp;"  |  10 lines"</f>
        <v/>
      </c>
      <c r="B34" s="97" t="n"/>
      <c r="C34" s="97" t="n"/>
      <c r="D34" s="97" t="n"/>
      <c r="E34" s="97" t="n"/>
      <c r="F34" s="97" t="n"/>
      <c r="G34" s="97" t="n"/>
      <c r="H34" s="98" t="n"/>
    </row>
    <row r="35" ht="81" customHeight="1">
      <c r="A35" s="124">
        <f>Checks!$A$629&amp;CHAR(10)&amp;IF(Checks!$I$629="","",Checks!$I$629&amp;": ")&amp;Checks!$J$629</f>
        <v/>
      </c>
      <c r="B35" s="124">
        <f>Checks!$K$629&amp;IF(Checks!$O$629="","",IF(Checks!$K$629="","",CHAR(10))&amp;"Note: "&amp;Checks!$O$629)</f>
        <v/>
      </c>
      <c r="C35" s="124">
        <f>Checks!$N$629&amp;CHAR(10)&amp;IF(ISNUMBER(Checks!$R$629),TEXT(Checks!$R$629,"DD-MMM-YY HH:MM"),"")&amp;" "&amp;Checks!$P$629</f>
        <v/>
      </c>
      <c r="D35" s="124">
        <f>IF(Checks!$U$629="","",Checks!$U$629)&amp;IF(Checks!$AB$629="","",CHAR(10)&amp;"CA: "&amp;Checks!$AB$629)</f>
        <v/>
      </c>
      <c r="E35" s="124">
        <f>IF(Checks!$V$629="","",Checks!$V$629)&amp;IF(Checks!$AC$629="","",IF(Checks!$V$629="","",CHAR(10))&amp;"N/A just.: "&amp;Checks!$AC$629)&amp;IF(Checks!$W$629="","",CHAR(10)&amp;"Batch: "&amp;Checks!$W$629)&amp;IF(AND(Checks!$X$629="",Checks!$Y$629=""),"",CHAR(10)&amp;"Exp: "&amp;Checks!$X$629&amp;"  /  Act: "&amp;Checks!$Y$629)</f>
        <v/>
      </c>
      <c r="F35" s="124">
        <f>IF(Checks!$Z$629="","","Evidence: "&amp;Checks!$Z$629)&amp;IF(Checks!$AA$629="","",IF(Checks!$Z$629="","",CHAR(10))&amp;"CA: "&amp;Checks!$AA$629)</f>
        <v/>
      </c>
      <c r="G35" s="124">
        <f>IF(ISNUMBER(Checks!$AD$629),TEXT(Checks!$AD$629,"DD-MMM-YY HH:MM")&amp;" "&amp;Checks!$P$629,"")&amp;IF(Checks!$AE$629="","",CHAR(10)&amp;Checks!$AE$629)</f>
        <v/>
      </c>
      <c r="H35" s="125">
        <f>IF(Checks!$AH$629="","",Checks!$AH$629)</f>
        <v/>
      </c>
    </row>
    <row r="36" ht="81" customHeight="1">
      <c r="A36" s="124">
        <f>Checks!$A$630&amp;CHAR(10)&amp;IF(Checks!$I$630="","",Checks!$I$630&amp;": ")&amp;Checks!$J$630</f>
        <v/>
      </c>
      <c r="B36" s="124">
        <f>Checks!$K$630&amp;IF(Checks!$O$630="","",IF(Checks!$K$630="","",CHAR(10))&amp;"Note: "&amp;Checks!$O$630)</f>
        <v/>
      </c>
      <c r="C36" s="124">
        <f>Checks!$N$630&amp;CHAR(10)&amp;IF(ISNUMBER(Checks!$R$630),TEXT(Checks!$R$630,"DD-MMM-YY HH:MM"),"")&amp;" "&amp;Checks!$P$630</f>
        <v/>
      </c>
      <c r="D36" s="124">
        <f>IF(Checks!$U$630="","",Checks!$U$630)&amp;IF(Checks!$AB$630="","",CHAR(10)&amp;"CA: "&amp;Checks!$AB$630)</f>
        <v/>
      </c>
      <c r="E36" s="124">
        <f>IF(Checks!$V$630="","",Checks!$V$630)&amp;IF(Checks!$AC$630="","",IF(Checks!$V$630="","",CHAR(10))&amp;"N/A just.: "&amp;Checks!$AC$630)&amp;IF(Checks!$W$630="","",CHAR(10)&amp;"Batch: "&amp;Checks!$W$630)&amp;IF(AND(Checks!$X$630="",Checks!$Y$630=""),"",CHAR(10)&amp;"Exp: "&amp;Checks!$X$630&amp;"  /  Act: "&amp;Checks!$Y$630)</f>
        <v/>
      </c>
      <c r="F36" s="124">
        <f>IF(Checks!$Z$630="","","Evidence: "&amp;Checks!$Z$630)&amp;IF(Checks!$AA$630="","",IF(Checks!$Z$630="","",CHAR(10))&amp;"CA: "&amp;Checks!$AA$630)</f>
        <v/>
      </c>
      <c r="G36" s="124">
        <f>IF(ISNUMBER(Checks!$AD$630),TEXT(Checks!$AD$630,"DD-MMM-YY HH:MM")&amp;" "&amp;Checks!$P$630,"")&amp;IF(Checks!$AE$630="","",CHAR(10)&amp;Checks!$AE$630)</f>
        <v/>
      </c>
      <c r="H36" s="125">
        <f>IF(Checks!$AH$630="","",Checks!$AH$630)</f>
        <v/>
      </c>
    </row>
    <row r="37" ht="81" customHeight="1">
      <c r="A37" s="124">
        <f>Checks!$A$631&amp;CHAR(10)&amp;IF(Checks!$I$631="","",Checks!$I$631&amp;": ")&amp;Checks!$J$631</f>
        <v/>
      </c>
      <c r="B37" s="124">
        <f>Checks!$K$631&amp;IF(Checks!$O$631="","",IF(Checks!$K$631="","",CHAR(10))&amp;"Note: "&amp;Checks!$O$631)</f>
        <v/>
      </c>
      <c r="C37" s="124">
        <f>Checks!$N$631&amp;CHAR(10)&amp;IF(ISNUMBER(Checks!$R$631),TEXT(Checks!$R$631,"DD-MMM-YY HH:MM"),"")&amp;" "&amp;Checks!$P$631</f>
        <v/>
      </c>
      <c r="D37" s="124">
        <f>IF(Checks!$U$631="","",Checks!$U$631)&amp;IF(Checks!$AB$631="","",CHAR(10)&amp;"CA: "&amp;Checks!$AB$631)</f>
        <v/>
      </c>
      <c r="E37" s="124">
        <f>IF(Checks!$V$631="","",Checks!$V$631)&amp;IF(Checks!$AC$631="","",IF(Checks!$V$631="","",CHAR(10))&amp;"N/A just.: "&amp;Checks!$AC$631)&amp;IF(Checks!$W$631="","",CHAR(10)&amp;"Batch: "&amp;Checks!$W$631)&amp;IF(AND(Checks!$X$631="",Checks!$Y$631=""),"",CHAR(10)&amp;"Exp: "&amp;Checks!$X$631&amp;"  /  Act: "&amp;Checks!$Y$631)</f>
        <v/>
      </c>
      <c r="F37" s="124">
        <f>IF(Checks!$Z$631="","","Evidence: "&amp;Checks!$Z$631)&amp;IF(Checks!$AA$631="","",IF(Checks!$Z$631="","",CHAR(10))&amp;"CA: "&amp;Checks!$AA$631)</f>
        <v/>
      </c>
      <c r="G37" s="124">
        <f>IF(ISNUMBER(Checks!$AD$631),TEXT(Checks!$AD$631,"DD-MMM-YY HH:MM")&amp;" "&amp;Checks!$P$631,"")&amp;IF(Checks!$AE$631="","",CHAR(10)&amp;Checks!$AE$631)</f>
        <v/>
      </c>
      <c r="H37" s="125">
        <f>IF(Checks!$AH$631="","",Checks!$AH$631)</f>
        <v/>
      </c>
    </row>
    <row r="38" ht="81" customHeight="1">
      <c r="A38" s="124">
        <f>Checks!$A$632&amp;CHAR(10)&amp;IF(Checks!$I$632="","",Checks!$I$632&amp;": ")&amp;Checks!$J$632</f>
        <v/>
      </c>
      <c r="B38" s="124">
        <f>Checks!$K$632&amp;IF(Checks!$O$632="","",IF(Checks!$K$632="","",CHAR(10))&amp;"Note: "&amp;Checks!$O$632)</f>
        <v/>
      </c>
      <c r="C38" s="124">
        <f>Checks!$N$632&amp;CHAR(10)&amp;IF(ISNUMBER(Checks!$R$632),TEXT(Checks!$R$632,"DD-MMM-YY HH:MM"),"")&amp;" "&amp;Checks!$P$632</f>
        <v/>
      </c>
      <c r="D38" s="124">
        <f>IF(Checks!$U$632="","",Checks!$U$632)&amp;IF(Checks!$AB$632="","",CHAR(10)&amp;"CA: "&amp;Checks!$AB$632)</f>
        <v/>
      </c>
      <c r="E38" s="124">
        <f>IF(Checks!$V$632="","",Checks!$V$632)&amp;IF(Checks!$AC$632="","",IF(Checks!$V$632="","",CHAR(10))&amp;"N/A just.: "&amp;Checks!$AC$632)&amp;IF(Checks!$W$632="","",CHAR(10)&amp;"Batch: "&amp;Checks!$W$632)&amp;IF(AND(Checks!$X$632="",Checks!$Y$632=""),"",CHAR(10)&amp;"Exp: "&amp;Checks!$X$632&amp;"  /  Act: "&amp;Checks!$Y$632)</f>
        <v/>
      </c>
      <c r="F38" s="124">
        <f>IF(Checks!$Z$632="","","Evidence: "&amp;Checks!$Z$632)&amp;IF(Checks!$AA$632="","",IF(Checks!$Z$632="","",CHAR(10))&amp;"CA: "&amp;Checks!$AA$632)</f>
        <v/>
      </c>
      <c r="G38" s="124">
        <f>IF(ISNUMBER(Checks!$AD$632),TEXT(Checks!$AD$632,"DD-MMM-YY HH:MM")&amp;" "&amp;Checks!$P$632,"")&amp;IF(Checks!$AE$632="","",CHAR(10)&amp;Checks!$AE$632)</f>
        <v/>
      </c>
      <c r="H38" s="125">
        <f>IF(Checks!$AH$632="","",Checks!$AH$632)</f>
        <v/>
      </c>
    </row>
    <row r="39" ht="81" customHeight="1">
      <c r="A39" s="124">
        <f>Checks!$A$633&amp;CHAR(10)&amp;IF(Checks!$I$633="","",Checks!$I$633&amp;": ")&amp;Checks!$J$633</f>
        <v/>
      </c>
      <c r="B39" s="124">
        <f>Checks!$K$633&amp;IF(Checks!$O$633="","",IF(Checks!$K$633="","",CHAR(10))&amp;"Note: "&amp;Checks!$O$633)</f>
        <v/>
      </c>
      <c r="C39" s="124">
        <f>Checks!$N$633&amp;CHAR(10)&amp;IF(ISNUMBER(Checks!$R$633),TEXT(Checks!$R$633,"DD-MMM-YY HH:MM"),"")&amp;" "&amp;Checks!$P$633</f>
        <v/>
      </c>
      <c r="D39" s="124">
        <f>IF(Checks!$U$633="","",Checks!$U$633)&amp;IF(Checks!$AB$633="","",CHAR(10)&amp;"CA: "&amp;Checks!$AB$633)</f>
        <v/>
      </c>
      <c r="E39" s="124">
        <f>IF(Checks!$V$633="","",Checks!$V$633)&amp;IF(Checks!$AC$633="","",IF(Checks!$V$633="","",CHAR(10))&amp;"N/A just.: "&amp;Checks!$AC$633)&amp;IF(Checks!$W$633="","",CHAR(10)&amp;"Batch: "&amp;Checks!$W$633)&amp;IF(AND(Checks!$X$633="",Checks!$Y$633=""),"",CHAR(10)&amp;"Exp: "&amp;Checks!$X$633&amp;"  /  Act: "&amp;Checks!$Y$633)</f>
        <v/>
      </c>
      <c r="F39" s="124">
        <f>IF(Checks!$Z$633="","","Evidence: "&amp;Checks!$Z$633)&amp;IF(Checks!$AA$633="","",IF(Checks!$Z$633="","",CHAR(10))&amp;"CA: "&amp;Checks!$AA$633)</f>
        <v/>
      </c>
      <c r="G39" s="124">
        <f>IF(ISNUMBER(Checks!$AD$633),TEXT(Checks!$AD$633,"DD-MMM-YY HH:MM")&amp;" "&amp;Checks!$P$633,"")&amp;IF(Checks!$AE$633="","",CHAR(10)&amp;Checks!$AE$633)</f>
        <v/>
      </c>
      <c r="H39" s="125">
        <f>IF(Checks!$AH$633="","",Checks!$AH$633)</f>
        <v/>
      </c>
    </row>
    <row r="40" ht="169" customHeight="1">
      <c r="A40" s="124">
        <f>Checks!$A$634&amp;CHAR(10)&amp;IF(Checks!$I$634="","",Checks!$I$634&amp;": ")&amp;Checks!$J$634</f>
        <v/>
      </c>
      <c r="B40" s="124">
        <f>SUBSTITUTE(Checks!$K$634&amp;IF(Checks!$O$634="","",IF(Checks!$K$634="","",CHAR(10))&amp;"Note: "&amp;Checks!$O$634),"AIRCRAFT TYPE!","Ref: AIRCRAFT TYPE!")</f>
        <v/>
      </c>
      <c r="C40" s="124">
        <f>Checks!$N$634&amp;CHAR(10)&amp;IF(ISNUMBER(Checks!$R$634),TEXT(Checks!$R$634,"DD-MMM-YY HH:MM"),"")&amp;" "&amp;Checks!$P$634</f>
        <v/>
      </c>
      <c r="D40" s="124">
        <f>IF(Checks!$U$634="","",Checks!$U$634)&amp;IF(Checks!$AB$634="","",CHAR(10)&amp;"CA: "&amp;Checks!$AB$634)</f>
        <v/>
      </c>
      <c r="E40" s="124">
        <f>IF(Checks!$V$634="","",Checks!$V$634)&amp;IF(Checks!$AC$634="","",IF(Checks!$V$634="","",CHAR(10))&amp;"N/A just.: "&amp;Checks!$AC$634)&amp;IF(Checks!$W$634="","",CHAR(10)&amp;"Batch: "&amp;Checks!$W$634)&amp;IF(AND(Checks!$X$634="",Checks!$Y$634=""),"",CHAR(10)&amp;"Exp: "&amp;Checks!$X$634&amp;"  /  Act: "&amp;Checks!$Y$634)</f>
        <v/>
      </c>
      <c r="F40" s="124">
        <f>IF(Checks!$Z$634="","","Evidence: "&amp;Checks!$Z$634)&amp;IF(Checks!$AA$634="","",IF(Checks!$Z$634="","",CHAR(10))&amp;"CA: "&amp;Checks!$AA$634)</f>
        <v/>
      </c>
      <c r="G40" s="124">
        <f>IF(ISNUMBER(Checks!$AD$634),TEXT(Checks!$AD$634,"DD-MMM-YY HH:MM")&amp;" "&amp;Checks!$P$634,"")&amp;IF(Checks!$AE$634="","",CHAR(10)&amp;Checks!$AE$634)</f>
        <v/>
      </c>
      <c r="H40" s="125">
        <f>IF(Checks!$AH$634="","",Checks!$AH$634)</f>
        <v/>
      </c>
    </row>
    <row r="41" ht="81" customHeight="1">
      <c r="A41" s="124">
        <f>Checks!$A$635&amp;CHAR(10)&amp;IF(Checks!$I$635="","",Checks!$I$635&amp;": ")&amp;Checks!$J$635</f>
        <v/>
      </c>
      <c r="B41" s="124">
        <f>Checks!$K$635&amp;IF(Checks!$O$635="","",IF(Checks!$K$635="","",CHAR(10))&amp;"Note: "&amp;Checks!$O$635)</f>
        <v/>
      </c>
      <c r="C41" s="124">
        <f>Checks!$N$635&amp;CHAR(10)&amp;IF(ISNUMBER(Checks!$R$635),TEXT(Checks!$R$635,"DD-MMM-YY HH:MM"),"")&amp;" "&amp;Checks!$P$635</f>
        <v/>
      </c>
      <c r="D41" s="124">
        <f>IF(Checks!$U$635="","",Checks!$U$635)&amp;IF(Checks!$AB$635="","",CHAR(10)&amp;"CA: "&amp;Checks!$AB$635)</f>
        <v/>
      </c>
      <c r="E41" s="124">
        <f>IF(Checks!$V$635="","",Checks!$V$635)&amp;IF(Checks!$AC$635="","",IF(Checks!$V$635="","",CHAR(10))&amp;"N/A just.: "&amp;Checks!$AC$635)&amp;IF(Checks!$W$635="","",CHAR(10)&amp;"Batch: "&amp;Checks!$W$635)&amp;IF(AND(Checks!$X$635="",Checks!$Y$635=""),"",CHAR(10)&amp;"Exp: "&amp;Checks!$X$635&amp;"  /  Act: "&amp;Checks!$Y$635)</f>
        <v/>
      </c>
      <c r="F41" s="124">
        <f>IF(Checks!$Z$635="","","Evidence: "&amp;Checks!$Z$635)&amp;IF(Checks!$AA$635="","",IF(Checks!$Z$635="","",CHAR(10))&amp;"CA: "&amp;Checks!$AA$635)</f>
        <v/>
      </c>
      <c r="G41" s="124">
        <f>IF(ISNUMBER(Checks!$AD$635),TEXT(Checks!$AD$635,"DD-MMM-YY HH:MM")&amp;" "&amp;Checks!$P$635,"")&amp;IF(Checks!$AE$635="","",CHAR(10)&amp;Checks!$AE$635)</f>
        <v/>
      </c>
      <c r="H41" s="125">
        <f>IF(Checks!$AH$635="","",Checks!$AH$635)</f>
        <v/>
      </c>
    </row>
    <row r="42" ht="92" customHeight="1">
      <c r="A42" s="124">
        <f>Checks!$A$636&amp;CHAR(10)&amp;IF(Checks!$I$636="","",Checks!$I$636&amp;": ")&amp;Checks!$J$636</f>
        <v/>
      </c>
      <c r="B42" s="124">
        <f>Checks!$K$636&amp;IF(Checks!$O$636="","",IF(Checks!$K$636="","",CHAR(10))&amp;"Note: "&amp;Checks!$O$636)</f>
        <v/>
      </c>
      <c r="C42" s="124">
        <f>Checks!$N$636&amp;CHAR(10)&amp;IF(ISNUMBER(Checks!$R$636),TEXT(Checks!$R$636,"DD-MMM-YY HH:MM"),"")&amp;" "&amp;Checks!$P$636</f>
        <v/>
      </c>
      <c r="D42" s="124">
        <f>IF(Checks!$U$636="","",Checks!$U$636)&amp;IF(Checks!$AB$636="","",CHAR(10)&amp;"CA: "&amp;Checks!$AB$636)</f>
        <v/>
      </c>
      <c r="E42" s="124">
        <f>IF(Checks!$V$636="","",Checks!$V$636)&amp;IF(Checks!$AC$636="","",IF(Checks!$V$636="","",CHAR(10))&amp;"N/A just.: "&amp;Checks!$AC$636)&amp;IF(Checks!$W$636="","",CHAR(10)&amp;"Batch: "&amp;Checks!$W$636)&amp;IF(AND(Checks!$X$636="",Checks!$Y$636=""),"",CHAR(10)&amp;"Exp: "&amp;Checks!$X$636&amp;"  /  Act: "&amp;Checks!$Y$636)</f>
        <v/>
      </c>
      <c r="F42" s="124">
        <f>IF(Checks!$Z$636="","","Evidence: "&amp;Checks!$Z$636)&amp;IF(Checks!$AA$636="","",IF(Checks!$Z$636="","",CHAR(10))&amp;"CA: "&amp;Checks!$AA$636)</f>
        <v/>
      </c>
      <c r="G42" s="124">
        <f>IF(ISNUMBER(Checks!$AD$636),TEXT(Checks!$AD$636,"DD-MMM-YY HH:MM")&amp;" "&amp;Checks!$P$636,"")&amp;IF(Checks!$AE$636="","",CHAR(10)&amp;Checks!$AE$636)</f>
        <v/>
      </c>
      <c r="H42" s="125">
        <f>IF(Checks!$AH$636="","",Checks!$AH$636)</f>
        <v/>
      </c>
    </row>
    <row r="43" ht="180" customHeight="1">
      <c r="A43" s="124">
        <f>Checks!$A$637&amp;CHAR(10)&amp;IF(Checks!$I$637="","",Checks!$I$637&amp;": ")&amp;Checks!$J$637</f>
        <v/>
      </c>
      <c r="B43" s="124">
        <f>SUBSTITUTE(Checks!$K$637&amp;IF(Checks!$O$637="","",IF(Checks!$K$637="","",CHAR(10))&amp;"Note: "&amp;Checks!$O$637),"SEAT LINEN!","Ref: SEAT LINEN!")</f>
        <v/>
      </c>
      <c r="C43" s="124">
        <f>Checks!$N$637&amp;CHAR(10)&amp;IF(ISNUMBER(Checks!$R$637),TEXT(Checks!$R$637,"DD-MMM-YY HH:MM"),"")&amp;" "&amp;Checks!$P$637</f>
        <v/>
      </c>
      <c r="D43" s="124">
        <f>IF(Checks!$U$637="","",Checks!$U$637)&amp;IF(Checks!$AB$637="","",CHAR(10)&amp;"CA: "&amp;Checks!$AB$637)</f>
        <v/>
      </c>
      <c r="E43" s="124">
        <f>IF(Checks!$V$637="","",Checks!$V$637)&amp;IF(Checks!$AC$637="","",IF(Checks!$V$637="","",CHAR(10))&amp;"N/A just.: "&amp;Checks!$AC$637)&amp;IF(Checks!$W$637="","",CHAR(10)&amp;"Batch: "&amp;Checks!$W$637)&amp;IF(AND(Checks!$X$637="",Checks!$Y$637=""),"",CHAR(10)&amp;"Exp: "&amp;Checks!$X$637&amp;"  /  Act: "&amp;Checks!$Y$637)</f>
        <v/>
      </c>
      <c r="F43" s="124">
        <f>IF(Checks!$Z$637="","","Evidence: "&amp;Checks!$Z$637)&amp;IF(Checks!$AA$637="","",IF(Checks!$Z$637="","",CHAR(10))&amp;"CA: "&amp;Checks!$AA$637)</f>
        <v/>
      </c>
      <c r="G43" s="124">
        <f>IF(ISNUMBER(Checks!$AD$637),TEXT(Checks!$AD$637,"DD-MMM-YY HH:MM")&amp;" "&amp;Checks!$P$637,"")&amp;IF(Checks!$AE$637="","",CHAR(10)&amp;Checks!$AE$637)</f>
        <v/>
      </c>
      <c r="H43" s="125">
        <f>IF(Checks!$AH$637="","",Checks!$AH$637)</f>
        <v/>
      </c>
    </row>
    <row r="44" ht="191" customHeight="1">
      <c r="A44" s="124">
        <f>Checks!$A$638&amp;CHAR(10)&amp;IF(Checks!$I$638="","",Checks!$I$638&amp;": ")&amp;Checks!$J$638</f>
        <v/>
      </c>
      <c r="B44" s="124">
        <f>Checks!$K$638&amp;IF(Checks!$O$638="","",IF(Checks!$K$638="","",CHAR(10))&amp;"Note: "&amp;Checks!$O$638)</f>
        <v/>
      </c>
      <c r="C44" s="124">
        <f>Checks!$N$638&amp;CHAR(10)&amp;IF(ISNUMBER(Checks!$R$638),TEXT(Checks!$R$638,"DD-MMM-YY HH:MM"),"")&amp;" "&amp;Checks!$P$638</f>
        <v/>
      </c>
      <c r="D44" s="124">
        <f>IF(Checks!$U$638="","",Checks!$U$638)&amp;IF(Checks!$AB$638="","",CHAR(10)&amp;"CA: "&amp;Checks!$AB$638)</f>
        <v/>
      </c>
      <c r="E44" s="124">
        <f>IF(Checks!$V$638="","",Checks!$V$638)&amp;IF(Checks!$AC$638="","",IF(Checks!$V$638="","",CHAR(10))&amp;"N/A just.: "&amp;Checks!$AC$638)&amp;IF(Checks!$W$638="","",CHAR(10)&amp;"Batch: "&amp;Checks!$W$638)&amp;IF(AND(Checks!$X$638="",Checks!$Y$638=""),"",CHAR(10)&amp;"Exp: "&amp;Checks!$X$638&amp;"  /  Act: "&amp;Checks!$Y$638)</f>
        <v/>
      </c>
      <c r="F44" s="124">
        <f>IF(Checks!$Z$638="","","Evidence: "&amp;Checks!$Z$638)&amp;IF(Checks!$AA$638="","",IF(Checks!$Z$638="","",CHAR(10))&amp;"CA: "&amp;Checks!$AA$638)</f>
        <v/>
      </c>
      <c r="G44" s="124">
        <f>IF(ISNUMBER(Checks!$AD$638),TEXT(Checks!$AD$638,"DD-MMM-YY HH:MM")&amp;" "&amp;Checks!$P$638,"")&amp;IF(Checks!$AE$638="","",CHAR(10)&amp;Checks!$AE$638)</f>
        <v/>
      </c>
      <c r="H44" s="125">
        <f>IF(Checks!$AH$638="","",Checks!$AH$638)</f>
        <v/>
      </c>
    </row>
    <row r="45" ht="26" customHeight="1">
      <c r="A45" s="123">
        <f>"UPLIFT — Physical uplift – on-board confirmation before departure  |  Due "&amp;"STD "&amp;IF(ISNUMBER(Flights!$I$23),TEXT(Flights!$I$23,"DD-MMM-YY HH:MM"),"")&amp;" "&amp;Flights!$G$23&amp;" (departure stn)"&amp;" (rows with another due show their own)  |  Complete "&amp;IF(ISNUMBER(Flights!$AM$23),TEXT(Flights!$AM$23,"0%"),Flights!$AM$23)&amp;"  |  5 lines"</f>
        <v/>
      </c>
      <c r="B45" s="97" t="n"/>
      <c r="C45" s="97" t="n"/>
      <c r="D45" s="97" t="n"/>
      <c r="E45" s="97" t="n"/>
      <c r="F45" s="97" t="n"/>
      <c r="G45" s="97" t="n"/>
      <c r="H45" s="98" t="n"/>
    </row>
    <row r="46" ht="81" customHeight="1">
      <c r="A46" s="124">
        <f>Checks!$A$639&amp;CHAR(10)&amp;IF(Checks!$I$639="","",Checks!$I$639&amp;": ")&amp;Checks!$J$639</f>
        <v/>
      </c>
      <c r="B46" s="124">
        <f>Checks!$K$639&amp;IF(Checks!$O$639="","",IF(Checks!$K$639="","",CHAR(10))&amp;"Note: "&amp;Checks!$O$639)</f>
        <v/>
      </c>
      <c r="C46" s="124">
        <f>Checks!$N$639&amp;CHAR(10)&amp;IF(ISNUMBER(Checks!$R$639),TEXT(Checks!$R$639,"DD-MMM-YY HH:MM"),"")&amp;" "&amp;Checks!$P$639</f>
        <v/>
      </c>
      <c r="D46" s="124">
        <f>IF(Checks!$U$639="","",Checks!$U$639)&amp;IF(Checks!$AB$639="","",CHAR(10)&amp;"CA: "&amp;Checks!$AB$639)</f>
        <v/>
      </c>
      <c r="E46" s="124">
        <f>IF(Checks!$V$639="","",Checks!$V$639)&amp;IF(Checks!$AC$639="","",IF(Checks!$V$639="","",CHAR(10))&amp;"N/A just.: "&amp;Checks!$AC$639)&amp;IF(Checks!$W$639="","",CHAR(10)&amp;"Batch: "&amp;Checks!$W$639)&amp;IF(AND(Checks!$X$639="",Checks!$Y$639=""),"",CHAR(10)&amp;"Exp: "&amp;Checks!$X$639&amp;"  /  Act: "&amp;Checks!$Y$639)</f>
        <v/>
      </c>
      <c r="F46" s="124">
        <f>IF(Checks!$Z$639="","","Evidence: "&amp;Checks!$Z$639)&amp;IF(Checks!$AA$639="","",IF(Checks!$Z$639="","",CHAR(10))&amp;"CA: "&amp;Checks!$AA$639)</f>
        <v/>
      </c>
      <c r="G46" s="124">
        <f>IF(ISNUMBER(Checks!$AD$639),TEXT(Checks!$AD$639,"DD-MMM-YY HH:MM")&amp;" "&amp;Checks!$P$639,"")&amp;IF(Checks!$AE$639="","",CHAR(10)&amp;Checks!$AE$639)</f>
        <v/>
      </c>
      <c r="H46" s="125">
        <f>IF(Checks!$AH$639="","",Checks!$AH$639)</f>
        <v/>
      </c>
    </row>
    <row r="47" ht="81" customHeight="1">
      <c r="A47" s="124">
        <f>Checks!$A$640&amp;CHAR(10)&amp;IF(Checks!$I$640="","",Checks!$I$640&amp;": ")&amp;Checks!$J$640</f>
        <v/>
      </c>
      <c r="B47" s="124">
        <f>Checks!$K$640&amp;IF(Checks!$O$640="","",IF(Checks!$K$640="","",CHAR(10))&amp;"Note: "&amp;Checks!$O$640)</f>
        <v/>
      </c>
      <c r="C47" s="124">
        <f>Checks!$N$640&amp;CHAR(10)&amp;IF(ISNUMBER(Checks!$R$640),TEXT(Checks!$R$640,"DD-MMM-YY HH:MM"),"")&amp;" "&amp;Checks!$P$640</f>
        <v/>
      </c>
      <c r="D47" s="124">
        <f>IF(Checks!$U$640="","",Checks!$U$640)&amp;IF(Checks!$AB$640="","",CHAR(10)&amp;"CA: "&amp;Checks!$AB$640)</f>
        <v/>
      </c>
      <c r="E47" s="124">
        <f>IF(Checks!$V$640="","",Checks!$V$640)&amp;IF(Checks!$AC$640="","",IF(Checks!$V$640="","",CHAR(10))&amp;"N/A just.: "&amp;Checks!$AC$640)&amp;IF(Checks!$W$640="","",CHAR(10)&amp;"Batch: "&amp;Checks!$W$640)&amp;IF(AND(Checks!$X$640="",Checks!$Y$640=""),"",CHAR(10)&amp;"Exp: "&amp;Checks!$X$640&amp;"  /  Act: "&amp;Checks!$Y$640)</f>
        <v/>
      </c>
      <c r="F47" s="124">
        <f>IF(Checks!$Z$640="","","Evidence: "&amp;Checks!$Z$640)&amp;IF(Checks!$AA$640="","",IF(Checks!$Z$640="","",CHAR(10))&amp;"CA: "&amp;Checks!$AA$640)</f>
        <v/>
      </c>
      <c r="G47" s="124">
        <f>IF(ISNUMBER(Checks!$AD$640),TEXT(Checks!$AD$640,"DD-MMM-YY HH:MM")&amp;" "&amp;Checks!$P$640,"")&amp;IF(Checks!$AE$640="","",CHAR(10)&amp;Checks!$AE$640)</f>
        <v/>
      </c>
      <c r="H47" s="125">
        <f>IF(Checks!$AH$640="","",Checks!$AH$640)</f>
        <v/>
      </c>
    </row>
    <row r="48" ht="81" customHeight="1">
      <c r="A48" s="124">
        <f>Checks!$A$641&amp;CHAR(10)&amp;IF(Checks!$I$641="","",Checks!$I$641&amp;": ")&amp;Checks!$J$641</f>
        <v/>
      </c>
      <c r="B48" s="124">
        <f>Checks!$K$641&amp;IF(Checks!$O$641="","",IF(Checks!$K$641="","",CHAR(10))&amp;"Note: "&amp;Checks!$O$641)</f>
        <v/>
      </c>
      <c r="C48" s="124">
        <f>Checks!$N$641&amp;CHAR(10)&amp;IF(ISNUMBER(Checks!$R$641),TEXT(Checks!$R$641,"DD-MMM-YY HH:MM"),"")&amp;" "&amp;Checks!$P$641</f>
        <v/>
      </c>
      <c r="D48" s="124">
        <f>IF(Checks!$U$641="","",Checks!$U$641)&amp;IF(Checks!$AB$641="","",CHAR(10)&amp;"CA: "&amp;Checks!$AB$641)</f>
        <v/>
      </c>
      <c r="E48" s="124">
        <f>IF(Checks!$V$641="","",Checks!$V$641)&amp;IF(Checks!$AC$641="","",IF(Checks!$V$641="","",CHAR(10))&amp;"N/A just.: "&amp;Checks!$AC$641)&amp;IF(Checks!$W$641="","",CHAR(10)&amp;"Batch: "&amp;Checks!$W$641)&amp;IF(AND(Checks!$X$641="",Checks!$Y$641=""),"",CHAR(10)&amp;"Exp: "&amp;Checks!$X$641&amp;"  /  Act: "&amp;Checks!$Y$641)</f>
        <v/>
      </c>
      <c r="F48" s="124">
        <f>IF(Checks!$Z$641="","","Evidence: "&amp;Checks!$Z$641)&amp;IF(Checks!$AA$641="","",IF(Checks!$Z$641="","",CHAR(10))&amp;"CA: "&amp;Checks!$AA$641)</f>
        <v/>
      </c>
      <c r="G48" s="124">
        <f>IF(ISNUMBER(Checks!$AD$641),TEXT(Checks!$AD$641,"DD-MMM-YY HH:MM")&amp;" "&amp;Checks!$P$641,"")&amp;IF(Checks!$AE$641="","",CHAR(10)&amp;Checks!$AE$641)</f>
        <v/>
      </c>
      <c r="H48" s="125">
        <f>IF(Checks!$AH$641="","",Checks!$AH$641)</f>
        <v/>
      </c>
    </row>
    <row r="49" ht="114" customHeight="1">
      <c r="A49" s="124">
        <f>Checks!$A$642&amp;CHAR(10)&amp;IF(Checks!$I$642="","",Checks!$I$642&amp;": ")&amp;Checks!$J$642</f>
        <v/>
      </c>
      <c r="B49" s="124">
        <f>SUBSTITUTE(Checks!$K$642&amp;IF(Checks!$O$642="","",IF(Checks!$K$642="","",CHAR(10))&amp;"Note: "&amp;Checks!$O$642),"SEAT LINEN!","Ref: SEAT LINEN!")</f>
        <v/>
      </c>
      <c r="C49" s="124">
        <f>Checks!$N$642&amp;CHAR(10)&amp;IF(ISNUMBER(Checks!$R$642),TEXT(Checks!$R$642,"DD-MMM-YY HH:MM"),"")&amp;" "&amp;Checks!$P$642</f>
        <v/>
      </c>
      <c r="D49" s="124">
        <f>IF(Checks!$U$642="","",Checks!$U$642)&amp;IF(Checks!$AB$642="","",CHAR(10)&amp;"CA: "&amp;Checks!$AB$642)</f>
        <v/>
      </c>
      <c r="E49" s="124">
        <f>IF(Checks!$V$642="","",Checks!$V$642)&amp;IF(Checks!$AC$642="","",IF(Checks!$V$642="","",CHAR(10))&amp;"N/A just.: "&amp;Checks!$AC$642)&amp;IF(Checks!$W$642="","",CHAR(10)&amp;"Batch: "&amp;Checks!$W$642)&amp;IF(AND(Checks!$X$642="",Checks!$Y$642=""),"",CHAR(10)&amp;"Exp: "&amp;Checks!$X$642&amp;"  /  Act: "&amp;Checks!$Y$642)</f>
        <v/>
      </c>
      <c r="F49" s="124">
        <f>IF(Checks!$Z$642="","","Evidence: "&amp;Checks!$Z$642)&amp;IF(Checks!$AA$642="","",IF(Checks!$Z$642="","",CHAR(10))&amp;"CA: "&amp;Checks!$AA$642)</f>
        <v/>
      </c>
      <c r="G49" s="124">
        <f>IF(ISNUMBER(Checks!$AD$642),TEXT(Checks!$AD$642,"DD-MMM-YY HH:MM")&amp;" "&amp;Checks!$P$642,"")&amp;IF(Checks!$AE$642="","",CHAR(10)&amp;Checks!$AE$642)</f>
        <v/>
      </c>
      <c r="H49" s="125">
        <f>IF(Checks!$AH$642="","",Checks!$AH$642)</f>
        <v/>
      </c>
    </row>
    <row r="50" ht="125" customHeight="1">
      <c r="A50" s="124">
        <f>Checks!$A$643&amp;CHAR(10)&amp;IF(Checks!$I$643="","",Checks!$I$643&amp;": ")&amp;Checks!$J$643</f>
        <v/>
      </c>
      <c r="B50" s="124">
        <f>Checks!$K$643&amp;IF(Checks!$O$643="","",IF(Checks!$K$643="","",CHAR(10))&amp;"Note: "&amp;Checks!$O$643)</f>
        <v/>
      </c>
      <c r="C50" s="124">
        <f>Checks!$N$643&amp;CHAR(10)&amp;IF(ISNUMBER(Checks!$R$643),TEXT(Checks!$R$643,"DD-MMM-YY HH:MM"),"")&amp;" "&amp;Checks!$P$643</f>
        <v/>
      </c>
      <c r="D50" s="124">
        <f>IF(Checks!$U$643="","",Checks!$U$643)&amp;IF(Checks!$AB$643="","",CHAR(10)&amp;"CA: "&amp;Checks!$AB$643)</f>
        <v/>
      </c>
      <c r="E50" s="124">
        <f>IF(Checks!$V$643="","",Checks!$V$643)&amp;IF(Checks!$AC$643="","",IF(Checks!$V$643="","",CHAR(10))&amp;"N/A just.: "&amp;Checks!$AC$643)&amp;IF(Checks!$W$643="","",CHAR(10)&amp;"Batch: "&amp;Checks!$W$643)&amp;IF(AND(Checks!$X$643="",Checks!$Y$643=""),"",CHAR(10)&amp;"Exp: "&amp;Checks!$X$643&amp;"  /  Act: "&amp;Checks!$Y$643)</f>
        <v/>
      </c>
      <c r="F50" s="124">
        <f>IF(Checks!$Z$643="","","Evidence: "&amp;Checks!$Z$643)&amp;IF(Checks!$AA$643="","",IF(Checks!$Z$643="","",CHAR(10))&amp;"CA: "&amp;Checks!$AA$643)</f>
        <v/>
      </c>
      <c r="G50" s="124">
        <f>IF(ISNUMBER(Checks!$AD$643),TEXT(Checks!$AD$643,"DD-MMM-YY HH:MM")&amp;" "&amp;Checks!$P$643,"")&amp;IF(Checks!$AE$643="","",CHAR(10)&amp;Checks!$AE$643)</f>
        <v/>
      </c>
      <c r="H50" s="125">
        <f>IF(Checks!$AH$643="","",Checks!$AH$643)</f>
        <v/>
      </c>
    </row>
    <row r="52" ht="24" customHeight="1">
      <c r="A52" s="126" t="inlineStr">
        <is>
          <t>EXCEL INSERTION AREA (on-screen only, not printed) – A1 Galley Loading Diagram: Insert &gt; Picture here. On paper: staple behind this sheet as page A1.</t>
        </is>
      </c>
      <c r="B52" s="127" t="n"/>
      <c r="C52" s="127" t="n"/>
      <c r="D52" s="128" t="n"/>
      <c r="E52" s="126" t="inlineStr">
        <is>
          <t>EXCEL INSERTION AREA (on-screen only, not printed) – A2 Menu Checklist: Insert &gt; Picture here. On paper: staple behind this sheet as page A2.</t>
        </is>
      </c>
      <c r="F52" s="127" t="n"/>
      <c r="G52" s="127" t="n"/>
      <c r="H52" s="128" t="n"/>
    </row>
    <row r="53" ht="22" customHeight="1">
      <c r="A53" s="129" t="n"/>
      <c r="B53" s="130" t="n"/>
      <c r="C53" s="130" t="n"/>
      <c r="D53" s="131" t="n"/>
      <c r="E53" s="129"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2" t="n"/>
      <c r="B58" s="130" t="n"/>
      <c r="C58" s="130" t="n"/>
      <c r="D58" s="131" t="n"/>
      <c r="E58" s="132" t="n"/>
      <c r="F58" s="130" t="n"/>
      <c r="G58" s="130" t="n"/>
      <c r="H58" s="131" t="n"/>
    </row>
    <row r="59" ht="22" customHeight="1">
      <c r="A59" s="132" t="n"/>
      <c r="B59" s="130" t="n"/>
      <c r="C59" s="130" t="n"/>
      <c r="D59" s="131" t="n"/>
      <c r="E59" s="132" t="n"/>
      <c r="F59" s="130" t="n"/>
      <c r="G59" s="130" t="n"/>
      <c r="H59" s="131" t="n"/>
    </row>
    <row r="60" ht="22" customHeight="1">
      <c r="A60" s="132" t="n"/>
      <c r="B60" s="130" t="n"/>
      <c r="C60" s="130" t="n"/>
      <c r="D60" s="131" t="n"/>
      <c r="E60" s="132" t="n"/>
      <c r="F60" s="130" t="n"/>
      <c r="G60" s="130" t="n"/>
      <c r="H60" s="131" t="n"/>
    </row>
    <row r="61" ht="22" customHeight="1">
      <c r="A61" s="132" t="n"/>
      <c r="B61" s="130" t="n"/>
      <c r="C61" s="130" t="n"/>
      <c r="D61" s="131" t="n"/>
      <c r="E61" s="132" t="n"/>
      <c r="F61" s="130" t="n"/>
      <c r="G61" s="130" t="n"/>
      <c r="H61" s="131" t="n"/>
    </row>
    <row r="62" ht="22" customHeight="1">
      <c r="A62" s="133" t="n"/>
      <c r="B62" s="134" t="n"/>
      <c r="C62" s="134" t="n"/>
      <c r="D62" s="135" t="n"/>
      <c r="E62" s="133" t="n"/>
      <c r="F62" s="134" t="n"/>
      <c r="G62" s="134" t="n"/>
      <c r="H62" s="135" t="n"/>
    </row>
  </sheetData>
  <mergeCells count="46">
    <mergeCell ref="B11:D11"/>
    <mergeCell ref="A53:D62"/>
    <mergeCell ref="F18:H18"/>
    <mergeCell ref="C15:D15"/>
    <mergeCell ref="E53:H62"/>
    <mergeCell ref="B8:D8"/>
    <mergeCell ref="G11:H11"/>
    <mergeCell ref="A52:D52"/>
    <mergeCell ref="C14:D14"/>
    <mergeCell ref="F2:H2"/>
    <mergeCell ref="F17:H17"/>
    <mergeCell ref="A1:H1"/>
    <mergeCell ref="G8:H8"/>
    <mergeCell ref="A45:H45"/>
    <mergeCell ref="B10:D10"/>
    <mergeCell ref="G7:H7"/>
    <mergeCell ref="F13:H13"/>
    <mergeCell ref="B16:E16"/>
    <mergeCell ref="B9:D9"/>
    <mergeCell ref="C17:E17"/>
    <mergeCell ref="G6:H6"/>
    <mergeCell ref="A18:B18"/>
    <mergeCell ref="B6:D6"/>
    <mergeCell ref="G3:H3"/>
    <mergeCell ref="E52:H52"/>
    <mergeCell ref="B5:D5"/>
    <mergeCell ref="F14:H14"/>
    <mergeCell ref="C19:E19"/>
    <mergeCell ref="B4:D4"/>
    <mergeCell ref="G5:H5"/>
    <mergeCell ref="C18:E18"/>
    <mergeCell ref="A17:B17"/>
    <mergeCell ref="B7:D7"/>
    <mergeCell ref="A32:H32"/>
    <mergeCell ref="A22:H22"/>
    <mergeCell ref="G4:H4"/>
    <mergeCell ref="F16:H16"/>
    <mergeCell ref="B3:D3"/>
    <mergeCell ref="F19:H19"/>
    <mergeCell ref="A12:D12"/>
    <mergeCell ref="A19:B19"/>
    <mergeCell ref="A20:H20"/>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50">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50">
    <cfRule type="expression" priority="16" dxfId="20">
      <formula>LEFT($H23,3)="N/A"</formula>
    </cfRule>
  </conditionalFormatting>
  <conditionalFormatting sqref="D23:D50">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F19 MH0053 29-Oct-26 KIX-KUL Class EY</oddHeader>
    <oddFooter>&amp;L&amp;"Arial,Bold"&amp;8 F19 MH0053 29-Oct-26 KIX-KUL Class EY&amp;C&amp;"Arial"&amp;8 Printed: ____________________&amp;R&amp;"Arial"&amp;8 F19  Page &amp;P of &amp;N</oddFooter>
    <evenHeader/>
    <evenFooter/>
    <firstHeader/>
    <firstFooter/>
  </headerFooter>
  <rowBreaks count="2" manualBreakCount="2">
    <brk id="20" min="0" max="16383" man="1"/>
    <brk id="33" min="0" max="16383" man="1"/>
  </rowBreaks>
</worksheet>
</file>

<file path=xl/worksheets/sheet28.xml><?xml version="1.0" encoding="utf-8"?>
<worksheet xmlns="http://schemas.openxmlformats.org/spreadsheetml/2006/main">
  <sheetPr>
    <tabColor rgb="001F3864"/>
    <outlinePr summaryBelow="1" summaryRight="1"/>
    <pageSetUpPr fitToPage="1"/>
  </sheetPr>
  <dimension ref="A1:H58"/>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F20  "&amp;Flights!$F$24&amp;"  "&amp;TEXT(Flights!$D$24,"DD-MMM-YY")&amp;" ("&amp;Flights!$E$24&amp;")  "&amp;Flights!$G$24&amp;" → "&amp;Flights!$H$24&amp;"  |  Class "&amp;Flights!$K$24</f>
        <v/>
      </c>
      <c r="B1" s="97" t="n"/>
      <c r="C1" s="97" t="n"/>
      <c r="D1" s="97" t="n"/>
      <c r="E1" s="97" t="n"/>
      <c r="F1" s="97" t="n"/>
      <c r="G1" s="97" t="n"/>
      <c r="H1" s="98" t="n"/>
    </row>
    <row r="2" ht="13" customHeight="1">
      <c r="A2" s="99" t="inlineStr">
        <is>
          <t>Flight / date</t>
        </is>
      </c>
      <c r="B2" s="100">
        <f>Flights!$F$24&amp;"   "&amp;TEXT(Flights!$D$24,"DD-MMM-YY")&amp;" ("&amp;Flights!$E$24&amp;")"</f>
        <v/>
      </c>
      <c r="C2" s="97" t="n"/>
      <c r="D2" s="98" t="n"/>
      <c r="E2" s="101" t="inlineStr">
        <is>
          <t>READINESS STATUS</t>
        </is>
      </c>
      <c r="F2" s="102">
        <f>Flights!$AT$24</f>
        <v/>
      </c>
      <c r="G2" s="97" t="n"/>
      <c r="H2" s="98" t="n"/>
    </row>
    <row r="3" ht="24" customHeight="1">
      <c r="A3" s="99" t="inlineStr">
        <is>
          <t>Sector / class / seat</t>
        </is>
      </c>
      <c r="B3" s="100">
        <f>Flights!$G$24&amp;" → "&amp;Flights!$H$24&amp;"   Class "&amp;Flights!$K$24&amp;"   Seat "&amp;Flights!$O$24</f>
        <v/>
      </c>
      <c r="C3" s="97" t="n"/>
      <c r="D3" s="98" t="n"/>
      <c r="E3" s="101" t="inlineStr">
        <is>
          <t>Checkpoint</t>
        </is>
      </c>
      <c r="F3" s="101" t="inlineStr">
        <is>
          <t>Due (local)</t>
        </is>
      </c>
      <c r="G3" s="103" t="inlineStr">
        <is>
          <t>% complete</t>
        </is>
      </c>
      <c r="H3" s="98" t="n"/>
    </row>
    <row r="4" ht="13" customHeight="1">
      <c r="A4" s="99" t="inlineStr">
        <is>
          <t>STD → STA (local)</t>
        </is>
      </c>
      <c r="B4" s="100">
        <f>IF(ISNUMBER(Flights!$I$24),TEXT(Flights!$I$24,"DD-MMM-YY HH:MM"),"")&amp;" "&amp;Flights!$G$24&amp;"  →  "&amp;IF(ISNUMBER(Flights!$J$24),TEXT(Flights!$J$24,"DD-MMM-YY HH:MM"),"")&amp;" "&amp;Flights!$H$24</f>
        <v/>
      </c>
      <c r="C4" s="97" t="n"/>
      <c r="D4" s="98" t="n"/>
      <c r="E4" s="99" t="inlineStr">
        <is>
          <t>T-7D – 7 days before departure</t>
        </is>
      </c>
      <c r="F4" s="104">
        <f>IF(ISNUMBER(Flights!$AG$24),TEXT(Flights!$AG$24,"DD-MMM-YY HH:MM"),"")&amp;" "&amp;Flights!$V$24</f>
        <v/>
      </c>
      <c r="G4" s="105">
        <f>Flights!$AJ$24</f>
        <v/>
      </c>
      <c r="H4" s="98" t="n"/>
    </row>
    <row r="5" ht="24" customHeight="1">
      <c r="A5" s="99" t="inlineStr">
        <is>
          <t>Fleet / aircraft ref</t>
        </is>
      </c>
      <c r="B5" s="100">
        <f>Flights!$L$24&amp;" – "&amp;Flights!$M$24</f>
        <v/>
      </c>
      <c r="C5" s="97" t="n"/>
      <c r="D5" s="98" t="n"/>
      <c r="E5" s="99" t="inlineStr">
        <is>
          <t>T-24H – production batch sensory</t>
        </is>
      </c>
      <c r="F5" s="104">
        <f>IF(ISNUMBER(Flights!$AH$24),TEXT(Flights!$AH$24,"DD-MMM-YY HH:MM"),"")&amp;" "&amp;Flights!$V$24</f>
        <v/>
      </c>
      <c r="G5" s="105">
        <f>Flights!$AK$24</f>
        <v/>
      </c>
      <c r="H5" s="98" t="n"/>
    </row>
    <row r="6" ht="13" customHeight="1">
      <c r="A6" s="99" t="inlineStr">
        <is>
          <t>Tail / Reg</t>
        </is>
      </c>
      <c r="B6" s="100">
        <f>IF(TRIM(Flights!$N$24)="","__________________",Flights!$N$24)</f>
        <v/>
      </c>
      <c r="C6" s="97" t="n"/>
      <c r="D6" s="98" t="n"/>
      <c r="E6" s="99" t="inlineStr">
        <is>
          <t>T-12H PREP – caterer prep only</t>
        </is>
      </c>
      <c r="F6" s="104">
        <f>IF(ISNUMBER(Flights!$AI$24),TEXT(Flights!$AI$24,"DD-MMM-YY HH:MM"),"")&amp;" "&amp;Flights!$V$24&amp;IF(Flights!$AI$24=Flights!$AH$24,"  (= T-24H due)","")</f>
        <v/>
      </c>
      <c r="G6" s="105">
        <f>Flights!$AL$24</f>
        <v/>
      </c>
      <c r="H6" s="98" t="n"/>
    </row>
    <row r="7" ht="13" customHeight="1">
      <c r="A7" s="99" t="inlineStr">
        <is>
          <t>Service type</t>
        </is>
      </c>
      <c r="B7" s="100">
        <f>Flights!$T$24</f>
        <v/>
      </c>
      <c r="C7" s="97" t="n"/>
      <c r="D7" s="98" t="n"/>
      <c r="E7" s="99" t="inlineStr">
        <is>
          <t>UPLIFT – on-board confirmation</t>
        </is>
      </c>
      <c r="F7" s="104">
        <f>"STD "&amp;IF(ISNUMBER(Flights!$I$24),TEXT(Flights!$I$24,"DD-MMM-YY HH:MM"),"")&amp;" "&amp;Flights!$G$24&amp;" (dep stn)"</f>
        <v/>
      </c>
      <c r="G7" s="105">
        <f>Flights!$AM$24</f>
        <v/>
      </c>
      <c r="H7" s="98" t="n"/>
    </row>
    <row r="8" ht="13" customHeight="1">
      <c r="A8" s="99" t="inlineStr">
        <is>
          <t>Meal uplift stn</t>
        </is>
      </c>
      <c r="B8" s="100">
        <f>Flights!$V$24&amp;"   (reference uplift stns: "&amp;Flights!$U$24&amp;")"</f>
        <v/>
      </c>
      <c r="C8" s="97" t="n"/>
      <c r="D8" s="98" t="n"/>
      <c r="E8" s="99" t="inlineStr">
        <is>
          <t>OVERALL (all checkpoints)</t>
        </is>
      </c>
      <c r="F8" s="106" t="inlineStr">
        <is>
          <t>–</t>
        </is>
      </c>
      <c r="G8" s="105">
        <f>Flights!$AN$24</f>
        <v/>
      </c>
      <c r="H8" s="98" t="n"/>
    </row>
    <row r="9" ht="13" customHeight="1">
      <c r="A9" s="99" t="inlineStr">
        <is>
          <t>Transit / remark</t>
        </is>
      </c>
      <c r="B9" s="100">
        <f>TRIM(Flights!$P$24&amp;"  "&amp;Flights!$Q$24)</f>
        <v/>
      </c>
      <c r="C9" s="97" t="n"/>
      <c r="D9" s="98" t="n"/>
      <c r="E9" s="99" t="inlineStr">
        <is>
          <t>Overdue / discrep. / invalid</t>
        </is>
      </c>
      <c r="F9" s="107">
        <f>Flights!$AP$24</f>
        <v/>
      </c>
      <c r="G9" s="107">
        <f>Flights!$AQ$24</f>
        <v/>
      </c>
      <c r="H9" s="107">
        <f>Flights!$AU$24</f>
        <v/>
      </c>
    </row>
    <row r="10" ht="13" customHeight="1">
      <c r="A10" s="99" t="inlineStr">
        <is>
          <t>Caterer</t>
        </is>
      </c>
      <c r="B10" s="100">
        <f>IF(TRIM(Flights!$X$24)="","__________________",Flights!$X$24)</f>
        <v/>
      </c>
      <c r="C10" s="97" t="n"/>
      <c r="D10" s="98" t="n"/>
      <c r="E10" s="99" t="inlineStr">
        <is>
          <t>Open reqd / clarif. / docs out</t>
        </is>
      </c>
      <c r="F10" s="107">
        <f>Flights!$AO$24</f>
        <v/>
      </c>
      <c r="G10" s="107">
        <f>Flights!$AS$24</f>
        <v/>
      </c>
      <c r="H10" s="107">
        <f>Flights!$AR$24</f>
        <v/>
      </c>
    </row>
    <row r="11" ht="13" customHeight="1">
      <c r="A11" s="99" t="inlineStr">
        <is>
          <t>Flight PIC</t>
        </is>
      </c>
      <c r="B11" s="100">
        <f>IF(TRIM(Flights!$Y$24)="","__________________",Flights!$Y$24)</f>
        <v/>
      </c>
      <c r="C11" s="97" t="n"/>
      <c r="D11" s="98" t="n"/>
      <c r="E11" s="99" t="inlineStr">
        <is>
          <t>Done / in scope | as of UTC</t>
        </is>
      </c>
      <c r="F11" s="107">
        <f>Flights!$AV$24&amp;" / "&amp;Flights!$AW$24</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IF(Documents!$F$24="","",Documents!$F$24)</f>
        <v/>
      </c>
      <c r="C14" s="115">
        <f>IF(Documents!$G$24="","",Documents!$G$24)&amp;IF(ISNUMBER(Documents!$H$24),"  "&amp;TEXT(Documents!$H$24,"DD-MMM-YY"),"")</f>
        <v/>
      </c>
      <c r="D14" s="98" t="n"/>
      <c r="E14" s="116">
        <f>IF(Documents!$J$24="OUTSTANDING","OUTSTANDING – attach before T-7D (due "&amp;IF(ISNUMBER(Flights!$AG$24),TEXT(Flights!$AG$24,"DD-MMM-YY HH:MM"),"")&amp;" "&amp;Flights!$V$24&amp;")",IF(Documents!$J$24="","Status not recorded",Documents!$J$24))</f>
        <v/>
      </c>
      <c r="F14" s="117">
        <f>"Staple behind this sheet as page A1."&amp;IF(Documents!$I$24="",""," Location: "&amp;Documents!$I$24)</f>
        <v/>
      </c>
      <c r="G14" s="97" t="n"/>
      <c r="H14" s="98" t="n"/>
    </row>
    <row r="15" ht="25" customHeight="1">
      <c r="A15" s="99" t="inlineStr">
        <is>
          <t>A2  Menu Checklist</t>
        </is>
      </c>
      <c r="B15" s="114">
        <f>IF(Documents!$K$24="","",Documents!$K$24)</f>
        <v/>
      </c>
      <c r="C15" s="115">
        <f>IF(Documents!$L$24="","",Documents!$L$24)&amp;IF(ISNUMBER(Documents!$M$24),"  "&amp;TEXT(Documents!$M$24,"DD-MMM-YY"),"")</f>
        <v/>
      </c>
      <c r="D15" s="98" t="n"/>
      <c r="E15" s="116">
        <f>IF(Documents!$O$24="OUTSTANDING","OUTSTANDING – attach before T-7D (due "&amp;IF(ISNUMBER(Flights!$AG$24),TEXT(Flights!$AG$24,"DD-MMM-YY HH:MM"),"")&amp;" "&amp;Flights!$V$24&amp;")",IF(Documents!$O$24="","Status not recorded",Documents!$O$24))</f>
        <v/>
      </c>
      <c r="F15" s="117">
        <f>"Staple behind this sheet as page A2."&amp;IF(Documents!$N$24="",""," Location: "&amp;Documents!$N$24)</f>
        <v/>
      </c>
      <c r="G15" s="97" t="n"/>
      <c r="H15" s="98" t="n"/>
    </row>
    <row r="16" ht="33" customHeight="1">
      <c r="A16" s="99" t="inlineStr">
        <is>
          <t>Document notes</t>
        </is>
      </c>
      <c r="B16" s="118">
        <f>IF(Documents!$Q$24="","",Documents!$Q$24)</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"&amp;IF(TRIM(Flights!$Y$24)="","__________________",Flights!$Y$24)</f>
        <v/>
      </c>
      <c r="B18" s="98" t="n"/>
      <c r="C18" s="100">
        <f>"Name: __________________"</f>
        <v/>
      </c>
      <c r="D18" s="97" t="n"/>
      <c r="E18" s="98" t="n"/>
      <c r="F18" s="100">
        <f>"Name: __________________"&amp;"   Station: "&amp;Flights!$V$24</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"&amp;IF(ISNUMBER(Flights!$AG$24),TEXT(Flights!$AG$24,"DD-MMM-YY HH:MM"),"")&amp;" "&amp;Flights!$V$24&amp;" (meal uplift stn)"&amp;" (rows with another due show their own)  |  Complete "&amp;IF(ISNUMBER(Flights!$AJ$24),TEXT(Flights!$AJ$24,"0%"),Flights!$AJ$24)&amp;"  |  9 lines"</f>
        <v/>
      </c>
      <c r="B22" s="97" t="n"/>
      <c r="C22" s="97" t="n"/>
      <c r="D22" s="97" t="n"/>
      <c r="E22" s="97" t="n"/>
      <c r="F22" s="97" t="n"/>
      <c r="G22" s="97" t="n"/>
      <c r="H22" s="98" t="n"/>
    </row>
    <row r="23" ht="81" customHeight="1">
      <c r="A23" s="124">
        <f>Checks!$A$644&amp;CHAR(10)&amp;IF(Checks!$I$644="","",Checks!$I$644&amp;": ")&amp;Checks!$J$644</f>
        <v/>
      </c>
      <c r="B23" s="124">
        <f>Checks!$K$644&amp;IF(Checks!$O$644="","",IF(Checks!$K$644="","",CHAR(10))&amp;"Note: "&amp;Checks!$O$644)</f>
        <v/>
      </c>
      <c r="C23" s="124">
        <f>Checks!$N$644&amp;CHAR(10)&amp;IF(ISNUMBER(Checks!$R$644),TEXT(Checks!$R$644,"DD-MMM-YY HH:MM"),"")&amp;" "&amp;Checks!$P$644</f>
        <v/>
      </c>
      <c r="D23" s="124">
        <f>IF(Checks!$U$644="","",Checks!$U$644)&amp;IF(Checks!$AB$644="","",CHAR(10)&amp;"CA: "&amp;Checks!$AB$644)</f>
        <v/>
      </c>
      <c r="E23" s="124">
        <f>IF(Checks!$V$644="","",Checks!$V$644)&amp;IF(Checks!$AC$644="","",IF(Checks!$V$644="","",CHAR(10))&amp;"N/A just.: "&amp;Checks!$AC$644)&amp;IF(Checks!$W$644="","",CHAR(10)&amp;"Batch: "&amp;Checks!$W$644)&amp;IF(AND(Checks!$X$644="",Checks!$Y$644=""),"",CHAR(10)&amp;"Exp: "&amp;Checks!$X$644&amp;"  /  Act: "&amp;Checks!$Y$644)</f>
        <v/>
      </c>
      <c r="F23" s="124">
        <f>IF(Checks!$Z$644="","","Evidence: "&amp;Checks!$Z$644)&amp;IF(Checks!$AA$644="","",IF(Checks!$Z$644="","",CHAR(10))&amp;"CA: "&amp;Checks!$AA$644)</f>
        <v/>
      </c>
      <c r="G23" s="124">
        <f>IF(ISNUMBER(Checks!$AD$644),TEXT(Checks!$AD$644,"DD-MMM-YY HH:MM")&amp;" "&amp;Checks!$P$644,"")&amp;IF(Checks!$AE$644="","",CHAR(10)&amp;Checks!$AE$644)</f>
        <v/>
      </c>
      <c r="H23" s="125">
        <f>IF(Checks!$AH$644="","",Checks!$AH$644)</f>
        <v/>
      </c>
    </row>
    <row r="24" ht="114" customHeight="1">
      <c r="A24" s="124">
        <f>Checks!$A$645&amp;CHAR(10)&amp;IF(Checks!$I$645="","",Checks!$I$645&amp;": ")&amp;Checks!$J$645</f>
        <v/>
      </c>
      <c r="B24" s="124">
        <f>Checks!$K$645&amp;IF(Checks!$O$645="","",IF(Checks!$K$645="","",CHAR(10))&amp;"Note: "&amp;Checks!$O$645)</f>
        <v/>
      </c>
      <c r="C24" s="124">
        <f>Checks!$N$645&amp;CHAR(10)&amp;IF(ISNUMBER(Checks!$R$645),TEXT(Checks!$R$645,"DD-MMM-YY HH:MM"),"")&amp;" "&amp;Checks!$P$645</f>
        <v/>
      </c>
      <c r="D24" s="124">
        <f>IF(Checks!$U$645="","",Checks!$U$645)&amp;IF(Checks!$AB$645="","",CHAR(10)&amp;"CA: "&amp;Checks!$AB$645)</f>
        <v/>
      </c>
      <c r="E24" s="124">
        <f>IF(Checks!$V$645="","",Checks!$V$645)&amp;IF(Checks!$AC$645="","",IF(Checks!$V$645="","",CHAR(10))&amp;"N/A just.: "&amp;Checks!$AC$645)&amp;IF(Checks!$W$645="","",CHAR(10)&amp;"Batch: "&amp;Checks!$W$645)&amp;IF(AND(Checks!$X$645="",Checks!$Y$645=""),"",CHAR(10)&amp;"Exp: "&amp;Checks!$X$645&amp;"  /  Act: "&amp;Checks!$Y$645)</f>
        <v/>
      </c>
      <c r="F24" s="124">
        <f>IF(Checks!$Z$645="","","Evidence: "&amp;Checks!$Z$645)&amp;IF(Checks!$AA$645="","",IF(Checks!$Z$645="","",CHAR(10))&amp;"CA: "&amp;Checks!$AA$645)</f>
        <v/>
      </c>
      <c r="G24" s="124">
        <f>IF(ISNUMBER(Checks!$AD$645),TEXT(Checks!$AD$645,"DD-MMM-YY HH:MM")&amp;" "&amp;Checks!$P$645,"")&amp;IF(Checks!$AE$645="","",CHAR(10)&amp;Checks!$AE$645)</f>
        <v/>
      </c>
      <c r="H24" s="125">
        <f>IF(Checks!$AH$645="","",Checks!$AH$645)</f>
        <v/>
      </c>
    </row>
    <row r="25" ht="92" customHeight="1">
      <c r="A25" s="124">
        <f>Checks!$A$646&amp;CHAR(10)&amp;IF(Checks!$I$646="","",Checks!$I$646&amp;": ")&amp;Checks!$J$646</f>
        <v/>
      </c>
      <c r="B25" s="124">
        <f>Checks!$K$646&amp;IF(Checks!$O$646="","",IF(Checks!$K$646="","",CHAR(10))&amp;"Note: "&amp;Checks!$O$646)</f>
        <v/>
      </c>
      <c r="C25" s="124">
        <f>Checks!$N$646&amp;CHAR(10)&amp;IF(ISNUMBER(Checks!$R$646),TEXT(Checks!$R$646,"DD-MMM-YY HH:MM"),"")&amp;" "&amp;Checks!$P$646</f>
        <v/>
      </c>
      <c r="D25" s="124">
        <f>IF(Checks!$U$646="","",Checks!$U$646)&amp;IF(Checks!$AB$646="","",CHAR(10)&amp;"CA: "&amp;Checks!$AB$646)</f>
        <v/>
      </c>
      <c r="E25" s="124">
        <f>IF(Checks!$V$646="","",Checks!$V$646)&amp;IF(Checks!$AC$646="","",IF(Checks!$V$646="","",CHAR(10))&amp;"N/A just.: "&amp;Checks!$AC$646)&amp;IF(Checks!$W$646="","",CHAR(10)&amp;"Batch: "&amp;Checks!$W$646)&amp;IF(AND(Checks!$X$646="",Checks!$Y$646=""),"",CHAR(10)&amp;"Exp: "&amp;Checks!$X$646&amp;"  /  Act: "&amp;Checks!$Y$646)</f>
        <v/>
      </c>
      <c r="F25" s="124">
        <f>IF(Checks!$Z$646="","","Evidence: "&amp;Checks!$Z$646)&amp;IF(Checks!$AA$646="","",IF(Checks!$Z$646="","",CHAR(10))&amp;"CA: "&amp;Checks!$AA$646)</f>
        <v/>
      </c>
      <c r="G25" s="124">
        <f>IF(ISNUMBER(Checks!$AD$646),TEXT(Checks!$AD$646,"DD-MMM-YY HH:MM")&amp;" "&amp;Checks!$P$646,"")&amp;IF(Checks!$AE$646="","",CHAR(10)&amp;Checks!$AE$646)</f>
        <v/>
      </c>
      <c r="H25" s="125">
        <f>IF(Checks!$AH$646="","",Checks!$AH$646)</f>
        <v/>
      </c>
    </row>
    <row r="26" ht="81" customHeight="1">
      <c r="A26" s="124">
        <f>Checks!$A$647&amp;CHAR(10)&amp;IF(Checks!$I$647="","",Checks!$I$647&amp;": ")&amp;Checks!$J$647</f>
        <v/>
      </c>
      <c r="B26" s="124">
        <f>Checks!$K$647&amp;IF(Checks!$O$647="","",IF(Checks!$K$647="","",CHAR(10))&amp;"Note: "&amp;Checks!$O$647)</f>
        <v/>
      </c>
      <c r="C26" s="124">
        <f>Checks!$N$647&amp;CHAR(10)&amp;IF(ISNUMBER(Checks!$R$647),TEXT(Checks!$R$647,"DD-MMM-YY HH:MM"),"")&amp;" "&amp;Checks!$P$647</f>
        <v/>
      </c>
      <c r="D26" s="124">
        <f>IF(Checks!$U$647="","",Checks!$U$647)&amp;IF(Checks!$AB$647="","",CHAR(10)&amp;"CA: "&amp;Checks!$AB$647)</f>
        <v/>
      </c>
      <c r="E26" s="124">
        <f>IF(Checks!$V$647="","",Checks!$V$647)&amp;IF(Checks!$AC$647="","",IF(Checks!$V$647="","",CHAR(10))&amp;"N/A just.: "&amp;Checks!$AC$647)&amp;IF(Checks!$W$647="","",CHAR(10)&amp;"Batch: "&amp;Checks!$W$647)&amp;IF(AND(Checks!$X$647="",Checks!$Y$647=""),"",CHAR(10)&amp;"Exp: "&amp;Checks!$X$647&amp;"  /  Act: "&amp;Checks!$Y$647)</f>
        <v/>
      </c>
      <c r="F26" s="124">
        <f>IF(Checks!$Z$647="","","Evidence: "&amp;Checks!$Z$647)&amp;IF(Checks!$AA$647="","",IF(Checks!$Z$647="","",CHAR(10))&amp;"CA: "&amp;Checks!$AA$647)</f>
        <v/>
      </c>
      <c r="G26" s="124">
        <f>IF(ISNUMBER(Checks!$AD$647),TEXT(Checks!$AD$647,"DD-MMM-YY HH:MM")&amp;" "&amp;Checks!$P$647,"")&amp;IF(Checks!$AE$647="","",CHAR(10)&amp;Checks!$AE$647)</f>
        <v/>
      </c>
      <c r="H26" s="125">
        <f>IF(Checks!$AH$647="","",Checks!$AH$647)</f>
        <v/>
      </c>
    </row>
    <row r="27" ht="81" customHeight="1">
      <c r="A27" s="124">
        <f>Checks!$A$648&amp;CHAR(10)&amp;IF(Checks!$I$648="","",Checks!$I$648&amp;": ")&amp;Checks!$J$648</f>
        <v/>
      </c>
      <c r="B27" s="124">
        <f>Checks!$K$648&amp;IF(Checks!$O$648="","",IF(Checks!$K$648="","",CHAR(10))&amp;"Note: "&amp;Checks!$O$648)</f>
        <v/>
      </c>
      <c r="C27" s="124">
        <f>Checks!$N$648&amp;CHAR(10)&amp;IF(ISNUMBER(Checks!$R$648),TEXT(Checks!$R$648,"DD-MMM-YY HH:MM"),"")&amp;" "&amp;Checks!$P$648</f>
        <v/>
      </c>
      <c r="D27" s="124">
        <f>IF(Checks!$U$648="","",Checks!$U$648)&amp;IF(Checks!$AB$648="","",CHAR(10)&amp;"CA: "&amp;Checks!$AB$648)</f>
        <v/>
      </c>
      <c r="E27" s="124">
        <f>IF(Checks!$V$648="","",Checks!$V$648)&amp;IF(Checks!$AC$648="","",IF(Checks!$V$648="","",CHAR(10))&amp;"N/A just.: "&amp;Checks!$AC$648)&amp;IF(Checks!$W$648="","",CHAR(10)&amp;"Batch: "&amp;Checks!$W$648)&amp;IF(AND(Checks!$X$648="",Checks!$Y$648=""),"",CHAR(10)&amp;"Exp: "&amp;Checks!$X$648&amp;"  /  Act: "&amp;Checks!$Y$648)</f>
        <v/>
      </c>
      <c r="F27" s="124">
        <f>IF(Checks!$Z$648="","","Evidence: "&amp;Checks!$Z$648)&amp;IF(Checks!$AA$648="","",IF(Checks!$Z$648="","",CHAR(10))&amp;"CA: "&amp;Checks!$AA$648)</f>
        <v/>
      </c>
      <c r="G27" s="124">
        <f>IF(ISNUMBER(Checks!$AD$648),TEXT(Checks!$AD$648,"DD-MMM-YY HH:MM")&amp;" "&amp;Checks!$P$648,"")&amp;IF(Checks!$AE$648="","",CHAR(10)&amp;Checks!$AE$648)</f>
        <v/>
      </c>
      <c r="H27" s="125">
        <f>IF(Checks!$AH$648="","",Checks!$AH$648)</f>
        <v/>
      </c>
    </row>
    <row r="28" ht="81" customHeight="1">
      <c r="A28" s="124">
        <f>Checks!$A$649&amp;CHAR(10)&amp;IF(Checks!$I$649="","",Checks!$I$649&amp;": ")&amp;Checks!$J$649</f>
        <v/>
      </c>
      <c r="B28" s="124">
        <f>Checks!$K$649&amp;IF(Checks!$O$649="","",IF(Checks!$K$649="","",CHAR(10))&amp;"Note: "&amp;Checks!$O$649)</f>
        <v/>
      </c>
      <c r="C28" s="124">
        <f>Checks!$N$649&amp;CHAR(10)&amp;IF(ISNUMBER(Checks!$R$649),TEXT(Checks!$R$649,"DD-MMM-YY HH:MM"),"")&amp;" "&amp;Checks!$P$649</f>
        <v/>
      </c>
      <c r="D28" s="124">
        <f>IF(Checks!$U$649="","",Checks!$U$649)&amp;IF(Checks!$AB$649="","",CHAR(10)&amp;"CA: "&amp;Checks!$AB$649)</f>
        <v/>
      </c>
      <c r="E28" s="124">
        <f>IF(Checks!$V$649="","",Checks!$V$649)&amp;IF(Checks!$AC$649="","",IF(Checks!$V$649="","",CHAR(10))&amp;"N/A just.: "&amp;Checks!$AC$649)&amp;IF(Checks!$W$649="","",CHAR(10)&amp;"Batch: "&amp;Checks!$W$649)&amp;IF(AND(Checks!$X$649="",Checks!$Y$649=""),"",CHAR(10)&amp;"Exp: "&amp;Checks!$X$649&amp;"  /  Act: "&amp;Checks!$Y$649)</f>
        <v/>
      </c>
      <c r="F28" s="124">
        <f>IF(Checks!$Z$649="","","Evidence: "&amp;Checks!$Z$649)&amp;IF(Checks!$AA$649="","",IF(Checks!$Z$649="","",CHAR(10))&amp;"CA: "&amp;Checks!$AA$649)</f>
        <v/>
      </c>
      <c r="G28" s="124">
        <f>IF(ISNUMBER(Checks!$AD$649),TEXT(Checks!$AD$649,"DD-MMM-YY HH:MM")&amp;" "&amp;Checks!$P$649,"")&amp;IF(Checks!$AE$649="","",CHAR(10)&amp;Checks!$AE$649)</f>
        <v/>
      </c>
      <c r="H28" s="125">
        <f>IF(Checks!$AH$649="","",Checks!$AH$649)</f>
        <v/>
      </c>
    </row>
    <row r="29" ht="81" customHeight="1">
      <c r="A29" s="124">
        <f>Checks!$A$650&amp;CHAR(10)&amp;IF(Checks!$I$650="","",Checks!$I$650&amp;": ")&amp;Checks!$J$650</f>
        <v/>
      </c>
      <c r="B29" s="124">
        <f>Checks!$K$650&amp;IF(Checks!$O$650="","",IF(Checks!$K$650="","",CHAR(10))&amp;"Note: "&amp;Checks!$O$650)</f>
        <v/>
      </c>
      <c r="C29" s="124">
        <f>Checks!$N$650&amp;CHAR(10)&amp;IF(ISNUMBER(Checks!$R$650),TEXT(Checks!$R$650,"DD-MMM-YY HH:MM"),"")&amp;" "&amp;Checks!$P$650</f>
        <v/>
      </c>
      <c r="D29" s="124">
        <f>IF(Checks!$U$650="","",Checks!$U$650)&amp;IF(Checks!$AB$650="","",CHAR(10)&amp;"CA: "&amp;Checks!$AB$650)</f>
        <v/>
      </c>
      <c r="E29" s="124">
        <f>IF(Checks!$V$650="","",Checks!$V$650)&amp;IF(Checks!$AC$650="","",IF(Checks!$V$650="","",CHAR(10))&amp;"N/A just.: "&amp;Checks!$AC$650)&amp;IF(Checks!$W$650="","",CHAR(10)&amp;"Batch: "&amp;Checks!$W$650)&amp;IF(AND(Checks!$X$650="",Checks!$Y$650=""),"",CHAR(10)&amp;"Exp: "&amp;Checks!$X$650&amp;"  /  Act: "&amp;Checks!$Y$650)</f>
        <v/>
      </c>
      <c r="F29" s="124">
        <f>IF(Checks!$Z$650="","","Evidence: "&amp;Checks!$Z$650)&amp;IF(Checks!$AA$650="","",IF(Checks!$Z$650="","",CHAR(10))&amp;"CA: "&amp;Checks!$AA$650)</f>
        <v/>
      </c>
      <c r="G29" s="124">
        <f>IF(ISNUMBER(Checks!$AD$650),TEXT(Checks!$AD$650,"DD-MMM-YY HH:MM")&amp;" "&amp;Checks!$P$650,"")&amp;IF(Checks!$AE$650="","",CHAR(10)&amp;Checks!$AE$650)</f>
        <v/>
      </c>
      <c r="H29" s="125">
        <f>IF(Checks!$AH$650="","",Checks!$AH$650)</f>
        <v/>
      </c>
    </row>
    <row r="30" ht="81" customHeight="1">
      <c r="A30" s="124">
        <f>Checks!$A$651&amp;CHAR(10)&amp;IF(Checks!$I$651="","",Checks!$I$651&amp;": ")&amp;Checks!$J$651</f>
        <v/>
      </c>
      <c r="B30" s="124">
        <f>Checks!$K$651&amp;IF(Checks!$O$651="","",IF(Checks!$K$651="","",CHAR(10))&amp;"Note: "&amp;Checks!$O$651)</f>
        <v/>
      </c>
      <c r="C30" s="124">
        <f>Checks!$N$651&amp;CHAR(10)&amp;IF(ISNUMBER(Checks!$R$651),TEXT(Checks!$R$651,"DD-MMM-YY HH:MM"),"")&amp;" "&amp;Checks!$P$651</f>
        <v/>
      </c>
      <c r="D30" s="124">
        <f>IF(Checks!$U$651="","",Checks!$U$651)&amp;IF(Checks!$AB$651="","",CHAR(10)&amp;"CA: "&amp;Checks!$AB$651)</f>
        <v/>
      </c>
      <c r="E30" s="124">
        <f>IF(Checks!$V$651="","",Checks!$V$651)&amp;IF(Checks!$AC$651="","",IF(Checks!$V$651="","",CHAR(10))&amp;"N/A just.: "&amp;Checks!$AC$651)&amp;IF(Checks!$W$651="","",CHAR(10)&amp;"Batch: "&amp;Checks!$W$651)&amp;IF(AND(Checks!$X$651="",Checks!$Y$651=""),"",CHAR(10)&amp;"Exp: "&amp;Checks!$X$651&amp;"  /  Act: "&amp;Checks!$Y$651)</f>
        <v/>
      </c>
      <c r="F30" s="124">
        <f>IF(Checks!$Z$651="","","Evidence: "&amp;Checks!$Z$651)&amp;IF(Checks!$AA$651="","",IF(Checks!$Z$651="","",CHAR(10))&amp;"CA: "&amp;Checks!$AA$651)</f>
        <v/>
      </c>
      <c r="G30" s="124">
        <f>IF(ISNUMBER(Checks!$AD$651),TEXT(Checks!$AD$651,"DD-MMM-YY HH:MM")&amp;" "&amp;Checks!$P$651,"")&amp;IF(Checks!$AE$651="","",CHAR(10)&amp;Checks!$AE$651)</f>
        <v/>
      </c>
      <c r="H30" s="125">
        <f>IF(Checks!$AH$651="","",Checks!$AH$651)</f>
        <v/>
      </c>
    </row>
    <row r="31" ht="81" customHeight="1">
      <c r="A31" s="124">
        <f>Checks!$A$652&amp;CHAR(10)&amp;IF(Checks!$I$652="","",Checks!$I$652&amp;": ")&amp;Checks!$J$652</f>
        <v/>
      </c>
      <c r="B31" s="124">
        <f>Checks!$K$652&amp;IF(Checks!$O$652="","",IF(Checks!$K$652="","",CHAR(10))&amp;"Note: "&amp;Checks!$O$652)</f>
        <v/>
      </c>
      <c r="C31" s="124">
        <f>Checks!$N$652&amp;CHAR(10)&amp;IF(ISNUMBER(Checks!$R$652),TEXT(Checks!$R$652,"DD-MMM-YY HH:MM"),"")&amp;" "&amp;Checks!$P$652</f>
        <v/>
      </c>
      <c r="D31" s="124">
        <f>IF(Checks!$U$652="","",Checks!$U$652)&amp;IF(Checks!$AB$652="","",CHAR(10)&amp;"CA: "&amp;Checks!$AB$652)</f>
        <v/>
      </c>
      <c r="E31" s="124">
        <f>IF(Checks!$V$652="","",Checks!$V$652)&amp;IF(Checks!$AC$652="","",IF(Checks!$V$652="","",CHAR(10))&amp;"N/A just.: "&amp;Checks!$AC$652)&amp;IF(Checks!$W$652="","",CHAR(10)&amp;"Batch: "&amp;Checks!$W$652)&amp;IF(AND(Checks!$X$652="",Checks!$Y$652=""),"",CHAR(10)&amp;"Exp: "&amp;Checks!$X$652&amp;"  /  Act: "&amp;Checks!$Y$652)</f>
        <v/>
      </c>
      <c r="F31" s="124">
        <f>IF(Checks!$Z$652="","","Evidence: "&amp;Checks!$Z$652)&amp;IF(Checks!$AA$652="","",IF(Checks!$Z$652="","",CHAR(10))&amp;"CA: "&amp;Checks!$AA$652)</f>
        <v/>
      </c>
      <c r="G31" s="124">
        <f>IF(ISNUMBER(Checks!$AD$652),TEXT(Checks!$AD$652,"DD-MMM-YY HH:MM")&amp;" "&amp;Checks!$P$652,"")&amp;IF(Checks!$AE$652="","",CHAR(10)&amp;Checks!$AE$652)</f>
        <v/>
      </c>
      <c r="H31" s="125">
        <f>IF(Checks!$AH$652="","",Checks!$AH$652)</f>
        <v/>
      </c>
    </row>
    <row r="32" ht="26" customHeight="1">
      <c r="A32" s="123">
        <f>"T-24H — Production batch sensory  |  Due "&amp;IF(ISNUMBER(Flights!$AH$24),TEXT(Flights!$AH$24,"DD-MMM-YY HH:MM"),"")&amp;" "&amp;Flights!$V$24&amp;" (meal uplift stn)"&amp;" (rows with another due show their own)  |  Complete "&amp;IF(ISNUMBER(Flights!$AK$24),TEXT(Flights!$AK$24,"0%"),Flights!$AK$24)&amp;"  |  1 lines"</f>
        <v/>
      </c>
      <c r="B32" s="97" t="n"/>
      <c r="C32" s="97" t="n"/>
      <c r="D32" s="97" t="n"/>
      <c r="E32" s="97" t="n"/>
      <c r="F32" s="97" t="n"/>
      <c r="G32" s="97" t="n"/>
      <c r="H32" s="98" t="n"/>
    </row>
    <row r="33" ht="81" customHeight="1">
      <c r="A33" s="124">
        <f>Checks!$A$653&amp;CHAR(10)&amp;IF(Checks!$I$653="","",Checks!$I$653&amp;": ")&amp;Checks!$J$653</f>
        <v/>
      </c>
      <c r="B33" s="124">
        <f>Checks!$K$653&amp;IF(Checks!$O$653="","",IF(Checks!$K$653="","",CHAR(10))&amp;"Note: "&amp;Checks!$O$653)</f>
        <v/>
      </c>
      <c r="C33" s="124">
        <f>Checks!$N$653&amp;CHAR(10)&amp;IF(ISNUMBER(Checks!$R$653),TEXT(Checks!$R$653,"DD-MMM-YY HH:MM"),"")&amp;" "&amp;Checks!$P$653</f>
        <v/>
      </c>
      <c r="D33" s="124">
        <f>IF(Checks!$U$653="","",Checks!$U$653)&amp;IF(Checks!$AB$653="","",CHAR(10)&amp;"CA: "&amp;Checks!$AB$653)</f>
        <v/>
      </c>
      <c r="E33" s="124">
        <f>IF(Checks!$V$653="","",Checks!$V$653)&amp;IF(Checks!$AC$653="","",IF(Checks!$V$653="","",CHAR(10))&amp;"N/A just.: "&amp;Checks!$AC$653)&amp;IF(Checks!$W$653="","",CHAR(10)&amp;"Batch: "&amp;Checks!$W$653)&amp;IF(AND(Checks!$X$653="",Checks!$Y$653=""),"",CHAR(10)&amp;"Exp: "&amp;Checks!$X$653&amp;"  /  Act: "&amp;Checks!$Y$653)</f>
        <v/>
      </c>
      <c r="F33" s="124">
        <f>IF(Checks!$Z$653="","","Evidence: "&amp;Checks!$Z$653)&amp;IF(Checks!$AA$653="","",IF(Checks!$Z$653="","",CHAR(10))&amp;"CA: "&amp;Checks!$AA$653)</f>
        <v/>
      </c>
      <c r="G33" s="124">
        <f>IF(ISNUMBER(Checks!$AD$653),TEXT(Checks!$AD$653,"DD-MMM-YY HH:MM")&amp;" "&amp;Checks!$P$653,"")&amp;IF(Checks!$AE$653="","",CHAR(10)&amp;Checks!$AE$653)</f>
        <v/>
      </c>
      <c r="H33" s="125">
        <f>IF(Checks!$AH$653="","",Checks!$AH$653)</f>
        <v/>
      </c>
    </row>
    <row r="34" ht="26" customHeight="1">
      <c r="A34" s="123">
        <f>"T-12H PREP — Preparation check at caterer (does NOT confirm loading)  |  Due "&amp;IF(ISNUMBER(Flights!$AI$24),TEXT(Flights!$AI$24,"DD-MMM-YY HH:MM"),"")&amp;" "&amp;Flights!$V$24&amp;" (meal uplift stn)"&amp;" (rows with another due show their own)  |  Complete "&amp;IF(ISNUMBER(Flights!$AL$24),TEXT(Flights!$AL$24,"0%"),Flights!$AL$24)&amp;"  |  8 lines"</f>
        <v/>
      </c>
      <c r="B34" s="97" t="n"/>
      <c r="C34" s="97" t="n"/>
      <c r="D34" s="97" t="n"/>
      <c r="E34" s="97" t="n"/>
      <c r="F34" s="97" t="n"/>
      <c r="G34" s="97" t="n"/>
      <c r="H34" s="98" t="n"/>
    </row>
    <row r="35" ht="81" customHeight="1">
      <c r="A35" s="124">
        <f>Checks!$A$654&amp;CHAR(10)&amp;IF(Checks!$I$654="","",Checks!$I$654&amp;": ")&amp;Checks!$J$654</f>
        <v/>
      </c>
      <c r="B35" s="124">
        <f>Checks!$K$654&amp;IF(Checks!$O$654="","",IF(Checks!$K$654="","",CHAR(10))&amp;"Note: "&amp;Checks!$O$654)</f>
        <v/>
      </c>
      <c r="C35" s="124">
        <f>Checks!$N$654&amp;CHAR(10)&amp;IF(ISNUMBER(Checks!$R$654),TEXT(Checks!$R$654,"DD-MMM-YY HH:MM"),"")&amp;" "&amp;Checks!$P$654</f>
        <v/>
      </c>
      <c r="D35" s="124">
        <f>IF(Checks!$U$654="","",Checks!$U$654)&amp;IF(Checks!$AB$654="","",CHAR(10)&amp;"CA: "&amp;Checks!$AB$654)</f>
        <v/>
      </c>
      <c r="E35" s="124">
        <f>IF(Checks!$V$654="","",Checks!$V$654)&amp;IF(Checks!$AC$654="","",IF(Checks!$V$654="","",CHAR(10))&amp;"N/A just.: "&amp;Checks!$AC$654)&amp;IF(Checks!$W$654="","",CHAR(10)&amp;"Batch: "&amp;Checks!$W$654)&amp;IF(AND(Checks!$X$654="",Checks!$Y$654=""),"",CHAR(10)&amp;"Exp: "&amp;Checks!$X$654&amp;"  /  Act: "&amp;Checks!$Y$654)</f>
        <v/>
      </c>
      <c r="F35" s="124">
        <f>IF(Checks!$Z$654="","","Evidence: "&amp;Checks!$Z$654)&amp;IF(Checks!$AA$654="","",IF(Checks!$Z$654="","",CHAR(10))&amp;"CA: "&amp;Checks!$AA$654)</f>
        <v/>
      </c>
      <c r="G35" s="124">
        <f>IF(ISNUMBER(Checks!$AD$654),TEXT(Checks!$AD$654,"DD-MMM-YY HH:MM")&amp;" "&amp;Checks!$P$654,"")&amp;IF(Checks!$AE$654="","",CHAR(10)&amp;Checks!$AE$654)</f>
        <v/>
      </c>
      <c r="H35" s="125">
        <f>IF(Checks!$AH$654="","",Checks!$AH$654)</f>
        <v/>
      </c>
    </row>
    <row r="36" ht="81" customHeight="1">
      <c r="A36" s="124">
        <f>Checks!$A$655&amp;CHAR(10)&amp;IF(Checks!$I$655="","",Checks!$I$655&amp;": ")&amp;Checks!$J$655</f>
        <v/>
      </c>
      <c r="B36" s="124">
        <f>Checks!$K$655&amp;IF(Checks!$O$655="","",IF(Checks!$K$655="","",CHAR(10))&amp;"Note: "&amp;Checks!$O$655)</f>
        <v/>
      </c>
      <c r="C36" s="124">
        <f>Checks!$N$655&amp;CHAR(10)&amp;IF(ISNUMBER(Checks!$R$655),TEXT(Checks!$R$655,"DD-MMM-YY HH:MM"),"")&amp;" "&amp;Checks!$P$655</f>
        <v/>
      </c>
      <c r="D36" s="124">
        <f>IF(Checks!$U$655="","",Checks!$U$655)&amp;IF(Checks!$AB$655="","",CHAR(10)&amp;"CA: "&amp;Checks!$AB$655)</f>
        <v/>
      </c>
      <c r="E36" s="124">
        <f>IF(Checks!$V$655="","",Checks!$V$655)&amp;IF(Checks!$AC$655="","",IF(Checks!$V$655="","",CHAR(10))&amp;"N/A just.: "&amp;Checks!$AC$655)&amp;IF(Checks!$W$655="","",CHAR(10)&amp;"Batch: "&amp;Checks!$W$655)&amp;IF(AND(Checks!$X$655="",Checks!$Y$655=""),"",CHAR(10)&amp;"Exp: "&amp;Checks!$X$655&amp;"  /  Act: "&amp;Checks!$Y$655)</f>
        <v/>
      </c>
      <c r="F36" s="124">
        <f>IF(Checks!$Z$655="","","Evidence: "&amp;Checks!$Z$655)&amp;IF(Checks!$AA$655="","",IF(Checks!$Z$655="","",CHAR(10))&amp;"CA: "&amp;Checks!$AA$655)</f>
        <v/>
      </c>
      <c r="G36" s="124">
        <f>IF(ISNUMBER(Checks!$AD$655),TEXT(Checks!$AD$655,"DD-MMM-YY HH:MM")&amp;" "&amp;Checks!$P$655,"")&amp;IF(Checks!$AE$655="","",CHAR(10)&amp;Checks!$AE$655)</f>
        <v/>
      </c>
      <c r="H36" s="125">
        <f>IF(Checks!$AH$655="","",Checks!$AH$655)</f>
        <v/>
      </c>
    </row>
    <row r="37" ht="81" customHeight="1">
      <c r="A37" s="124">
        <f>Checks!$A$656&amp;CHAR(10)&amp;IF(Checks!$I$656="","",Checks!$I$656&amp;": ")&amp;Checks!$J$656</f>
        <v/>
      </c>
      <c r="B37" s="124">
        <f>Checks!$K$656&amp;IF(Checks!$O$656="","",IF(Checks!$K$656="","",CHAR(10))&amp;"Note: "&amp;Checks!$O$656)</f>
        <v/>
      </c>
      <c r="C37" s="124">
        <f>Checks!$N$656&amp;CHAR(10)&amp;IF(ISNUMBER(Checks!$R$656),TEXT(Checks!$R$656,"DD-MMM-YY HH:MM"),"")&amp;" "&amp;Checks!$P$656</f>
        <v/>
      </c>
      <c r="D37" s="124">
        <f>IF(Checks!$U$656="","",Checks!$U$656)&amp;IF(Checks!$AB$656="","",CHAR(10)&amp;"CA: "&amp;Checks!$AB$656)</f>
        <v/>
      </c>
      <c r="E37" s="124">
        <f>IF(Checks!$V$656="","",Checks!$V$656)&amp;IF(Checks!$AC$656="","",IF(Checks!$V$656="","",CHAR(10))&amp;"N/A just.: "&amp;Checks!$AC$656)&amp;IF(Checks!$W$656="","",CHAR(10)&amp;"Batch: "&amp;Checks!$W$656)&amp;IF(AND(Checks!$X$656="",Checks!$Y$656=""),"",CHAR(10)&amp;"Exp: "&amp;Checks!$X$656&amp;"  /  Act: "&amp;Checks!$Y$656)</f>
        <v/>
      </c>
      <c r="F37" s="124">
        <f>IF(Checks!$Z$656="","","Evidence: "&amp;Checks!$Z$656)&amp;IF(Checks!$AA$656="","",IF(Checks!$Z$656="","",CHAR(10))&amp;"CA: "&amp;Checks!$AA$656)</f>
        <v/>
      </c>
      <c r="G37" s="124">
        <f>IF(ISNUMBER(Checks!$AD$656),TEXT(Checks!$AD$656,"DD-MMM-YY HH:MM")&amp;" "&amp;Checks!$P$656,"")&amp;IF(Checks!$AE$656="","",CHAR(10)&amp;Checks!$AE$656)</f>
        <v/>
      </c>
      <c r="H37" s="125">
        <f>IF(Checks!$AH$656="","",Checks!$AH$656)</f>
        <v/>
      </c>
    </row>
    <row r="38" ht="81" customHeight="1">
      <c r="A38" s="124">
        <f>Checks!$A$657&amp;CHAR(10)&amp;IF(Checks!$I$657="","",Checks!$I$657&amp;": ")&amp;Checks!$J$657</f>
        <v/>
      </c>
      <c r="B38" s="124">
        <f>Checks!$K$657&amp;IF(Checks!$O$657="","",IF(Checks!$K$657="","",CHAR(10))&amp;"Note: "&amp;Checks!$O$657)</f>
        <v/>
      </c>
      <c r="C38" s="124">
        <f>Checks!$N$657&amp;CHAR(10)&amp;IF(ISNUMBER(Checks!$R$657),TEXT(Checks!$R$657,"DD-MMM-YY HH:MM"),"")&amp;" "&amp;Checks!$P$657</f>
        <v/>
      </c>
      <c r="D38" s="124">
        <f>IF(Checks!$U$657="","",Checks!$U$657)&amp;IF(Checks!$AB$657="","",CHAR(10)&amp;"CA: "&amp;Checks!$AB$657)</f>
        <v/>
      </c>
      <c r="E38" s="124">
        <f>IF(Checks!$V$657="","",Checks!$V$657)&amp;IF(Checks!$AC$657="","",IF(Checks!$V$657="","",CHAR(10))&amp;"N/A just.: "&amp;Checks!$AC$657)&amp;IF(Checks!$W$657="","",CHAR(10)&amp;"Batch: "&amp;Checks!$W$657)&amp;IF(AND(Checks!$X$657="",Checks!$Y$657=""),"",CHAR(10)&amp;"Exp: "&amp;Checks!$X$657&amp;"  /  Act: "&amp;Checks!$Y$657)</f>
        <v/>
      </c>
      <c r="F38" s="124">
        <f>IF(Checks!$Z$657="","","Evidence: "&amp;Checks!$Z$657)&amp;IF(Checks!$AA$657="","",IF(Checks!$Z$657="","",CHAR(10))&amp;"CA: "&amp;Checks!$AA$657)</f>
        <v/>
      </c>
      <c r="G38" s="124">
        <f>IF(ISNUMBER(Checks!$AD$657),TEXT(Checks!$AD$657,"DD-MMM-YY HH:MM")&amp;" "&amp;Checks!$P$657,"")&amp;IF(Checks!$AE$657="","",CHAR(10)&amp;Checks!$AE$657)</f>
        <v/>
      </c>
      <c r="H38" s="125">
        <f>IF(Checks!$AH$657="","",Checks!$AH$657)</f>
        <v/>
      </c>
    </row>
    <row r="39" ht="81" customHeight="1">
      <c r="A39" s="124">
        <f>Checks!$A$658&amp;CHAR(10)&amp;IF(Checks!$I$658="","",Checks!$I$658&amp;": ")&amp;Checks!$J$658</f>
        <v/>
      </c>
      <c r="B39" s="124">
        <f>Checks!$K$658&amp;IF(Checks!$O$658="","",IF(Checks!$K$658="","",CHAR(10))&amp;"Note: "&amp;Checks!$O$658)</f>
        <v/>
      </c>
      <c r="C39" s="124">
        <f>Checks!$N$658&amp;CHAR(10)&amp;IF(ISNUMBER(Checks!$R$658),TEXT(Checks!$R$658,"DD-MMM-YY HH:MM"),"")&amp;" "&amp;Checks!$P$658</f>
        <v/>
      </c>
      <c r="D39" s="124">
        <f>IF(Checks!$U$658="","",Checks!$U$658)&amp;IF(Checks!$AB$658="","",CHAR(10)&amp;"CA: "&amp;Checks!$AB$658)</f>
        <v/>
      </c>
      <c r="E39" s="124">
        <f>IF(Checks!$V$658="","",Checks!$V$658)&amp;IF(Checks!$AC$658="","",IF(Checks!$V$658="","",CHAR(10))&amp;"N/A just.: "&amp;Checks!$AC$658)&amp;IF(Checks!$W$658="","",CHAR(10)&amp;"Batch: "&amp;Checks!$W$658)&amp;IF(AND(Checks!$X$658="",Checks!$Y$658=""),"",CHAR(10)&amp;"Exp: "&amp;Checks!$X$658&amp;"  /  Act: "&amp;Checks!$Y$658)</f>
        <v/>
      </c>
      <c r="F39" s="124">
        <f>IF(Checks!$Z$658="","","Evidence: "&amp;Checks!$Z$658)&amp;IF(Checks!$AA$658="","",IF(Checks!$Z$658="","",CHAR(10))&amp;"CA: "&amp;Checks!$AA$658)</f>
        <v/>
      </c>
      <c r="G39" s="124">
        <f>IF(ISNUMBER(Checks!$AD$658),TEXT(Checks!$AD$658,"DD-MMM-YY HH:MM")&amp;" "&amp;Checks!$P$658,"")&amp;IF(Checks!$AE$658="","",CHAR(10)&amp;Checks!$AE$658)</f>
        <v/>
      </c>
      <c r="H39" s="125">
        <f>IF(Checks!$AH$658="","",Checks!$AH$658)</f>
        <v/>
      </c>
    </row>
    <row r="40" ht="158" customHeight="1">
      <c r="A40" s="124">
        <f>Checks!$A$659&amp;CHAR(10)&amp;IF(Checks!$I$659="","",Checks!$I$659&amp;": ")&amp;Checks!$J$659</f>
        <v/>
      </c>
      <c r="B40" s="124">
        <f>SUBSTITUTE(Checks!$K$659&amp;IF(Checks!$O$659="","",IF(Checks!$K$659="","",CHAR(10))&amp;"Note: "&amp;Checks!$O$659),"AIRCRAFT TYPE!","Ref: AIRCRAFT TYPE!")</f>
        <v/>
      </c>
      <c r="C40" s="124">
        <f>Checks!$N$659&amp;CHAR(10)&amp;IF(ISNUMBER(Checks!$R$659),TEXT(Checks!$R$659,"DD-MMM-YY HH:MM"),"")&amp;" "&amp;Checks!$P$659</f>
        <v/>
      </c>
      <c r="D40" s="124">
        <f>IF(Checks!$U$659="","",Checks!$U$659)&amp;IF(Checks!$AB$659="","",CHAR(10)&amp;"CA: "&amp;Checks!$AB$659)</f>
        <v/>
      </c>
      <c r="E40" s="124">
        <f>IF(Checks!$V$659="","",Checks!$V$659)&amp;IF(Checks!$AC$659="","",IF(Checks!$V$659="","",CHAR(10))&amp;"N/A just.: "&amp;Checks!$AC$659)&amp;IF(Checks!$W$659="","",CHAR(10)&amp;"Batch: "&amp;Checks!$W$659)&amp;IF(AND(Checks!$X$659="",Checks!$Y$659=""),"",CHAR(10)&amp;"Exp: "&amp;Checks!$X$659&amp;"  /  Act: "&amp;Checks!$Y$659)</f>
        <v/>
      </c>
      <c r="F40" s="124">
        <f>IF(Checks!$Z$659="","","Evidence: "&amp;Checks!$Z$659)&amp;IF(Checks!$AA$659="","",IF(Checks!$Z$659="","",CHAR(10))&amp;"CA: "&amp;Checks!$AA$659)</f>
        <v/>
      </c>
      <c r="G40" s="124">
        <f>IF(ISNUMBER(Checks!$AD$659),TEXT(Checks!$AD$659,"DD-MMM-YY HH:MM")&amp;" "&amp;Checks!$P$659,"")&amp;IF(Checks!$AE$659="","",CHAR(10)&amp;Checks!$AE$659)</f>
        <v/>
      </c>
      <c r="H40" s="125">
        <f>IF(Checks!$AH$659="","",Checks!$AH$659)</f>
        <v/>
      </c>
    </row>
    <row r="41" ht="81" customHeight="1">
      <c r="A41" s="124">
        <f>Checks!$A$660&amp;CHAR(10)&amp;IF(Checks!$I$660="","",Checks!$I$660&amp;": ")&amp;Checks!$J$660</f>
        <v/>
      </c>
      <c r="B41" s="124">
        <f>Checks!$K$660&amp;IF(Checks!$O$660="","",IF(Checks!$K$660="","",CHAR(10))&amp;"Note: "&amp;Checks!$O$660)</f>
        <v/>
      </c>
      <c r="C41" s="124">
        <f>Checks!$N$660&amp;CHAR(10)&amp;IF(ISNUMBER(Checks!$R$660),TEXT(Checks!$R$660,"DD-MMM-YY HH:MM"),"")&amp;" "&amp;Checks!$P$660</f>
        <v/>
      </c>
      <c r="D41" s="124">
        <f>IF(Checks!$U$660="","",Checks!$U$660)&amp;IF(Checks!$AB$660="","",CHAR(10)&amp;"CA: "&amp;Checks!$AB$660)</f>
        <v/>
      </c>
      <c r="E41" s="124">
        <f>IF(Checks!$V$660="","",Checks!$V$660)&amp;IF(Checks!$AC$660="","",IF(Checks!$V$660="","",CHAR(10))&amp;"N/A just.: "&amp;Checks!$AC$660)&amp;IF(Checks!$W$660="","",CHAR(10)&amp;"Batch: "&amp;Checks!$W$660)&amp;IF(AND(Checks!$X$660="",Checks!$Y$660=""),"",CHAR(10)&amp;"Exp: "&amp;Checks!$X$660&amp;"  /  Act: "&amp;Checks!$Y$660)</f>
        <v/>
      </c>
      <c r="F41" s="124">
        <f>IF(Checks!$Z$660="","","Evidence: "&amp;Checks!$Z$660)&amp;IF(Checks!$AA$660="","",IF(Checks!$Z$660="","",CHAR(10))&amp;"CA: "&amp;Checks!$AA$660)</f>
        <v/>
      </c>
      <c r="G41" s="124">
        <f>IF(ISNUMBER(Checks!$AD$660),TEXT(Checks!$AD$660,"DD-MMM-YY HH:MM")&amp;" "&amp;Checks!$P$660,"")&amp;IF(Checks!$AE$660="","",CHAR(10)&amp;Checks!$AE$660)</f>
        <v/>
      </c>
      <c r="H41" s="125">
        <f>IF(Checks!$AH$660="","",Checks!$AH$660)</f>
        <v/>
      </c>
    </row>
    <row r="42" ht="92" customHeight="1">
      <c r="A42" s="124">
        <f>Checks!$A$661&amp;CHAR(10)&amp;IF(Checks!$I$661="","",Checks!$I$661&amp;": ")&amp;Checks!$J$661</f>
        <v/>
      </c>
      <c r="B42" s="124">
        <f>Checks!$K$661&amp;IF(Checks!$O$661="","",IF(Checks!$K$661="","",CHAR(10))&amp;"Note: "&amp;Checks!$O$661)</f>
        <v/>
      </c>
      <c r="C42" s="124">
        <f>Checks!$N$661&amp;CHAR(10)&amp;IF(ISNUMBER(Checks!$R$661),TEXT(Checks!$R$661,"DD-MMM-YY HH:MM"),"")&amp;" "&amp;Checks!$P$661</f>
        <v/>
      </c>
      <c r="D42" s="124">
        <f>IF(Checks!$U$661="","",Checks!$U$661)&amp;IF(Checks!$AB$661="","",CHAR(10)&amp;"CA: "&amp;Checks!$AB$661)</f>
        <v/>
      </c>
      <c r="E42" s="124">
        <f>IF(Checks!$V$661="","",Checks!$V$661)&amp;IF(Checks!$AC$661="","",IF(Checks!$V$661="","",CHAR(10))&amp;"N/A just.: "&amp;Checks!$AC$661)&amp;IF(Checks!$W$661="","",CHAR(10)&amp;"Batch: "&amp;Checks!$W$661)&amp;IF(AND(Checks!$X$661="",Checks!$Y$661=""),"",CHAR(10)&amp;"Exp: "&amp;Checks!$X$661&amp;"  /  Act: "&amp;Checks!$Y$661)</f>
        <v/>
      </c>
      <c r="F42" s="124">
        <f>IF(Checks!$Z$661="","","Evidence: "&amp;Checks!$Z$661)&amp;IF(Checks!$AA$661="","",IF(Checks!$Z$661="","",CHAR(10))&amp;"CA: "&amp;Checks!$AA$661)</f>
        <v/>
      </c>
      <c r="G42" s="124">
        <f>IF(ISNUMBER(Checks!$AD$661),TEXT(Checks!$AD$661,"DD-MMM-YY HH:MM")&amp;" "&amp;Checks!$P$661,"")&amp;IF(Checks!$AE$661="","",CHAR(10)&amp;Checks!$AE$661)</f>
        <v/>
      </c>
      <c r="H42" s="125">
        <f>IF(Checks!$AH$661="","",Checks!$AH$661)</f>
        <v/>
      </c>
    </row>
    <row r="43" ht="26" customHeight="1">
      <c r="A43" s="123">
        <f>"UPLIFT — Physical uplift – on-board confirmation before departure  |  Due "&amp;"STD "&amp;IF(ISNUMBER(Flights!$I$24),TEXT(Flights!$I$24,"DD-MMM-YY HH:MM"),"")&amp;" "&amp;Flights!$G$24&amp;" (departure stn)"&amp;" (rows with another due show their own)  |  Complete "&amp;IF(ISNUMBER(Flights!$AM$24),TEXT(Flights!$AM$24,"0%"),Flights!$AM$24)&amp;"  |  3 lines"</f>
        <v/>
      </c>
      <c r="B43" s="97" t="n"/>
      <c r="C43" s="97" t="n"/>
      <c r="D43" s="97" t="n"/>
      <c r="E43" s="97" t="n"/>
      <c r="F43" s="97" t="n"/>
      <c r="G43" s="97" t="n"/>
      <c r="H43" s="98" t="n"/>
    </row>
    <row r="44" ht="81" customHeight="1">
      <c r="A44" s="124">
        <f>Checks!$A$662&amp;CHAR(10)&amp;IF(Checks!$I$662="","",Checks!$I$662&amp;": ")&amp;Checks!$J$662</f>
        <v/>
      </c>
      <c r="B44" s="124">
        <f>Checks!$K$662&amp;IF(Checks!$O$662="","",IF(Checks!$K$662="","",CHAR(10))&amp;"Note: "&amp;Checks!$O$662)</f>
        <v/>
      </c>
      <c r="C44" s="124">
        <f>Checks!$N$662&amp;CHAR(10)&amp;IF(ISNUMBER(Checks!$R$662),TEXT(Checks!$R$662,"DD-MMM-YY HH:MM"),"")&amp;" "&amp;Checks!$P$662</f>
        <v/>
      </c>
      <c r="D44" s="124">
        <f>IF(Checks!$U$662="","",Checks!$U$662)&amp;IF(Checks!$AB$662="","",CHAR(10)&amp;"CA: "&amp;Checks!$AB$662)</f>
        <v/>
      </c>
      <c r="E44" s="124">
        <f>IF(Checks!$V$662="","",Checks!$V$662)&amp;IF(Checks!$AC$662="","",IF(Checks!$V$662="","",CHAR(10))&amp;"N/A just.: "&amp;Checks!$AC$662)&amp;IF(Checks!$W$662="","",CHAR(10)&amp;"Batch: "&amp;Checks!$W$662)&amp;IF(AND(Checks!$X$662="",Checks!$Y$662=""),"",CHAR(10)&amp;"Exp: "&amp;Checks!$X$662&amp;"  /  Act: "&amp;Checks!$Y$662)</f>
        <v/>
      </c>
      <c r="F44" s="124">
        <f>IF(Checks!$Z$662="","","Evidence: "&amp;Checks!$Z$662)&amp;IF(Checks!$AA$662="","",IF(Checks!$Z$662="","",CHAR(10))&amp;"CA: "&amp;Checks!$AA$662)</f>
        <v/>
      </c>
      <c r="G44" s="124">
        <f>IF(ISNUMBER(Checks!$AD$662),TEXT(Checks!$AD$662,"DD-MMM-YY HH:MM")&amp;" "&amp;Checks!$P$662,"")&amp;IF(Checks!$AE$662="","",CHAR(10)&amp;Checks!$AE$662)</f>
        <v/>
      </c>
      <c r="H44" s="125">
        <f>IF(Checks!$AH$662="","",Checks!$AH$662)</f>
        <v/>
      </c>
    </row>
    <row r="45" ht="81" customHeight="1">
      <c r="A45" s="124">
        <f>Checks!$A$663&amp;CHAR(10)&amp;IF(Checks!$I$663="","",Checks!$I$663&amp;": ")&amp;Checks!$J$663</f>
        <v/>
      </c>
      <c r="B45" s="124">
        <f>Checks!$K$663&amp;IF(Checks!$O$663="","",IF(Checks!$K$663="","",CHAR(10))&amp;"Note: "&amp;Checks!$O$663)</f>
        <v/>
      </c>
      <c r="C45" s="124">
        <f>Checks!$N$663&amp;CHAR(10)&amp;IF(ISNUMBER(Checks!$R$663),TEXT(Checks!$R$663,"DD-MMM-YY HH:MM"),"")&amp;" "&amp;Checks!$P$663</f>
        <v/>
      </c>
      <c r="D45" s="124">
        <f>IF(Checks!$U$663="","",Checks!$U$663)&amp;IF(Checks!$AB$663="","",CHAR(10)&amp;"CA: "&amp;Checks!$AB$663)</f>
        <v/>
      </c>
      <c r="E45" s="124">
        <f>IF(Checks!$V$663="","",Checks!$V$663)&amp;IF(Checks!$AC$663="","",IF(Checks!$V$663="","",CHAR(10))&amp;"N/A just.: "&amp;Checks!$AC$663)&amp;IF(Checks!$W$663="","",CHAR(10)&amp;"Batch: "&amp;Checks!$W$663)&amp;IF(AND(Checks!$X$663="",Checks!$Y$663=""),"",CHAR(10)&amp;"Exp: "&amp;Checks!$X$663&amp;"  /  Act: "&amp;Checks!$Y$663)</f>
        <v/>
      </c>
      <c r="F45" s="124">
        <f>IF(Checks!$Z$663="","","Evidence: "&amp;Checks!$Z$663)&amp;IF(Checks!$AA$663="","",IF(Checks!$Z$663="","",CHAR(10))&amp;"CA: "&amp;Checks!$AA$663)</f>
        <v/>
      </c>
      <c r="G45" s="124">
        <f>IF(ISNUMBER(Checks!$AD$663),TEXT(Checks!$AD$663,"DD-MMM-YY HH:MM")&amp;" "&amp;Checks!$P$663,"")&amp;IF(Checks!$AE$663="","",CHAR(10)&amp;Checks!$AE$663)</f>
        <v/>
      </c>
      <c r="H45" s="125">
        <f>IF(Checks!$AH$663="","",Checks!$AH$663)</f>
        <v/>
      </c>
    </row>
    <row r="46" ht="81" customHeight="1">
      <c r="A46" s="124">
        <f>Checks!$A$664&amp;CHAR(10)&amp;IF(Checks!$I$664="","",Checks!$I$664&amp;": ")&amp;Checks!$J$664</f>
        <v/>
      </c>
      <c r="B46" s="124">
        <f>Checks!$K$664&amp;IF(Checks!$O$664="","",IF(Checks!$K$664="","",CHAR(10))&amp;"Note: "&amp;Checks!$O$664)</f>
        <v/>
      </c>
      <c r="C46" s="124">
        <f>Checks!$N$664&amp;CHAR(10)&amp;IF(ISNUMBER(Checks!$R$664),TEXT(Checks!$R$664,"DD-MMM-YY HH:MM"),"")&amp;" "&amp;Checks!$P$664</f>
        <v/>
      </c>
      <c r="D46" s="124">
        <f>IF(Checks!$U$664="","",Checks!$U$664)&amp;IF(Checks!$AB$664="","",CHAR(10)&amp;"CA: "&amp;Checks!$AB$664)</f>
        <v/>
      </c>
      <c r="E46" s="124">
        <f>IF(Checks!$V$664="","",Checks!$V$664)&amp;IF(Checks!$AC$664="","",IF(Checks!$V$664="","",CHAR(10))&amp;"N/A just.: "&amp;Checks!$AC$664)&amp;IF(Checks!$W$664="","",CHAR(10)&amp;"Batch: "&amp;Checks!$W$664)&amp;IF(AND(Checks!$X$664="",Checks!$Y$664=""),"",CHAR(10)&amp;"Exp: "&amp;Checks!$X$664&amp;"  /  Act: "&amp;Checks!$Y$664)</f>
        <v/>
      </c>
      <c r="F46" s="124">
        <f>IF(Checks!$Z$664="","","Evidence: "&amp;Checks!$Z$664)&amp;IF(Checks!$AA$664="","",IF(Checks!$Z$664="","",CHAR(10))&amp;"CA: "&amp;Checks!$AA$664)</f>
        <v/>
      </c>
      <c r="G46" s="124">
        <f>IF(ISNUMBER(Checks!$AD$664),TEXT(Checks!$AD$664,"DD-MMM-YY HH:MM")&amp;" "&amp;Checks!$P$664,"")&amp;IF(Checks!$AE$664="","",CHAR(10)&amp;Checks!$AE$664)</f>
        <v/>
      </c>
      <c r="H46" s="125">
        <f>IF(Checks!$AH$664="","",Checks!$AH$664)</f>
        <v/>
      </c>
    </row>
    <row r="48" ht="24" customHeight="1">
      <c r="A48" s="126" t="inlineStr">
        <is>
          <t>EXCEL INSERTION AREA (on-screen only, not printed) – A1 Galley Loading Diagram: Insert &gt; Picture here. On paper: staple behind this sheet as page A1.</t>
        </is>
      </c>
      <c r="B48" s="127" t="n"/>
      <c r="C48" s="127" t="n"/>
      <c r="D48" s="128" t="n"/>
      <c r="E48" s="126" t="inlineStr">
        <is>
          <t>EXCEL INSERTION AREA (on-screen only, not printed) – A2 Menu Checklist: Insert &gt; Picture here. On paper: staple behind this sheet as page A2.</t>
        </is>
      </c>
      <c r="F48" s="127" t="n"/>
      <c r="G48" s="127" t="n"/>
      <c r="H48" s="128" t="n"/>
    </row>
    <row r="49" ht="22" customHeight="1">
      <c r="A49" s="129" t="n"/>
      <c r="B49" s="130" t="n"/>
      <c r="C49" s="130" t="n"/>
      <c r="D49" s="131" t="n"/>
      <c r="E49" s="129" t="n"/>
      <c r="F49" s="130" t="n"/>
      <c r="G49" s="130" t="n"/>
      <c r="H49" s="131" t="n"/>
    </row>
    <row r="50" ht="22" customHeight="1">
      <c r="A50" s="132" t="n"/>
      <c r="B50" s="130" t="n"/>
      <c r="C50" s="130" t="n"/>
      <c r="D50" s="131" t="n"/>
      <c r="E50" s="132" t="n"/>
      <c r="F50" s="130" t="n"/>
      <c r="G50" s="130" t="n"/>
      <c r="H50" s="131" t="n"/>
    </row>
    <row r="51" ht="22" customHeight="1">
      <c r="A51" s="132" t="n"/>
      <c r="B51" s="130" t="n"/>
      <c r="C51" s="130" t="n"/>
      <c r="D51" s="131" t="n"/>
      <c r="E51" s="132" t="n"/>
      <c r="F51" s="130" t="n"/>
      <c r="G51" s="130" t="n"/>
      <c r="H51" s="131" t="n"/>
    </row>
    <row r="52" ht="22" customHeight="1">
      <c r="A52" s="132" t="n"/>
      <c r="B52" s="130" t="n"/>
      <c r="C52" s="130" t="n"/>
      <c r="D52" s="131" t="n"/>
      <c r="E52" s="132" t="n"/>
      <c r="F52" s="130" t="n"/>
      <c r="G52" s="130" t="n"/>
      <c r="H52" s="131" t="n"/>
    </row>
    <row r="53" ht="22" customHeight="1">
      <c r="A53" s="132" t="n"/>
      <c r="B53" s="130" t="n"/>
      <c r="C53" s="130" t="n"/>
      <c r="D53" s="131" t="n"/>
      <c r="E53" s="132" t="n"/>
      <c r="F53" s="130" t="n"/>
      <c r="G53" s="130" t="n"/>
      <c r="H53" s="131" t="n"/>
    </row>
    <row r="54" ht="22" customHeight="1">
      <c r="A54" s="132" t="n"/>
      <c r="B54" s="130" t="n"/>
      <c r="C54" s="130" t="n"/>
      <c r="D54" s="131" t="n"/>
      <c r="E54" s="132" t="n"/>
      <c r="F54" s="130" t="n"/>
      <c r="G54" s="130" t="n"/>
      <c r="H54" s="131" t="n"/>
    </row>
    <row r="55" ht="22" customHeight="1">
      <c r="A55" s="132" t="n"/>
      <c r="B55" s="130" t="n"/>
      <c r="C55" s="130" t="n"/>
      <c r="D55" s="131" t="n"/>
      <c r="E55" s="132" t="n"/>
      <c r="F55" s="130" t="n"/>
      <c r="G55" s="130" t="n"/>
      <c r="H55" s="131" t="n"/>
    </row>
    <row r="56" ht="22" customHeight="1">
      <c r="A56" s="132" t="n"/>
      <c r="B56" s="130" t="n"/>
      <c r="C56" s="130" t="n"/>
      <c r="D56" s="131" t="n"/>
      <c r="E56" s="132" t="n"/>
      <c r="F56" s="130" t="n"/>
      <c r="G56" s="130" t="n"/>
      <c r="H56" s="131" t="n"/>
    </row>
    <row r="57" ht="22" customHeight="1">
      <c r="A57" s="132" t="n"/>
      <c r="B57" s="130" t="n"/>
      <c r="C57" s="130" t="n"/>
      <c r="D57" s="131" t="n"/>
      <c r="E57" s="132" t="n"/>
      <c r="F57" s="130" t="n"/>
      <c r="G57" s="130" t="n"/>
      <c r="H57" s="131" t="n"/>
    </row>
    <row r="58" ht="22" customHeight="1">
      <c r="A58" s="133" t="n"/>
      <c r="B58" s="134" t="n"/>
      <c r="C58" s="134" t="n"/>
      <c r="D58" s="135" t="n"/>
      <c r="E58" s="133" t="n"/>
      <c r="F58" s="134" t="n"/>
      <c r="G58" s="134" t="n"/>
      <c r="H58" s="135" t="n"/>
    </row>
  </sheetData>
  <mergeCells count="46">
    <mergeCell ref="B11:D11"/>
    <mergeCell ref="F18:H18"/>
    <mergeCell ref="C15:D15"/>
    <mergeCell ref="B8:D8"/>
    <mergeCell ref="G11:H11"/>
    <mergeCell ref="C14:D14"/>
    <mergeCell ref="F2:H2"/>
    <mergeCell ref="F17:H17"/>
    <mergeCell ref="A1:H1"/>
    <mergeCell ref="G8:H8"/>
    <mergeCell ref="B10:D10"/>
    <mergeCell ref="A49:D58"/>
    <mergeCell ref="G7:H7"/>
    <mergeCell ref="F13:H13"/>
    <mergeCell ref="A48:D48"/>
    <mergeCell ref="B16:E16"/>
    <mergeCell ref="B9:D9"/>
    <mergeCell ref="C17:E17"/>
    <mergeCell ref="G6:H6"/>
    <mergeCell ref="A18:B18"/>
    <mergeCell ref="B6:D6"/>
    <mergeCell ref="G3:H3"/>
    <mergeCell ref="E48:H48"/>
    <mergeCell ref="B5:D5"/>
    <mergeCell ref="F14:H14"/>
    <mergeCell ref="C19:E19"/>
    <mergeCell ref="B4:D4"/>
    <mergeCell ref="G5:H5"/>
    <mergeCell ref="C18:E18"/>
    <mergeCell ref="A17:B17"/>
    <mergeCell ref="B7:D7"/>
    <mergeCell ref="A32:H32"/>
    <mergeCell ref="A22:H22"/>
    <mergeCell ref="G4:H4"/>
    <mergeCell ref="F16:H16"/>
    <mergeCell ref="B3:D3"/>
    <mergeCell ref="E49:H58"/>
    <mergeCell ref="F19:H19"/>
    <mergeCell ref="A12:D12"/>
    <mergeCell ref="A19:B19"/>
    <mergeCell ref="A20:H20"/>
    <mergeCell ref="A43:H43"/>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46">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46">
    <cfRule type="expression" priority="16" dxfId="20">
      <formula>LEFT($H23,3)="N/A"</formula>
    </cfRule>
  </conditionalFormatting>
  <conditionalFormatting sqref="D23:D46">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F20 MH1450 29-Oct-26 KUL-LGK Class EY</oddHeader>
    <oddFooter>&amp;L&amp;"Arial,Bold"&amp;8 F20 MH1450 29-Oct-26 KUL-LGK Class EY&amp;C&amp;"Arial"&amp;8 Printed: ____________________&amp;R&amp;"Arial"&amp;8 F20  Page &amp;P of &amp;N</oddFooter>
    <evenHeader/>
    <evenFooter/>
    <firstHeader/>
    <firstFooter/>
  </headerFooter>
  <rowBreaks count="2" manualBreakCount="2">
    <brk id="20" min="0" max="16383" man="1"/>
    <brk id="33" min="0" max="16383" man="1"/>
  </rowBreaks>
</worksheet>
</file>

<file path=xl/worksheets/sheet29.xml><?xml version="1.0" encoding="utf-8"?>
<worksheet xmlns="http://schemas.openxmlformats.org/spreadsheetml/2006/main">
  <sheetPr>
    <tabColor rgb="001F3864"/>
    <outlinePr summaryBelow="1" summaryRight="1"/>
    <pageSetUpPr fitToPage="1"/>
  </sheetPr>
  <dimension ref="A1:H75"/>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F21  "&amp;Flights!$F$25&amp;"  "&amp;TEXT(Flights!$D$25,"DD-MMM-YY")&amp;" ("&amp;Flights!$E$25&amp;")  "&amp;Flights!$G$25&amp;" → "&amp;Flights!$H$25&amp;"  |  Class "&amp;Flights!$K$25</f>
        <v/>
      </c>
      <c r="B1" s="97" t="n"/>
      <c r="C1" s="97" t="n"/>
      <c r="D1" s="97" t="n"/>
      <c r="E1" s="97" t="n"/>
      <c r="F1" s="97" t="n"/>
      <c r="G1" s="97" t="n"/>
      <c r="H1" s="98" t="n"/>
    </row>
    <row r="2" ht="13" customHeight="1">
      <c r="A2" s="99" t="inlineStr">
        <is>
          <t>Flight / date</t>
        </is>
      </c>
      <c r="B2" s="100">
        <f>Flights!$F$25&amp;"   "&amp;TEXT(Flights!$D$25,"DD-MMM-YY")&amp;" ("&amp;Flights!$E$25&amp;")"</f>
        <v/>
      </c>
      <c r="C2" s="97" t="n"/>
      <c r="D2" s="98" t="n"/>
      <c r="E2" s="101" t="inlineStr">
        <is>
          <t>READINESS STATUS</t>
        </is>
      </c>
      <c r="F2" s="102">
        <f>Flights!$AT$25</f>
        <v/>
      </c>
      <c r="G2" s="97" t="n"/>
      <c r="H2" s="98" t="n"/>
    </row>
    <row r="3" ht="24" customHeight="1">
      <c r="A3" s="99" t="inlineStr">
        <is>
          <t>Sector / class / seat</t>
        </is>
      </c>
      <c r="B3" s="100">
        <f>Flights!$G$25&amp;" → "&amp;Flights!$H$25&amp;"   Class "&amp;Flights!$K$25&amp;"   Seat "&amp;Flights!$O$25</f>
        <v/>
      </c>
      <c r="C3" s="97" t="n"/>
      <c r="D3" s="98" t="n"/>
      <c r="E3" s="101" t="inlineStr">
        <is>
          <t>Checkpoint</t>
        </is>
      </c>
      <c r="F3" s="101" t="inlineStr">
        <is>
          <t>Due (local)</t>
        </is>
      </c>
      <c r="G3" s="103" t="inlineStr">
        <is>
          <t>% complete</t>
        </is>
      </c>
      <c r="H3" s="98" t="n"/>
    </row>
    <row r="4" ht="13" customHeight="1">
      <c r="A4" s="99" t="inlineStr">
        <is>
          <t>STD → STA (local)</t>
        </is>
      </c>
      <c r="B4" s="100">
        <f>IF(ISNUMBER(Flights!$I$25),TEXT(Flights!$I$25,"DD-MMM-YY HH:MM"),"")&amp;" "&amp;Flights!$G$25&amp;"  →  "&amp;IF(ISNUMBER(Flights!$J$25),TEXT(Flights!$J$25,"DD-MMM-YY HH:MM"),"")&amp;" "&amp;Flights!$H$25</f>
        <v/>
      </c>
      <c r="C4" s="97" t="n"/>
      <c r="D4" s="98" t="n"/>
      <c r="E4" s="99" t="inlineStr">
        <is>
          <t>T-7D – 7 days before departure</t>
        </is>
      </c>
      <c r="F4" s="104">
        <f>IF(ISNUMBER(Flights!$AG$25),TEXT(Flights!$AG$25,"DD-MMM-YY HH:MM"),"")&amp;" "&amp;Flights!$V$25</f>
        <v/>
      </c>
      <c r="G4" s="105">
        <f>Flights!$AJ$25</f>
        <v/>
      </c>
      <c r="H4" s="98" t="n"/>
    </row>
    <row r="5" ht="24" customHeight="1">
      <c r="A5" s="99" t="inlineStr">
        <is>
          <t>Fleet / aircraft ref</t>
        </is>
      </c>
      <c r="B5" s="100">
        <f>Flights!$L$25&amp;" – "&amp;Flights!$M$25</f>
        <v/>
      </c>
      <c r="C5" s="97" t="n"/>
      <c r="D5" s="98" t="n"/>
      <c r="E5" s="99" t="inlineStr">
        <is>
          <t>T-24H – production batch sensory</t>
        </is>
      </c>
      <c r="F5" s="104">
        <f>IF(ISNUMBER(Flights!$AH$25),TEXT(Flights!$AH$25,"DD-MMM-YY HH:MM"),"")&amp;" "&amp;Flights!$V$25</f>
        <v/>
      </c>
      <c r="G5" s="105">
        <f>Flights!$AK$25</f>
        <v/>
      </c>
      <c r="H5" s="98" t="n"/>
    </row>
    <row r="6" ht="13" customHeight="1">
      <c r="A6" s="99" t="inlineStr">
        <is>
          <t>Tail / Reg</t>
        </is>
      </c>
      <c r="B6" s="100">
        <f>IF(TRIM(Flights!$N$25)="","__________________",Flights!$N$25)</f>
        <v/>
      </c>
      <c r="C6" s="97" t="n"/>
      <c r="D6" s="98" t="n"/>
      <c r="E6" s="99" t="inlineStr">
        <is>
          <t>T-12H PREP – caterer prep only</t>
        </is>
      </c>
      <c r="F6" s="104">
        <f>IF(ISNUMBER(Flights!$AI$25),TEXT(Flights!$AI$25,"DD-MMM-YY HH:MM"),"")&amp;" "&amp;Flights!$V$25&amp;IF(Flights!$AI$25=Flights!$AH$25,"  (= T-24H due)","")</f>
        <v/>
      </c>
      <c r="G6" s="105">
        <f>Flights!$AL$25</f>
        <v/>
      </c>
      <c r="H6" s="98" t="n"/>
    </row>
    <row r="7" ht="13" customHeight="1">
      <c r="A7" s="99" t="inlineStr">
        <is>
          <t>Service type</t>
        </is>
      </c>
      <c r="B7" s="100">
        <f>Flights!$T$25</f>
        <v/>
      </c>
      <c r="C7" s="97" t="n"/>
      <c r="D7" s="98" t="n"/>
      <c r="E7" s="99" t="inlineStr">
        <is>
          <t>UPLIFT – on-board confirmation</t>
        </is>
      </c>
      <c r="F7" s="104">
        <f>"STD "&amp;IF(ISNUMBER(Flights!$I$25),TEXT(Flights!$I$25,"DD-MMM-YY HH:MM"),"")&amp;" "&amp;Flights!$G$25&amp;" (dep stn)"</f>
        <v/>
      </c>
      <c r="G7" s="105">
        <f>Flights!$AM$25</f>
        <v/>
      </c>
      <c r="H7" s="98" t="n"/>
    </row>
    <row r="8" ht="13" customHeight="1">
      <c r="A8" s="99" t="inlineStr">
        <is>
          <t>Meal uplift stn</t>
        </is>
      </c>
      <c r="B8" s="100">
        <f>Flights!$V$25&amp;"   (reference uplift stns: "&amp;Flights!$U$25&amp;")"</f>
        <v/>
      </c>
      <c r="C8" s="97" t="n"/>
      <c r="D8" s="98" t="n"/>
      <c r="E8" s="99" t="inlineStr">
        <is>
          <t>OVERALL (all checkpoints)</t>
        </is>
      </c>
      <c r="F8" s="106" t="inlineStr">
        <is>
          <t>–</t>
        </is>
      </c>
      <c r="G8" s="105">
        <f>Flights!$AN$25</f>
        <v/>
      </c>
      <c r="H8" s="98" t="n"/>
    </row>
    <row r="9" ht="13" customHeight="1">
      <c r="A9" s="99" t="inlineStr">
        <is>
          <t>Transit / remark</t>
        </is>
      </c>
      <c r="B9" s="100">
        <f>TRIM(Flights!$P$25&amp;"  "&amp;Flights!$Q$25)</f>
        <v/>
      </c>
      <c r="C9" s="97" t="n"/>
      <c r="D9" s="98" t="n"/>
      <c r="E9" s="99" t="inlineStr">
        <is>
          <t>Overdue / discrep. / invalid</t>
        </is>
      </c>
      <c r="F9" s="107">
        <f>Flights!$AP$25</f>
        <v/>
      </c>
      <c r="G9" s="107">
        <f>Flights!$AQ$25</f>
        <v/>
      </c>
      <c r="H9" s="107">
        <f>Flights!$AU$25</f>
        <v/>
      </c>
    </row>
    <row r="10" ht="13" customHeight="1">
      <c r="A10" s="99" t="inlineStr">
        <is>
          <t>Caterer</t>
        </is>
      </c>
      <c r="B10" s="100">
        <f>IF(TRIM(Flights!$X$25)="","__________________",Flights!$X$25)</f>
        <v/>
      </c>
      <c r="C10" s="97" t="n"/>
      <c r="D10" s="98" t="n"/>
      <c r="E10" s="99" t="inlineStr">
        <is>
          <t>Open reqd / clarif. / docs out</t>
        </is>
      </c>
      <c r="F10" s="107">
        <f>Flights!$AO$25</f>
        <v/>
      </c>
      <c r="G10" s="107">
        <f>Flights!$AS$25</f>
        <v/>
      </c>
      <c r="H10" s="107">
        <f>Flights!$AR$25</f>
        <v/>
      </c>
    </row>
    <row r="11" ht="13" customHeight="1">
      <c r="A11" s="99" t="inlineStr">
        <is>
          <t>Flight PIC</t>
        </is>
      </c>
      <c r="B11" s="100">
        <f>IF(TRIM(Flights!$Y$25)="","__________________",Flights!$Y$25)</f>
        <v/>
      </c>
      <c r="C11" s="97" t="n"/>
      <c r="D11" s="98" t="n"/>
      <c r="E11" s="99" t="inlineStr">
        <is>
          <t>Done / in scope | as of UTC</t>
        </is>
      </c>
      <c r="F11" s="107">
        <f>Flights!$AV$25&amp;" / "&amp;Flights!$AW$25</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25" customHeight="1">
      <c r="A13" s="136">
        <f>"ROUND-TRIP LEG: all catering is uplifted at KUL on the carrying flight (agenda candidate "&amp;Flights!$W$25&amp;IFERROR(" "&amp;INDEX(Flights!$F$5:$F$26,MATCH(TRIM(Flights!$W$25),Flights!$A$5:$A$26,0)),"")&amp;"; actual KUL departure entered on Flights AX). T-24H / T-12H PREP are capped at the KUL loading deadline "&amp;IF(ISNUMBER(Flights!$AY$25),TEXT(Flights!$AY$25+IFERROR(INDEX(Settings!$C$13:$C$22,MATCH("KUL",Settings!$A$13:$A$22,0)),8)/24,"DD-MMM-YY HH:MM")&amp;" KUL","(not set)")&amp;"; on-board UPLIFT checks are at "&amp;Flights!$G$25&amp;"."</f>
        <v/>
      </c>
      <c r="B13" s="97" t="n"/>
      <c r="C13" s="97" t="n"/>
      <c r="D13" s="97" t="n"/>
      <c r="E13" s="97" t="n"/>
      <c r="F13" s="97" t="n"/>
      <c r="G13" s="97" t="n"/>
      <c r="H13" s="98" t="n"/>
    </row>
    <row r="14" ht="14" customHeight="1">
      <c r="A14" s="101" t="inlineStr">
        <is>
          <t>Attachments</t>
        </is>
      </c>
      <c r="B14" s="101" t="inlineStr">
        <is>
          <t>Doc no</t>
        </is>
      </c>
      <c r="C14" s="103" t="inlineStr">
        <is>
          <t>Rev / rev date</t>
        </is>
      </c>
      <c r="D14" s="98" t="n"/>
      <c r="E14" s="101" t="inlineStr">
        <is>
          <t>Status (from Documents sheet)</t>
        </is>
      </c>
      <c r="F14" s="103" t="inlineStr">
        <is>
          <t>Paper pack instruction / location</t>
        </is>
      </c>
      <c r="G14" s="97" t="n"/>
      <c r="H14" s="98" t="n"/>
    </row>
    <row r="15" ht="25" customHeight="1">
      <c r="A15" s="99" t="inlineStr">
        <is>
          <t>A1  Galley Loading Diagram</t>
        </is>
      </c>
      <c r="B15" s="114">
        <f>IF(Documents!$F$25="","",Documents!$F$25)</f>
        <v/>
      </c>
      <c r="C15" s="115">
        <f>IF(Documents!$G$25="","",Documents!$G$25)&amp;IF(ISNUMBER(Documents!$H$25),"  "&amp;TEXT(Documents!$H$25,"DD-MMM-YY"),"")</f>
        <v/>
      </c>
      <c r="D15" s="98" t="n"/>
      <c r="E15" s="116">
        <f>IF(Documents!$J$25="OUTSTANDING","OUTSTANDING – attach before T-7D (due "&amp;IF(ISNUMBER(Flights!$AG$25),TEXT(Flights!$AG$25,"DD-MMM-YY HH:MM"),"")&amp;" "&amp;Flights!$V$25&amp;")",IF(Documents!$J$25="","Status not recorded",Documents!$J$25))</f>
        <v/>
      </c>
      <c r="F15" s="117">
        <f>"Staple behind this sheet as page A1."&amp;IF(Documents!$I$25="",""," Location: "&amp;Documents!$I$25)</f>
        <v/>
      </c>
      <c r="G15" s="97" t="n"/>
      <c r="H15" s="98" t="n"/>
    </row>
    <row r="16" ht="25" customHeight="1">
      <c r="A16" s="99" t="inlineStr">
        <is>
          <t>A2  Menu Checklist</t>
        </is>
      </c>
      <c r="B16" s="114">
        <f>IF(Documents!$K$25="","",Documents!$K$25)</f>
        <v/>
      </c>
      <c r="C16" s="115">
        <f>IF(Documents!$L$25="","",Documents!$L$25)&amp;IF(ISNUMBER(Documents!$M$25),"  "&amp;TEXT(Documents!$M$25,"DD-MMM-YY"),"")</f>
        <v/>
      </c>
      <c r="D16" s="98" t="n"/>
      <c r="E16" s="116">
        <f>IF(Documents!$O$25="OUTSTANDING","OUTSTANDING – attach before T-7D (due "&amp;IF(ISNUMBER(Flights!$AG$25),TEXT(Flights!$AG$25,"DD-MMM-YY HH:MM"),"")&amp;" "&amp;Flights!$V$25&amp;")",IF(Documents!$O$25="","Status not recorded",Documents!$O$25))</f>
        <v/>
      </c>
      <c r="F16" s="117">
        <f>"Staple behind this sheet as page A2."&amp;IF(Documents!$N$25="",""," Location: "&amp;Documents!$N$25)</f>
        <v/>
      </c>
      <c r="G16" s="97" t="n"/>
      <c r="H16" s="98" t="n"/>
    </row>
    <row r="17" ht="33" customHeight="1">
      <c r="A17" s="99" t="inlineStr">
        <is>
          <t>Document notes</t>
        </is>
      </c>
      <c r="B17" s="118">
        <f>IF(Documents!$Q$25="","",Documents!$Q$25)</f>
        <v/>
      </c>
      <c r="C17" s="97" t="n"/>
      <c r="D17" s="97" t="n"/>
      <c r="E17" s="98" t="n"/>
      <c r="F17" s="119" t="inlineStr">
        <is>
          <t>Excel only: Insert &gt; Picture into the area after the checklist.</t>
        </is>
      </c>
      <c r="G17" s="97" t="n"/>
      <c r="H17" s="98" t="n"/>
    </row>
    <row r="18" ht="14" customHeight="1">
      <c r="A18" s="120" t="inlineStr">
        <is>
          <t>SIGN-OFF – Flight PIC</t>
        </is>
      </c>
      <c r="B18" s="98" t="n"/>
      <c r="C18" s="120" t="inlineStr">
        <is>
          <t>SIGN-OFF – Verifier</t>
        </is>
      </c>
      <c r="D18" s="97" t="n"/>
      <c r="E18" s="98" t="n"/>
      <c r="F18" s="120" t="inlineStr">
        <is>
          <t>SIGN-OFF – Station catering officer</t>
        </is>
      </c>
      <c r="G18" s="97" t="n"/>
      <c r="H18" s="98" t="n"/>
    </row>
    <row r="19" ht="18" customHeight="1">
      <c r="A19" s="100">
        <f>"Name: "&amp;IF(TRIM(Flights!$Y$25)="","__________________",Flights!$Y$25)</f>
        <v/>
      </c>
      <c r="B19" s="98" t="n"/>
      <c r="C19" s="100">
        <f>"Name: __________________"</f>
        <v/>
      </c>
      <c r="D19" s="97" t="n"/>
      <c r="E19" s="98" t="n"/>
      <c r="F19" s="100">
        <f>"Name: __________________"&amp;"   Station: "&amp;Flights!$V$25</f>
        <v/>
      </c>
      <c r="G19" s="97" t="n"/>
      <c r="H19" s="98" t="n"/>
    </row>
    <row r="20" ht="30" customHeight="1">
      <c r="A20" s="121" t="inlineStr">
        <is>
          <t>Signature / date-time:</t>
        </is>
      </c>
      <c r="B20" s="98" t="n"/>
      <c r="C20" s="121" t="inlineStr">
        <is>
          <t>Signature / date-time:</t>
        </is>
      </c>
      <c r="D20" s="97" t="n"/>
      <c r="E20" s="98" t="n"/>
      <c r="F20" s="121" t="inlineStr">
        <is>
          <t>Signature / date-time:</t>
        </is>
      </c>
      <c r="G20" s="97" t="n"/>
      <c r="H20" s="98" t="n"/>
    </row>
    <row r="21" ht="14" customHeight="1">
      <c r="A21" s="122" t="inlineStr">
        <is>
          <t>Cover sheet – checklist starts on page 2 (staple attachments A1 / A2 behind this pack).</t>
        </is>
      </c>
    </row>
    <row r="22" ht="34.5" customHeight="1">
      <c r="A22" s="101" t="inlineStr">
        <is>
          <t>Check ID / item</t>
        </is>
      </c>
      <c r="B22" s="101" t="inlineStr">
        <is>
          <t>Requirement / expected</t>
        </is>
      </c>
      <c r="C22" s="101" t="inlineStr">
        <is>
          <t>Applic. / due (local)</t>
        </is>
      </c>
      <c r="D22" s="101" t="inlineStr">
        <is>
          <t>Status (CA)</t>
        </is>
      </c>
      <c r="E22" s="101" t="inlineStr">
        <is>
          <t>Result  |  batch  |  exp / act qty</t>
        </is>
      </c>
      <c r="F22" s="101" t="inlineStr">
        <is>
          <t>Evidence  |  corrective action</t>
        </is>
      </c>
      <c r="G22" s="101" t="inlineStr">
        <is>
          <t>Done (local) / verifier</t>
        </is>
      </c>
      <c r="H22" s="101" t="inlineStr">
        <is>
          <t>Record state</t>
        </is>
      </c>
    </row>
    <row r="23" ht="26" customHeight="1">
      <c r="A23" s="123">
        <f>"T-7D — 7 days before departure  |  Due "&amp;IF(ISNUMBER(Flights!$AG$25),TEXT(Flights!$AG$25,"DD-MMM-YY HH:MM"),"")&amp;" "&amp;Flights!$V$25&amp;" (meal uplift stn)"&amp;" (rows with another due show their own)  |  Complete "&amp;IF(ISNUMBER(Flights!$AJ$25),TEXT(Flights!$AJ$25,"0%"),Flights!$AJ$25)&amp;"  |  10 lines"</f>
        <v/>
      </c>
      <c r="B23" s="97" t="n"/>
      <c r="C23" s="97" t="n"/>
      <c r="D23" s="97" t="n"/>
      <c r="E23" s="97" t="n"/>
      <c r="F23" s="97" t="n"/>
      <c r="G23" s="97" t="n"/>
      <c r="H23" s="98" t="n"/>
    </row>
    <row r="24" ht="81" customHeight="1">
      <c r="A24" s="124">
        <f>Checks!$A$665&amp;CHAR(10)&amp;IF(Checks!$I$665="","",Checks!$I$665&amp;": ")&amp;Checks!$J$665</f>
        <v/>
      </c>
      <c r="B24" s="124">
        <f>Checks!$K$665&amp;IF(Checks!$O$665="","",IF(Checks!$K$665="","",CHAR(10))&amp;"Note: "&amp;Checks!$O$665)</f>
        <v/>
      </c>
      <c r="C24" s="124">
        <f>Checks!$N$665&amp;CHAR(10)&amp;IF(ISNUMBER(Checks!$R$665),TEXT(Checks!$R$665,"DD-MMM-YY HH:MM"),"")&amp;" "&amp;Checks!$P$665</f>
        <v/>
      </c>
      <c r="D24" s="124">
        <f>IF(Checks!$U$665="","",Checks!$U$665)&amp;IF(Checks!$AB$665="","",CHAR(10)&amp;"CA: "&amp;Checks!$AB$665)</f>
        <v/>
      </c>
      <c r="E24" s="124">
        <f>IF(Checks!$V$665="","",Checks!$V$665)&amp;IF(Checks!$AC$665="","",IF(Checks!$V$665="","",CHAR(10))&amp;"N/A just.: "&amp;Checks!$AC$665)&amp;IF(Checks!$W$665="","",CHAR(10)&amp;"Batch: "&amp;Checks!$W$665)&amp;IF(AND(Checks!$X$665="",Checks!$Y$665=""),"",CHAR(10)&amp;"Exp: "&amp;Checks!$X$665&amp;"  /  Act: "&amp;Checks!$Y$665)</f>
        <v/>
      </c>
      <c r="F24" s="124">
        <f>IF(Checks!$Z$665="","","Evidence: "&amp;Checks!$Z$665)&amp;IF(Checks!$AA$665="","",IF(Checks!$Z$665="","",CHAR(10))&amp;"CA: "&amp;Checks!$AA$665)</f>
        <v/>
      </c>
      <c r="G24" s="124">
        <f>IF(ISNUMBER(Checks!$AD$665),TEXT(Checks!$AD$665,"DD-MMM-YY HH:MM")&amp;" "&amp;Checks!$P$665,"")&amp;IF(Checks!$AE$665="","",CHAR(10)&amp;Checks!$AE$665)</f>
        <v/>
      </c>
      <c r="H24" s="125">
        <f>IF(Checks!$AH$665="","",Checks!$AH$665)</f>
        <v/>
      </c>
    </row>
    <row r="25" ht="114" customHeight="1">
      <c r="A25" s="124">
        <f>Checks!$A$666&amp;CHAR(10)&amp;IF(Checks!$I$666="","",Checks!$I$666&amp;": ")&amp;Checks!$J$666</f>
        <v/>
      </c>
      <c r="B25" s="124">
        <f>Checks!$K$666&amp;IF(Checks!$O$666="","",IF(Checks!$K$666="","",CHAR(10))&amp;"Note: "&amp;Checks!$O$666)</f>
        <v/>
      </c>
      <c r="C25" s="124">
        <f>Checks!$N$666&amp;CHAR(10)&amp;IF(ISNUMBER(Checks!$R$666),TEXT(Checks!$R$666,"DD-MMM-YY HH:MM"),"")&amp;" "&amp;Checks!$P$666</f>
        <v/>
      </c>
      <c r="D25" s="124">
        <f>IF(Checks!$U$666="","",Checks!$U$666)&amp;IF(Checks!$AB$666="","",CHAR(10)&amp;"CA: "&amp;Checks!$AB$666)</f>
        <v/>
      </c>
      <c r="E25" s="124">
        <f>IF(Checks!$V$666="","",Checks!$V$666)&amp;IF(Checks!$AC$666="","",IF(Checks!$V$666="","",CHAR(10))&amp;"N/A just.: "&amp;Checks!$AC$666)&amp;IF(Checks!$W$666="","",CHAR(10)&amp;"Batch: "&amp;Checks!$W$666)&amp;IF(AND(Checks!$X$666="",Checks!$Y$666=""),"",CHAR(10)&amp;"Exp: "&amp;Checks!$X$666&amp;"  /  Act: "&amp;Checks!$Y$666)</f>
        <v/>
      </c>
      <c r="F25" s="124">
        <f>IF(Checks!$Z$666="","","Evidence: "&amp;Checks!$Z$666)&amp;IF(Checks!$AA$666="","",IF(Checks!$Z$666="","",CHAR(10))&amp;"CA: "&amp;Checks!$AA$666)</f>
        <v/>
      </c>
      <c r="G25" s="124">
        <f>IF(ISNUMBER(Checks!$AD$666),TEXT(Checks!$AD$666,"DD-MMM-YY HH:MM")&amp;" "&amp;Checks!$P$666,"")&amp;IF(Checks!$AE$666="","",CHAR(10)&amp;Checks!$AE$666)</f>
        <v/>
      </c>
      <c r="H25" s="125">
        <f>IF(Checks!$AH$666="","",Checks!$AH$666)</f>
        <v/>
      </c>
    </row>
    <row r="26" ht="92" customHeight="1">
      <c r="A26" s="124">
        <f>Checks!$A$667&amp;CHAR(10)&amp;IF(Checks!$I$667="","",Checks!$I$667&amp;": ")&amp;Checks!$J$667</f>
        <v/>
      </c>
      <c r="B26" s="124">
        <f>Checks!$K$667&amp;IF(Checks!$O$667="","",IF(Checks!$K$667="","",CHAR(10))&amp;"Note: "&amp;Checks!$O$667)</f>
        <v/>
      </c>
      <c r="C26" s="124">
        <f>Checks!$N$667&amp;CHAR(10)&amp;IF(ISNUMBER(Checks!$R$667),TEXT(Checks!$R$667,"DD-MMM-YY HH:MM"),"")&amp;" "&amp;Checks!$P$667</f>
        <v/>
      </c>
      <c r="D26" s="124">
        <f>IF(Checks!$U$667="","",Checks!$U$667)&amp;IF(Checks!$AB$667="","",CHAR(10)&amp;"CA: "&amp;Checks!$AB$667)</f>
        <v/>
      </c>
      <c r="E26" s="124">
        <f>IF(Checks!$V$667="","",Checks!$V$667)&amp;IF(Checks!$AC$667="","",IF(Checks!$V$667="","",CHAR(10))&amp;"N/A just.: "&amp;Checks!$AC$667)&amp;IF(Checks!$W$667="","",CHAR(10)&amp;"Batch: "&amp;Checks!$W$667)&amp;IF(AND(Checks!$X$667="",Checks!$Y$667=""),"",CHAR(10)&amp;"Exp: "&amp;Checks!$X$667&amp;"  /  Act: "&amp;Checks!$Y$667)</f>
        <v/>
      </c>
      <c r="F26" s="124">
        <f>IF(Checks!$Z$667="","","Evidence: "&amp;Checks!$Z$667)&amp;IF(Checks!$AA$667="","",IF(Checks!$Z$667="","",CHAR(10))&amp;"CA: "&amp;Checks!$AA$667)</f>
        <v/>
      </c>
      <c r="G26" s="124">
        <f>IF(ISNUMBER(Checks!$AD$667),TEXT(Checks!$AD$667,"DD-MMM-YY HH:MM")&amp;" "&amp;Checks!$P$667,"")&amp;IF(Checks!$AE$667="","",CHAR(10)&amp;Checks!$AE$667)</f>
        <v/>
      </c>
      <c r="H26" s="125">
        <f>IF(Checks!$AH$667="","",Checks!$AH$667)</f>
        <v/>
      </c>
    </row>
    <row r="27" ht="81" customHeight="1">
      <c r="A27" s="124">
        <f>Checks!$A$668&amp;CHAR(10)&amp;IF(Checks!$I$668="","",Checks!$I$668&amp;": ")&amp;Checks!$J$668</f>
        <v/>
      </c>
      <c r="B27" s="124">
        <f>Checks!$K$668&amp;IF(Checks!$O$668="","",IF(Checks!$K$668="","",CHAR(10))&amp;"Note: "&amp;Checks!$O$668)</f>
        <v/>
      </c>
      <c r="C27" s="124">
        <f>Checks!$N$668&amp;CHAR(10)&amp;IF(ISNUMBER(Checks!$R$668),TEXT(Checks!$R$668,"DD-MMM-YY HH:MM"),"")&amp;" "&amp;Checks!$P$668</f>
        <v/>
      </c>
      <c r="D27" s="124">
        <f>IF(Checks!$U$668="","",Checks!$U$668)&amp;IF(Checks!$AB$668="","",CHAR(10)&amp;"CA: "&amp;Checks!$AB$668)</f>
        <v/>
      </c>
      <c r="E27" s="124">
        <f>IF(Checks!$V$668="","",Checks!$V$668)&amp;IF(Checks!$AC$668="","",IF(Checks!$V$668="","",CHAR(10))&amp;"N/A just.: "&amp;Checks!$AC$668)&amp;IF(Checks!$W$668="","",CHAR(10)&amp;"Batch: "&amp;Checks!$W$668)&amp;IF(AND(Checks!$X$668="",Checks!$Y$668=""),"",CHAR(10)&amp;"Exp: "&amp;Checks!$X$668&amp;"  /  Act: "&amp;Checks!$Y$668)</f>
        <v/>
      </c>
      <c r="F27" s="124">
        <f>IF(Checks!$Z$668="","","Evidence: "&amp;Checks!$Z$668)&amp;IF(Checks!$AA$668="","",IF(Checks!$Z$668="","",CHAR(10))&amp;"CA: "&amp;Checks!$AA$668)</f>
        <v/>
      </c>
      <c r="G27" s="124">
        <f>IF(ISNUMBER(Checks!$AD$668),TEXT(Checks!$AD$668,"DD-MMM-YY HH:MM")&amp;" "&amp;Checks!$P$668,"")&amp;IF(Checks!$AE$668="","",CHAR(10)&amp;Checks!$AE$668)</f>
        <v/>
      </c>
      <c r="H27" s="125">
        <f>IF(Checks!$AH$668="","",Checks!$AH$668)</f>
        <v/>
      </c>
    </row>
    <row r="28" ht="81" customHeight="1">
      <c r="A28" s="124">
        <f>Checks!$A$669&amp;CHAR(10)&amp;IF(Checks!$I$669="","",Checks!$I$669&amp;": ")&amp;Checks!$J$669</f>
        <v/>
      </c>
      <c r="B28" s="124">
        <f>Checks!$K$669&amp;IF(Checks!$O$669="","",IF(Checks!$K$669="","",CHAR(10))&amp;"Note: "&amp;Checks!$O$669)</f>
        <v/>
      </c>
      <c r="C28" s="124">
        <f>Checks!$N$669&amp;CHAR(10)&amp;IF(ISNUMBER(Checks!$R$669),TEXT(Checks!$R$669,"DD-MMM-YY HH:MM"),"")&amp;" "&amp;Checks!$P$669</f>
        <v/>
      </c>
      <c r="D28" s="124">
        <f>IF(Checks!$U$669="","",Checks!$U$669)&amp;IF(Checks!$AB$669="","",CHAR(10)&amp;"CA: "&amp;Checks!$AB$669)</f>
        <v/>
      </c>
      <c r="E28" s="124">
        <f>IF(Checks!$V$669="","",Checks!$V$669)&amp;IF(Checks!$AC$669="","",IF(Checks!$V$669="","",CHAR(10))&amp;"N/A just.: "&amp;Checks!$AC$669)&amp;IF(Checks!$W$669="","",CHAR(10)&amp;"Batch: "&amp;Checks!$W$669)&amp;IF(AND(Checks!$X$669="",Checks!$Y$669=""),"",CHAR(10)&amp;"Exp: "&amp;Checks!$X$669&amp;"  /  Act: "&amp;Checks!$Y$669)</f>
        <v/>
      </c>
      <c r="F28" s="124">
        <f>IF(Checks!$Z$669="","","Evidence: "&amp;Checks!$Z$669)&amp;IF(Checks!$AA$669="","",IF(Checks!$Z$669="","",CHAR(10))&amp;"CA: "&amp;Checks!$AA$669)</f>
        <v/>
      </c>
      <c r="G28" s="124">
        <f>IF(ISNUMBER(Checks!$AD$669),TEXT(Checks!$AD$669,"DD-MMM-YY HH:MM")&amp;" "&amp;Checks!$P$669,"")&amp;IF(Checks!$AE$669="","",CHAR(10)&amp;Checks!$AE$669)</f>
        <v/>
      </c>
      <c r="H28" s="125">
        <f>IF(Checks!$AH$669="","",Checks!$AH$669)</f>
        <v/>
      </c>
    </row>
    <row r="29" ht="81" customHeight="1">
      <c r="A29" s="124">
        <f>Checks!$A$670&amp;CHAR(10)&amp;IF(Checks!$I$670="","",Checks!$I$670&amp;": ")&amp;Checks!$J$670</f>
        <v/>
      </c>
      <c r="B29" s="124">
        <f>Checks!$K$670&amp;IF(Checks!$O$670="","",IF(Checks!$K$670="","",CHAR(10))&amp;"Note: "&amp;Checks!$O$670)</f>
        <v/>
      </c>
      <c r="C29" s="124">
        <f>Checks!$N$670&amp;CHAR(10)&amp;IF(ISNUMBER(Checks!$R$670),TEXT(Checks!$R$670,"DD-MMM-YY HH:MM"),"")&amp;" "&amp;Checks!$P$670</f>
        <v/>
      </c>
      <c r="D29" s="124">
        <f>IF(Checks!$U$670="","",Checks!$U$670)&amp;IF(Checks!$AB$670="","",CHAR(10)&amp;"CA: "&amp;Checks!$AB$670)</f>
        <v/>
      </c>
      <c r="E29" s="124">
        <f>IF(Checks!$V$670="","",Checks!$V$670)&amp;IF(Checks!$AC$670="","",IF(Checks!$V$670="","",CHAR(10))&amp;"N/A just.: "&amp;Checks!$AC$670)&amp;IF(Checks!$W$670="","",CHAR(10)&amp;"Batch: "&amp;Checks!$W$670)&amp;IF(AND(Checks!$X$670="",Checks!$Y$670=""),"",CHAR(10)&amp;"Exp: "&amp;Checks!$X$670&amp;"  /  Act: "&amp;Checks!$Y$670)</f>
        <v/>
      </c>
      <c r="F29" s="124">
        <f>IF(Checks!$Z$670="","","Evidence: "&amp;Checks!$Z$670)&amp;IF(Checks!$AA$670="","",IF(Checks!$Z$670="","",CHAR(10))&amp;"CA: "&amp;Checks!$AA$670)</f>
        <v/>
      </c>
      <c r="G29" s="124">
        <f>IF(ISNUMBER(Checks!$AD$670),TEXT(Checks!$AD$670,"DD-MMM-YY HH:MM")&amp;" "&amp;Checks!$P$670,"")&amp;IF(Checks!$AE$670="","",CHAR(10)&amp;Checks!$AE$670)</f>
        <v/>
      </c>
      <c r="H29" s="125">
        <f>IF(Checks!$AH$670="","",Checks!$AH$670)</f>
        <v/>
      </c>
    </row>
    <row r="30" ht="81" customHeight="1">
      <c r="A30" s="124">
        <f>Checks!$A$671&amp;CHAR(10)&amp;IF(Checks!$I$671="","",Checks!$I$671&amp;": ")&amp;Checks!$J$671</f>
        <v/>
      </c>
      <c r="B30" s="124">
        <f>Checks!$K$671&amp;IF(Checks!$O$671="","",IF(Checks!$K$671="","",CHAR(10))&amp;"Note: "&amp;Checks!$O$671)</f>
        <v/>
      </c>
      <c r="C30" s="124">
        <f>Checks!$N$671&amp;CHAR(10)&amp;IF(ISNUMBER(Checks!$R$671),TEXT(Checks!$R$671,"DD-MMM-YY HH:MM"),"")&amp;" "&amp;Checks!$P$671</f>
        <v/>
      </c>
      <c r="D30" s="124">
        <f>IF(Checks!$U$671="","",Checks!$U$671)&amp;IF(Checks!$AB$671="","",CHAR(10)&amp;"CA: "&amp;Checks!$AB$671)</f>
        <v/>
      </c>
      <c r="E30" s="124">
        <f>IF(Checks!$V$671="","",Checks!$V$671)&amp;IF(Checks!$AC$671="","",IF(Checks!$V$671="","",CHAR(10))&amp;"N/A just.: "&amp;Checks!$AC$671)&amp;IF(Checks!$W$671="","",CHAR(10)&amp;"Batch: "&amp;Checks!$W$671)&amp;IF(AND(Checks!$X$671="",Checks!$Y$671=""),"",CHAR(10)&amp;"Exp: "&amp;Checks!$X$671&amp;"  /  Act: "&amp;Checks!$Y$671)</f>
        <v/>
      </c>
      <c r="F30" s="124">
        <f>IF(Checks!$Z$671="","","Evidence: "&amp;Checks!$Z$671)&amp;IF(Checks!$AA$671="","",IF(Checks!$Z$671="","",CHAR(10))&amp;"CA: "&amp;Checks!$AA$671)</f>
        <v/>
      </c>
      <c r="G30" s="124">
        <f>IF(ISNUMBER(Checks!$AD$671),TEXT(Checks!$AD$671,"DD-MMM-YY HH:MM")&amp;" "&amp;Checks!$P$671,"")&amp;IF(Checks!$AE$671="","",CHAR(10)&amp;Checks!$AE$671)</f>
        <v/>
      </c>
      <c r="H30" s="125">
        <f>IF(Checks!$AH$671="","",Checks!$AH$671)</f>
        <v/>
      </c>
    </row>
    <row r="31" ht="81" customHeight="1">
      <c r="A31" s="124">
        <f>Checks!$A$672&amp;CHAR(10)&amp;IF(Checks!$I$672="","",Checks!$I$672&amp;": ")&amp;Checks!$J$672</f>
        <v/>
      </c>
      <c r="B31" s="124">
        <f>Checks!$K$672&amp;IF(Checks!$O$672="","",IF(Checks!$K$672="","",CHAR(10))&amp;"Note: "&amp;Checks!$O$672)</f>
        <v/>
      </c>
      <c r="C31" s="124">
        <f>Checks!$N$672&amp;CHAR(10)&amp;IF(ISNUMBER(Checks!$R$672),TEXT(Checks!$R$672,"DD-MMM-YY HH:MM"),"")&amp;" "&amp;Checks!$P$672</f>
        <v/>
      </c>
      <c r="D31" s="124">
        <f>IF(Checks!$U$672="","",Checks!$U$672)&amp;IF(Checks!$AB$672="","",CHAR(10)&amp;"CA: "&amp;Checks!$AB$672)</f>
        <v/>
      </c>
      <c r="E31" s="124">
        <f>IF(Checks!$V$672="","",Checks!$V$672)&amp;IF(Checks!$AC$672="","",IF(Checks!$V$672="","",CHAR(10))&amp;"N/A just.: "&amp;Checks!$AC$672)&amp;IF(Checks!$W$672="","",CHAR(10)&amp;"Batch: "&amp;Checks!$W$672)&amp;IF(AND(Checks!$X$672="",Checks!$Y$672=""),"",CHAR(10)&amp;"Exp: "&amp;Checks!$X$672&amp;"  /  Act: "&amp;Checks!$Y$672)</f>
        <v/>
      </c>
      <c r="F31" s="124">
        <f>IF(Checks!$Z$672="","","Evidence: "&amp;Checks!$Z$672)&amp;IF(Checks!$AA$672="","",IF(Checks!$Z$672="","",CHAR(10))&amp;"CA: "&amp;Checks!$AA$672)</f>
        <v/>
      </c>
      <c r="G31" s="124">
        <f>IF(ISNUMBER(Checks!$AD$672),TEXT(Checks!$AD$672,"DD-MMM-YY HH:MM")&amp;" "&amp;Checks!$P$672,"")&amp;IF(Checks!$AE$672="","",CHAR(10)&amp;Checks!$AE$672)</f>
        <v/>
      </c>
      <c r="H31" s="125">
        <f>IF(Checks!$AH$672="","",Checks!$AH$672)</f>
        <v/>
      </c>
    </row>
    <row r="32" ht="114" customHeight="1">
      <c r="A32" s="124">
        <f>Checks!$A$673&amp;CHAR(10)&amp;IF(Checks!$I$673="","",Checks!$I$673&amp;": ")&amp;Checks!$J$673</f>
        <v/>
      </c>
      <c r="B32" s="124">
        <f>Checks!$K$673&amp;IF(Checks!$O$673="","",IF(Checks!$K$673="","",CHAR(10))&amp;"Note: "&amp;Checks!$O$673)</f>
        <v/>
      </c>
      <c r="C32" s="124">
        <f>Checks!$N$673&amp;CHAR(10)&amp;IF(ISNUMBER(Checks!$R$673),TEXT(Checks!$R$673,"DD-MMM-YY HH:MM"),"")&amp;" "&amp;Checks!$P$673</f>
        <v/>
      </c>
      <c r="D32" s="124">
        <f>IF(Checks!$U$673="","",Checks!$U$673)&amp;IF(Checks!$AB$673="","",CHAR(10)&amp;"CA: "&amp;Checks!$AB$673)</f>
        <v/>
      </c>
      <c r="E32" s="124">
        <f>IF(Checks!$V$673="","",Checks!$V$673)&amp;IF(Checks!$AC$673="","",IF(Checks!$V$673="","",CHAR(10))&amp;"N/A just.: "&amp;Checks!$AC$673)&amp;IF(Checks!$W$673="","",CHAR(10)&amp;"Batch: "&amp;Checks!$W$673)&amp;IF(AND(Checks!$X$673="",Checks!$Y$673=""),"",CHAR(10)&amp;"Exp: "&amp;Checks!$X$673&amp;"  /  Act: "&amp;Checks!$Y$673)</f>
        <v/>
      </c>
      <c r="F32" s="124">
        <f>IF(Checks!$Z$673="","","Evidence: "&amp;Checks!$Z$673)&amp;IF(Checks!$AA$673="","",IF(Checks!$Z$673="","",CHAR(10))&amp;"CA: "&amp;Checks!$AA$673)</f>
        <v/>
      </c>
      <c r="G32" s="124">
        <f>IF(ISNUMBER(Checks!$AD$673),TEXT(Checks!$AD$673,"DD-MMM-YY HH:MM")&amp;" "&amp;Checks!$P$673,"")&amp;IF(Checks!$AE$673="","",CHAR(10)&amp;Checks!$AE$673)</f>
        <v/>
      </c>
      <c r="H32" s="125">
        <f>IF(Checks!$AH$673="","",Checks!$AH$673)</f>
        <v/>
      </c>
    </row>
    <row r="33" ht="213" customHeight="1">
      <c r="A33" s="124">
        <f>Checks!$A$674&amp;CHAR(10)&amp;IF(Checks!$I$674="","",Checks!$I$674&amp;": ")&amp;Checks!$J$674</f>
        <v/>
      </c>
      <c r="B33" s="124">
        <f>Checks!$K$674&amp;IF(Checks!$O$674="","",IF(Checks!$K$674="","",CHAR(10))&amp;"Note: "&amp;Checks!$O$674)</f>
        <v/>
      </c>
      <c r="C33" s="124">
        <f>Checks!$N$674&amp;CHAR(10)&amp;IF(ISNUMBER(Checks!$R$674),TEXT(Checks!$R$674,"DD-MMM-YY HH:MM"),"")&amp;" "&amp;Checks!$P$674</f>
        <v/>
      </c>
      <c r="D33" s="124">
        <f>IF(Checks!$U$674="","",Checks!$U$674)&amp;IF(Checks!$AB$674="","",CHAR(10)&amp;"CA: "&amp;Checks!$AB$674)</f>
        <v/>
      </c>
      <c r="E33" s="124">
        <f>IF(Checks!$V$674="","",Checks!$V$674)&amp;IF(Checks!$AC$674="","",IF(Checks!$V$674="","",CHAR(10))&amp;"N/A just.: "&amp;Checks!$AC$674)&amp;IF(Checks!$W$674="","",CHAR(10)&amp;"Batch: "&amp;Checks!$W$674)&amp;IF(AND(Checks!$X$674="",Checks!$Y$674=""),"",CHAR(10)&amp;"Exp: "&amp;Checks!$X$674&amp;"  /  Act: "&amp;Checks!$Y$674)</f>
        <v/>
      </c>
      <c r="F33" s="124">
        <f>IF(Checks!$Z$674="","","Evidence: "&amp;Checks!$Z$674)&amp;IF(Checks!$AA$674="","",IF(Checks!$Z$674="","",CHAR(10))&amp;"CA: "&amp;Checks!$AA$674)</f>
        <v/>
      </c>
      <c r="G33" s="124">
        <f>IF(ISNUMBER(Checks!$AD$674),TEXT(Checks!$AD$674,"DD-MMM-YY HH:MM")&amp;" "&amp;Checks!$P$674,"")&amp;IF(Checks!$AE$674="","",CHAR(10)&amp;Checks!$AE$674)</f>
        <v/>
      </c>
      <c r="H33" s="125">
        <f>IF(Checks!$AH$674="","",Checks!$AH$674)</f>
        <v/>
      </c>
    </row>
    <row r="34" ht="26" customHeight="1">
      <c r="A34" s="123">
        <f>"T-24H — Production batch sensory  |  Due "&amp;IF(ISNUMBER(Flights!$AH$25),TEXT(Flights!$AH$25,"DD-MMM-YY HH:MM"),"")&amp;" "&amp;Flights!$V$25&amp;" (meal uplift stn)"&amp;" (rows with another due show their own)  |  Complete "&amp;IF(ISNUMBER(Flights!$AK$25),TEXT(Flights!$AK$25,"0%"),Flights!$AK$25)&amp;"  |  1 lines"</f>
        <v/>
      </c>
      <c r="B34" s="97" t="n"/>
      <c r="C34" s="97" t="n"/>
      <c r="D34" s="97" t="n"/>
      <c r="E34" s="97" t="n"/>
      <c r="F34" s="97" t="n"/>
      <c r="G34" s="97" t="n"/>
      <c r="H34" s="98" t="n"/>
    </row>
    <row r="35" ht="92" customHeight="1">
      <c r="A35" s="124">
        <f>Checks!$A$675&amp;CHAR(10)&amp;IF(Checks!$I$675="","",Checks!$I$675&amp;": ")&amp;Checks!$J$675</f>
        <v/>
      </c>
      <c r="B35" s="124">
        <f>Checks!$K$675&amp;IF(Checks!$O$675="","",IF(Checks!$K$675="","",CHAR(10))&amp;"Note: "&amp;Checks!$O$675)</f>
        <v/>
      </c>
      <c r="C35" s="124">
        <f>Checks!$N$675&amp;CHAR(10)&amp;IF(ISNUMBER(Checks!$R$675),TEXT(Checks!$R$675,"DD-MMM-YY HH:MM"),"")&amp;" "&amp;Checks!$P$675</f>
        <v/>
      </c>
      <c r="D35" s="124">
        <f>IF(Checks!$U$675="","",Checks!$U$675)&amp;IF(Checks!$AB$675="","",CHAR(10)&amp;"CA: "&amp;Checks!$AB$675)</f>
        <v/>
      </c>
      <c r="E35" s="124">
        <f>IF(Checks!$V$675="","",Checks!$V$675)&amp;IF(Checks!$AC$675="","",IF(Checks!$V$675="","",CHAR(10))&amp;"N/A just.: "&amp;Checks!$AC$675)&amp;IF(Checks!$W$675="","",CHAR(10)&amp;"Batch: "&amp;Checks!$W$675)&amp;IF(AND(Checks!$X$675="",Checks!$Y$675=""),"",CHAR(10)&amp;"Exp: "&amp;Checks!$X$675&amp;"  /  Act: "&amp;Checks!$Y$675)</f>
        <v/>
      </c>
      <c r="F35" s="124">
        <f>IF(Checks!$Z$675="","","Evidence: "&amp;Checks!$Z$675)&amp;IF(Checks!$AA$675="","",IF(Checks!$Z$675="","",CHAR(10))&amp;"CA: "&amp;Checks!$AA$675)</f>
        <v/>
      </c>
      <c r="G35" s="124">
        <f>IF(ISNUMBER(Checks!$AD$675),TEXT(Checks!$AD$675,"DD-MMM-YY HH:MM")&amp;" "&amp;Checks!$P$675,"")&amp;IF(Checks!$AE$675="","",CHAR(10)&amp;Checks!$AE$675)</f>
        <v/>
      </c>
      <c r="H35" s="125">
        <f>IF(Checks!$AH$675="","",Checks!$AH$675)</f>
        <v/>
      </c>
    </row>
    <row r="36" ht="26" customHeight="1">
      <c r="A36" s="123">
        <f>"T-12H PREP — Preparation check at caterer (does NOT confirm loading)  |  Due "&amp;IF(ISNUMBER(Flights!$AI$25),TEXT(Flights!$AI$25,"DD-MMM-YY HH:MM"),"")&amp;" "&amp;Flights!$V$25&amp;" (meal uplift stn)"&amp;" (rows with another due show their own)  |  Complete "&amp;IF(ISNUMBER(Flights!$AL$25),TEXT(Flights!$AL$25,"0%"),Flights!$AL$25)&amp;"  |  15 lines"</f>
        <v/>
      </c>
      <c r="B36" s="97" t="n"/>
      <c r="C36" s="97" t="n"/>
      <c r="D36" s="97" t="n"/>
      <c r="E36" s="97" t="n"/>
      <c r="F36" s="97" t="n"/>
      <c r="G36" s="97" t="n"/>
      <c r="H36" s="98" t="n"/>
    </row>
    <row r="37" ht="81" customHeight="1">
      <c r="A37" s="124">
        <f>Checks!$A$676&amp;CHAR(10)&amp;IF(Checks!$I$676="","",Checks!$I$676&amp;": ")&amp;Checks!$J$676</f>
        <v/>
      </c>
      <c r="B37" s="124">
        <f>Checks!$K$676&amp;IF(Checks!$O$676="","",IF(Checks!$K$676="","",CHAR(10))&amp;"Note: "&amp;Checks!$O$676)</f>
        <v/>
      </c>
      <c r="C37" s="124">
        <f>Checks!$N$676&amp;CHAR(10)&amp;IF(ISNUMBER(Checks!$R$676),TEXT(Checks!$R$676,"DD-MMM-YY HH:MM"),"")&amp;" "&amp;Checks!$P$676</f>
        <v/>
      </c>
      <c r="D37" s="124">
        <f>IF(Checks!$U$676="","",Checks!$U$676)&amp;IF(Checks!$AB$676="","",CHAR(10)&amp;"CA: "&amp;Checks!$AB$676)</f>
        <v/>
      </c>
      <c r="E37" s="124">
        <f>IF(Checks!$V$676="","",Checks!$V$676)&amp;IF(Checks!$AC$676="","",IF(Checks!$V$676="","",CHAR(10))&amp;"N/A just.: "&amp;Checks!$AC$676)&amp;IF(Checks!$W$676="","",CHAR(10)&amp;"Batch: "&amp;Checks!$W$676)&amp;IF(AND(Checks!$X$676="",Checks!$Y$676=""),"",CHAR(10)&amp;"Exp: "&amp;Checks!$X$676&amp;"  /  Act: "&amp;Checks!$Y$676)</f>
        <v/>
      </c>
      <c r="F37" s="124">
        <f>IF(Checks!$Z$676="","","Evidence: "&amp;Checks!$Z$676)&amp;IF(Checks!$AA$676="","",IF(Checks!$Z$676="","",CHAR(10))&amp;"CA: "&amp;Checks!$AA$676)</f>
        <v/>
      </c>
      <c r="G37" s="124">
        <f>IF(ISNUMBER(Checks!$AD$676),TEXT(Checks!$AD$676,"DD-MMM-YY HH:MM")&amp;" "&amp;Checks!$P$676,"")&amp;IF(Checks!$AE$676="","",CHAR(10)&amp;Checks!$AE$676)</f>
        <v/>
      </c>
      <c r="H37" s="125">
        <f>IF(Checks!$AH$676="","",Checks!$AH$676)</f>
        <v/>
      </c>
    </row>
    <row r="38" ht="92" customHeight="1">
      <c r="A38" s="124">
        <f>Checks!$A$677&amp;CHAR(10)&amp;IF(Checks!$I$677="","",Checks!$I$677&amp;": ")&amp;Checks!$J$677</f>
        <v/>
      </c>
      <c r="B38" s="124">
        <f>Checks!$K$677&amp;IF(Checks!$O$677="","",IF(Checks!$K$677="","",CHAR(10))&amp;"Note: "&amp;Checks!$O$677)</f>
        <v/>
      </c>
      <c r="C38" s="124">
        <f>Checks!$N$677&amp;CHAR(10)&amp;IF(ISNUMBER(Checks!$R$677),TEXT(Checks!$R$677,"DD-MMM-YY HH:MM"),"")&amp;" "&amp;Checks!$P$677</f>
        <v/>
      </c>
      <c r="D38" s="124">
        <f>IF(Checks!$U$677="","",Checks!$U$677)&amp;IF(Checks!$AB$677="","",CHAR(10)&amp;"CA: "&amp;Checks!$AB$677)</f>
        <v/>
      </c>
      <c r="E38" s="124">
        <f>IF(Checks!$V$677="","",Checks!$V$677)&amp;IF(Checks!$AC$677="","",IF(Checks!$V$677="","",CHAR(10))&amp;"N/A just.: "&amp;Checks!$AC$677)&amp;IF(Checks!$W$677="","",CHAR(10)&amp;"Batch: "&amp;Checks!$W$677)&amp;IF(AND(Checks!$X$677="",Checks!$Y$677=""),"",CHAR(10)&amp;"Exp: "&amp;Checks!$X$677&amp;"  /  Act: "&amp;Checks!$Y$677)</f>
        <v/>
      </c>
      <c r="F38" s="124">
        <f>IF(Checks!$Z$677="","","Evidence: "&amp;Checks!$Z$677)&amp;IF(Checks!$AA$677="","",IF(Checks!$Z$677="","",CHAR(10))&amp;"CA: "&amp;Checks!$AA$677)</f>
        <v/>
      </c>
      <c r="G38" s="124">
        <f>IF(ISNUMBER(Checks!$AD$677),TEXT(Checks!$AD$677,"DD-MMM-YY HH:MM")&amp;" "&amp;Checks!$P$677,"")&amp;IF(Checks!$AE$677="","",CHAR(10)&amp;Checks!$AE$677)</f>
        <v/>
      </c>
      <c r="H38" s="125">
        <f>IF(Checks!$AH$677="","",Checks!$AH$677)</f>
        <v/>
      </c>
    </row>
    <row r="39" ht="81" customHeight="1">
      <c r="A39" s="124">
        <f>Checks!$A$678&amp;CHAR(10)&amp;IF(Checks!$I$678="","",Checks!$I$678&amp;": ")&amp;Checks!$J$678</f>
        <v/>
      </c>
      <c r="B39" s="124">
        <f>Checks!$K$678&amp;IF(Checks!$O$678="","",IF(Checks!$K$678="","",CHAR(10))&amp;"Note: "&amp;Checks!$O$678)</f>
        <v/>
      </c>
      <c r="C39" s="124">
        <f>Checks!$N$678&amp;CHAR(10)&amp;IF(ISNUMBER(Checks!$R$678),TEXT(Checks!$R$678,"DD-MMM-YY HH:MM"),"")&amp;" "&amp;Checks!$P$678</f>
        <v/>
      </c>
      <c r="D39" s="124">
        <f>IF(Checks!$U$678="","",Checks!$U$678)&amp;IF(Checks!$AB$678="","",CHAR(10)&amp;"CA: "&amp;Checks!$AB$678)</f>
        <v/>
      </c>
      <c r="E39" s="124">
        <f>IF(Checks!$V$678="","",Checks!$V$678)&amp;IF(Checks!$AC$678="","",IF(Checks!$V$678="","",CHAR(10))&amp;"N/A just.: "&amp;Checks!$AC$678)&amp;IF(Checks!$W$678="","",CHAR(10)&amp;"Batch: "&amp;Checks!$W$678)&amp;IF(AND(Checks!$X$678="",Checks!$Y$678=""),"",CHAR(10)&amp;"Exp: "&amp;Checks!$X$678&amp;"  /  Act: "&amp;Checks!$Y$678)</f>
        <v/>
      </c>
      <c r="F39" s="124">
        <f>IF(Checks!$Z$678="","","Evidence: "&amp;Checks!$Z$678)&amp;IF(Checks!$AA$678="","",IF(Checks!$Z$678="","",CHAR(10))&amp;"CA: "&amp;Checks!$AA$678)</f>
        <v/>
      </c>
      <c r="G39" s="124">
        <f>IF(ISNUMBER(Checks!$AD$678),TEXT(Checks!$AD$678,"DD-MMM-YY HH:MM")&amp;" "&amp;Checks!$P$678,"")&amp;IF(Checks!$AE$678="","",CHAR(10)&amp;Checks!$AE$678)</f>
        <v/>
      </c>
      <c r="H39" s="125">
        <f>IF(Checks!$AH$678="","",Checks!$AH$678)</f>
        <v/>
      </c>
    </row>
    <row r="40" ht="81" customHeight="1">
      <c r="A40" s="124">
        <f>Checks!$A$679&amp;CHAR(10)&amp;IF(Checks!$I$679="","",Checks!$I$679&amp;": ")&amp;Checks!$J$679</f>
        <v/>
      </c>
      <c r="B40" s="124">
        <f>Checks!$K$679&amp;IF(Checks!$O$679="","",IF(Checks!$K$679="","",CHAR(10))&amp;"Note: "&amp;Checks!$O$679)</f>
        <v/>
      </c>
      <c r="C40" s="124">
        <f>Checks!$N$679&amp;CHAR(10)&amp;IF(ISNUMBER(Checks!$R$679),TEXT(Checks!$R$679,"DD-MMM-YY HH:MM"),"")&amp;" "&amp;Checks!$P$679</f>
        <v/>
      </c>
      <c r="D40" s="124">
        <f>IF(Checks!$U$679="","",Checks!$U$679)&amp;IF(Checks!$AB$679="","",CHAR(10)&amp;"CA: "&amp;Checks!$AB$679)</f>
        <v/>
      </c>
      <c r="E40" s="124">
        <f>IF(Checks!$V$679="","",Checks!$V$679)&amp;IF(Checks!$AC$679="","",IF(Checks!$V$679="","",CHAR(10))&amp;"N/A just.: "&amp;Checks!$AC$679)&amp;IF(Checks!$W$679="","",CHAR(10)&amp;"Batch: "&amp;Checks!$W$679)&amp;IF(AND(Checks!$X$679="",Checks!$Y$679=""),"",CHAR(10)&amp;"Exp: "&amp;Checks!$X$679&amp;"  /  Act: "&amp;Checks!$Y$679)</f>
        <v/>
      </c>
      <c r="F40" s="124">
        <f>IF(Checks!$Z$679="","","Evidence: "&amp;Checks!$Z$679)&amp;IF(Checks!$AA$679="","",IF(Checks!$Z$679="","",CHAR(10))&amp;"CA: "&amp;Checks!$AA$679)</f>
        <v/>
      </c>
      <c r="G40" s="124">
        <f>IF(ISNUMBER(Checks!$AD$679),TEXT(Checks!$AD$679,"DD-MMM-YY HH:MM")&amp;" "&amp;Checks!$P$679,"")&amp;IF(Checks!$AE$679="","",CHAR(10)&amp;Checks!$AE$679)</f>
        <v/>
      </c>
      <c r="H40" s="125">
        <f>IF(Checks!$AH$679="","",Checks!$AH$679)</f>
        <v/>
      </c>
    </row>
    <row r="41" ht="81" customHeight="1">
      <c r="A41" s="124">
        <f>Checks!$A$680&amp;CHAR(10)&amp;IF(Checks!$I$680="","",Checks!$I$680&amp;": ")&amp;Checks!$J$680</f>
        <v/>
      </c>
      <c r="B41" s="124">
        <f>Checks!$K$680&amp;IF(Checks!$O$680="","",IF(Checks!$K$680="","",CHAR(10))&amp;"Note: "&amp;Checks!$O$680)</f>
        <v/>
      </c>
      <c r="C41" s="124">
        <f>Checks!$N$680&amp;CHAR(10)&amp;IF(ISNUMBER(Checks!$R$680),TEXT(Checks!$R$680,"DD-MMM-YY HH:MM"),"")&amp;" "&amp;Checks!$P$680</f>
        <v/>
      </c>
      <c r="D41" s="124">
        <f>IF(Checks!$U$680="","",Checks!$U$680)&amp;IF(Checks!$AB$680="","",CHAR(10)&amp;"CA: "&amp;Checks!$AB$680)</f>
        <v/>
      </c>
      <c r="E41" s="124">
        <f>IF(Checks!$V$680="","",Checks!$V$680)&amp;IF(Checks!$AC$680="","",IF(Checks!$V$680="","",CHAR(10))&amp;"N/A just.: "&amp;Checks!$AC$680)&amp;IF(Checks!$W$680="","",CHAR(10)&amp;"Batch: "&amp;Checks!$W$680)&amp;IF(AND(Checks!$X$680="",Checks!$Y$680=""),"",CHAR(10)&amp;"Exp: "&amp;Checks!$X$680&amp;"  /  Act: "&amp;Checks!$Y$680)</f>
        <v/>
      </c>
      <c r="F41" s="124">
        <f>IF(Checks!$Z$680="","","Evidence: "&amp;Checks!$Z$680)&amp;IF(Checks!$AA$680="","",IF(Checks!$Z$680="","",CHAR(10))&amp;"CA: "&amp;Checks!$AA$680)</f>
        <v/>
      </c>
      <c r="G41" s="124">
        <f>IF(ISNUMBER(Checks!$AD$680),TEXT(Checks!$AD$680,"DD-MMM-YY HH:MM")&amp;" "&amp;Checks!$P$680,"")&amp;IF(Checks!$AE$680="","",CHAR(10)&amp;Checks!$AE$680)</f>
        <v/>
      </c>
      <c r="H41" s="125">
        <f>IF(Checks!$AH$680="","",Checks!$AH$680)</f>
        <v/>
      </c>
    </row>
    <row r="42" ht="202" customHeight="1">
      <c r="A42" s="124">
        <f>Checks!$A$681&amp;CHAR(10)&amp;IF(Checks!$I$681="","",Checks!$I$681&amp;": ")&amp;Checks!$J$681</f>
        <v/>
      </c>
      <c r="B42" s="124">
        <f>SUBSTITUTE(Checks!$K$681&amp;IF(Checks!$O$681="","",IF(Checks!$K$681="","",CHAR(10))&amp;"Note: "&amp;Checks!$O$681),"AIRCRAFT TYPE!","Ref: AIRCRAFT TYPE!")</f>
        <v/>
      </c>
      <c r="C42" s="124">
        <f>Checks!$N$681&amp;CHAR(10)&amp;IF(ISNUMBER(Checks!$R$681),TEXT(Checks!$R$681,"DD-MMM-YY HH:MM"),"")&amp;" "&amp;Checks!$P$681</f>
        <v/>
      </c>
      <c r="D42" s="124">
        <f>IF(Checks!$U$681="","",Checks!$U$681)&amp;IF(Checks!$AB$681="","",CHAR(10)&amp;"CA: "&amp;Checks!$AB$681)</f>
        <v/>
      </c>
      <c r="E42" s="124">
        <f>IF(Checks!$V$681="","",Checks!$V$681)&amp;IF(Checks!$AC$681="","",IF(Checks!$V$681="","",CHAR(10))&amp;"N/A just.: "&amp;Checks!$AC$681)&amp;IF(Checks!$W$681="","",CHAR(10)&amp;"Batch: "&amp;Checks!$W$681)&amp;IF(AND(Checks!$X$681="",Checks!$Y$681=""),"",CHAR(10)&amp;"Exp: "&amp;Checks!$X$681&amp;"  /  Act: "&amp;Checks!$Y$681)</f>
        <v/>
      </c>
      <c r="F42" s="124">
        <f>IF(Checks!$Z$681="","","Evidence: "&amp;Checks!$Z$681)&amp;IF(Checks!$AA$681="","",IF(Checks!$Z$681="","",CHAR(10))&amp;"CA: "&amp;Checks!$AA$681)</f>
        <v/>
      </c>
      <c r="G42" s="124">
        <f>IF(ISNUMBER(Checks!$AD$681),TEXT(Checks!$AD$681,"DD-MMM-YY HH:MM")&amp;" "&amp;Checks!$P$681,"")&amp;IF(Checks!$AE$681="","",CHAR(10)&amp;Checks!$AE$681)</f>
        <v/>
      </c>
      <c r="H42" s="125">
        <f>IF(Checks!$AH$681="","",Checks!$AH$681)</f>
        <v/>
      </c>
    </row>
    <row r="43" ht="81" customHeight="1">
      <c r="A43" s="124">
        <f>Checks!$A$682&amp;CHAR(10)&amp;IF(Checks!$I$682="","",Checks!$I$682&amp;": ")&amp;Checks!$J$682</f>
        <v/>
      </c>
      <c r="B43" s="124">
        <f>Checks!$K$682&amp;IF(Checks!$O$682="","",IF(Checks!$K$682="","",CHAR(10))&amp;"Note: "&amp;Checks!$O$682)</f>
        <v/>
      </c>
      <c r="C43" s="124">
        <f>Checks!$N$682&amp;CHAR(10)&amp;IF(ISNUMBER(Checks!$R$682),TEXT(Checks!$R$682,"DD-MMM-YY HH:MM"),"")&amp;" "&amp;Checks!$P$682</f>
        <v/>
      </c>
      <c r="D43" s="124">
        <f>IF(Checks!$U$682="","",Checks!$U$682)&amp;IF(Checks!$AB$682="","",CHAR(10)&amp;"CA: "&amp;Checks!$AB$682)</f>
        <v/>
      </c>
      <c r="E43" s="124">
        <f>IF(Checks!$V$682="","",Checks!$V$682)&amp;IF(Checks!$AC$682="","",IF(Checks!$V$682="","",CHAR(10))&amp;"N/A just.: "&amp;Checks!$AC$682)&amp;IF(Checks!$W$682="","",CHAR(10)&amp;"Batch: "&amp;Checks!$W$682)&amp;IF(AND(Checks!$X$682="",Checks!$Y$682=""),"",CHAR(10)&amp;"Exp: "&amp;Checks!$X$682&amp;"  /  Act: "&amp;Checks!$Y$682)</f>
        <v/>
      </c>
      <c r="F43" s="124">
        <f>IF(Checks!$Z$682="","","Evidence: "&amp;Checks!$Z$682)&amp;IF(Checks!$AA$682="","",IF(Checks!$Z$682="","",CHAR(10))&amp;"CA: "&amp;Checks!$AA$682)</f>
        <v/>
      </c>
      <c r="G43" s="124">
        <f>IF(ISNUMBER(Checks!$AD$682),TEXT(Checks!$AD$682,"DD-MMM-YY HH:MM")&amp;" "&amp;Checks!$P$682,"")&amp;IF(Checks!$AE$682="","",CHAR(10)&amp;Checks!$AE$682)</f>
        <v/>
      </c>
      <c r="H43" s="125">
        <f>IF(Checks!$AH$682="","",Checks!$AH$682)</f>
        <v/>
      </c>
    </row>
    <row r="44" ht="191" customHeight="1">
      <c r="A44" s="124">
        <f>Checks!$A$683&amp;CHAR(10)&amp;IF(Checks!$I$683="","",Checks!$I$683&amp;": ")&amp;Checks!$J$683</f>
        <v/>
      </c>
      <c r="B44" s="124">
        <f>Checks!$K$683&amp;IF(Checks!$O$683="","",IF(Checks!$K$683="","",CHAR(10))&amp;"Note: "&amp;Checks!$O$683)</f>
        <v/>
      </c>
      <c r="C44" s="124">
        <f>Checks!$N$683&amp;CHAR(10)&amp;IF(ISNUMBER(Checks!$R$683),TEXT(Checks!$R$683,"DD-MMM-YY HH:MM"),"")&amp;" "&amp;Checks!$P$683</f>
        <v/>
      </c>
      <c r="D44" s="124">
        <f>IF(Checks!$U$683="","",Checks!$U$683)&amp;IF(Checks!$AB$683="","",CHAR(10)&amp;"CA: "&amp;Checks!$AB$683)</f>
        <v/>
      </c>
      <c r="E44" s="124">
        <f>IF(Checks!$V$683="","",Checks!$V$683)&amp;IF(Checks!$AC$683="","",IF(Checks!$V$683="","",CHAR(10))&amp;"N/A just.: "&amp;Checks!$AC$683)&amp;IF(Checks!$W$683="","",CHAR(10)&amp;"Batch: "&amp;Checks!$W$683)&amp;IF(AND(Checks!$X$683="",Checks!$Y$683=""),"",CHAR(10)&amp;"Exp: "&amp;Checks!$X$683&amp;"  /  Act: "&amp;Checks!$Y$683)</f>
        <v/>
      </c>
      <c r="F44" s="124">
        <f>IF(Checks!$Z$683="","","Evidence: "&amp;Checks!$Z$683)&amp;IF(Checks!$AA$683="","",IF(Checks!$Z$683="","",CHAR(10))&amp;"CA: "&amp;Checks!$AA$683)</f>
        <v/>
      </c>
      <c r="G44" s="124">
        <f>IF(ISNUMBER(Checks!$AD$683),TEXT(Checks!$AD$683,"DD-MMM-YY HH:MM")&amp;" "&amp;Checks!$P$683,"")&amp;IF(Checks!$AE$683="","",CHAR(10)&amp;Checks!$AE$683)</f>
        <v/>
      </c>
      <c r="H44" s="125">
        <f>IF(Checks!$AH$683="","",Checks!$AH$683)</f>
        <v/>
      </c>
    </row>
    <row r="45" ht="136" customHeight="1">
      <c r="A45" s="124">
        <f>Checks!$A$684&amp;CHAR(10)&amp;IF(Checks!$I$684="","",Checks!$I$684&amp;": ")&amp;Checks!$J$684</f>
        <v/>
      </c>
      <c r="B45" s="124">
        <f>Checks!$K$684&amp;IF(Checks!$O$684="","",IF(Checks!$K$684="","",CHAR(10))&amp;"Note: "&amp;Checks!$O$684)</f>
        <v/>
      </c>
      <c r="C45" s="124">
        <f>Checks!$N$684&amp;CHAR(10)&amp;IF(ISNUMBER(Checks!$R$684),TEXT(Checks!$R$684,"DD-MMM-YY HH:MM"),"")&amp;" "&amp;Checks!$P$684</f>
        <v/>
      </c>
      <c r="D45" s="124">
        <f>IF(Checks!$U$684="","",Checks!$U$684)&amp;IF(Checks!$AB$684="","",CHAR(10)&amp;"CA: "&amp;Checks!$AB$684)</f>
        <v/>
      </c>
      <c r="E45" s="124">
        <f>IF(Checks!$V$684="","",Checks!$V$684)&amp;IF(Checks!$AC$684="","",IF(Checks!$V$684="","",CHAR(10))&amp;"N/A just.: "&amp;Checks!$AC$684)&amp;IF(Checks!$W$684="","",CHAR(10)&amp;"Batch: "&amp;Checks!$W$684)&amp;IF(AND(Checks!$X$684="",Checks!$Y$684=""),"",CHAR(10)&amp;"Exp: "&amp;Checks!$X$684&amp;"  /  Act: "&amp;Checks!$Y$684)</f>
        <v/>
      </c>
      <c r="F45" s="124">
        <f>IF(Checks!$Z$684="","","Evidence: "&amp;Checks!$Z$684)&amp;IF(Checks!$AA$684="","",IF(Checks!$Z$684="","",CHAR(10))&amp;"CA: "&amp;Checks!$AA$684)</f>
        <v/>
      </c>
      <c r="G45" s="124">
        <f>IF(ISNUMBER(Checks!$AD$684),TEXT(Checks!$AD$684,"DD-MMM-YY HH:MM")&amp;" "&amp;Checks!$P$684,"")&amp;IF(Checks!$AE$684="","",CHAR(10)&amp;Checks!$AE$684)</f>
        <v/>
      </c>
      <c r="H45" s="125">
        <f>IF(Checks!$AH$684="","",Checks!$AH$684)</f>
        <v/>
      </c>
    </row>
    <row r="46" ht="136" customHeight="1">
      <c r="A46" s="124">
        <f>Checks!$A$685&amp;CHAR(10)&amp;IF(Checks!$I$685="","",Checks!$I$685&amp;": ")&amp;Checks!$J$685</f>
        <v/>
      </c>
      <c r="B46" s="124">
        <f>Checks!$K$685&amp;IF(Checks!$O$685="","",IF(Checks!$K$685="","",CHAR(10))&amp;"Note: "&amp;Checks!$O$685)</f>
        <v/>
      </c>
      <c r="C46" s="124">
        <f>Checks!$N$685&amp;CHAR(10)&amp;IF(ISNUMBER(Checks!$R$685),TEXT(Checks!$R$685,"DD-MMM-YY HH:MM"),"")&amp;" "&amp;Checks!$P$685</f>
        <v/>
      </c>
      <c r="D46" s="124">
        <f>IF(Checks!$U$685="","",Checks!$U$685)&amp;IF(Checks!$AB$685="","",CHAR(10)&amp;"CA: "&amp;Checks!$AB$685)</f>
        <v/>
      </c>
      <c r="E46" s="124">
        <f>IF(Checks!$V$685="","",Checks!$V$685)&amp;IF(Checks!$AC$685="","",IF(Checks!$V$685="","",CHAR(10))&amp;"N/A just.: "&amp;Checks!$AC$685)&amp;IF(Checks!$W$685="","",CHAR(10)&amp;"Batch: "&amp;Checks!$W$685)&amp;IF(AND(Checks!$X$685="",Checks!$Y$685=""),"",CHAR(10)&amp;"Exp: "&amp;Checks!$X$685&amp;"  /  Act: "&amp;Checks!$Y$685)</f>
        <v/>
      </c>
      <c r="F46" s="124">
        <f>IF(Checks!$Z$685="","","Evidence: "&amp;Checks!$Z$685)&amp;IF(Checks!$AA$685="","",IF(Checks!$Z$685="","",CHAR(10))&amp;"CA: "&amp;Checks!$AA$685)</f>
        <v/>
      </c>
      <c r="G46" s="124">
        <f>IF(ISNUMBER(Checks!$AD$685),TEXT(Checks!$AD$685,"DD-MMM-YY HH:MM")&amp;" "&amp;Checks!$P$685,"")&amp;IF(Checks!$AE$685="","",CHAR(10)&amp;Checks!$AE$685)</f>
        <v/>
      </c>
      <c r="H46" s="125">
        <f>IF(Checks!$AH$685="","",Checks!$AH$685)</f>
        <v/>
      </c>
    </row>
    <row r="47" ht="136" customHeight="1">
      <c r="A47" s="124">
        <f>Checks!$A$686&amp;CHAR(10)&amp;IF(Checks!$I$686="","",Checks!$I$686&amp;": ")&amp;Checks!$J$686</f>
        <v/>
      </c>
      <c r="B47" s="124">
        <f>Checks!$K$686&amp;IF(Checks!$O$686="","",IF(Checks!$K$686="","",CHAR(10))&amp;"Note: "&amp;Checks!$O$686)</f>
        <v/>
      </c>
      <c r="C47" s="124">
        <f>Checks!$N$686&amp;CHAR(10)&amp;IF(ISNUMBER(Checks!$R$686),TEXT(Checks!$R$686,"DD-MMM-YY HH:MM"),"")&amp;" "&amp;Checks!$P$686</f>
        <v/>
      </c>
      <c r="D47" s="124">
        <f>IF(Checks!$U$686="","",Checks!$U$686)&amp;IF(Checks!$AB$686="","",CHAR(10)&amp;"CA: "&amp;Checks!$AB$686)</f>
        <v/>
      </c>
      <c r="E47" s="124">
        <f>IF(Checks!$V$686="","",Checks!$V$686)&amp;IF(Checks!$AC$686="","",IF(Checks!$V$686="","",CHAR(10))&amp;"N/A just.: "&amp;Checks!$AC$686)&amp;IF(Checks!$W$686="","",CHAR(10)&amp;"Batch: "&amp;Checks!$W$686)&amp;IF(AND(Checks!$X$686="",Checks!$Y$686=""),"",CHAR(10)&amp;"Exp: "&amp;Checks!$X$686&amp;"  /  Act: "&amp;Checks!$Y$686)</f>
        <v/>
      </c>
      <c r="F47" s="124">
        <f>IF(Checks!$Z$686="","","Evidence: "&amp;Checks!$Z$686)&amp;IF(Checks!$AA$686="","",IF(Checks!$Z$686="","",CHAR(10))&amp;"CA: "&amp;Checks!$AA$686)</f>
        <v/>
      </c>
      <c r="G47" s="124">
        <f>IF(ISNUMBER(Checks!$AD$686),TEXT(Checks!$AD$686,"DD-MMM-YY HH:MM")&amp;" "&amp;Checks!$P$686,"")&amp;IF(Checks!$AE$686="","",CHAR(10)&amp;Checks!$AE$686)</f>
        <v/>
      </c>
      <c r="H47" s="125">
        <f>IF(Checks!$AH$686="","",Checks!$AH$686)</f>
        <v/>
      </c>
    </row>
    <row r="48" ht="147" customHeight="1">
      <c r="A48" s="124">
        <f>Checks!$A$687&amp;CHAR(10)&amp;IF(Checks!$I$687="","",Checks!$I$687&amp;": ")&amp;Checks!$J$687</f>
        <v/>
      </c>
      <c r="B48" s="124">
        <f>SUBSTITUTE(Checks!$K$687&amp;IF(Checks!$O$687="","",IF(Checks!$K$687="","",CHAR(10))&amp;"Note: "&amp;Checks!$O$687),"F&amp;B LINEN!","Ref: F&amp;B LINEN!")</f>
        <v/>
      </c>
      <c r="C48" s="124">
        <f>Checks!$N$687&amp;CHAR(10)&amp;IF(ISNUMBER(Checks!$R$687),TEXT(Checks!$R$687,"DD-MMM-YY HH:MM"),"")&amp;" "&amp;Checks!$P$687</f>
        <v/>
      </c>
      <c r="D48" s="124">
        <f>IF(Checks!$U$687="","",Checks!$U$687)&amp;IF(Checks!$AB$687="","",CHAR(10)&amp;"CA: "&amp;Checks!$AB$687)</f>
        <v/>
      </c>
      <c r="E48" s="124">
        <f>IF(Checks!$V$687="","",Checks!$V$687)&amp;IF(Checks!$AC$687="","",IF(Checks!$V$687="","",CHAR(10))&amp;"N/A just.: "&amp;Checks!$AC$687)&amp;IF(Checks!$W$687="","",CHAR(10)&amp;"Batch: "&amp;Checks!$W$687)&amp;IF(AND(Checks!$X$687="",Checks!$Y$687=""),"",CHAR(10)&amp;"Exp: "&amp;Checks!$X$687&amp;"  /  Act: "&amp;Checks!$Y$687)</f>
        <v/>
      </c>
      <c r="F48" s="124">
        <f>IF(Checks!$Z$687="","","Evidence: "&amp;Checks!$Z$687)&amp;IF(Checks!$AA$687="","",IF(Checks!$Z$687="","",CHAR(10))&amp;"CA: "&amp;Checks!$AA$687)</f>
        <v/>
      </c>
      <c r="G48" s="124">
        <f>IF(ISNUMBER(Checks!$AD$687),TEXT(Checks!$AD$687,"DD-MMM-YY HH:MM")&amp;" "&amp;Checks!$P$687,"")&amp;IF(Checks!$AE$687="","",CHAR(10)&amp;Checks!$AE$687)</f>
        <v/>
      </c>
      <c r="H48" s="125">
        <f>IF(Checks!$AH$687="","",Checks!$AH$687)</f>
        <v/>
      </c>
    </row>
    <row r="49" ht="136" customHeight="1">
      <c r="A49" s="124">
        <f>Checks!$A$688&amp;CHAR(10)&amp;IF(Checks!$I$688="","",Checks!$I$688&amp;": ")&amp;Checks!$J$688</f>
        <v/>
      </c>
      <c r="B49" s="124">
        <f>Checks!$K$688&amp;IF(Checks!$O$688="","",IF(Checks!$K$688="","",CHAR(10))&amp;"Note: "&amp;Checks!$O$688)</f>
        <v/>
      </c>
      <c r="C49" s="124">
        <f>Checks!$N$688&amp;CHAR(10)&amp;IF(ISNUMBER(Checks!$R$688),TEXT(Checks!$R$688,"DD-MMM-YY HH:MM"),"")&amp;" "&amp;Checks!$P$688</f>
        <v/>
      </c>
      <c r="D49" s="124">
        <f>IF(Checks!$U$688="","",Checks!$U$688)&amp;IF(Checks!$AB$688="","",CHAR(10)&amp;"CA: "&amp;Checks!$AB$688)</f>
        <v/>
      </c>
      <c r="E49" s="124">
        <f>IF(Checks!$V$688="","",Checks!$V$688)&amp;IF(Checks!$AC$688="","",IF(Checks!$V$688="","",CHAR(10))&amp;"N/A just.: "&amp;Checks!$AC$688)&amp;IF(Checks!$W$688="","",CHAR(10)&amp;"Batch: "&amp;Checks!$W$688)&amp;IF(AND(Checks!$X$688="",Checks!$Y$688=""),"",CHAR(10)&amp;"Exp: "&amp;Checks!$X$688&amp;"  /  Act: "&amp;Checks!$Y$688)</f>
        <v/>
      </c>
      <c r="F49" s="124">
        <f>IF(Checks!$Z$688="","","Evidence: "&amp;Checks!$Z$688)&amp;IF(Checks!$AA$688="","",IF(Checks!$Z$688="","",CHAR(10))&amp;"CA: "&amp;Checks!$AA$688)</f>
        <v/>
      </c>
      <c r="G49" s="124">
        <f>IF(ISNUMBER(Checks!$AD$688),TEXT(Checks!$AD$688,"DD-MMM-YY HH:MM")&amp;" "&amp;Checks!$P$688,"")&amp;IF(Checks!$AE$688="","",CHAR(10)&amp;Checks!$AE$688)</f>
        <v/>
      </c>
      <c r="H49" s="125">
        <f>IF(Checks!$AH$688="","",Checks!$AH$688)</f>
        <v/>
      </c>
    </row>
    <row r="50" ht="136" customHeight="1">
      <c r="A50" s="124">
        <f>Checks!$A$689&amp;CHAR(10)&amp;IF(Checks!$I$689="","",Checks!$I$689&amp;": ")&amp;Checks!$J$689</f>
        <v/>
      </c>
      <c r="B50" s="124">
        <f>Checks!$K$689&amp;IF(Checks!$O$689="","",IF(Checks!$K$689="","",CHAR(10))&amp;"Note: "&amp;Checks!$O$689)</f>
        <v/>
      </c>
      <c r="C50" s="124">
        <f>Checks!$N$689&amp;CHAR(10)&amp;IF(ISNUMBER(Checks!$R$689),TEXT(Checks!$R$689,"DD-MMM-YY HH:MM"),"")&amp;" "&amp;Checks!$P$689</f>
        <v/>
      </c>
      <c r="D50" s="124">
        <f>IF(Checks!$U$689="","",Checks!$U$689)&amp;IF(Checks!$AB$689="","",CHAR(10)&amp;"CA: "&amp;Checks!$AB$689)</f>
        <v/>
      </c>
      <c r="E50" s="124">
        <f>IF(Checks!$V$689="","",Checks!$V$689)&amp;IF(Checks!$AC$689="","",IF(Checks!$V$689="","",CHAR(10))&amp;"N/A just.: "&amp;Checks!$AC$689)&amp;IF(Checks!$W$689="","",CHAR(10)&amp;"Batch: "&amp;Checks!$W$689)&amp;IF(AND(Checks!$X$689="",Checks!$Y$689=""),"",CHAR(10)&amp;"Exp: "&amp;Checks!$X$689&amp;"  /  Act: "&amp;Checks!$Y$689)</f>
        <v/>
      </c>
      <c r="F50" s="124">
        <f>IF(Checks!$Z$689="","","Evidence: "&amp;Checks!$Z$689)&amp;IF(Checks!$AA$689="","",IF(Checks!$Z$689="","",CHAR(10))&amp;"CA: "&amp;Checks!$AA$689)</f>
        <v/>
      </c>
      <c r="G50" s="124">
        <f>IF(ISNUMBER(Checks!$AD$689),TEXT(Checks!$AD$689,"DD-MMM-YY HH:MM")&amp;" "&amp;Checks!$P$689,"")&amp;IF(Checks!$AE$689="","",CHAR(10)&amp;Checks!$AE$689)</f>
        <v/>
      </c>
      <c r="H50" s="125">
        <f>IF(Checks!$AH$689="","",Checks!$AH$689)</f>
        <v/>
      </c>
    </row>
    <row r="51" ht="136" customHeight="1">
      <c r="A51" s="124">
        <f>Checks!$A$690&amp;CHAR(10)&amp;IF(Checks!$I$690="","",Checks!$I$690&amp;": ")&amp;Checks!$J$690</f>
        <v/>
      </c>
      <c r="B51" s="124">
        <f>Checks!$K$690&amp;IF(Checks!$O$690="","",IF(Checks!$K$690="","",CHAR(10))&amp;"Note: "&amp;Checks!$O$690)</f>
        <v/>
      </c>
      <c r="C51" s="124">
        <f>Checks!$N$690&amp;CHAR(10)&amp;IF(ISNUMBER(Checks!$R$690),TEXT(Checks!$R$690,"DD-MMM-YY HH:MM"),"")&amp;" "&amp;Checks!$P$690</f>
        <v/>
      </c>
      <c r="D51" s="124">
        <f>IF(Checks!$U$690="","",Checks!$U$690)&amp;IF(Checks!$AB$690="","",CHAR(10)&amp;"CA: "&amp;Checks!$AB$690)</f>
        <v/>
      </c>
      <c r="E51" s="124">
        <f>IF(Checks!$V$690="","",Checks!$V$690)&amp;IF(Checks!$AC$690="","",IF(Checks!$V$690="","",CHAR(10))&amp;"N/A just.: "&amp;Checks!$AC$690)&amp;IF(Checks!$W$690="","",CHAR(10)&amp;"Batch: "&amp;Checks!$W$690)&amp;IF(AND(Checks!$X$690="",Checks!$Y$690=""),"",CHAR(10)&amp;"Exp: "&amp;Checks!$X$690&amp;"  /  Act: "&amp;Checks!$Y$690)</f>
        <v/>
      </c>
      <c r="F51" s="124">
        <f>IF(Checks!$Z$690="","","Evidence: "&amp;Checks!$Z$690)&amp;IF(Checks!$AA$690="","",IF(Checks!$Z$690="","",CHAR(10))&amp;"CA: "&amp;Checks!$AA$690)</f>
        <v/>
      </c>
      <c r="G51" s="124">
        <f>IF(ISNUMBER(Checks!$AD$690),TEXT(Checks!$AD$690,"DD-MMM-YY HH:MM")&amp;" "&amp;Checks!$P$690,"")&amp;IF(Checks!$AE$690="","",CHAR(10)&amp;Checks!$AE$690)</f>
        <v/>
      </c>
      <c r="H51" s="125">
        <f>IF(Checks!$AH$690="","",Checks!$AH$690)</f>
        <v/>
      </c>
    </row>
    <row r="52" ht="26" customHeight="1">
      <c r="A52" s="123">
        <f>"UPLIFT — Physical uplift – on-board confirmation before departure  |  Due "&amp;"STD "&amp;IF(ISNUMBER(Flights!$I$25),TEXT(Flights!$I$25,"DD-MMM-YY HH:MM"),"")&amp;" "&amp;Flights!$G$25&amp;" (departure stn)"&amp;" (rows with another due show their own)  |  Complete "&amp;IF(ISNUMBER(Flights!$AM$25),TEXT(Flights!$AM$25,"0%"),Flights!$AM$25)&amp;"  |  11 lines"</f>
        <v/>
      </c>
      <c r="B52" s="97" t="n"/>
      <c r="C52" s="97" t="n"/>
      <c r="D52" s="97" t="n"/>
      <c r="E52" s="97" t="n"/>
      <c r="F52" s="97" t="n"/>
      <c r="G52" s="97" t="n"/>
      <c r="H52" s="98" t="n"/>
    </row>
    <row r="53" ht="81" customHeight="1">
      <c r="A53" s="124">
        <f>Checks!$A$691&amp;CHAR(10)&amp;IF(Checks!$I$691="","",Checks!$I$691&amp;": ")&amp;Checks!$J$691</f>
        <v/>
      </c>
      <c r="B53" s="124">
        <f>Checks!$K$691&amp;IF(Checks!$O$691="","",IF(Checks!$K$691="","",CHAR(10))&amp;"Note: "&amp;Checks!$O$691)</f>
        <v/>
      </c>
      <c r="C53" s="124">
        <f>Checks!$N$691&amp;CHAR(10)&amp;IF(ISNUMBER(Checks!$R$691),TEXT(Checks!$R$691,"DD-MMM-YY HH:MM"),"")&amp;" "&amp;Checks!$P$691</f>
        <v/>
      </c>
      <c r="D53" s="124">
        <f>IF(Checks!$U$691="","",Checks!$U$691)&amp;IF(Checks!$AB$691="","",CHAR(10)&amp;"CA: "&amp;Checks!$AB$691)</f>
        <v/>
      </c>
      <c r="E53" s="124">
        <f>IF(Checks!$V$691="","",Checks!$V$691)&amp;IF(Checks!$AC$691="","",IF(Checks!$V$691="","",CHAR(10))&amp;"N/A just.: "&amp;Checks!$AC$691)&amp;IF(Checks!$W$691="","",CHAR(10)&amp;"Batch: "&amp;Checks!$W$691)&amp;IF(AND(Checks!$X$691="",Checks!$Y$691=""),"",CHAR(10)&amp;"Exp: "&amp;Checks!$X$691&amp;"  /  Act: "&amp;Checks!$Y$691)</f>
        <v/>
      </c>
      <c r="F53" s="124">
        <f>IF(Checks!$Z$691="","","Evidence: "&amp;Checks!$Z$691)&amp;IF(Checks!$AA$691="","",IF(Checks!$Z$691="","",CHAR(10))&amp;"CA: "&amp;Checks!$AA$691)</f>
        <v/>
      </c>
      <c r="G53" s="124">
        <f>IF(ISNUMBER(Checks!$AD$691),TEXT(Checks!$AD$691,"DD-MMM-YY HH:MM")&amp;" "&amp;Checks!$P$691,"")&amp;IF(Checks!$AE$691="","",CHAR(10)&amp;Checks!$AE$691)</f>
        <v/>
      </c>
      <c r="H53" s="125">
        <f>IF(Checks!$AH$691="","",Checks!$AH$691)</f>
        <v/>
      </c>
    </row>
    <row r="54" ht="81" customHeight="1">
      <c r="A54" s="124">
        <f>Checks!$A$692&amp;CHAR(10)&amp;IF(Checks!$I$692="","",Checks!$I$692&amp;": ")&amp;Checks!$J$692</f>
        <v/>
      </c>
      <c r="B54" s="124">
        <f>Checks!$K$692&amp;IF(Checks!$O$692="","",IF(Checks!$K$692="","",CHAR(10))&amp;"Note: "&amp;Checks!$O$692)</f>
        <v/>
      </c>
      <c r="C54" s="124">
        <f>Checks!$N$692&amp;CHAR(10)&amp;IF(ISNUMBER(Checks!$R$692),TEXT(Checks!$R$692,"DD-MMM-YY HH:MM"),"")&amp;" "&amp;Checks!$P$692</f>
        <v/>
      </c>
      <c r="D54" s="124">
        <f>IF(Checks!$U$692="","",Checks!$U$692)&amp;IF(Checks!$AB$692="","",CHAR(10)&amp;"CA: "&amp;Checks!$AB$692)</f>
        <v/>
      </c>
      <c r="E54" s="124">
        <f>IF(Checks!$V$692="","",Checks!$V$692)&amp;IF(Checks!$AC$692="","",IF(Checks!$V$692="","",CHAR(10))&amp;"N/A just.: "&amp;Checks!$AC$692)&amp;IF(Checks!$W$692="","",CHAR(10)&amp;"Batch: "&amp;Checks!$W$692)&amp;IF(AND(Checks!$X$692="",Checks!$Y$692=""),"",CHAR(10)&amp;"Exp: "&amp;Checks!$X$692&amp;"  /  Act: "&amp;Checks!$Y$692)</f>
        <v/>
      </c>
      <c r="F54" s="124">
        <f>IF(Checks!$Z$692="","","Evidence: "&amp;Checks!$Z$692)&amp;IF(Checks!$AA$692="","",IF(Checks!$Z$692="","",CHAR(10))&amp;"CA: "&amp;Checks!$AA$692)</f>
        <v/>
      </c>
      <c r="G54" s="124">
        <f>IF(ISNUMBER(Checks!$AD$692),TEXT(Checks!$AD$692,"DD-MMM-YY HH:MM")&amp;" "&amp;Checks!$P$692,"")&amp;IF(Checks!$AE$692="","",CHAR(10)&amp;Checks!$AE$692)</f>
        <v/>
      </c>
      <c r="H54" s="125">
        <f>IF(Checks!$AH$692="","",Checks!$AH$692)</f>
        <v/>
      </c>
    </row>
    <row r="55" ht="246" customHeight="1">
      <c r="A55" s="124">
        <f>Checks!$A$693&amp;CHAR(10)&amp;IF(Checks!$I$693="","",Checks!$I$693&amp;": ")&amp;Checks!$J$693</f>
        <v/>
      </c>
      <c r="B55" s="124">
        <f>Checks!$K$693&amp;IF(Checks!$O$693="","",IF(Checks!$K$693="","",CHAR(10))&amp;"Note: "&amp;Checks!$O$693)</f>
        <v/>
      </c>
      <c r="C55" s="124">
        <f>Checks!$N$693&amp;CHAR(10)&amp;IF(ISNUMBER(Checks!$R$693),TEXT(Checks!$R$693,"DD-MMM-YY HH:MM"),"")&amp;" "&amp;Checks!$P$693</f>
        <v/>
      </c>
      <c r="D55" s="124">
        <f>IF(Checks!$U$693="","",Checks!$U$693)&amp;IF(Checks!$AB$693="","",CHAR(10)&amp;"CA: "&amp;Checks!$AB$693)</f>
        <v/>
      </c>
      <c r="E55" s="124">
        <f>IF(Checks!$V$693="","",Checks!$V$693)&amp;IF(Checks!$AC$693="","",IF(Checks!$V$693="","",CHAR(10))&amp;"N/A just.: "&amp;Checks!$AC$693)&amp;IF(Checks!$W$693="","",CHAR(10)&amp;"Batch: "&amp;Checks!$W$693)&amp;IF(AND(Checks!$X$693="",Checks!$Y$693=""),"",CHAR(10)&amp;"Exp: "&amp;Checks!$X$693&amp;"  /  Act: "&amp;Checks!$Y$693)</f>
        <v/>
      </c>
      <c r="F55" s="124">
        <f>IF(Checks!$Z$693="","","Evidence: "&amp;Checks!$Z$693)&amp;IF(Checks!$AA$693="","",IF(Checks!$Z$693="","",CHAR(10))&amp;"CA: "&amp;Checks!$AA$693)</f>
        <v/>
      </c>
      <c r="G55" s="124">
        <f>IF(ISNUMBER(Checks!$AD$693),TEXT(Checks!$AD$693,"DD-MMM-YY HH:MM")&amp;" "&amp;Checks!$P$693,"")&amp;IF(Checks!$AE$693="","",CHAR(10)&amp;Checks!$AE$693)</f>
        <v/>
      </c>
      <c r="H55" s="125">
        <f>IF(Checks!$AH$693="","",Checks!$AH$693)</f>
        <v/>
      </c>
    </row>
    <row r="56" ht="81" customHeight="1">
      <c r="A56" s="124">
        <f>Checks!$A$694&amp;CHAR(10)&amp;IF(Checks!$I$694="","",Checks!$I$694&amp;": ")&amp;Checks!$J$694</f>
        <v/>
      </c>
      <c r="B56" s="124">
        <f>Checks!$K$694&amp;IF(Checks!$O$694="","",IF(Checks!$K$694="","",CHAR(10))&amp;"Note: "&amp;Checks!$O$694)</f>
        <v/>
      </c>
      <c r="C56" s="124">
        <f>Checks!$N$694&amp;CHAR(10)&amp;IF(ISNUMBER(Checks!$R$694),TEXT(Checks!$R$694,"DD-MMM-YY HH:MM"),"")&amp;" "&amp;Checks!$P$694</f>
        <v/>
      </c>
      <c r="D56" s="124">
        <f>IF(Checks!$U$694="","",Checks!$U$694)&amp;IF(Checks!$AB$694="","",CHAR(10)&amp;"CA: "&amp;Checks!$AB$694)</f>
        <v/>
      </c>
      <c r="E56" s="124">
        <f>IF(Checks!$V$694="","",Checks!$V$694)&amp;IF(Checks!$AC$694="","",IF(Checks!$V$694="","",CHAR(10))&amp;"N/A just.: "&amp;Checks!$AC$694)&amp;IF(Checks!$W$694="","",CHAR(10)&amp;"Batch: "&amp;Checks!$W$694)&amp;IF(AND(Checks!$X$694="",Checks!$Y$694=""),"",CHAR(10)&amp;"Exp: "&amp;Checks!$X$694&amp;"  /  Act: "&amp;Checks!$Y$694)</f>
        <v/>
      </c>
      <c r="F56" s="124">
        <f>IF(Checks!$Z$694="","","Evidence: "&amp;Checks!$Z$694)&amp;IF(Checks!$AA$694="","",IF(Checks!$Z$694="","",CHAR(10))&amp;"CA: "&amp;Checks!$AA$694)</f>
        <v/>
      </c>
      <c r="G56" s="124">
        <f>IF(ISNUMBER(Checks!$AD$694),TEXT(Checks!$AD$694,"DD-MMM-YY HH:MM")&amp;" "&amp;Checks!$P$694,"")&amp;IF(Checks!$AE$694="","",CHAR(10)&amp;Checks!$AE$694)</f>
        <v/>
      </c>
      <c r="H56" s="125">
        <f>IF(Checks!$AH$694="","",Checks!$AH$694)</f>
        <v/>
      </c>
    </row>
    <row r="57" ht="81" customHeight="1">
      <c r="A57" s="124">
        <f>Checks!$A$695&amp;CHAR(10)&amp;IF(Checks!$I$695="","",Checks!$I$695&amp;": ")&amp;Checks!$J$695</f>
        <v/>
      </c>
      <c r="B57" s="124">
        <f>Checks!$K$695&amp;IF(Checks!$O$695="","",IF(Checks!$K$695="","",CHAR(10))&amp;"Note: "&amp;Checks!$O$695)</f>
        <v/>
      </c>
      <c r="C57" s="124">
        <f>Checks!$N$695&amp;CHAR(10)&amp;IF(ISNUMBER(Checks!$R$695),TEXT(Checks!$R$695,"DD-MMM-YY HH:MM"),"")&amp;" "&amp;Checks!$P$695</f>
        <v/>
      </c>
      <c r="D57" s="124">
        <f>IF(Checks!$U$695="","",Checks!$U$695)&amp;IF(Checks!$AB$695="","",CHAR(10)&amp;"CA: "&amp;Checks!$AB$695)</f>
        <v/>
      </c>
      <c r="E57" s="124">
        <f>IF(Checks!$V$695="","",Checks!$V$695)&amp;IF(Checks!$AC$695="","",IF(Checks!$V$695="","",CHAR(10))&amp;"N/A just.: "&amp;Checks!$AC$695)&amp;IF(Checks!$W$695="","",CHAR(10)&amp;"Batch: "&amp;Checks!$W$695)&amp;IF(AND(Checks!$X$695="",Checks!$Y$695=""),"",CHAR(10)&amp;"Exp: "&amp;Checks!$X$695&amp;"  /  Act: "&amp;Checks!$Y$695)</f>
        <v/>
      </c>
      <c r="F57" s="124">
        <f>IF(Checks!$Z$695="","","Evidence: "&amp;Checks!$Z$695)&amp;IF(Checks!$AA$695="","",IF(Checks!$Z$695="","",CHAR(10))&amp;"CA: "&amp;Checks!$AA$695)</f>
        <v/>
      </c>
      <c r="G57" s="124">
        <f>IF(ISNUMBER(Checks!$AD$695),TEXT(Checks!$AD$695,"DD-MMM-YY HH:MM")&amp;" "&amp;Checks!$P$695,"")&amp;IF(Checks!$AE$695="","",CHAR(10)&amp;Checks!$AE$695)</f>
        <v/>
      </c>
      <c r="H57" s="125">
        <f>IF(Checks!$AH$695="","",Checks!$AH$695)</f>
        <v/>
      </c>
    </row>
    <row r="58" ht="81" customHeight="1">
      <c r="A58" s="124">
        <f>Checks!$A$696&amp;CHAR(10)&amp;IF(Checks!$I$696="","",Checks!$I$696&amp;": ")&amp;Checks!$J$696</f>
        <v/>
      </c>
      <c r="B58" s="124">
        <f>Checks!$K$696&amp;IF(Checks!$O$696="","",IF(Checks!$K$696="","",CHAR(10))&amp;"Note: "&amp;Checks!$O$696)</f>
        <v/>
      </c>
      <c r="C58" s="124">
        <f>Checks!$N$696&amp;CHAR(10)&amp;IF(ISNUMBER(Checks!$R$696),TEXT(Checks!$R$696,"DD-MMM-YY HH:MM"),"")&amp;" "&amp;Checks!$P$696</f>
        <v/>
      </c>
      <c r="D58" s="124">
        <f>IF(Checks!$U$696="","",Checks!$U$696)&amp;IF(Checks!$AB$696="","",CHAR(10)&amp;"CA: "&amp;Checks!$AB$696)</f>
        <v/>
      </c>
      <c r="E58" s="124">
        <f>IF(Checks!$V$696="","",Checks!$V$696)&amp;IF(Checks!$AC$696="","",IF(Checks!$V$696="","",CHAR(10))&amp;"N/A just.: "&amp;Checks!$AC$696)&amp;IF(Checks!$W$696="","",CHAR(10)&amp;"Batch: "&amp;Checks!$W$696)&amp;IF(AND(Checks!$X$696="",Checks!$Y$696=""),"",CHAR(10)&amp;"Exp: "&amp;Checks!$X$696&amp;"  /  Act: "&amp;Checks!$Y$696)</f>
        <v/>
      </c>
      <c r="F58" s="124">
        <f>IF(Checks!$Z$696="","","Evidence: "&amp;Checks!$Z$696)&amp;IF(Checks!$AA$696="","",IF(Checks!$Z$696="","",CHAR(10))&amp;"CA: "&amp;Checks!$AA$696)</f>
        <v/>
      </c>
      <c r="G58" s="124">
        <f>IF(ISNUMBER(Checks!$AD$696),TEXT(Checks!$AD$696,"DD-MMM-YY HH:MM")&amp;" "&amp;Checks!$P$696,"")&amp;IF(Checks!$AE$696="","",CHAR(10)&amp;Checks!$AE$696)</f>
        <v/>
      </c>
      <c r="H58" s="125">
        <f>IF(Checks!$AH$696="","",Checks!$AH$696)</f>
        <v/>
      </c>
    </row>
    <row r="59" ht="81" customHeight="1">
      <c r="A59" s="124">
        <f>Checks!$A$697&amp;CHAR(10)&amp;IF(Checks!$I$697="","",Checks!$I$697&amp;": ")&amp;Checks!$J$697</f>
        <v/>
      </c>
      <c r="B59" s="124">
        <f>Checks!$K$697&amp;IF(Checks!$O$697="","",IF(Checks!$K$697="","",CHAR(10))&amp;"Note: "&amp;Checks!$O$697)</f>
        <v/>
      </c>
      <c r="C59" s="124">
        <f>Checks!$N$697&amp;CHAR(10)&amp;IF(ISNUMBER(Checks!$R$697),TEXT(Checks!$R$697,"DD-MMM-YY HH:MM"),"")&amp;" "&amp;Checks!$P$697</f>
        <v/>
      </c>
      <c r="D59" s="124">
        <f>IF(Checks!$U$697="","",Checks!$U$697)&amp;IF(Checks!$AB$697="","",CHAR(10)&amp;"CA: "&amp;Checks!$AB$697)</f>
        <v/>
      </c>
      <c r="E59" s="124">
        <f>IF(Checks!$V$697="","",Checks!$V$697)&amp;IF(Checks!$AC$697="","",IF(Checks!$V$697="","",CHAR(10))&amp;"N/A just.: "&amp;Checks!$AC$697)&amp;IF(Checks!$W$697="","",CHAR(10)&amp;"Batch: "&amp;Checks!$W$697)&amp;IF(AND(Checks!$X$697="",Checks!$Y$697=""),"",CHAR(10)&amp;"Exp: "&amp;Checks!$X$697&amp;"  /  Act: "&amp;Checks!$Y$697)</f>
        <v/>
      </c>
      <c r="F59" s="124">
        <f>IF(Checks!$Z$697="","","Evidence: "&amp;Checks!$Z$697)&amp;IF(Checks!$AA$697="","",IF(Checks!$Z$697="","",CHAR(10))&amp;"CA: "&amp;Checks!$AA$697)</f>
        <v/>
      </c>
      <c r="G59" s="124">
        <f>IF(ISNUMBER(Checks!$AD$697),TEXT(Checks!$AD$697,"DD-MMM-YY HH:MM")&amp;" "&amp;Checks!$P$697,"")&amp;IF(Checks!$AE$697="","",CHAR(10)&amp;Checks!$AE$697)</f>
        <v/>
      </c>
      <c r="H59" s="125">
        <f>IF(Checks!$AH$697="","",Checks!$AH$697)</f>
        <v/>
      </c>
    </row>
    <row r="60" ht="81" customHeight="1">
      <c r="A60" s="124">
        <f>Checks!$A$698&amp;CHAR(10)&amp;IF(Checks!$I$698="","",Checks!$I$698&amp;": ")&amp;Checks!$J$698</f>
        <v/>
      </c>
      <c r="B60" s="124">
        <f>SUBSTITUTE(Checks!$K$698&amp;IF(Checks!$O$698="","",IF(Checks!$K$698="","",CHAR(10))&amp;"Note: "&amp;Checks!$O$698),"F&amp;B LINEN!","Ref: F&amp;B LINEN!")</f>
        <v/>
      </c>
      <c r="C60" s="124">
        <f>Checks!$N$698&amp;CHAR(10)&amp;IF(ISNUMBER(Checks!$R$698),TEXT(Checks!$R$698,"DD-MMM-YY HH:MM"),"")&amp;" "&amp;Checks!$P$698</f>
        <v/>
      </c>
      <c r="D60" s="124">
        <f>IF(Checks!$U$698="","",Checks!$U$698)&amp;IF(Checks!$AB$698="","",CHAR(10)&amp;"CA: "&amp;Checks!$AB$698)</f>
        <v/>
      </c>
      <c r="E60" s="124">
        <f>IF(Checks!$V$698="","",Checks!$V$698)&amp;IF(Checks!$AC$698="","",IF(Checks!$V$698="","",CHAR(10))&amp;"N/A just.: "&amp;Checks!$AC$698)&amp;IF(Checks!$W$698="","",CHAR(10)&amp;"Batch: "&amp;Checks!$W$698)&amp;IF(AND(Checks!$X$698="",Checks!$Y$698=""),"",CHAR(10)&amp;"Exp: "&amp;Checks!$X$698&amp;"  /  Act: "&amp;Checks!$Y$698)</f>
        <v/>
      </c>
      <c r="F60" s="124">
        <f>IF(Checks!$Z$698="","","Evidence: "&amp;Checks!$Z$698)&amp;IF(Checks!$AA$698="","",IF(Checks!$Z$698="","",CHAR(10))&amp;"CA: "&amp;Checks!$AA$698)</f>
        <v/>
      </c>
      <c r="G60" s="124">
        <f>IF(ISNUMBER(Checks!$AD$698),TEXT(Checks!$AD$698,"DD-MMM-YY HH:MM")&amp;" "&amp;Checks!$P$698,"")&amp;IF(Checks!$AE$698="","",CHAR(10)&amp;Checks!$AE$698)</f>
        <v/>
      </c>
      <c r="H60" s="125">
        <f>IF(Checks!$AH$698="","",Checks!$AH$698)</f>
        <v/>
      </c>
    </row>
    <row r="61" ht="81" customHeight="1">
      <c r="A61" s="124">
        <f>Checks!$A$699&amp;CHAR(10)&amp;IF(Checks!$I$699="","",Checks!$I$699&amp;": ")&amp;Checks!$J$699</f>
        <v/>
      </c>
      <c r="B61" s="124">
        <f>Checks!$K$699&amp;IF(Checks!$O$699="","",IF(Checks!$K$699="","",CHAR(10))&amp;"Note: "&amp;Checks!$O$699)</f>
        <v/>
      </c>
      <c r="C61" s="124">
        <f>Checks!$N$699&amp;CHAR(10)&amp;IF(ISNUMBER(Checks!$R$699),TEXT(Checks!$R$699,"DD-MMM-YY HH:MM"),"")&amp;" "&amp;Checks!$P$699</f>
        <v/>
      </c>
      <c r="D61" s="124">
        <f>IF(Checks!$U$699="","",Checks!$U$699)&amp;IF(Checks!$AB$699="","",CHAR(10)&amp;"CA: "&amp;Checks!$AB$699)</f>
        <v/>
      </c>
      <c r="E61" s="124">
        <f>IF(Checks!$V$699="","",Checks!$V$699)&amp;IF(Checks!$AC$699="","",IF(Checks!$V$699="","",CHAR(10))&amp;"N/A just.: "&amp;Checks!$AC$699)&amp;IF(Checks!$W$699="","",CHAR(10)&amp;"Batch: "&amp;Checks!$W$699)&amp;IF(AND(Checks!$X$699="",Checks!$Y$699=""),"",CHAR(10)&amp;"Exp: "&amp;Checks!$X$699&amp;"  /  Act: "&amp;Checks!$Y$699)</f>
        <v/>
      </c>
      <c r="F61" s="124">
        <f>IF(Checks!$Z$699="","","Evidence: "&amp;Checks!$Z$699)&amp;IF(Checks!$AA$699="","",IF(Checks!$Z$699="","",CHAR(10))&amp;"CA: "&amp;Checks!$AA$699)</f>
        <v/>
      </c>
      <c r="G61" s="124">
        <f>IF(ISNUMBER(Checks!$AD$699),TEXT(Checks!$AD$699,"DD-MMM-YY HH:MM")&amp;" "&amp;Checks!$P$699,"")&amp;IF(Checks!$AE$699="","",CHAR(10)&amp;Checks!$AE$699)</f>
        <v/>
      </c>
      <c r="H61" s="125">
        <f>IF(Checks!$AH$699="","",Checks!$AH$699)</f>
        <v/>
      </c>
    </row>
    <row r="62" ht="81" customHeight="1">
      <c r="A62" s="124">
        <f>Checks!$A$700&amp;CHAR(10)&amp;IF(Checks!$I$700="","",Checks!$I$700&amp;": ")&amp;Checks!$J$700</f>
        <v/>
      </c>
      <c r="B62" s="124">
        <f>Checks!$K$700&amp;IF(Checks!$O$700="","",IF(Checks!$K$700="","",CHAR(10))&amp;"Note: "&amp;Checks!$O$700)</f>
        <v/>
      </c>
      <c r="C62" s="124">
        <f>Checks!$N$700&amp;CHAR(10)&amp;IF(ISNUMBER(Checks!$R$700),TEXT(Checks!$R$700,"DD-MMM-YY HH:MM"),"")&amp;" "&amp;Checks!$P$700</f>
        <v/>
      </c>
      <c r="D62" s="124">
        <f>IF(Checks!$U$700="","",Checks!$U$700)&amp;IF(Checks!$AB$700="","",CHAR(10)&amp;"CA: "&amp;Checks!$AB$700)</f>
        <v/>
      </c>
      <c r="E62" s="124">
        <f>IF(Checks!$V$700="","",Checks!$V$700)&amp;IF(Checks!$AC$700="","",IF(Checks!$V$700="","",CHAR(10))&amp;"N/A just.: "&amp;Checks!$AC$700)&amp;IF(Checks!$W$700="","",CHAR(10)&amp;"Batch: "&amp;Checks!$W$700)&amp;IF(AND(Checks!$X$700="",Checks!$Y$700=""),"",CHAR(10)&amp;"Exp: "&amp;Checks!$X$700&amp;"  /  Act: "&amp;Checks!$Y$700)</f>
        <v/>
      </c>
      <c r="F62" s="124">
        <f>IF(Checks!$Z$700="","","Evidence: "&amp;Checks!$Z$700)&amp;IF(Checks!$AA$700="","",IF(Checks!$Z$700="","",CHAR(10))&amp;"CA: "&amp;Checks!$AA$700)</f>
        <v/>
      </c>
      <c r="G62" s="124">
        <f>IF(ISNUMBER(Checks!$AD$700),TEXT(Checks!$AD$700,"DD-MMM-YY HH:MM")&amp;" "&amp;Checks!$P$700,"")&amp;IF(Checks!$AE$700="","",CHAR(10)&amp;Checks!$AE$700)</f>
        <v/>
      </c>
      <c r="H62" s="125">
        <f>IF(Checks!$AH$700="","",Checks!$AH$700)</f>
        <v/>
      </c>
    </row>
    <row r="63" ht="81" customHeight="1">
      <c r="A63" s="124">
        <f>Checks!$A$701&amp;CHAR(10)&amp;IF(Checks!$I$701="","",Checks!$I$701&amp;": ")&amp;Checks!$J$701</f>
        <v/>
      </c>
      <c r="B63" s="124">
        <f>Checks!$K$701&amp;IF(Checks!$O$701="","",IF(Checks!$K$701="","",CHAR(10))&amp;"Note: "&amp;Checks!$O$701)</f>
        <v/>
      </c>
      <c r="C63" s="124">
        <f>Checks!$N$701&amp;CHAR(10)&amp;IF(ISNUMBER(Checks!$R$701),TEXT(Checks!$R$701,"DD-MMM-YY HH:MM"),"")&amp;" "&amp;Checks!$P$701</f>
        <v/>
      </c>
      <c r="D63" s="124">
        <f>IF(Checks!$U$701="","",Checks!$U$701)&amp;IF(Checks!$AB$701="","",CHAR(10)&amp;"CA: "&amp;Checks!$AB$701)</f>
        <v/>
      </c>
      <c r="E63" s="124">
        <f>IF(Checks!$V$701="","",Checks!$V$701)&amp;IF(Checks!$AC$701="","",IF(Checks!$V$701="","",CHAR(10))&amp;"N/A just.: "&amp;Checks!$AC$701)&amp;IF(Checks!$W$701="","",CHAR(10)&amp;"Batch: "&amp;Checks!$W$701)&amp;IF(AND(Checks!$X$701="",Checks!$Y$701=""),"",CHAR(10)&amp;"Exp: "&amp;Checks!$X$701&amp;"  /  Act: "&amp;Checks!$Y$701)</f>
        <v/>
      </c>
      <c r="F63" s="124">
        <f>IF(Checks!$Z$701="","","Evidence: "&amp;Checks!$Z$701)&amp;IF(Checks!$AA$701="","",IF(Checks!$Z$701="","",CHAR(10))&amp;"CA: "&amp;Checks!$AA$701)</f>
        <v/>
      </c>
      <c r="G63" s="124">
        <f>IF(ISNUMBER(Checks!$AD$701),TEXT(Checks!$AD$701,"DD-MMM-YY HH:MM")&amp;" "&amp;Checks!$P$701,"")&amp;IF(Checks!$AE$701="","",CHAR(10)&amp;Checks!$AE$701)</f>
        <v/>
      </c>
      <c r="H63" s="125">
        <f>IF(Checks!$AH$701="","",Checks!$AH$701)</f>
        <v/>
      </c>
    </row>
    <row r="65" ht="24" customHeight="1">
      <c r="A65" s="126" t="inlineStr">
        <is>
          <t>EXCEL INSERTION AREA (on-screen only, not printed) – A1 Galley Loading Diagram: Insert &gt; Picture here. On paper: staple behind this sheet as page A1.</t>
        </is>
      </c>
      <c r="B65" s="127" t="n"/>
      <c r="C65" s="127" t="n"/>
      <c r="D65" s="128" t="n"/>
      <c r="E65" s="126" t="inlineStr">
        <is>
          <t>EXCEL INSERTION AREA (on-screen only, not printed) – A2 Menu Checklist: Insert &gt; Picture here. On paper: staple behind this sheet as page A2.</t>
        </is>
      </c>
      <c r="F65" s="127" t="n"/>
      <c r="G65" s="127" t="n"/>
      <c r="H65" s="128" t="n"/>
    </row>
    <row r="66" ht="22" customHeight="1">
      <c r="A66" s="129" t="n"/>
      <c r="B66" s="130" t="n"/>
      <c r="C66" s="130" t="n"/>
      <c r="D66" s="131" t="n"/>
      <c r="E66" s="129" t="n"/>
      <c r="F66" s="130" t="n"/>
      <c r="G66" s="130" t="n"/>
      <c r="H66" s="131" t="n"/>
    </row>
    <row r="67" ht="22" customHeight="1">
      <c r="A67" s="132" t="n"/>
      <c r="B67" s="130" t="n"/>
      <c r="C67" s="130" t="n"/>
      <c r="D67" s="131" t="n"/>
      <c r="E67" s="132" t="n"/>
      <c r="F67" s="130" t="n"/>
      <c r="G67" s="130" t="n"/>
      <c r="H67" s="131" t="n"/>
    </row>
    <row r="68" ht="22" customHeight="1">
      <c r="A68" s="132" t="n"/>
      <c r="B68" s="130" t="n"/>
      <c r="C68" s="130" t="n"/>
      <c r="D68" s="131" t="n"/>
      <c r="E68" s="132" t="n"/>
      <c r="F68" s="130" t="n"/>
      <c r="G68" s="130" t="n"/>
      <c r="H68" s="131" t="n"/>
    </row>
    <row r="69" ht="22" customHeight="1">
      <c r="A69" s="132" t="n"/>
      <c r="B69" s="130" t="n"/>
      <c r="C69" s="130" t="n"/>
      <c r="D69" s="131" t="n"/>
      <c r="E69" s="132" t="n"/>
      <c r="F69" s="130" t="n"/>
      <c r="G69" s="130" t="n"/>
      <c r="H69" s="131" t="n"/>
    </row>
    <row r="70" ht="22" customHeight="1">
      <c r="A70" s="132" t="n"/>
      <c r="B70" s="130" t="n"/>
      <c r="C70" s="130" t="n"/>
      <c r="D70" s="131" t="n"/>
      <c r="E70" s="132" t="n"/>
      <c r="F70" s="130" t="n"/>
      <c r="G70" s="130" t="n"/>
      <c r="H70" s="131" t="n"/>
    </row>
    <row r="71" ht="22" customHeight="1">
      <c r="A71" s="132" t="n"/>
      <c r="B71" s="130" t="n"/>
      <c r="C71" s="130" t="n"/>
      <c r="D71" s="131" t="n"/>
      <c r="E71" s="132" t="n"/>
      <c r="F71" s="130" t="n"/>
      <c r="G71" s="130" t="n"/>
      <c r="H71" s="131" t="n"/>
    </row>
    <row r="72" ht="22" customHeight="1">
      <c r="A72" s="132" t="n"/>
      <c r="B72" s="130" t="n"/>
      <c r="C72" s="130" t="n"/>
      <c r="D72" s="131" t="n"/>
      <c r="E72" s="132" t="n"/>
      <c r="F72" s="130" t="n"/>
      <c r="G72" s="130" t="n"/>
      <c r="H72" s="131" t="n"/>
    </row>
    <row r="73" ht="22" customHeight="1">
      <c r="A73" s="132" t="n"/>
      <c r="B73" s="130" t="n"/>
      <c r="C73" s="130" t="n"/>
      <c r="D73" s="131" t="n"/>
      <c r="E73" s="132" t="n"/>
      <c r="F73" s="130" t="n"/>
      <c r="G73" s="130" t="n"/>
      <c r="H73" s="131" t="n"/>
    </row>
    <row r="74" ht="22" customHeight="1">
      <c r="A74" s="132" t="n"/>
      <c r="B74" s="130" t="n"/>
      <c r="C74" s="130" t="n"/>
      <c r="D74" s="131" t="n"/>
      <c r="E74" s="132" t="n"/>
      <c r="F74" s="130" t="n"/>
      <c r="G74" s="130" t="n"/>
      <c r="H74" s="131" t="n"/>
    </row>
    <row r="75" ht="22" customHeight="1">
      <c r="A75" s="133" t="n"/>
      <c r="B75" s="134" t="n"/>
      <c r="C75" s="134" t="n"/>
      <c r="D75" s="135" t="n"/>
      <c r="E75" s="133" t="n"/>
      <c r="F75" s="134" t="n"/>
      <c r="G75" s="134" t="n"/>
      <c r="H75" s="135" t="n"/>
    </row>
  </sheetData>
  <mergeCells count="47">
    <mergeCell ref="F20:H20"/>
    <mergeCell ref="B11:D11"/>
    <mergeCell ref="C20:E20"/>
    <mergeCell ref="F18:H18"/>
    <mergeCell ref="C15:D15"/>
    <mergeCell ref="B8:D8"/>
    <mergeCell ref="G11:H11"/>
    <mergeCell ref="C14:D14"/>
    <mergeCell ref="A36:H36"/>
    <mergeCell ref="F2:H2"/>
    <mergeCell ref="F17:H17"/>
    <mergeCell ref="A1:H1"/>
    <mergeCell ref="G8:H8"/>
    <mergeCell ref="E66:H75"/>
    <mergeCell ref="B10:D10"/>
    <mergeCell ref="C16:D16"/>
    <mergeCell ref="G7:H7"/>
    <mergeCell ref="B9:D9"/>
    <mergeCell ref="G6:H6"/>
    <mergeCell ref="A18:B18"/>
    <mergeCell ref="B6:D6"/>
    <mergeCell ref="G3:H3"/>
    <mergeCell ref="B5:D5"/>
    <mergeCell ref="A21:H21"/>
    <mergeCell ref="F14:H14"/>
    <mergeCell ref="C19:E19"/>
    <mergeCell ref="B4:D4"/>
    <mergeCell ref="G5:H5"/>
    <mergeCell ref="C18:E18"/>
    <mergeCell ref="A65:D65"/>
    <mergeCell ref="A23:H23"/>
    <mergeCell ref="B7:D7"/>
    <mergeCell ref="A66:D75"/>
    <mergeCell ref="G4:H4"/>
    <mergeCell ref="F16:H16"/>
    <mergeCell ref="B3:D3"/>
    <mergeCell ref="B17:E17"/>
    <mergeCell ref="A20:B20"/>
    <mergeCell ref="F19:H19"/>
    <mergeCell ref="E65:H65"/>
    <mergeCell ref="A12:D12"/>
    <mergeCell ref="A19:B19"/>
    <mergeCell ref="A52:H52"/>
    <mergeCell ref="A13:H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5">
    <cfRule type="expression" priority="8" dxfId="16" stopIfTrue="1">
      <formula>LEFT($E$15,11)="OUTSTANDING"</formula>
    </cfRule>
    <cfRule type="expression" priority="9" dxfId="13">
      <formula>$E$15="ON FILE"</formula>
    </cfRule>
  </conditionalFormatting>
  <conditionalFormatting sqref="E16">
    <cfRule type="expression" priority="10" dxfId="16" stopIfTrue="1">
      <formula>LEFT($E$16,11)="OUTSTANDING"</formula>
    </cfRule>
    <cfRule type="expression" priority="11" dxfId="13">
      <formula>$E$16="ON FILE"</formula>
    </cfRule>
  </conditionalFormatting>
  <conditionalFormatting sqref="H24:H63">
    <cfRule type="expression" priority="12" dxfId="17" stopIfTrue="1">
      <formula>LEFT($H24,8)="COMPLETE"</formula>
    </cfRule>
    <cfRule type="expression" priority="13" dxfId="14" stopIfTrue="1">
      <formula>OR(LEFT($H24,7)="OVERDUE",LEFT($H24,4)="FAIL",LEFT($H24,7)="INVALID")</formula>
    </cfRule>
    <cfRule type="expression" priority="14" dxfId="18" stopIfTrue="1">
      <formula>LEFT($H24,4)="OPEN"</formula>
    </cfRule>
    <cfRule type="expression" priority="15" dxfId="19" stopIfTrue="1">
      <formula>LEFT($H24,3)="N/A"</formula>
    </cfRule>
  </conditionalFormatting>
  <conditionalFormatting sqref="A24:G63">
    <cfRule type="expression" priority="16" dxfId="20">
      <formula>LEFT($H24,3)="N/A"</formula>
    </cfRule>
  </conditionalFormatting>
  <conditionalFormatting sqref="D24:D63">
    <cfRule type="expression" priority="17" dxfId="14">
      <formula>LEFT($D24,4)="Fail"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F21 MH1437 30-Oct-26 LGK-KUL Class BC</oddHeader>
    <oddFooter>&amp;L&amp;"Arial,Bold"&amp;8 F21 MH1437 30-Oct-26 LGK-KUL Class BC&amp;C&amp;"Arial"&amp;8 Printed: ____________________&amp;R&amp;"Arial"&amp;8 F21  Page &amp;P of &amp;N</oddFooter>
    <evenHeader/>
    <evenFooter/>
    <firstHeader/>
    <firstFooter/>
  </headerFooter>
  <rowBreaks count="1" manualBreakCount="1">
    <brk id="21" min="0" max="16383" man="1"/>
  </rowBreaks>
</worksheet>
</file>

<file path=xl/worksheets/sheet30.xml><?xml version="1.0" encoding="utf-8"?>
<worksheet xmlns="http://schemas.openxmlformats.org/spreadsheetml/2006/main">
  <sheetPr>
    <tabColor rgb="001F3864"/>
    <outlinePr summaryBelow="1" summaryRight="1"/>
    <pageSetUpPr fitToPage="1"/>
  </sheetPr>
  <dimension ref="A1:H84"/>
  <sheetViews>
    <sheetView showGridLines="0" tabSelected="0" workbookViewId="0">
      <selection activeCell="A1" sqref="A1"/>
    </sheetView>
  </sheetViews>
  <sheetFormatPr baseColWidth="8" defaultRowHeight="15"/>
  <cols>
    <col width="18" customWidth="1" min="1" max="1"/>
    <col width="21" customWidth="1" min="2" max="2"/>
    <col width="12" customWidth="1" min="3" max="3"/>
    <col width="10" customWidth="1" min="4" max="4"/>
    <col width="31" customWidth="1" min="5" max="5"/>
    <col width="31" customWidth="1" min="6" max="6"/>
    <col width="11" customWidth="1" min="7" max="7"/>
    <col width="9" customWidth="1" min="8" max="8"/>
  </cols>
  <sheetData>
    <row r="1" ht="20" customHeight="1">
      <c r="A1" s="96">
        <f>"SKYTRAX 2026 CATERING READINESS CHECKLIST  |  F22  "&amp;Flights!$F$26&amp;"  "&amp;TEXT(Flights!$D$26,"DD-MMM-YY")&amp;" ("&amp;Flights!$E$26&amp;")  "&amp;Flights!$G$26&amp;" → "&amp;Flights!$H$26&amp;"  |  Class "&amp;Flights!$K$26</f>
        <v/>
      </c>
      <c r="B1" s="97" t="n"/>
      <c r="C1" s="97" t="n"/>
      <c r="D1" s="97" t="n"/>
      <c r="E1" s="97" t="n"/>
      <c r="F1" s="97" t="n"/>
      <c r="G1" s="97" t="n"/>
      <c r="H1" s="98" t="n"/>
    </row>
    <row r="2" ht="13" customHeight="1">
      <c r="A2" s="99" t="inlineStr">
        <is>
          <t>Flight / date</t>
        </is>
      </c>
      <c r="B2" s="100">
        <f>Flights!$F$26&amp;"   "&amp;TEXT(Flights!$D$26,"DD-MMM-YY")&amp;" ("&amp;Flights!$E$26&amp;")"</f>
        <v/>
      </c>
      <c r="C2" s="97" t="n"/>
      <c r="D2" s="98" t="n"/>
      <c r="E2" s="101" t="inlineStr">
        <is>
          <t>READINESS STATUS</t>
        </is>
      </c>
      <c r="F2" s="102">
        <f>Flights!$AT$26</f>
        <v/>
      </c>
      <c r="G2" s="97" t="n"/>
      <c r="H2" s="98" t="n"/>
    </row>
    <row r="3" ht="24" customHeight="1">
      <c r="A3" s="99" t="inlineStr">
        <is>
          <t>Sector / class / seat</t>
        </is>
      </c>
      <c r="B3" s="100">
        <f>Flights!$G$26&amp;" → "&amp;Flights!$H$26&amp;"   Class "&amp;Flights!$K$26&amp;"   Seat "&amp;Flights!$O$26</f>
        <v/>
      </c>
      <c r="C3" s="97" t="n"/>
      <c r="D3" s="98" t="n"/>
      <c r="E3" s="101" t="inlineStr">
        <is>
          <t>Checkpoint</t>
        </is>
      </c>
      <c r="F3" s="101" t="inlineStr">
        <is>
          <t>Due (local)</t>
        </is>
      </c>
      <c r="G3" s="103" t="inlineStr">
        <is>
          <t>% complete</t>
        </is>
      </c>
      <c r="H3" s="98" t="n"/>
    </row>
    <row r="4" ht="13" customHeight="1">
      <c r="A4" s="99" t="inlineStr">
        <is>
          <t>STD → STA (local)</t>
        </is>
      </c>
      <c r="B4" s="100">
        <f>IF(ISNUMBER(Flights!$I$26),TEXT(Flights!$I$26,"DD-MMM-YY HH:MM"),"")&amp;" "&amp;Flights!$G$26&amp;"  →  "&amp;IF(ISNUMBER(Flights!$J$26),TEXT(Flights!$J$26,"DD-MMM-YY HH:MM"),"")&amp;" "&amp;Flights!$H$26</f>
        <v/>
      </c>
      <c r="C4" s="97" t="n"/>
      <c r="D4" s="98" t="n"/>
      <c r="E4" s="99" t="inlineStr">
        <is>
          <t>T-7D – 7 days before departure</t>
        </is>
      </c>
      <c r="F4" s="104">
        <f>IF(ISNUMBER(Flights!$AG$26),TEXT(Flights!$AG$26,"DD-MMM-YY HH:MM"),"")&amp;" "&amp;Flights!$V$26</f>
        <v/>
      </c>
      <c r="G4" s="105">
        <f>Flights!$AJ$26</f>
        <v/>
      </c>
      <c r="H4" s="98" t="n"/>
    </row>
    <row r="5" ht="24" customHeight="1">
      <c r="A5" s="99" t="inlineStr">
        <is>
          <t>Fleet / aircraft ref</t>
        </is>
      </c>
      <c r="B5" s="100">
        <f>Flights!$L$26&amp;" – "&amp;Flights!$M$26</f>
        <v/>
      </c>
      <c r="C5" s="97" t="n"/>
      <c r="D5" s="98" t="n"/>
      <c r="E5" s="99" t="inlineStr">
        <is>
          <t>T-24H – production batch sensory</t>
        </is>
      </c>
      <c r="F5" s="104">
        <f>IF(ISNUMBER(Flights!$AH$26),TEXT(Flights!$AH$26,"DD-MMM-YY HH:MM"),"")&amp;" "&amp;Flights!$V$26</f>
        <v/>
      </c>
      <c r="G5" s="105">
        <f>Flights!$AK$26</f>
        <v/>
      </c>
      <c r="H5" s="98" t="n"/>
    </row>
    <row r="6" ht="13" customHeight="1">
      <c r="A6" s="99" t="inlineStr">
        <is>
          <t>Tail / Reg</t>
        </is>
      </c>
      <c r="B6" s="100">
        <f>IF(TRIM(Flights!$N$26)="","__________________",Flights!$N$26)</f>
        <v/>
      </c>
      <c r="C6" s="97" t="n"/>
      <c r="D6" s="98" t="n"/>
      <c r="E6" s="99" t="inlineStr">
        <is>
          <t>T-12H PREP – caterer prep only</t>
        </is>
      </c>
      <c r="F6" s="104">
        <f>IF(ISNUMBER(Flights!$AI$26),TEXT(Flights!$AI$26,"DD-MMM-YY HH:MM"),"")&amp;" "&amp;Flights!$V$26&amp;IF(Flights!$AI$26=Flights!$AH$26,"  (= T-24H due)","")</f>
        <v/>
      </c>
      <c r="G6" s="105">
        <f>Flights!$AL$26</f>
        <v/>
      </c>
      <c r="H6" s="98" t="n"/>
    </row>
    <row r="7" ht="13" customHeight="1">
      <c r="A7" s="99" t="inlineStr">
        <is>
          <t>Service type</t>
        </is>
      </c>
      <c r="B7" s="100">
        <f>Flights!$T$26</f>
        <v/>
      </c>
      <c r="C7" s="97" t="n"/>
      <c r="D7" s="98" t="n"/>
      <c r="E7" s="99" t="inlineStr">
        <is>
          <t>UPLIFT – on-board confirmation</t>
        </is>
      </c>
      <c r="F7" s="104">
        <f>"STD "&amp;IF(ISNUMBER(Flights!$I$26),TEXT(Flights!$I$26,"DD-MMM-YY HH:MM"),"")&amp;" "&amp;Flights!$G$26&amp;" (dep stn)"</f>
        <v/>
      </c>
      <c r="G7" s="105">
        <f>Flights!$AM$26</f>
        <v/>
      </c>
      <c r="H7" s="98" t="n"/>
    </row>
    <row r="8" ht="13" customHeight="1">
      <c r="A8" s="99" t="inlineStr">
        <is>
          <t>Meal uplift stn</t>
        </is>
      </c>
      <c r="B8" s="100">
        <f>Flights!$V$26&amp;"   (reference uplift stns: "&amp;Flights!$U$26&amp;")"</f>
        <v/>
      </c>
      <c r="C8" s="97" t="n"/>
      <c r="D8" s="98" t="n"/>
      <c r="E8" s="99" t="inlineStr">
        <is>
          <t>OVERALL (all checkpoints)</t>
        </is>
      </c>
      <c r="F8" s="106" t="inlineStr">
        <is>
          <t>–</t>
        </is>
      </c>
      <c r="G8" s="105">
        <f>Flights!$AN$26</f>
        <v/>
      </c>
      <c r="H8" s="98" t="n"/>
    </row>
    <row r="9" ht="13" customHeight="1">
      <c r="A9" s="99" t="inlineStr">
        <is>
          <t>Transit / remark</t>
        </is>
      </c>
      <c r="B9" s="100">
        <f>TRIM(Flights!$P$26&amp;"  "&amp;Flights!$Q$26)</f>
        <v/>
      </c>
      <c r="C9" s="97" t="n"/>
      <c r="D9" s="98" t="n"/>
      <c r="E9" s="99" t="inlineStr">
        <is>
          <t>Overdue / discrep. / invalid</t>
        </is>
      </c>
      <c r="F9" s="107">
        <f>Flights!$AP$26</f>
        <v/>
      </c>
      <c r="G9" s="107">
        <f>Flights!$AQ$26</f>
        <v/>
      </c>
      <c r="H9" s="107">
        <f>Flights!$AU$26</f>
        <v/>
      </c>
    </row>
    <row r="10" ht="13" customHeight="1">
      <c r="A10" s="99" t="inlineStr">
        <is>
          <t>Caterer</t>
        </is>
      </c>
      <c r="B10" s="100">
        <f>IF(TRIM(Flights!$X$26)="","__________________",Flights!$X$26)</f>
        <v/>
      </c>
      <c r="C10" s="97" t="n"/>
      <c r="D10" s="98" t="n"/>
      <c r="E10" s="99" t="inlineStr">
        <is>
          <t>Open reqd / clarif. / docs out</t>
        </is>
      </c>
      <c r="F10" s="107">
        <f>Flights!$AO$26</f>
        <v/>
      </c>
      <c r="G10" s="107">
        <f>Flights!$AS$26</f>
        <v/>
      </c>
      <c r="H10" s="107">
        <f>Flights!$AR$26</f>
        <v/>
      </c>
    </row>
    <row r="11" ht="13" customHeight="1">
      <c r="A11" s="99" t="inlineStr">
        <is>
          <t>Flight PIC</t>
        </is>
      </c>
      <c r="B11" s="100">
        <f>IF(TRIM(Flights!$Y$26)="","__________________",Flights!$Y$26)</f>
        <v/>
      </c>
      <c r="C11" s="97" t="n"/>
      <c r="D11" s="98" t="n"/>
      <c r="E11" s="99" t="inlineStr">
        <is>
          <t>Done / in scope | as of UTC</t>
        </is>
      </c>
      <c r="F11" s="107">
        <f>Flights!$AV$26&amp;" / "&amp;Flights!$AW$26</f>
        <v/>
      </c>
      <c r="G11" s="108">
        <f>IF(ISNUMBER(Settings!$B$6),TEXT(Settings!$B$6,"DD-MMM-YY HH:MM"),"")</f>
        <v/>
      </c>
      <c r="H11" s="98" t="n"/>
    </row>
    <row r="12" ht="34.5" customHeight="1">
      <c r="A12" s="109" t="inlineStr">
        <is>
          <t>T-12H PREP = preparation at the caterer only; loading is confirmed solely by the UPLIFT on-board check.  Record-state legend →</t>
        </is>
      </c>
      <c r="B12" s="97" t="n"/>
      <c r="C12" s="97" t="n"/>
      <c r="D12" s="98" t="n"/>
      <c r="E12" s="110" t="inlineStr">
        <is>
          <t>COMPLETE</t>
        </is>
      </c>
      <c r="F12" s="111" t="inlineStr">
        <is>
          <t>OPEN</t>
        </is>
      </c>
      <c r="G12" s="112" t="inlineStr">
        <is>
          <t>N/A</t>
        </is>
      </c>
      <c r="H12" s="113" t="inlineStr">
        <is>
          <t>OVERDUE / FAIL / INVALID</t>
        </is>
      </c>
    </row>
    <row r="13" ht="14" customHeight="1">
      <c r="A13" s="101" t="inlineStr">
        <is>
          <t>Attachments</t>
        </is>
      </c>
      <c r="B13" s="101" t="inlineStr">
        <is>
          <t>Doc no</t>
        </is>
      </c>
      <c r="C13" s="103" t="inlineStr">
        <is>
          <t>Rev / rev date</t>
        </is>
      </c>
      <c r="D13" s="98" t="n"/>
      <c r="E13" s="101" t="inlineStr">
        <is>
          <t>Status (from Documents sheet)</t>
        </is>
      </c>
      <c r="F13" s="103" t="inlineStr">
        <is>
          <t>Paper pack instruction / location</t>
        </is>
      </c>
      <c r="G13" s="97" t="n"/>
      <c r="H13" s="98" t="n"/>
    </row>
    <row r="14" ht="25" customHeight="1">
      <c r="A14" s="99" t="inlineStr">
        <is>
          <t>A1  Galley Loading Diagram</t>
        </is>
      </c>
      <c r="B14" s="114">
        <f>IF(Documents!$F$26="","",Documents!$F$26)</f>
        <v/>
      </c>
      <c r="C14" s="115">
        <f>IF(Documents!$G$26="","",Documents!$G$26)&amp;IF(ISNUMBER(Documents!$H$26),"  "&amp;TEXT(Documents!$H$26,"DD-MMM-YY"),"")</f>
        <v/>
      </c>
      <c r="D14" s="98" t="n"/>
      <c r="E14" s="116">
        <f>IF(Documents!$J$26="OUTSTANDING","OUTSTANDING – attach before T-7D (due "&amp;IF(ISNUMBER(Flights!$AG$26),TEXT(Flights!$AG$26,"DD-MMM-YY HH:MM"),"")&amp;" "&amp;Flights!$V$26&amp;")",IF(Documents!$J$26="","Status not recorded",Documents!$J$26))</f>
        <v/>
      </c>
      <c r="F14" s="117">
        <f>"Staple behind this sheet as page A1."&amp;IF(Documents!$I$26="",""," Location: "&amp;Documents!$I$26)</f>
        <v/>
      </c>
      <c r="G14" s="97" t="n"/>
      <c r="H14" s="98" t="n"/>
    </row>
    <row r="15" ht="25" customHeight="1">
      <c r="A15" s="99" t="inlineStr">
        <is>
          <t>A2  Menu Checklist</t>
        </is>
      </c>
      <c r="B15" s="114">
        <f>IF(Documents!$K$26="","",Documents!$K$26)</f>
        <v/>
      </c>
      <c r="C15" s="115">
        <f>IF(Documents!$L$26="","",Documents!$L$26)&amp;IF(ISNUMBER(Documents!$M$26),"  "&amp;TEXT(Documents!$M$26,"DD-MMM-YY"),"")</f>
        <v/>
      </c>
      <c r="D15" s="98" t="n"/>
      <c r="E15" s="116">
        <f>IF(Documents!$O$26="OUTSTANDING","OUTSTANDING – attach before T-7D (due "&amp;IF(ISNUMBER(Flights!$AG$26),TEXT(Flights!$AG$26,"DD-MMM-YY HH:MM"),"")&amp;" "&amp;Flights!$V$26&amp;")",IF(Documents!$O$26="","Status not recorded",Documents!$O$26))</f>
        <v/>
      </c>
      <c r="F15" s="117">
        <f>"Staple behind this sheet as page A2."&amp;IF(Documents!$N$26="",""," Location: "&amp;Documents!$N$26)</f>
        <v/>
      </c>
      <c r="G15" s="97" t="n"/>
      <c r="H15" s="98" t="n"/>
    </row>
    <row r="16" ht="33" customHeight="1">
      <c r="A16" s="99" t="inlineStr">
        <is>
          <t>Document notes</t>
        </is>
      </c>
      <c r="B16" s="118">
        <f>IF(Documents!$Q$26="","",Documents!$Q$26)</f>
        <v/>
      </c>
      <c r="C16" s="97" t="n"/>
      <c r="D16" s="97" t="n"/>
      <c r="E16" s="98" t="n"/>
      <c r="F16" s="119" t="inlineStr">
        <is>
          <t>Excel only: Insert &gt; Picture into the area after the checklist.</t>
        </is>
      </c>
      <c r="G16" s="97" t="n"/>
      <c r="H16" s="98" t="n"/>
    </row>
    <row r="17" ht="14" customHeight="1">
      <c r="A17" s="120" t="inlineStr">
        <is>
          <t>SIGN-OFF – Flight PIC</t>
        </is>
      </c>
      <c r="B17" s="98" t="n"/>
      <c r="C17" s="120" t="inlineStr">
        <is>
          <t>SIGN-OFF – Verifier</t>
        </is>
      </c>
      <c r="D17" s="97" t="n"/>
      <c r="E17" s="98" t="n"/>
      <c r="F17" s="120" t="inlineStr">
        <is>
          <t>SIGN-OFF – Station catering officer</t>
        </is>
      </c>
      <c r="G17" s="97" t="n"/>
      <c r="H17" s="98" t="n"/>
    </row>
    <row r="18" ht="18" customHeight="1">
      <c r="A18" s="100">
        <f>"Name: "&amp;IF(TRIM(Flights!$Y$26)="","__________________",Flights!$Y$26)</f>
        <v/>
      </c>
      <c r="B18" s="98" t="n"/>
      <c r="C18" s="100">
        <f>"Name: __________________"</f>
        <v/>
      </c>
      <c r="D18" s="97" t="n"/>
      <c r="E18" s="98" t="n"/>
      <c r="F18" s="100">
        <f>"Name: __________________"&amp;"   Station: "&amp;Flights!$V$26</f>
        <v/>
      </c>
      <c r="G18" s="97" t="n"/>
      <c r="H18" s="98" t="n"/>
    </row>
    <row r="19" ht="30" customHeight="1">
      <c r="A19" s="121" t="inlineStr">
        <is>
          <t>Signature / date-time:</t>
        </is>
      </c>
      <c r="B19" s="98" t="n"/>
      <c r="C19" s="121" t="inlineStr">
        <is>
          <t>Signature / date-time:</t>
        </is>
      </c>
      <c r="D19" s="97" t="n"/>
      <c r="E19" s="98" t="n"/>
      <c r="F19" s="121" t="inlineStr">
        <is>
          <t>Signature / date-time:</t>
        </is>
      </c>
      <c r="G19" s="97" t="n"/>
      <c r="H19" s="98" t="n"/>
    </row>
    <row r="20" ht="14" customHeight="1">
      <c r="A20" s="122" t="inlineStr">
        <is>
          <t>Cover sheet – checklist starts on page 2 (staple attachments A1 / A2 behind this pack).</t>
        </is>
      </c>
    </row>
    <row r="21" ht="34.5" customHeight="1">
      <c r="A21" s="101" t="inlineStr">
        <is>
          <t>Check ID / item</t>
        </is>
      </c>
      <c r="B21" s="101" t="inlineStr">
        <is>
          <t>Requirement / expected</t>
        </is>
      </c>
      <c r="C21" s="101" t="inlineStr">
        <is>
          <t>Applic. / due (local)</t>
        </is>
      </c>
      <c r="D21" s="101" t="inlineStr">
        <is>
          <t>Status (CA)</t>
        </is>
      </c>
      <c r="E21" s="101" t="inlineStr">
        <is>
          <t>Result  |  batch  |  exp / act qty</t>
        </is>
      </c>
      <c r="F21" s="101" t="inlineStr">
        <is>
          <t>Evidence  |  corrective action</t>
        </is>
      </c>
      <c r="G21" s="101" t="inlineStr">
        <is>
          <t>Done (local) / verifier</t>
        </is>
      </c>
      <c r="H21" s="101" t="inlineStr">
        <is>
          <t>Record state</t>
        </is>
      </c>
    </row>
    <row r="22" ht="26" customHeight="1">
      <c r="A22" s="123">
        <f>"T-7D — 7 days before departure  |  Due "&amp;IF(ISNUMBER(Flights!$AG$26),TEXT(Flights!$AG$26,"DD-MMM-YY HH:MM"),"")&amp;" "&amp;Flights!$V$26&amp;" (meal uplift stn)"&amp;" (rows with another due show their own)  |  Complete "&amp;IF(ISNUMBER(Flights!$AJ$26),TEXT(Flights!$AJ$26,"0%"),Flights!$AJ$26)&amp;"  |  9 lines"</f>
        <v/>
      </c>
      <c r="B22" s="97" t="n"/>
      <c r="C22" s="97" t="n"/>
      <c r="D22" s="97" t="n"/>
      <c r="E22" s="97" t="n"/>
      <c r="F22" s="97" t="n"/>
      <c r="G22" s="97" t="n"/>
      <c r="H22" s="98" t="n"/>
    </row>
    <row r="23" ht="81" customHeight="1">
      <c r="A23" s="124">
        <f>Checks!$A$702&amp;CHAR(10)&amp;IF(Checks!$I$702="","",Checks!$I$702&amp;": ")&amp;Checks!$J$702</f>
        <v/>
      </c>
      <c r="B23" s="124">
        <f>Checks!$K$702&amp;IF(Checks!$O$702="","",IF(Checks!$K$702="","",CHAR(10))&amp;"Note: "&amp;Checks!$O$702)</f>
        <v/>
      </c>
      <c r="C23" s="124">
        <f>Checks!$N$702&amp;CHAR(10)&amp;IF(ISNUMBER(Checks!$R$702),TEXT(Checks!$R$702,"DD-MMM-YY HH:MM"),"")&amp;" "&amp;Checks!$P$702</f>
        <v/>
      </c>
      <c r="D23" s="124">
        <f>IF(Checks!$U$702="","",Checks!$U$702)&amp;IF(Checks!$AB$702="","",CHAR(10)&amp;"CA: "&amp;Checks!$AB$702)</f>
        <v/>
      </c>
      <c r="E23" s="124">
        <f>IF(Checks!$V$702="","",Checks!$V$702)&amp;IF(Checks!$AC$702="","",IF(Checks!$V$702="","",CHAR(10))&amp;"N/A just.: "&amp;Checks!$AC$702)&amp;IF(Checks!$W$702="","",CHAR(10)&amp;"Batch: "&amp;Checks!$W$702)&amp;IF(AND(Checks!$X$702="",Checks!$Y$702=""),"",CHAR(10)&amp;"Exp: "&amp;Checks!$X$702&amp;"  /  Act: "&amp;Checks!$Y$702)</f>
        <v/>
      </c>
      <c r="F23" s="124">
        <f>IF(Checks!$Z$702="","","Evidence: "&amp;Checks!$Z$702)&amp;IF(Checks!$AA$702="","",IF(Checks!$Z$702="","",CHAR(10))&amp;"CA: "&amp;Checks!$AA$702)</f>
        <v/>
      </c>
      <c r="G23" s="124">
        <f>IF(ISNUMBER(Checks!$AD$702),TEXT(Checks!$AD$702,"DD-MMM-YY HH:MM")&amp;" "&amp;Checks!$P$702,"")&amp;IF(Checks!$AE$702="","",CHAR(10)&amp;Checks!$AE$702)</f>
        <v/>
      </c>
      <c r="H23" s="125">
        <f>IF(Checks!$AH$702="","",Checks!$AH$702)</f>
        <v/>
      </c>
    </row>
    <row r="24" ht="81" customHeight="1">
      <c r="A24" s="124">
        <f>Checks!$A$703&amp;CHAR(10)&amp;IF(Checks!$I$703="","",Checks!$I$703&amp;": ")&amp;Checks!$J$703</f>
        <v/>
      </c>
      <c r="B24" s="124">
        <f>Checks!$K$703&amp;IF(Checks!$O$703="","",IF(Checks!$K$703="","",CHAR(10))&amp;"Note: "&amp;Checks!$O$703)</f>
        <v/>
      </c>
      <c r="C24" s="124">
        <f>Checks!$N$703&amp;CHAR(10)&amp;IF(ISNUMBER(Checks!$R$703),TEXT(Checks!$R$703,"DD-MMM-YY HH:MM"),"")&amp;" "&amp;Checks!$P$703</f>
        <v/>
      </c>
      <c r="D24" s="124">
        <f>IF(Checks!$U$703="","",Checks!$U$703)&amp;IF(Checks!$AB$703="","",CHAR(10)&amp;"CA: "&amp;Checks!$AB$703)</f>
        <v/>
      </c>
      <c r="E24" s="124">
        <f>IF(Checks!$V$703="","",Checks!$V$703)&amp;IF(Checks!$AC$703="","",IF(Checks!$V$703="","",CHAR(10))&amp;"N/A just.: "&amp;Checks!$AC$703)&amp;IF(Checks!$W$703="","",CHAR(10)&amp;"Batch: "&amp;Checks!$W$703)&amp;IF(AND(Checks!$X$703="",Checks!$Y$703=""),"",CHAR(10)&amp;"Exp: "&amp;Checks!$X$703&amp;"  /  Act: "&amp;Checks!$Y$703)</f>
        <v/>
      </c>
      <c r="F24" s="124">
        <f>IF(Checks!$Z$703="","","Evidence: "&amp;Checks!$Z$703)&amp;IF(Checks!$AA$703="","",IF(Checks!$Z$703="","",CHAR(10))&amp;"CA: "&amp;Checks!$AA$703)</f>
        <v/>
      </c>
      <c r="G24" s="124">
        <f>IF(ISNUMBER(Checks!$AD$703),TEXT(Checks!$AD$703,"DD-MMM-YY HH:MM")&amp;" "&amp;Checks!$P$703,"")&amp;IF(Checks!$AE$703="","",CHAR(10)&amp;Checks!$AE$703)</f>
        <v/>
      </c>
      <c r="H24" s="125">
        <f>IF(Checks!$AH$703="","",Checks!$AH$703)</f>
        <v/>
      </c>
    </row>
    <row r="25" ht="92" customHeight="1">
      <c r="A25" s="124">
        <f>Checks!$A$704&amp;CHAR(10)&amp;IF(Checks!$I$704="","",Checks!$I$704&amp;": ")&amp;Checks!$J$704</f>
        <v/>
      </c>
      <c r="B25" s="124">
        <f>Checks!$K$704&amp;IF(Checks!$O$704="","",IF(Checks!$K$704="","",CHAR(10))&amp;"Note: "&amp;Checks!$O$704)</f>
        <v/>
      </c>
      <c r="C25" s="124">
        <f>Checks!$N$704&amp;CHAR(10)&amp;IF(ISNUMBER(Checks!$R$704),TEXT(Checks!$R$704,"DD-MMM-YY HH:MM"),"")&amp;" "&amp;Checks!$P$704</f>
        <v/>
      </c>
      <c r="D25" s="124">
        <f>IF(Checks!$U$704="","",Checks!$U$704)&amp;IF(Checks!$AB$704="","",CHAR(10)&amp;"CA: "&amp;Checks!$AB$704)</f>
        <v/>
      </c>
      <c r="E25" s="124">
        <f>IF(Checks!$V$704="","",Checks!$V$704)&amp;IF(Checks!$AC$704="","",IF(Checks!$V$704="","",CHAR(10))&amp;"N/A just.: "&amp;Checks!$AC$704)&amp;IF(Checks!$W$704="","",CHAR(10)&amp;"Batch: "&amp;Checks!$W$704)&amp;IF(AND(Checks!$X$704="",Checks!$Y$704=""),"",CHAR(10)&amp;"Exp: "&amp;Checks!$X$704&amp;"  /  Act: "&amp;Checks!$Y$704)</f>
        <v/>
      </c>
      <c r="F25" s="124">
        <f>IF(Checks!$Z$704="","","Evidence: "&amp;Checks!$Z$704)&amp;IF(Checks!$AA$704="","",IF(Checks!$Z$704="","",CHAR(10))&amp;"CA: "&amp;Checks!$AA$704)</f>
        <v/>
      </c>
      <c r="G25" s="124">
        <f>IF(ISNUMBER(Checks!$AD$704),TEXT(Checks!$AD$704,"DD-MMM-YY HH:MM")&amp;" "&amp;Checks!$P$704,"")&amp;IF(Checks!$AE$704="","",CHAR(10)&amp;Checks!$AE$704)</f>
        <v/>
      </c>
      <c r="H25" s="125">
        <f>IF(Checks!$AH$704="","",Checks!$AH$704)</f>
        <v/>
      </c>
    </row>
    <row r="26" ht="81" customHeight="1">
      <c r="A26" s="124">
        <f>Checks!$A$705&amp;CHAR(10)&amp;IF(Checks!$I$705="","",Checks!$I$705&amp;": ")&amp;Checks!$J$705</f>
        <v/>
      </c>
      <c r="B26" s="124">
        <f>Checks!$K$705&amp;IF(Checks!$O$705="","",IF(Checks!$K$705="","",CHAR(10))&amp;"Note: "&amp;Checks!$O$705)</f>
        <v/>
      </c>
      <c r="C26" s="124">
        <f>Checks!$N$705&amp;CHAR(10)&amp;IF(ISNUMBER(Checks!$R$705),TEXT(Checks!$R$705,"DD-MMM-YY HH:MM"),"")&amp;" "&amp;Checks!$P$705</f>
        <v/>
      </c>
      <c r="D26" s="124">
        <f>IF(Checks!$U$705="","",Checks!$U$705)&amp;IF(Checks!$AB$705="","",CHAR(10)&amp;"CA: "&amp;Checks!$AB$705)</f>
        <v/>
      </c>
      <c r="E26" s="124">
        <f>IF(Checks!$V$705="","",Checks!$V$705)&amp;IF(Checks!$AC$705="","",IF(Checks!$V$705="","",CHAR(10))&amp;"N/A just.: "&amp;Checks!$AC$705)&amp;IF(Checks!$W$705="","",CHAR(10)&amp;"Batch: "&amp;Checks!$W$705)&amp;IF(AND(Checks!$X$705="",Checks!$Y$705=""),"",CHAR(10)&amp;"Exp: "&amp;Checks!$X$705&amp;"  /  Act: "&amp;Checks!$Y$705)</f>
        <v/>
      </c>
      <c r="F26" s="124">
        <f>IF(Checks!$Z$705="","","Evidence: "&amp;Checks!$Z$705)&amp;IF(Checks!$AA$705="","",IF(Checks!$Z$705="","",CHAR(10))&amp;"CA: "&amp;Checks!$AA$705)</f>
        <v/>
      </c>
      <c r="G26" s="124">
        <f>IF(ISNUMBER(Checks!$AD$705),TEXT(Checks!$AD$705,"DD-MMM-YY HH:MM")&amp;" "&amp;Checks!$P$705,"")&amp;IF(Checks!$AE$705="","",CHAR(10)&amp;Checks!$AE$705)</f>
        <v/>
      </c>
      <c r="H26" s="125">
        <f>IF(Checks!$AH$705="","",Checks!$AH$705)</f>
        <v/>
      </c>
    </row>
    <row r="27" ht="81" customHeight="1">
      <c r="A27" s="124">
        <f>Checks!$A$706&amp;CHAR(10)&amp;IF(Checks!$I$706="","",Checks!$I$706&amp;": ")&amp;Checks!$J$706</f>
        <v/>
      </c>
      <c r="B27" s="124">
        <f>Checks!$K$706&amp;IF(Checks!$O$706="","",IF(Checks!$K$706="","",CHAR(10))&amp;"Note: "&amp;Checks!$O$706)</f>
        <v/>
      </c>
      <c r="C27" s="124">
        <f>Checks!$N$706&amp;CHAR(10)&amp;IF(ISNUMBER(Checks!$R$706),TEXT(Checks!$R$706,"DD-MMM-YY HH:MM"),"")&amp;" "&amp;Checks!$P$706</f>
        <v/>
      </c>
      <c r="D27" s="124">
        <f>IF(Checks!$U$706="","",Checks!$U$706)&amp;IF(Checks!$AB$706="","",CHAR(10)&amp;"CA: "&amp;Checks!$AB$706)</f>
        <v/>
      </c>
      <c r="E27" s="124">
        <f>IF(Checks!$V$706="","",Checks!$V$706)&amp;IF(Checks!$AC$706="","",IF(Checks!$V$706="","",CHAR(10))&amp;"N/A just.: "&amp;Checks!$AC$706)&amp;IF(Checks!$W$706="","",CHAR(10)&amp;"Batch: "&amp;Checks!$W$706)&amp;IF(AND(Checks!$X$706="",Checks!$Y$706=""),"",CHAR(10)&amp;"Exp: "&amp;Checks!$X$706&amp;"  /  Act: "&amp;Checks!$Y$706)</f>
        <v/>
      </c>
      <c r="F27" s="124">
        <f>IF(Checks!$Z$706="","","Evidence: "&amp;Checks!$Z$706)&amp;IF(Checks!$AA$706="","",IF(Checks!$Z$706="","",CHAR(10))&amp;"CA: "&amp;Checks!$AA$706)</f>
        <v/>
      </c>
      <c r="G27" s="124">
        <f>IF(ISNUMBER(Checks!$AD$706),TEXT(Checks!$AD$706,"DD-MMM-YY HH:MM")&amp;" "&amp;Checks!$P$706,"")&amp;IF(Checks!$AE$706="","",CHAR(10)&amp;Checks!$AE$706)</f>
        <v/>
      </c>
      <c r="H27" s="125">
        <f>IF(Checks!$AH$706="","",Checks!$AH$706)</f>
        <v/>
      </c>
    </row>
    <row r="28" ht="81" customHeight="1">
      <c r="A28" s="124">
        <f>Checks!$A$707&amp;CHAR(10)&amp;IF(Checks!$I$707="","",Checks!$I$707&amp;": ")&amp;Checks!$J$707</f>
        <v/>
      </c>
      <c r="B28" s="124">
        <f>Checks!$K$707&amp;IF(Checks!$O$707="","",IF(Checks!$K$707="","",CHAR(10))&amp;"Note: "&amp;Checks!$O$707)</f>
        <v/>
      </c>
      <c r="C28" s="124">
        <f>Checks!$N$707&amp;CHAR(10)&amp;IF(ISNUMBER(Checks!$R$707),TEXT(Checks!$R$707,"DD-MMM-YY HH:MM"),"")&amp;" "&amp;Checks!$P$707</f>
        <v/>
      </c>
      <c r="D28" s="124">
        <f>IF(Checks!$U$707="","",Checks!$U$707)&amp;IF(Checks!$AB$707="","",CHAR(10)&amp;"CA: "&amp;Checks!$AB$707)</f>
        <v/>
      </c>
      <c r="E28" s="124">
        <f>IF(Checks!$V$707="","",Checks!$V$707)&amp;IF(Checks!$AC$707="","",IF(Checks!$V$707="","",CHAR(10))&amp;"N/A just.: "&amp;Checks!$AC$707)&amp;IF(Checks!$W$707="","",CHAR(10)&amp;"Batch: "&amp;Checks!$W$707)&amp;IF(AND(Checks!$X$707="",Checks!$Y$707=""),"",CHAR(10)&amp;"Exp: "&amp;Checks!$X$707&amp;"  /  Act: "&amp;Checks!$Y$707)</f>
        <v/>
      </c>
      <c r="F28" s="124">
        <f>IF(Checks!$Z$707="","","Evidence: "&amp;Checks!$Z$707)&amp;IF(Checks!$AA$707="","",IF(Checks!$Z$707="","",CHAR(10))&amp;"CA: "&amp;Checks!$AA$707)</f>
        <v/>
      </c>
      <c r="G28" s="124">
        <f>IF(ISNUMBER(Checks!$AD$707),TEXT(Checks!$AD$707,"DD-MMM-YY HH:MM")&amp;" "&amp;Checks!$P$707,"")&amp;IF(Checks!$AE$707="","",CHAR(10)&amp;Checks!$AE$707)</f>
        <v/>
      </c>
      <c r="H28" s="125">
        <f>IF(Checks!$AH$707="","",Checks!$AH$707)</f>
        <v/>
      </c>
    </row>
    <row r="29" ht="81" customHeight="1">
      <c r="A29" s="124">
        <f>Checks!$A$708&amp;CHAR(10)&amp;IF(Checks!$I$708="","",Checks!$I$708&amp;": ")&amp;Checks!$J$708</f>
        <v/>
      </c>
      <c r="B29" s="124">
        <f>Checks!$K$708&amp;IF(Checks!$O$708="","",IF(Checks!$K$708="","",CHAR(10))&amp;"Note: "&amp;Checks!$O$708)</f>
        <v/>
      </c>
      <c r="C29" s="124">
        <f>Checks!$N$708&amp;CHAR(10)&amp;IF(ISNUMBER(Checks!$R$708),TEXT(Checks!$R$708,"DD-MMM-YY HH:MM"),"")&amp;" "&amp;Checks!$P$708</f>
        <v/>
      </c>
      <c r="D29" s="124">
        <f>IF(Checks!$U$708="","",Checks!$U$708)&amp;IF(Checks!$AB$708="","",CHAR(10)&amp;"CA: "&amp;Checks!$AB$708)</f>
        <v/>
      </c>
      <c r="E29" s="124">
        <f>IF(Checks!$V$708="","",Checks!$V$708)&amp;IF(Checks!$AC$708="","",IF(Checks!$V$708="","",CHAR(10))&amp;"N/A just.: "&amp;Checks!$AC$708)&amp;IF(Checks!$W$708="","",CHAR(10)&amp;"Batch: "&amp;Checks!$W$708)&amp;IF(AND(Checks!$X$708="",Checks!$Y$708=""),"",CHAR(10)&amp;"Exp: "&amp;Checks!$X$708&amp;"  /  Act: "&amp;Checks!$Y$708)</f>
        <v/>
      </c>
      <c r="F29" s="124">
        <f>IF(Checks!$Z$708="","","Evidence: "&amp;Checks!$Z$708)&amp;IF(Checks!$AA$708="","",IF(Checks!$Z$708="","",CHAR(10))&amp;"CA: "&amp;Checks!$AA$708)</f>
        <v/>
      </c>
      <c r="G29" s="124">
        <f>IF(ISNUMBER(Checks!$AD$708),TEXT(Checks!$AD$708,"DD-MMM-YY HH:MM")&amp;" "&amp;Checks!$P$708,"")&amp;IF(Checks!$AE$708="","",CHAR(10)&amp;Checks!$AE$708)</f>
        <v/>
      </c>
      <c r="H29" s="125">
        <f>IF(Checks!$AH$708="","",Checks!$AH$708)</f>
        <v/>
      </c>
    </row>
    <row r="30" ht="81" customHeight="1">
      <c r="A30" s="124">
        <f>Checks!$A$709&amp;CHAR(10)&amp;IF(Checks!$I$709="","",Checks!$I$709&amp;": ")&amp;Checks!$J$709</f>
        <v/>
      </c>
      <c r="B30" s="124">
        <f>Checks!$K$709&amp;IF(Checks!$O$709="","",IF(Checks!$K$709="","",CHAR(10))&amp;"Note: "&amp;Checks!$O$709)</f>
        <v/>
      </c>
      <c r="C30" s="124">
        <f>Checks!$N$709&amp;CHAR(10)&amp;IF(ISNUMBER(Checks!$R$709),TEXT(Checks!$R$709,"DD-MMM-YY HH:MM"),"")&amp;" "&amp;Checks!$P$709</f>
        <v/>
      </c>
      <c r="D30" s="124">
        <f>IF(Checks!$U$709="","",Checks!$U$709)&amp;IF(Checks!$AB$709="","",CHAR(10)&amp;"CA: "&amp;Checks!$AB$709)</f>
        <v/>
      </c>
      <c r="E30" s="124">
        <f>IF(Checks!$V$709="","",Checks!$V$709)&amp;IF(Checks!$AC$709="","",IF(Checks!$V$709="","",CHAR(10))&amp;"N/A just.: "&amp;Checks!$AC$709)&amp;IF(Checks!$W$709="","",CHAR(10)&amp;"Batch: "&amp;Checks!$W$709)&amp;IF(AND(Checks!$X$709="",Checks!$Y$709=""),"",CHAR(10)&amp;"Exp: "&amp;Checks!$X$709&amp;"  /  Act: "&amp;Checks!$Y$709)</f>
        <v/>
      </c>
      <c r="F30" s="124">
        <f>IF(Checks!$Z$709="","","Evidence: "&amp;Checks!$Z$709)&amp;IF(Checks!$AA$709="","",IF(Checks!$Z$709="","",CHAR(10))&amp;"CA: "&amp;Checks!$AA$709)</f>
        <v/>
      </c>
      <c r="G30" s="124">
        <f>IF(ISNUMBER(Checks!$AD$709),TEXT(Checks!$AD$709,"DD-MMM-YY HH:MM")&amp;" "&amp;Checks!$P$709,"")&amp;IF(Checks!$AE$709="","",CHAR(10)&amp;Checks!$AE$709)</f>
        <v/>
      </c>
      <c r="H30" s="125">
        <f>IF(Checks!$AH$709="","",Checks!$AH$709)</f>
        <v/>
      </c>
    </row>
    <row r="31" ht="81" customHeight="1">
      <c r="A31" s="124">
        <f>Checks!$A$710&amp;CHAR(10)&amp;IF(Checks!$I$710="","",Checks!$I$710&amp;": ")&amp;Checks!$J$710</f>
        <v/>
      </c>
      <c r="B31" s="124">
        <f>Checks!$K$710&amp;IF(Checks!$O$710="","",IF(Checks!$K$710="","",CHAR(10))&amp;"Note: "&amp;Checks!$O$710)</f>
        <v/>
      </c>
      <c r="C31" s="124">
        <f>Checks!$N$710&amp;CHAR(10)&amp;IF(ISNUMBER(Checks!$R$710),TEXT(Checks!$R$710,"DD-MMM-YY HH:MM"),"")&amp;" "&amp;Checks!$P$710</f>
        <v/>
      </c>
      <c r="D31" s="124">
        <f>IF(Checks!$U$710="","",Checks!$U$710)&amp;IF(Checks!$AB$710="","",CHAR(10)&amp;"CA: "&amp;Checks!$AB$710)</f>
        <v/>
      </c>
      <c r="E31" s="124">
        <f>IF(Checks!$V$710="","",Checks!$V$710)&amp;IF(Checks!$AC$710="","",IF(Checks!$V$710="","",CHAR(10))&amp;"N/A just.: "&amp;Checks!$AC$710)&amp;IF(Checks!$W$710="","",CHAR(10)&amp;"Batch: "&amp;Checks!$W$710)&amp;IF(AND(Checks!$X$710="",Checks!$Y$710=""),"",CHAR(10)&amp;"Exp: "&amp;Checks!$X$710&amp;"  /  Act: "&amp;Checks!$Y$710)</f>
        <v/>
      </c>
      <c r="F31" s="124">
        <f>IF(Checks!$Z$710="","","Evidence: "&amp;Checks!$Z$710)&amp;IF(Checks!$AA$710="","",IF(Checks!$Z$710="","",CHAR(10))&amp;"CA: "&amp;Checks!$AA$710)</f>
        <v/>
      </c>
      <c r="G31" s="124">
        <f>IF(ISNUMBER(Checks!$AD$710),TEXT(Checks!$AD$710,"DD-MMM-YY HH:MM")&amp;" "&amp;Checks!$P$710,"")&amp;IF(Checks!$AE$710="","",CHAR(10)&amp;Checks!$AE$710)</f>
        <v/>
      </c>
      <c r="H31" s="125">
        <f>IF(Checks!$AH$710="","",Checks!$AH$710)</f>
        <v/>
      </c>
    </row>
    <row r="32" ht="26" customHeight="1">
      <c r="A32" s="123">
        <f>"T-24H — Production batch sensory  |  Due "&amp;IF(ISNUMBER(Flights!$AH$26),TEXT(Flights!$AH$26,"DD-MMM-YY HH:MM"),"")&amp;" "&amp;Flights!$V$26&amp;" (meal uplift stn)"&amp;" (rows with another due show their own)  |  Complete "&amp;IF(ISNUMBER(Flights!$AK$26),TEXT(Flights!$AK$26,"0%"),Flights!$AK$26)&amp;"  |  1 lines"</f>
        <v/>
      </c>
      <c r="B32" s="97" t="n"/>
      <c r="C32" s="97" t="n"/>
      <c r="D32" s="97" t="n"/>
      <c r="E32" s="97" t="n"/>
      <c r="F32" s="97" t="n"/>
      <c r="G32" s="97" t="n"/>
      <c r="H32" s="98" t="n"/>
    </row>
    <row r="33" ht="81" customHeight="1">
      <c r="A33" s="124">
        <f>Checks!$A$711&amp;CHAR(10)&amp;IF(Checks!$I$711="","",Checks!$I$711&amp;": ")&amp;Checks!$J$711</f>
        <v/>
      </c>
      <c r="B33" s="124">
        <f>Checks!$K$711&amp;IF(Checks!$O$711="","",IF(Checks!$K$711="","",CHAR(10))&amp;"Note: "&amp;Checks!$O$711)</f>
        <v/>
      </c>
      <c r="C33" s="124">
        <f>Checks!$N$711&amp;CHAR(10)&amp;IF(ISNUMBER(Checks!$R$711),TEXT(Checks!$R$711,"DD-MMM-YY HH:MM"),"")&amp;" "&amp;Checks!$P$711</f>
        <v/>
      </c>
      <c r="D33" s="124">
        <f>IF(Checks!$U$711="","",Checks!$U$711)&amp;IF(Checks!$AB$711="","",CHAR(10)&amp;"CA: "&amp;Checks!$AB$711)</f>
        <v/>
      </c>
      <c r="E33" s="124">
        <f>IF(Checks!$V$711="","",Checks!$V$711)&amp;IF(Checks!$AC$711="","",IF(Checks!$V$711="","",CHAR(10))&amp;"N/A just.: "&amp;Checks!$AC$711)&amp;IF(Checks!$W$711="","",CHAR(10)&amp;"Batch: "&amp;Checks!$W$711)&amp;IF(AND(Checks!$X$711="",Checks!$Y$711=""),"",CHAR(10)&amp;"Exp: "&amp;Checks!$X$711&amp;"  /  Act: "&amp;Checks!$Y$711)</f>
        <v/>
      </c>
      <c r="F33" s="124">
        <f>IF(Checks!$Z$711="","","Evidence: "&amp;Checks!$Z$711)&amp;IF(Checks!$AA$711="","",IF(Checks!$Z$711="","",CHAR(10))&amp;"CA: "&amp;Checks!$AA$711)</f>
        <v/>
      </c>
      <c r="G33" s="124">
        <f>IF(ISNUMBER(Checks!$AD$711),TEXT(Checks!$AD$711,"DD-MMM-YY HH:MM")&amp;" "&amp;Checks!$P$711,"")&amp;IF(Checks!$AE$711="","",CHAR(10)&amp;Checks!$AE$711)</f>
        <v/>
      </c>
      <c r="H33" s="125">
        <f>IF(Checks!$AH$711="","",Checks!$AH$711)</f>
        <v/>
      </c>
    </row>
    <row r="34" ht="26" customHeight="1">
      <c r="A34" s="123">
        <f>"T-12H PREP — Preparation check at caterer (does NOT confirm loading)  |  Due "&amp;IF(ISNUMBER(Flights!$AI$26),TEXT(Flights!$AI$26,"DD-MMM-YY HH:MM"),"")&amp;" "&amp;Flights!$V$26&amp;" (meal uplift stn)"&amp;" (rows with another due show their own)  |  Complete "&amp;IF(ISNUMBER(Flights!$AL$26),TEXT(Flights!$AL$26,"0%"),Flights!$AL$26)&amp;"  |  21 lines"</f>
        <v/>
      </c>
      <c r="B34" s="97" t="n"/>
      <c r="C34" s="97" t="n"/>
      <c r="D34" s="97" t="n"/>
      <c r="E34" s="97" t="n"/>
      <c r="F34" s="97" t="n"/>
      <c r="G34" s="97" t="n"/>
      <c r="H34" s="98" t="n"/>
    </row>
    <row r="35" ht="81" customHeight="1">
      <c r="A35" s="124">
        <f>Checks!$A$712&amp;CHAR(10)&amp;IF(Checks!$I$712="","",Checks!$I$712&amp;": ")&amp;Checks!$J$712</f>
        <v/>
      </c>
      <c r="B35" s="124">
        <f>Checks!$K$712&amp;IF(Checks!$O$712="","",IF(Checks!$K$712="","",CHAR(10))&amp;"Note: "&amp;Checks!$O$712)</f>
        <v/>
      </c>
      <c r="C35" s="124">
        <f>Checks!$N$712&amp;CHAR(10)&amp;IF(ISNUMBER(Checks!$R$712),TEXT(Checks!$R$712,"DD-MMM-YY HH:MM"),"")&amp;" "&amp;Checks!$P$712</f>
        <v/>
      </c>
      <c r="D35" s="124">
        <f>IF(Checks!$U$712="","",Checks!$U$712)&amp;IF(Checks!$AB$712="","",CHAR(10)&amp;"CA: "&amp;Checks!$AB$712)</f>
        <v/>
      </c>
      <c r="E35" s="124">
        <f>IF(Checks!$V$712="","",Checks!$V$712)&amp;IF(Checks!$AC$712="","",IF(Checks!$V$712="","",CHAR(10))&amp;"N/A just.: "&amp;Checks!$AC$712)&amp;IF(Checks!$W$712="","",CHAR(10)&amp;"Batch: "&amp;Checks!$W$712)&amp;IF(AND(Checks!$X$712="",Checks!$Y$712=""),"",CHAR(10)&amp;"Exp: "&amp;Checks!$X$712&amp;"  /  Act: "&amp;Checks!$Y$712)</f>
        <v/>
      </c>
      <c r="F35" s="124">
        <f>IF(Checks!$Z$712="","","Evidence: "&amp;Checks!$Z$712)&amp;IF(Checks!$AA$712="","",IF(Checks!$Z$712="","",CHAR(10))&amp;"CA: "&amp;Checks!$AA$712)</f>
        <v/>
      </c>
      <c r="G35" s="124">
        <f>IF(ISNUMBER(Checks!$AD$712),TEXT(Checks!$AD$712,"DD-MMM-YY HH:MM")&amp;" "&amp;Checks!$P$712,"")&amp;IF(Checks!$AE$712="","",CHAR(10)&amp;Checks!$AE$712)</f>
        <v/>
      </c>
      <c r="H35" s="125">
        <f>IF(Checks!$AH$712="","",Checks!$AH$712)</f>
        <v/>
      </c>
    </row>
    <row r="36" ht="81" customHeight="1">
      <c r="A36" s="124">
        <f>Checks!$A$713&amp;CHAR(10)&amp;IF(Checks!$I$713="","",Checks!$I$713&amp;": ")&amp;Checks!$J$713</f>
        <v/>
      </c>
      <c r="B36" s="124">
        <f>Checks!$K$713&amp;IF(Checks!$O$713="","",IF(Checks!$K$713="","",CHAR(10))&amp;"Note: "&amp;Checks!$O$713)</f>
        <v/>
      </c>
      <c r="C36" s="124">
        <f>Checks!$N$713&amp;CHAR(10)&amp;IF(ISNUMBER(Checks!$R$713),TEXT(Checks!$R$713,"DD-MMM-YY HH:MM"),"")&amp;" "&amp;Checks!$P$713</f>
        <v/>
      </c>
      <c r="D36" s="124">
        <f>IF(Checks!$U$713="","",Checks!$U$713)&amp;IF(Checks!$AB$713="","",CHAR(10)&amp;"CA: "&amp;Checks!$AB$713)</f>
        <v/>
      </c>
      <c r="E36" s="124">
        <f>IF(Checks!$V$713="","",Checks!$V$713)&amp;IF(Checks!$AC$713="","",IF(Checks!$V$713="","",CHAR(10))&amp;"N/A just.: "&amp;Checks!$AC$713)&amp;IF(Checks!$W$713="","",CHAR(10)&amp;"Batch: "&amp;Checks!$W$713)&amp;IF(AND(Checks!$X$713="",Checks!$Y$713=""),"",CHAR(10)&amp;"Exp: "&amp;Checks!$X$713&amp;"  /  Act: "&amp;Checks!$Y$713)</f>
        <v/>
      </c>
      <c r="F36" s="124">
        <f>IF(Checks!$Z$713="","","Evidence: "&amp;Checks!$Z$713)&amp;IF(Checks!$AA$713="","",IF(Checks!$Z$713="","",CHAR(10))&amp;"CA: "&amp;Checks!$AA$713)</f>
        <v/>
      </c>
      <c r="G36" s="124">
        <f>IF(ISNUMBER(Checks!$AD$713),TEXT(Checks!$AD$713,"DD-MMM-YY HH:MM")&amp;" "&amp;Checks!$P$713,"")&amp;IF(Checks!$AE$713="","",CHAR(10)&amp;Checks!$AE$713)</f>
        <v/>
      </c>
      <c r="H36" s="125">
        <f>IF(Checks!$AH$713="","",Checks!$AH$713)</f>
        <v/>
      </c>
    </row>
    <row r="37" ht="81" customHeight="1">
      <c r="A37" s="124">
        <f>Checks!$A$714&amp;CHAR(10)&amp;IF(Checks!$I$714="","",Checks!$I$714&amp;": ")&amp;Checks!$J$714</f>
        <v/>
      </c>
      <c r="B37" s="124">
        <f>Checks!$K$714&amp;IF(Checks!$O$714="","",IF(Checks!$K$714="","",CHAR(10))&amp;"Note: "&amp;Checks!$O$714)</f>
        <v/>
      </c>
      <c r="C37" s="124">
        <f>Checks!$N$714&amp;CHAR(10)&amp;IF(ISNUMBER(Checks!$R$714),TEXT(Checks!$R$714,"DD-MMM-YY HH:MM"),"")&amp;" "&amp;Checks!$P$714</f>
        <v/>
      </c>
      <c r="D37" s="124">
        <f>IF(Checks!$U$714="","",Checks!$U$714)&amp;IF(Checks!$AB$714="","",CHAR(10)&amp;"CA: "&amp;Checks!$AB$714)</f>
        <v/>
      </c>
      <c r="E37" s="124">
        <f>IF(Checks!$V$714="","",Checks!$V$714)&amp;IF(Checks!$AC$714="","",IF(Checks!$V$714="","",CHAR(10))&amp;"N/A just.: "&amp;Checks!$AC$714)&amp;IF(Checks!$W$714="","",CHAR(10)&amp;"Batch: "&amp;Checks!$W$714)&amp;IF(AND(Checks!$X$714="",Checks!$Y$714=""),"",CHAR(10)&amp;"Exp: "&amp;Checks!$X$714&amp;"  /  Act: "&amp;Checks!$Y$714)</f>
        <v/>
      </c>
      <c r="F37" s="124">
        <f>IF(Checks!$Z$714="","","Evidence: "&amp;Checks!$Z$714)&amp;IF(Checks!$AA$714="","",IF(Checks!$Z$714="","",CHAR(10))&amp;"CA: "&amp;Checks!$AA$714)</f>
        <v/>
      </c>
      <c r="G37" s="124">
        <f>IF(ISNUMBER(Checks!$AD$714),TEXT(Checks!$AD$714,"DD-MMM-YY HH:MM")&amp;" "&amp;Checks!$P$714,"")&amp;IF(Checks!$AE$714="","",CHAR(10)&amp;Checks!$AE$714)</f>
        <v/>
      </c>
      <c r="H37" s="125">
        <f>IF(Checks!$AH$714="","",Checks!$AH$714)</f>
        <v/>
      </c>
    </row>
    <row r="38" ht="81" customHeight="1">
      <c r="A38" s="124">
        <f>Checks!$A$715&amp;CHAR(10)&amp;IF(Checks!$I$715="","",Checks!$I$715&amp;": ")&amp;Checks!$J$715</f>
        <v/>
      </c>
      <c r="B38" s="124">
        <f>Checks!$K$715&amp;IF(Checks!$O$715="","",IF(Checks!$K$715="","",CHAR(10))&amp;"Note: "&amp;Checks!$O$715)</f>
        <v/>
      </c>
      <c r="C38" s="124">
        <f>Checks!$N$715&amp;CHAR(10)&amp;IF(ISNUMBER(Checks!$R$715),TEXT(Checks!$R$715,"DD-MMM-YY HH:MM"),"")&amp;" "&amp;Checks!$P$715</f>
        <v/>
      </c>
      <c r="D38" s="124">
        <f>IF(Checks!$U$715="","",Checks!$U$715)&amp;IF(Checks!$AB$715="","",CHAR(10)&amp;"CA: "&amp;Checks!$AB$715)</f>
        <v/>
      </c>
      <c r="E38" s="124">
        <f>IF(Checks!$V$715="","",Checks!$V$715)&amp;IF(Checks!$AC$715="","",IF(Checks!$V$715="","",CHAR(10))&amp;"N/A just.: "&amp;Checks!$AC$715)&amp;IF(Checks!$W$715="","",CHAR(10)&amp;"Batch: "&amp;Checks!$W$715)&amp;IF(AND(Checks!$X$715="",Checks!$Y$715=""),"",CHAR(10)&amp;"Exp: "&amp;Checks!$X$715&amp;"  /  Act: "&amp;Checks!$Y$715)</f>
        <v/>
      </c>
      <c r="F38" s="124">
        <f>IF(Checks!$Z$715="","","Evidence: "&amp;Checks!$Z$715)&amp;IF(Checks!$AA$715="","",IF(Checks!$Z$715="","",CHAR(10))&amp;"CA: "&amp;Checks!$AA$715)</f>
        <v/>
      </c>
      <c r="G38" s="124">
        <f>IF(ISNUMBER(Checks!$AD$715),TEXT(Checks!$AD$715,"DD-MMM-YY HH:MM")&amp;" "&amp;Checks!$P$715,"")&amp;IF(Checks!$AE$715="","",CHAR(10)&amp;Checks!$AE$715)</f>
        <v/>
      </c>
      <c r="H38" s="125">
        <f>IF(Checks!$AH$715="","",Checks!$AH$715)</f>
        <v/>
      </c>
    </row>
    <row r="39" ht="81" customHeight="1">
      <c r="A39" s="124">
        <f>Checks!$A$716&amp;CHAR(10)&amp;IF(Checks!$I$716="","",Checks!$I$716&amp;": ")&amp;Checks!$J$716</f>
        <v/>
      </c>
      <c r="B39" s="124">
        <f>Checks!$K$716&amp;IF(Checks!$O$716="","",IF(Checks!$K$716="","",CHAR(10))&amp;"Note: "&amp;Checks!$O$716)</f>
        <v/>
      </c>
      <c r="C39" s="124">
        <f>Checks!$N$716&amp;CHAR(10)&amp;IF(ISNUMBER(Checks!$R$716),TEXT(Checks!$R$716,"DD-MMM-YY HH:MM"),"")&amp;" "&amp;Checks!$P$716</f>
        <v/>
      </c>
      <c r="D39" s="124">
        <f>IF(Checks!$U$716="","",Checks!$U$716)&amp;IF(Checks!$AB$716="","",CHAR(10)&amp;"CA: "&amp;Checks!$AB$716)</f>
        <v/>
      </c>
      <c r="E39" s="124">
        <f>IF(Checks!$V$716="","",Checks!$V$716)&amp;IF(Checks!$AC$716="","",IF(Checks!$V$716="","",CHAR(10))&amp;"N/A just.: "&amp;Checks!$AC$716)&amp;IF(Checks!$W$716="","",CHAR(10)&amp;"Batch: "&amp;Checks!$W$716)&amp;IF(AND(Checks!$X$716="",Checks!$Y$716=""),"",CHAR(10)&amp;"Exp: "&amp;Checks!$X$716&amp;"  /  Act: "&amp;Checks!$Y$716)</f>
        <v/>
      </c>
      <c r="F39" s="124">
        <f>IF(Checks!$Z$716="","","Evidence: "&amp;Checks!$Z$716)&amp;IF(Checks!$AA$716="","",IF(Checks!$Z$716="","",CHAR(10))&amp;"CA: "&amp;Checks!$AA$716)</f>
        <v/>
      </c>
      <c r="G39" s="124">
        <f>IF(ISNUMBER(Checks!$AD$716),TEXT(Checks!$AD$716,"DD-MMM-YY HH:MM")&amp;" "&amp;Checks!$P$716,"")&amp;IF(Checks!$AE$716="","",CHAR(10)&amp;Checks!$AE$716)</f>
        <v/>
      </c>
      <c r="H39" s="125">
        <f>IF(Checks!$AH$716="","",Checks!$AH$716)</f>
        <v/>
      </c>
    </row>
    <row r="40" ht="279" customHeight="1">
      <c r="A40" s="124">
        <f>Checks!$A$717&amp;CHAR(10)&amp;IF(Checks!$I$717="","",Checks!$I$717&amp;": ")&amp;Checks!$J$717</f>
        <v/>
      </c>
      <c r="B40" s="124">
        <f>SUBSTITUTE(Checks!$K$717&amp;IF(Checks!$O$717="","",IF(Checks!$K$717="","",CHAR(10))&amp;"Note: "&amp;Checks!$O$717),"AIRCRAFT TYPE!","Ref: AIRCRAFT TYPE!")</f>
        <v/>
      </c>
      <c r="C40" s="124">
        <f>Checks!$N$717&amp;CHAR(10)&amp;IF(ISNUMBER(Checks!$R$717),TEXT(Checks!$R$717,"DD-MMM-YY HH:MM"),"")&amp;" "&amp;Checks!$P$717</f>
        <v/>
      </c>
      <c r="D40" s="124">
        <f>IF(Checks!$U$717="","",Checks!$U$717)&amp;IF(Checks!$AB$717="","",CHAR(10)&amp;"CA: "&amp;Checks!$AB$717)</f>
        <v/>
      </c>
      <c r="E40" s="124">
        <f>IF(Checks!$V$717="","",Checks!$V$717)&amp;IF(Checks!$AC$717="","",IF(Checks!$V$717="","",CHAR(10))&amp;"N/A just.: "&amp;Checks!$AC$717)&amp;IF(Checks!$W$717="","",CHAR(10)&amp;"Batch: "&amp;Checks!$W$717)&amp;IF(AND(Checks!$X$717="",Checks!$Y$717=""),"",CHAR(10)&amp;"Exp: "&amp;Checks!$X$717&amp;"  /  Act: "&amp;Checks!$Y$717)</f>
        <v/>
      </c>
      <c r="F40" s="124">
        <f>IF(Checks!$Z$717="","","Evidence: "&amp;Checks!$Z$717)&amp;IF(Checks!$AA$717="","",IF(Checks!$Z$717="","",CHAR(10))&amp;"CA: "&amp;Checks!$AA$717)</f>
        <v/>
      </c>
      <c r="G40" s="124">
        <f>IF(ISNUMBER(Checks!$AD$717),TEXT(Checks!$AD$717,"DD-MMM-YY HH:MM")&amp;" "&amp;Checks!$P$717,"")&amp;IF(Checks!$AE$717="","",CHAR(10)&amp;Checks!$AE$717)</f>
        <v/>
      </c>
      <c r="H40" s="125">
        <f>IF(Checks!$AH$717="","",Checks!$AH$717)</f>
        <v/>
      </c>
    </row>
    <row r="41" ht="81" customHeight="1">
      <c r="A41" s="124">
        <f>Checks!$A$718&amp;CHAR(10)&amp;IF(Checks!$I$718="","",Checks!$I$718&amp;": ")&amp;Checks!$J$718</f>
        <v/>
      </c>
      <c r="B41" s="124">
        <f>Checks!$K$718&amp;IF(Checks!$O$718="","",IF(Checks!$K$718="","",CHAR(10))&amp;"Note: "&amp;Checks!$O$718)</f>
        <v/>
      </c>
      <c r="C41" s="124">
        <f>Checks!$N$718&amp;CHAR(10)&amp;IF(ISNUMBER(Checks!$R$718),TEXT(Checks!$R$718,"DD-MMM-YY HH:MM"),"")&amp;" "&amp;Checks!$P$718</f>
        <v/>
      </c>
      <c r="D41" s="124">
        <f>IF(Checks!$U$718="","",Checks!$U$718)&amp;IF(Checks!$AB$718="","",CHAR(10)&amp;"CA: "&amp;Checks!$AB$718)</f>
        <v/>
      </c>
      <c r="E41" s="124">
        <f>IF(Checks!$V$718="","",Checks!$V$718)&amp;IF(Checks!$AC$718="","",IF(Checks!$V$718="","",CHAR(10))&amp;"N/A just.: "&amp;Checks!$AC$718)&amp;IF(Checks!$W$718="","",CHAR(10)&amp;"Batch: "&amp;Checks!$W$718)&amp;IF(AND(Checks!$X$718="",Checks!$Y$718=""),"",CHAR(10)&amp;"Exp: "&amp;Checks!$X$718&amp;"  /  Act: "&amp;Checks!$Y$718)</f>
        <v/>
      </c>
      <c r="F41" s="124">
        <f>IF(Checks!$Z$718="","","Evidence: "&amp;Checks!$Z$718)&amp;IF(Checks!$AA$718="","",IF(Checks!$Z$718="","",CHAR(10))&amp;"CA: "&amp;Checks!$AA$718)</f>
        <v/>
      </c>
      <c r="G41" s="124">
        <f>IF(ISNUMBER(Checks!$AD$718),TEXT(Checks!$AD$718,"DD-MMM-YY HH:MM")&amp;" "&amp;Checks!$P$718,"")&amp;IF(Checks!$AE$718="","",CHAR(10)&amp;Checks!$AE$718)</f>
        <v/>
      </c>
      <c r="H41" s="125">
        <f>IF(Checks!$AH$718="","",Checks!$AH$718)</f>
        <v/>
      </c>
    </row>
    <row r="42" ht="191" customHeight="1">
      <c r="A42" s="124">
        <f>Checks!$A$719&amp;CHAR(10)&amp;IF(Checks!$I$719="","",Checks!$I$719&amp;": ")&amp;Checks!$J$719</f>
        <v/>
      </c>
      <c r="B42" s="124">
        <f>SUBSTITUTE(Checks!$K$719&amp;IF(Checks!$O$719="","",IF(Checks!$K$719="","",CHAR(10))&amp;"Note: "&amp;Checks!$O$719),"AMENITIES!","Ref: AMENITIES!")</f>
        <v/>
      </c>
      <c r="C42" s="124">
        <f>Checks!$N$719&amp;CHAR(10)&amp;IF(ISNUMBER(Checks!$R$719),TEXT(Checks!$R$719,"DD-MMM-YY HH:MM"),"")&amp;" "&amp;Checks!$P$719</f>
        <v/>
      </c>
      <c r="D42" s="124">
        <f>IF(Checks!$U$719="","",Checks!$U$719)&amp;IF(Checks!$AB$719="","",CHAR(10)&amp;"CA: "&amp;Checks!$AB$719)</f>
        <v/>
      </c>
      <c r="E42" s="124">
        <f>IF(Checks!$V$719="","",Checks!$V$719)&amp;IF(Checks!$AC$719="","",IF(Checks!$V$719="","",CHAR(10))&amp;"N/A just.: "&amp;Checks!$AC$719)&amp;IF(Checks!$W$719="","",CHAR(10)&amp;"Batch: "&amp;Checks!$W$719)&amp;IF(AND(Checks!$X$719="",Checks!$Y$719=""),"",CHAR(10)&amp;"Exp: "&amp;Checks!$X$719&amp;"  /  Act: "&amp;Checks!$Y$719)</f>
        <v/>
      </c>
      <c r="F42" s="124">
        <f>IF(Checks!$Z$719="","","Evidence: "&amp;Checks!$Z$719)&amp;IF(Checks!$AA$719="","",IF(Checks!$Z$719="","",CHAR(10))&amp;"CA: "&amp;Checks!$AA$719)</f>
        <v/>
      </c>
      <c r="G42" s="124">
        <f>IF(ISNUMBER(Checks!$AD$719),TEXT(Checks!$AD$719,"DD-MMM-YY HH:MM")&amp;" "&amp;Checks!$P$719,"")&amp;IF(Checks!$AE$719="","",CHAR(10)&amp;Checks!$AE$719)</f>
        <v/>
      </c>
      <c r="H42" s="125">
        <f>IF(Checks!$AH$719="","",Checks!$AH$719)</f>
        <v/>
      </c>
    </row>
    <row r="43" ht="81" customHeight="1">
      <c r="A43" s="124">
        <f>Checks!$A$720&amp;CHAR(10)&amp;IF(Checks!$I$720="","",Checks!$I$720&amp;": ")&amp;Checks!$J$720</f>
        <v/>
      </c>
      <c r="B43" s="124">
        <f>Checks!$K$720&amp;IF(Checks!$O$720="","",IF(Checks!$K$720="","",CHAR(10))&amp;"Note: "&amp;Checks!$O$720)</f>
        <v/>
      </c>
      <c r="C43" s="124">
        <f>Checks!$N$720&amp;CHAR(10)&amp;IF(ISNUMBER(Checks!$R$720),TEXT(Checks!$R$720,"DD-MMM-YY HH:MM"),"")&amp;" "&amp;Checks!$P$720</f>
        <v/>
      </c>
      <c r="D43" s="124">
        <f>IF(Checks!$U$720="","",Checks!$U$720)&amp;IF(Checks!$AB$720="","",CHAR(10)&amp;"CA: "&amp;Checks!$AB$720)</f>
        <v/>
      </c>
      <c r="E43" s="124">
        <f>IF(Checks!$V$720="","",Checks!$V$720)&amp;IF(Checks!$AC$720="","",IF(Checks!$V$720="","",CHAR(10))&amp;"N/A just.: "&amp;Checks!$AC$720)&amp;IF(Checks!$W$720="","",CHAR(10)&amp;"Batch: "&amp;Checks!$W$720)&amp;IF(AND(Checks!$X$720="",Checks!$Y$720=""),"",CHAR(10)&amp;"Exp: "&amp;Checks!$X$720&amp;"  /  Act: "&amp;Checks!$Y$720)</f>
        <v/>
      </c>
      <c r="F43" s="124">
        <f>IF(Checks!$Z$720="","","Evidence: "&amp;Checks!$Z$720)&amp;IF(Checks!$AA$720="","",IF(Checks!$Z$720="","",CHAR(10))&amp;"CA: "&amp;Checks!$AA$720)</f>
        <v/>
      </c>
      <c r="G43" s="124">
        <f>IF(ISNUMBER(Checks!$AD$720),TEXT(Checks!$AD$720,"DD-MMM-YY HH:MM")&amp;" "&amp;Checks!$P$720,"")&amp;IF(Checks!$AE$720="","",CHAR(10)&amp;Checks!$AE$720)</f>
        <v/>
      </c>
      <c r="H43" s="125">
        <f>IF(Checks!$AH$720="","",Checks!$AH$720)</f>
        <v/>
      </c>
    </row>
    <row r="44" ht="81" customHeight="1">
      <c r="A44" s="124">
        <f>Checks!$A$721&amp;CHAR(10)&amp;IF(Checks!$I$721="","",Checks!$I$721&amp;": ")&amp;Checks!$J$721</f>
        <v/>
      </c>
      <c r="B44" s="124">
        <f>Checks!$K$721&amp;IF(Checks!$O$721="","",IF(Checks!$K$721="","",CHAR(10))&amp;"Note: "&amp;Checks!$O$721)</f>
        <v/>
      </c>
      <c r="C44" s="124">
        <f>Checks!$N$721&amp;CHAR(10)&amp;IF(ISNUMBER(Checks!$R$721),TEXT(Checks!$R$721,"DD-MMM-YY HH:MM"),"")&amp;" "&amp;Checks!$P$721</f>
        <v/>
      </c>
      <c r="D44" s="124">
        <f>IF(Checks!$U$721="","",Checks!$U$721)&amp;IF(Checks!$AB$721="","",CHAR(10)&amp;"CA: "&amp;Checks!$AB$721)</f>
        <v/>
      </c>
      <c r="E44" s="124">
        <f>IF(Checks!$V$721="","",Checks!$V$721)&amp;IF(Checks!$AC$721="","",IF(Checks!$V$721="","",CHAR(10))&amp;"N/A just.: "&amp;Checks!$AC$721)&amp;IF(Checks!$W$721="","",CHAR(10)&amp;"Batch: "&amp;Checks!$W$721)&amp;IF(AND(Checks!$X$721="",Checks!$Y$721=""),"",CHAR(10)&amp;"Exp: "&amp;Checks!$X$721&amp;"  /  Act: "&amp;Checks!$Y$721)</f>
        <v/>
      </c>
      <c r="F44" s="124">
        <f>IF(Checks!$Z$721="","","Evidence: "&amp;Checks!$Z$721)&amp;IF(Checks!$AA$721="","",IF(Checks!$Z$721="","",CHAR(10))&amp;"CA: "&amp;Checks!$AA$721)</f>
        <v/>
      </c>
      <c r="G44" s="124">
        <f>IF(ISNUMBER(Checks!$AD$721),TEXT(Checks!$AD$721,"DD-MMM-YY HH:MM")&amp;" "&amp;Checks!$P$721,"")&amp;IF(Checks!$AE$721="","",CHAR(10)&amp;Checks!$AE$721)</f>
        <v/>
      </c>
      <c r="H44" s="125">
        <f>IF(Checks!$AH$721="","",Checks!$AH$721)</f>
        <v/>
      </c>
    </row>
    <row r="45" ht="92" customHeight="1">
      <c r="A45" s="124">
        <f>Checks!$A$722&amp;CHAR(10)&amp;IF(Checks!$I$722="","",Checks!$I$722&amp;": ")&amp;Checks!$J$722</f>
        <v/>
      </c>
      <c r="B45" s="124">
        <f>Checks!$K$722&amp;IF(Checks!$O$722="","",IF(Checks!$K$722="","",CHAR(10))&amp;"Note: "&amp;Checks!$O$722)</f>
        <v/>
      </c>
      <c r="C45" s="124">
        <f>Checks!$N$722&amp;CHAR(10)&amp;IF(ISNUMBER(Checks!$R$722),TEXT(Checks!$R$722,"DD-MMM-YY HH:MM"),"")&amp;" "&amp;Checks!$P$722</f>
        <v/>
      </c>
      <c r="D45" s="124">
        <f>IF(Checks!$U$722="","",Checks!$U$722)&amp;IF(Checks!$AB$722="","",CHAR(10)&amp;"CA: "&amp;Checks!$AB$722)</f>
        <v/>
      </c>
      <c r="E45" s="124">
        <f>IF(Checks!$V$722="","",Checks!$V$722)&amp;IF(Checks!$AC$722="","",IF(Checks!$V$722="","",CHAR(10))&amp;"N/A just.: "&amp;Checks!$AC$722)&amp;IF(Checks!$W$722="","",CHAR(10)&amp;"Batch: "&amp;Checks!$W$722)&amp;IF(AND(Checks!$X$722="",Checks!$Y$722=""),"",CHAR(10)&amp;"Exp: "&amp;Checks!$X$722&amp;"  /  Act: "&amp;Checks!$Y$722)</f>
        <v/>
      </c>
      <c r="F45" s="124">
        <f>IF(Checks!$Z$722="","","Evidence: "&amp;Checks!$Z$722)&amp;IF(Checks!$AA$722="","",IF(Checks!$Z$722="","",CHAR(10))&amp;"CA: "&amp;Checks!$AA$722)</f>
        <v/>
      </c>
      <c r="G45" s="124">
        <f>IF(ISNUMBER(Checks!$AD$722),TEXT(Checks!$AD$722,"DD-MMM-YY HH:MM")&amp;" "&amp;Checks!$P$722,"")&amp;IF(Checks!$AE$722="","",CHAR(10)&amp;Checks!$AE$722)</f>
        <v/>
      </c>
      <c r="H45" s="125">
        <f>IF(Checks!$AH$722="","",Checks!$AH$722)</f>
        <v/>
      </c>
    </row>
    <row r="46" ht="92" customHeight="1">
      <c r="A46" s="124">
        <f>Checks!$A$723&amp;CHAR(10)&amp;IF(Checks!$I$723="","",Checks!$I$723&amp;": ")&amp;Checks!$J$723</f>
        <v/>
      </c>
      <c r="B46" s="124">
        <f>Checks!$K$723&amp;IF(Checks!$O$723="","",IF(Checks!$K$723="","",CHAR(10))&amp;"Note: "&amp;Checks!$O$723)</f>
        <v/>
      </c>
      <c r="C46" s="124">
        <f>Checks!$N$723&amp;CHAR(10)&amp;IF(ISNUMBER(Checks!$R$723),TEXT(Checks!$R$723,"DD-MMM-YY HH:MM"),"")&amp;" "&amp;Checks!$P$723</f>
        <v/>
      </c>
      <c r="D46" s="124">
        <f>IF(Checks!$U$723="","",Checks!$U$723)&amp;IF(Checks!$AB$723="","",CHAR(10)&amp;"CA: "&amp;Checks!$AB$723)</f>
        <v/>
      </c>
      <c r="E46" s="124">
        <f>IF(Checks!$V$723="","",Checks!$V$723)&amp;IF(Checks!$AC$723="","",IF(Checks!$V$723="","",CHAR(10))&amp;"N/A just.: "&amp;Checks!$AC$723)&amp;IF(Checks!$W$723="","",CHAR(10)&amp;"Batch: "&amp;Checks!$W$723)&amp;IF(AND(Checks!$X$723="",Checks!$Y$723=""),"",CHAR(10)&amp;"Exp: "&amp;Checks!$X$723&amp;"  /  Act: "&amp;Checks!$Y$723)</f>
        <v/>
      </c>
      <c r="F46" s="124">
        <f>IF(Checks!$Z$723="","","Evidence: "&amp;Checks!$Z$723)&amp;IF(Checks!$AA$723="","",IF(Checks!$Z$723="","",CHAR(10))&amp;"CA: "&amp;Checks!$AA$723)</f>
        <v/>
      </c>
      <c r="G46" s="124">
        <f>IF(ISNUMBER(Checks!$AD$723),TEXT(Checks!$AD$723,"DD-MMM-YY HH:MM")&amp;" "&amp;Checks!$P$723,"")&amp;IF(Checks!$AE$723="","",CHAR(10)&amp;Checks!$AE$723)</f>
        <v/>
      </c>
      <c r="H46" s="125">
        <f>IF(Checks!$AH$723="","",Checks!$AH$723)</f>
        <v/>
      </c>
    </row>
    <row r="47" ht="92" customHeight="1">
      <c r="A47" s="124">
        <f>Checks!$A$724&amp;CHAR(10)&amp;IF(Checks!$I$724="","",Checks!$I$724&amp;": ")&amp;Checks!$J$724</f>
        <v/>
      </c>
      <c r="B47" s="124">
        <f>Checks!$K$724&amp;IF(Checks!$O$724="","",IF(Checks!$K$724="","",CHAR(10))&amp;"Note: "&amp;Checks!$O$724)</f>
        <v/>
      </c>
      <c r="C47" s="124">
        <f>Checks!$N$724&amp;CHAR(10)&amp;IF(ISNUMBER(Checks!$R$724),TEXT(Checks!$R$724,"DD-MMM-YY HH:MM"),"")&amp;" "&amp;Checks!$P$724</f>
        <v/>
      </c>
      <c r="D47" s="124">
        <f>IF(Checks!$U$724="","",Checks!$U$724)&amp;IF(Checks!$AB$724="","",CHAR(10)&amp;"CA: "&amp;Checks!$AB$724)</f>
        <v/>
      </c>
      <c r="E47" s="124">
        <f>IF(Checks!$V$724="","",Checks!$V$724)&amp;IF(Checks!$AC$724="","",IF(Checks!$V$724="","",CHAR(10))&amp;"N/A just.: "&amp;Checks!$AC$724)&amp;IF(Checks!$W$724="","",CHAR(10)&amp;"Batch: "&amp;Checks!$W$724)&amp;IF(AND(Checks!$X$724="",Checks!$Y$724=""),"",CHAR(10)&amp;"Exp: "&amp;Checks!$X$724&amp;"  /  Act: "&amp;Checks!$Y$724)</f>
        <v/>
      </c>
      <c r="F47" s="124">
        <f>IF(Checks!$Z$724="","","Evidence: "&amp;Checks!$Z$724)&amp;IF(Checks!$AA$724="","",IF(Checks!$Z$724="","",CHAR(10))&amp;"CA: "&amp;Checks!$AA$724)</f>
        <v/>
      </c>
      <c r="G47" s="124">
        <f>IF(ISNUMBER(Checks!$AD$724),TEXT(Checks!$AD$724,"DD-MMM-YY HH:MM")&amp;" "&amp;Checks!$P$724,"")&amp;IF(Checks!$AE$724="","",CHAR(10)&amp;Checks!$AE$724)</f>
        <v/>
      </c>
      <c r="H47" s="125">
        <f>IF(Checks!$AH$724="","",Checks!$AH$724)</f>
        <v/>
      </c>
    </row>
    <row r="48" ht="92" customHeight="1">
      <c r="A48" s="124">
        <f>Checks!$A$725&amp;CHAR(10)&amp;IF(Checks!$I$725="","",Checks!$I$725&amp;": ")&amp;Checks!$J$725</f>
        <v/>
      </c>
      <c r="B48" s="124">
        <f>Checks!$K$725&amp;IF(Checks!$O$725="","",IF(Checks!$K$725="","",CHAR(10))&amp;"Note: "&amp;Checks!$O$725)</f>
        <v/>
      </c>
      <c r="C48" s="124">
        <f>Checks!$N$725&amp;CHAR(10)&amp;IF(ISNUMBER(Checks!$R$725),TEXT(Checks!$R$725,"DD-MMM-YY HH:MM"),"")&amp;" "&amp;Checks!$P$725</f>
        <v/>
      </c>
      <c r="D48" s="124">
        <f>IF(Checks!$U$725="","",Checks!$U$725)&amp;IF(Checks!$AB$725="","",CHAR(10)&amp;"CA: "&amp;Checks!$AB$725)</f>
        <v/>
      </c>
      <c r="E48" s="124">
        <f>IF(Checks!$V$725="","",Checks!$V$725)&amp;IF(Checks!$AC$725="","",IF(Checks!$V$725="","",CHAR(10))&amp;"N/A just.: "&amp;Checks!$AC$725)&amp;IF(Checks!$W$725="","",CHAR(10)&amp;"Batch: "&amp;Checks!$W$725)&amp;IF(AND(Checks!$X$725="",Checks!$Y$725=""),"",CHAR(10)&amp;"Exp: "&amp;Checks!$X$725&amp;"  /  Act: "&amp;Checks!$Y$725)</f>
        <v/>
      </c>
      <c r="F48" s="124">
        <f>IF(Checks!$Z$725="","","Evidence: "&amp;Checks!$Z$725)&amp;IF(Checks!$AA$725="","",IF(Checks!$Z$725="","",CHAR(10))&amp;"CA: "&amp;Checks!$AA$725)</f>
        <v/>
      </c>
      <c r="G48" s="124">
        <f>IF(ISNUMBER(Checks!$AD$725),TEXT(Checks!$AD$725,"DD-MMM-YY HH:MM")&amp;" "&amp;Checks!$P$725,"")&amp;IF(Checks!$AE$725="","",CHAR(10)&amp;Checks!$AE$725)</f>
        <v/>
      </c>
      <c r="H48" s="125">
        <f>IF(Checks!$AH$725="","",Checks!$AH$725)</f>
        <v/>
      </c>
    </row>
    <row r="49" ht="92" customHeight="1">
      <c r="A49" s="124">
        <f>Checks!$A$726&amp;CHAR(10)&amp;IF(Checks!$I$726="","",Checks!$I$726&amp;": ")&amp;Checks!$J$726</f>
        <v/>
      </c>
      <c r="B49" s="124">
        <f>Checks!$K$726&amp;IF(Checks!$O$726="","",IF(Checks!$K$726="","",CHAR(10))&amp;"Note: "&amp;Checks!$O$726)</f>
        <v/>
      </c>
      <c r="C49" s="124">
        <f>Checks!$N$726&amp;CHAR(10)&amp;IF(ISNUMBER(Checks!$R$726),TEXT(Checks!$R$726,"DD-MMM-YY HH:MM"),"")&amp;" "&amp;Checks!$P$726</f>
        <v/>
      </c>
      <c r="D49" s="124">
        <f>IF(Checks!$U$726="","",Checks!$U$726)&amp;IF(Checks!$AB$726="","",CHAR(10)&amp;"CA: "&amp;Checks!$AB$726)</f>
        <v/>
      </c>
      <c r="E49" s="124">
        <f>IF(Checks!$V$726="","",Checks!$V$726)&amp;IF(Checks!$AC$726="","",IF(Checks!$V$726="","",CHAR(10))&amp;"N/A just.: "&amp;Checks!$AC$726)&amp;IF(Checks!$W$726="","",CHAR(10)&amp;"Batch: "&amp;Checks!$W$726)&amp;IF(AND(Checks!$X$726="",Checks!$Y$726=""),"",CHAR(10)&amp;"Exp: "&amp;Checks!$X$726&amp;"  /  Act: "&amp;Checks!$Y$726)</f>
        <v/>
      </c>
      <c r="F49" s="124">
        <f>IF(Checks!$Z$726="","","Evidence: "&amp;Checks!$Z$726)&amp;IF(Checks!$AA$726="","",IF(Checks!$Z$726="","",CHAR(10))&amp;"CA: "&amp;Checks!$AA$726)</f>
        <v/>
      </c>
      <c r="G49" s="124">
        <f>IF(ISNUMBER(Checks!$AD$726),TEXT(Checks!$AD$726,"DD-MMM-YY HH:MM")&amp;" "&amp;Checks!$P$726,"")&amp;IF(Checks!$AE$726="","",CHAR(10)&amp;Checks!$AE$726)</f>
        <v/>
      </c>
      <c r="H49" s="125">
        <f>IF(Checks!$AH$726="","",Checks!$AH$726)</f>
        <v/>
      </c>
    </row>
    <row r="50" ht="114" customHeight="1">
      <c r="A50" s="124">
        <f>Checks!$A$727&amp;CHAR(10)&amp;IF(Checks!$I$727="","",Checks!$I$727&amp;": ")&amp;Checks!$J$727</f>
        <v/>
      </c>
      <c r="B50" s="124">
        <f>SUBSTITUTE(Checks!$K$727&amp;IF(Checks!$O$727="","",IF(Checks!$K$727="","",CHAR(10))&amp;"Note: "&amp;Checks!$O$727),"F&amp;B LINEN!","Ref: F&amp;B LINEN!")</f>
        <v/>
      </c>
      <c r="C50" s="124">
        <f>Checks!$N$727&amp;CHAR(10)&amp;IF(ISNUMBER(Checks!$R$727),TEXT(Checks!$R$727,"DD-MMM-YY HH:MM"),"")&amp;" "&amp;Checks!$P$727</f>
        <v/>
      </c>
      <c r="D50" s="124">
        <f>IF(Checks!$U$727="","",Checks!$U$727)&amp;IF(Checks!$AB$727="","",CHAR(10)&amp;"CA: "&amp;Checks!$AB$727)</f>
        <v/>
      </c>
      <c r="E50" s="124">
        <f>IF(Checks!$V$727="","",Checks!$V$727)&amp;IF(Checks!$AC$727="","",IF(Checks!$V$727="","",CHAR(10))&amp;"N/A just.: "&amp;Checks!$AC$727)&amp;IF(Checks!$W$727="","",CHAR(10)&amp;"Batch: "&amp;Checks!$W$727)&amp;IF(AND(Checks!$X$727="",Checks!$Y$727=""),"",CHAR(10)&amp;"Exp: "&amp;Checks!$X$727&amp;"  /  Act: "&amp;Checks!$Y$727)</f>
        <v/>
      </c>
      <c r="F50" s="124">
        <f>IF(Checks!$Z$727="","","Evidence: "&amp;Checks!$Z$727)&amp;IF(Checks!$AA$727="","",IF(Checks!$Z$727="","",CHAR(10))&amp;"CA: "&amp;Checks!$AA$727)</f>
        <v/>
      </c>
      <c r="G50" s="124">
        <f>IF(ISNUMBER(Checks!$AD$727),TEXT(Checks!$AD$727,"DD-MMM-YY HH:MM")&amp;" "&amp;Checks!$P$727,"")&amp;IF(Checks!$AE$727="","",CHAR(10)&amp;Checks!$AE$727)</f>
        <v/>
      </c>
      <c r="H50" s="125">
        <f>IF(Checks!$AH$727="","",Checks!$AH$727)</f>
        <v/>
      </c>
    </row>
    <row r="51" ht="92" customHeight="1">
      <c r="A51" s="124">
        <f>Checks!$A$728&amp;CHAR(10)&amp;IF(Checks!$I$728="","",Checks!$I$728&amp;": ")&amp;Checks!$J$728</f>
        <v/>
      </c>
      <c r="B51" s="124">
        <f>Checks!$K$728&amp;IF(Checks!$O$728="","",IF(Checks!$K$728="","",CHAR(10))&amp;"Note: "&amp;Checks!$O$728)</f>
        <v/>
      </c>
      <c r="C51" s="124">
        <f>Checks!$N$728&amp;CHAR(10)&amp;IF(ISNUMBER(Checks!$R$728),TEXT(Checks!$R$728,"DD-MMM-YY HH:MM"),"")&amp;" "&amp;Checks!$P$728</f>
        <v/>
      </c>
      <c r="D51" s="124">
        <f>IF(Checks!$U$728="","",Checks!$U$728)&amp;IF(Checks!$AB$728="","",CHAR(10)&amp;"CA: "&amp;Checks!$AB$728)</f>
        <v/>
      </c>
      <c r="E51" s="124">
        <f>IF(Checks!$V$728="","",Checks!$V$728)&amp;IF(Checks!$AC$728="","",IF(Checks!$V$728="","",CHAR(10))&amp;"N/A just.: "&amp;Checks!$AC$728)&amp;IF(Checks!$W$728="","",CHAR(10)&amp;"Batch: "&amp;Checks!$W$728)&amp;IF(AND(Checks!$X$728="",Checks!$Y$728=""),"",CHAR(10)&amp;"Exp: "&amp;Checks!$X$728&amp;"  /  Act: "&amp;Checks!$Y$728)</f>
        <v/>
      </c>
      <c r="F51" s="124">
        <f>IF(Checks!$Z$728="","","Evidence: "&amp;Checks!$Z$728)&amp;IF(Checks!$AA$728="","",IF(Checks!$Z$728="","",CHAR(10))&amp;"CA: "&amp;Checks!$AA$728)</f>
        <v/>
      </c>
      <c r="G51" s="124">
        <f>IF(ISNUMBER(Checks!$AD$728),TEXT(Checks!$AD$728,"DD-MMM-YY HH:MM")&amp;" "&amp;Checks!$P$728,"")&amp;IF(Checks!$AE$728="","",CHAR(10)&amp;Checks!$AE$728)</f>
        <v/>
      </c>
      <c r="H51" s="125">
        <f>IF(Checks!$AH$728="","",Checks!$AH$728)</f>
        <v/>
      </c>
    </row>
    <row r="52" ht="92" customHeight="1">
      <c r="A52" s="124">
        <f>Checks!$A$729&amp;CHAR(10)&amp;IF(Checks!$I$729="","",Checks!$I$729&amp;": ")&amp;Checks!$J$729</f>
        <v/>
      </c>
      <c r="B52" s="124">
        <f>Checks!$K$729&amp;IF(Checks!$O$729="","",IF(Checks!$K$729="","",CHAR(10))&amp;"Note: "&amp;Checks!$O$729)</f>
        <v/>
      </c>
      <c r="C52" s="124">
        <f>Checks!$N$729&amp;CHAR(10)&amp;IF(ISNUMBER(Checks!$R$729),TEXT(Checks!$R$729,"DD-MMM-YY HH:MM"),"")&amp;" "&amp;Checks!$P$729</f>
        <v/>
      </c>
      <c r="D52" s="124">
        <f>IF(Checks!$U$729="","",Checks!$U$729)&amp;IF(Checks!$AB$729="","",CHAR(10)&amp;"CA: "&amp;Checks!$AB$729)</f>
        <v/>
      </c>
      <c r="E52" s="124">
        <f>IF(Checks!$V$729="","",Checks!$V$729)&amp;IF(Checks!$AC$729="","",IF(Checks!$V$729="","",CHAR(10))&amp;"N/A just.: "&amp;Checks!$AC$729)&amp;IF(Checks!$W$729="","",CHAR(10)&amp;"Batch: "&amp;Checks!$W$729)&amp;IF(AND(Checks!$X$729="",Checks!$Y$729=""),"",CHAR(10)&amp;"Exp: "&amp;Checks!$X$729&amp;"  /  Act: "&amp;Checks!$Y$729)</f>
        <v/>
      </c>
      <c r="F52" s="124">
        <f>IF(Checks!$Z$729="","","Evidence: "&amp;Checks!$Z$729)&amp;IF(Checks!$AA$729="","",IF(Checks!$Z$729="","",CHAR(10))&amp;"CA: "&amp;Checks!$AA$729)</f>
        <v/>
      </c>
      <c r="G52" s="124">
        <f>IF(ISNUMBER(Checks!$AD$729),TEXT(Checks!$AD$729,"DD-MMM-YY HH:MM")&amp;" "&amp;Checks!$P$729,"")&amp;IF(Checks!$AE$729="","",CHAR(10)&amp;Checks!$AE$729)</f>
        <v/>
      </c>
      <c r="H52" s="125">
        <f>IF(Checks!$AH$729="","",Checks!$AH$729)</f>
        <v/>
      </c>
    </row>
    <row r="53" ht="92" customHeight="1">
      <c r="A53" s="124">
        <f>Checks!$A$730&amp;CHAR(10)&amp;IF(Checks!$I$730="","",Checks!$I$730&amp;": ")&amp;Checks!$J$730</f>
        <v/>
      </c>
      <c r="B53" s="124">
        <f>Checks!$K$730&amp;IF(Checks!$O$730="","",IF(Checks!$K$730="","",CHAR(10))&amp;"Note: "&amp;Checks!$O$730)</f>
        <v/>
      </c>
      <c r="C53" s="124">
        <f>Checks!$N$730&amp;CHAR(10)&amp;IF(ISNUMBER(Checks!$R$730),TEXT(Checks!$R$730,"DD-MMM-YY HH:MM"),"")&amp;" "&amp;Checks!$P$730</f>
        <v/>
      </c>
      <c r="D53" s="124">
        <f>IF(Checks!$U$730="","",Checks!$U$730)&amp;IF(Checks!$AB$730="","",CHAR(10)&amp;"CA: "&amp;Checks!$AB$730)</f>
        <v/>
      </c>
      <c r="E53" s="124">
        <f>IF(Checks!$V$730="","",Checks!$V$730)&amp;IF(Checks!$AC$730="","",IF(Checks!$V$730="","",CHAR(10))&amp;"N/A just.: "&amp;Checks!$AC$730)&amp;IF(Checks!$W$730="","",CHAR(10)&amp;"Batch: "&amp;Checks!$W$730)&amp;IF(AND(Checks!$X$730="",Checks!$Y$730=""),"",CHAR(10)&amp;"Exp: "&amp;Checks!$X$730&amp;"  /  Act: "&amp;Checks!$Y$730)</f>
        <v/>
      </c>
      <c r="F53" s="124">
        <f>IF(Checks!$Z$730="","","Evidence: "&amp;Checks!$Z$730)&amp;IF(Checks!$AA$730="","",IF(Checks!$Z$730="","",CHAR(10))&amp;"CA: "&amp;Checks!$AA$730)</f>
        <v/>
      </c>
      <c r="G53" s="124">
        <f>IF(ISNUMBER(Checks!$AD$730),TEXT(Checks!$AD$730,"DD-MMM-YY HH:MM")&amp;" "&amp;Checks!$P$730,"")&amp;IF(Checks!$AE$730="","",CHAR(10)&amp;Checks!$AE$730)</f>
        <v/>
      </c>
      <c r="H53" s="125">
        <f>IF(Checks!$AH$730="","",Checks!$AH$730)</f>
        <v/>
      </c>
    </row>
    <row r="54" ht="92" customHeight="1">
      <c r="A54" s="124">
        <f>Checks!$A$731&amp;CHAR(10)&amp;IF(Checks!$I$731="","",Checks!$I$731&amp;": ")&amp;Checks!$J$731</f>
        <v/>
      </c>
      <c r="B54" s="124">
        <f>Checks!$K$731&amp;IF(Checks!$O$731="","",IF(Checks!$K$731="","",CHAR(10))&amp;"Note: "&amp;Checks!$O$731)</f>
        <v/>
      </c>
      <c r="C54" s="124">
        <f>Checks!$N$731&amp;CHAR(10)&amp;IF(ISNUMBER(Checks!$R$731),TEXT(Checks!$R$731,"DD-MMM-YY HH:MM"),"")&amp;" "&amp;Checks!$P$731</f>
        <v/>
      </c>
      <c r="D54" s="124">
        <f>IF(Checks!$U$731="","",Checks!$U$731)&amp;IF(Checks!$AB$731="","",CHAR(10)&amp;"CA: "&amp;Checks!$AB$731)</f>
        <v/>
      </c>
      <c r="E54" s="124">
        <f>IF(Checks!$V$731="","",Checks!$V$731)&amp;IF(Checks!$AC$731="","",IF(Checks!$V$731="","",CHAR(10))&amp;"N/A just.: "&amp;Checks!$AC$731)&amp;IF(Checks!$W$731="","",CHAR(10)&amp;"Batch: "&amp;Checks!$W$731)&amp;IF(AND(Checks!$X$731="",Checks!$Y$731=""),"",CHAR(10)&amp;"Exp: "&amp;Checks!$X$731&amp;"  /  Act: "&amp;Checks!$Y$731)</f>
        <v/>
      </c>
      <c r="F54" s="124">
        <f>IF(Checks!$Z$731="","","Evidence: "&amp;Checks!$Z$731)&amp;IF(Checks!$AA$731="","",IF(Checks!$Z$731="","",CHAR(10))&amp;"CA: "&amp;Checks!$AA$731)</f>
        <v/>
      </c>
      <c r="G54" s="124">
        <f>IF(ISNUMBER(Checks!$AD$731),TEXT(Checks!$AD$731,"DD-MMM-YY HH:MM")&amp;" "&amp;Checks!$P$731,"")&amp;IF(Checks!$AE$731="","",CHAR(10)&amp;Checks!$AE$731)</f>
        <v/>
      </c>
      <c r="H54" s="125">
        <f>IF(Checks!$AH$731="","",Checks!$AH$731)</f>
        <v/>
      </c>
    </row>
    <row r="55" ht="81" customHeight="1">
      <c r="A55" s="124">
        <f>Checks!$A$732&amp;CHAR(10)&amp;IF(Checks!$I$732="","",Checks!$I$732&amp;": ")&amp;Checks!$J$732</f>
        <v/>
      </c>
      <c r="B55" s="124">
        <f>Checks!$K$732&amp;IF(Checks!$O$732="","",IF(Checks!$K$732="","",CHAR(10))&amp;"Note: "&amp;Checks!$O$732)</f>
        <v/>
      </c>
      <c r="C55" s="124">
        <f>Checks!$N$732&amp;CHAR(10)&amp;IF(ISNUMBER(Checks!$R$732),TEXT(Checks!$R$732,"DD-MMM-YY HH:MM"),"")&amp;" "&amp;Checks!$P$732</f>
        <v/>
      </c>
      <c r="D55" s="124">
        <f>IF(Checks!$U$732="","",Checks!$U$732)&amp;IF(Checks!$AB$732="","",CHAR(10)&amp;"CA: "&amp;Checks!$AB$732)</f>
        <v/>
      </c>
      <c r="E55" s="124">
        <f>IF(Checks!$V$732="","",Checks!$V$732)&amp;IF(Checks!$AC$732="","",IF(Checks!$V$732="","",CHAR(10))&amp;"N/A just.: "&amp;Checks!$AC$732)&amp;IF(Checks!$W$732="","",CHAR(10)&amp;"Batch: "&amp;Checks!$W$732)&amp;IF(AND(Checks!$X$732="",Checks!$Y$732=""),"",CHAR(10)&amp;"Exp: "&amp;Checks!$X$732&amp;"  /  Act: "&amp;Checks!$Y$732)</f>
        <v/>
      </c>
      <c r="F55" s="124">
        <f>IF(Checks!$Z$732="","","Evidence: "&amp;Checks!$Z$732)&amp;IF(Checks!$AA$732="","",IF(Checks!$Z$732="","",CHAR(10))&amp;"CA: "&amp;Checks!$AA$732)</f>
        <v/>
      </c>
      <c r="G55" s="124">
        <f>IF(ISNUMBER(Checks!$AD$732),TEXT(Checks!$AD$732,"DD-MMM-YY HH:MM")&amp;" "&amp;Checks!$P$732,"")&amp;IF(Checks!$AE$732="","",CHAR(10)&amp;Checks!$AE$732)</f>
        <v/>
      </c>
      <c r="H55" s="125">
        <f>IF(Checks!$AH$732="","",Checks!$AH$732)</f>
        <v/>
      </c>
    </row>
    <row r="56" ht="26" customHeight="1">
      <c r="A56" s="123">
        <f>"UPLIFT — Physical uplift – on-board confirmation before departure  |  Due "&amp;"STD "&amp;IF(ISNUMBER(Flights!$I$26),TEXT(Flights!$I$26,"DD-MMM-YY HH:MM"),"")&amp;" "&amp;Flights!$G$26&amp;" (departure stn)"&amp;" (rows with another due show their own)  |  Complete "&amp;IF(ISNUMBER(Flights!$AM$26),TEXT(Flights!$AM$26,"0%"),Flights!$AM$26)&amp;"  |  16 lines"</f>
        <v/>
      </c>
      <c r="B56" s="97" t="n"/>
      <c r="C56" s="97" t="n"/>
      <c r="D56" s="97" t="n"/>
      <c r="E56" s="97" t="n"/>
      <c r="F56" s="97" t="n"/>
      <c r="G56" s="97" t="n"/>
      <c r="H56" s="98" t="n"/>
    </row>
    <row r="57" ht="81" customHeight="1">
      <c r="A57" s="124">
        <f>Checks!$A$733&amp;CHAR(10)&amp;IF(Checks!$I$733="","",Checks!$I$733&amp;": ")&amp;Checks!$J$733</f>
        <v/>
      </c>
      <c r="B57" s="124">
        <f>Checks!$K$733&amp;IF(Checks!$O$733="","",IF(Checks!$K$733="","",CHAR(10))&amp;"Note: "&amp;Checks!$O$733)</f>
        <v/>
      </c>
      <c r="C57" s="124">
        <f>Checks!$N$733&amp;CHAR(10)&amp;IF(ISNUMBER(Checks!$R$733),TEXT(Checks!$R$733,"DD-MMM-YY HH:MM"),"")&amp;" "&amp;Checks!$P$733</f>
        <v/>
      </c>
      <c r="D57" s="124">
        <f>IF(Checks!$U$733="","",Checks!$U$733)&amp;IF(Checks!$AB$733="","",CHAR(10)&amp;"CA: "&amp;Checks!$AB$733)</f>
        <v/>
      </c>
      <c r="E57" s="124">
        <f>IF(Checks!$V$733="","",Checks!$V$733)&amp;IF(Checks!$AC$733="","",IF(Checks!$V$733="","",CHAR(10))&amp;"N/A just.: "&amp;Checks!$AC$733)&amp;IF(Checks!$W$733="","",CHAR(10)&amp;"Batch: "&amp;Checks!$W$733)&amp;IF(AND(Checks!$X$733="",Checks!$Y$733=""),"",CHAR(10)&amp;"Exp: "&amp;Checks!$X$733&amp;"  /  Act: "&amp;Checks!$Y$733)</f>
        <v/>
      </c>
      <c r="F57" s="124">
        <f>IF(Checks!$Z$733="","","Evidence: "&amp;Checks!$Z$733)&amp;IF(Checks!$AA$733="","",IF(Checks!$Z$733="","",CHAR(10))&amp;"CA: "&amp;Checks!$AA$733)</f>
        <v/>
      </c>
      <c r="G57" s="124">
        <f>IF(ISNUMBER(Checks!$AD$733),TEXT(Checks!$AD$733,"DD-MMM-YY HH:MM")&amp;" "&amp;Checks!$P$733,"")&amp;IF(Checks!$AE$733="","",CHAR(10)&amp;Checks!$AE$733)</f>
        <v/>
      </c>
      <c r="H57" s="125">
        <f>IF(Checks!$AH$733="","",Checks!$AH$733)</f>
        <v/>
      </c>
    </row>
    <row r="58" ht="81" customHeight="1">
      <c r="A58" s="124">
        <f>Checks!$A$734&amp;CHAR(10)&amp;IF(Checks!$I$734="","",Checks!$I$734&amp;": ")&amp;Checks!$J$734</f>
        <v/>
      </c>
      <c r="B58" s="124">
        <f>Checks!$K$734&amp;IF(Checks!$O$734="","",IF(Checks!$K$734="","",CHAR(10))&amp;"Note: "&amp;Checks!$O$734)</f>
        <v/>
      </c>
      <c r="C58" s="124">
        <f>Checks!$N$734&amp;CHAR(10)&amp;IF(ISNUMBER(Checks!$R$734),TEXT(Checks!$R$734,"DD-MMM-YY HH:MM"),"")&amp;" "&amp;Checks!$P$734</f>
        <v/>
      </c>
      <c r="D58" s="124">
        <f>IF(Checks!$U$734="","",Checks!$U$734)&amp;IF(Checks!$AB$734="","",CHAR(10)&amp;"CA: "&amp;Checks!$AB$734)</f>
        <v/>
      </c>
      <c r="E58" s="124">
        <f>IF(Checks!$V$734="","",Checks!$V$734)&amp;IF(Checks!$AC$734="","",IF(Checks!$V$734="","",CHAR(10))&amp;"N/A just.: "&amp;Checks!$AC$734)&amp;IF(Checks!$W$734="","",CHAR(10)&amp;"Batch: "&amp;Checks!$W$734)&amp;IF(AND(Checks!$X$734="",Checks!$Y$734=""),"",CHAR(10)&amp;"Exp: "&amp;Checks!$X$734&amp;"  /  Act: "&amp;Checks!$Y$734)</f>
        <v/>
      </c>
      <c r="F58" s="124">
        <f>IF(Checks!$Z$734="","","Evidence: "&amp;Checks!$Z$734)&amp;IF(Checks!$AA$734="","",IF(Checks!$Z$734="","",CHAR(10))&amp;"CA: "&amp;Checks!$AA$734)</f>
        <v/>
      </c>
      <c r="G58" s="124">
        <f>IF(ISNUMBER(Checks!$AD$734),TEXT(Checks!$AD$734,"DD-MMM-YY HH:MM")&amp;" "&amp;Checks!$P$734,"")&amp;IF(Checks!$AE$734="","",CHAR(10)&amp;Checks!$AE$734)</f>
        <v/>
      </c>
      <c r="H58" s="125">
        <f>IF(Checks!$AH$734="","",Checks!$AH$734)</f>
        <v/>
      </c>
    </row>
    <row r="59" ht="191" customHeight="1">
      <c r="A59" s="124">
        <f>Checks!$A$735&amp;CHAR(10)&amp;IF(Checks!$I$735="","",Checks!$I$735&amp;": ")&amp;Checks!$J$735</f>
        <v/>
      </c>
      <c r="B59" s="124">
        <f>SUBSTITUTE(Checks!$K$735&amp;IF(Checks!$O$735="","",IF(Checks!$K$735="","",CHAR(10))&amp;"Note: "&amp;Checks!$O$735),"AMENITIES!","Ref: AMENITIES!")</f>
        <v/>
      </c>
      <c r="C59" s="124">
        <f>Checks!$N$735&amp;CHAR(10)&amp;IF(ISNUMBER(Checks!$R$735),TEXT(Checks!$R$735,"DD-MMM-YY HH:MM"),"")&amp;" "&amp;Checks!$P$735</f>
        <v/>
      </c>
      <c r="D59" s="124">
        <f>IF(Checks!$U$735="","",Checks!$U$735)&amp;IF(Checks!$AB$735="","",CHAR(10)&amp;"CA: "&amp;Checks!$AB$735)</f>
        <v/>
      </c>
      <c r="E59" s="124">
        <f>IF(Checks!$V$735="","",Checks!$V$735)&amp;IF(Checks!$AC$735="","",IF(Checks!$V$735="","",CHAR(10))&amp;"N/A just.: "&amp;Checks!$AC$735)&amp;IF(Checks!$W$735="","",CHAR(10)&amp;"Batch: "&amp;Checks!$W$735)&amp;IF(AND(Checks!$X$735="",Checks!$Y$735=""),"",CHAR(10)&amp;"Exp: "&amp;Checks!$X$735&amp;"  /  Act: "&amp;Checks!$Y$735)</f>
        <v/>
      </c>
      <c r="F59" s="124">
        <f>IF(Checks!$Z$735="","","Evidence: "&amp;Checks!$Z$735)&amp;IF(Checks!$AA$735="","",IF(Checks!$Z$735="","",CHAR(10))&amp;"CA: "&amp;Checks!$AA$735)</f>
        <v/>
      </c>
      <c r="G59" s="124">
        <f>IF(ISNUMBER(Checks!$AD$735),TEXT(Checks!$AD$735,"DD-MMM-YY HH:MM")&amp;" "&amp;Checks!$P$735,"")&amp;IF(Checks!$AE$735="","",CHAR(10)&amp;Checks!$AE$735)</f>
        <v/>
      </c>
      <c r="H59" s="125">
        <f>IF(Checks!$AH$735="","",Checks!$AH$735)</f>
        <v/>
      </c>
    </row>
    <row r="60" ht="81" customHeight="1">
      <c r="A60" s="124">
        <f>Checks!$A$736&amp;CHAR(10)&amp;IF(Checks!$I$736="","",Checks!$I$736&amp;": ")&amp;Checks!$J$736</f>
        <v/>
      </c>
      <c r="B60" s="124">
        <f>Checks!$K$736&amp;IF(Checks!$O$736="","",IF(Checks!$K$736="","",CHAR(10))&amp;"Note: "&amp;Checks!$O$736)</f>
        <v/>
      </c>
      <c r="C60" s="124">
        <f>Checks!$N$736&amp;CHAR(10)&amp;IF(ISNUMBER(Checks!$R$736),TEXT(Checks!$R$736,"DD-MMM-YY HH:MM"),"")&amp;" "&amp;Checks!$P$736</f>
        <v/>
      </c>
      <c r="D60" s="124">
        <f>IF(Checks!$U$736="","",Checks!$U$736)&amp;IF(Checks!$AB$736="","",CHAR(10)&amp;"CA: "&amp;Checks!$AB$736)</f>
        <v/>
      </c>
      <c r="E60" s="124">
        <f>IF(Checks!$V$736="","",Checks!$V$736)&amp;IF(Checks!$AC$736="","",IF(Checks!$V$736="","",CHAR(10))&amp;"N/A just.: "&amp;Checks!$AC$736)&amp;IF(Checks!$W$736="","",CHAR(10)&amp;"Batch: "&amp;Checks!$W$736)&amp;IF(AND(Checks!$X$736="",Checks!$Y$736=""),"",CHAR(10)&amp;"Exp: "&amp;Checks!$X$736&amp;"  /  Act: "&amp;Checks!$Y$736)</f>
        <v/>
      </c>
      <c r="F60" s="124">
        <f>IF(Checks!$Z$736="","","Evidence: "&amp;Checks!$Z$736)&amp;IF(Checks!$AA$736="","",IF(Checks!$Z$736="","",CHAR(10))&amp;"CA: "&amp;Checks!$AA$736)</f>
        <v/>
      </c>
      <c r="G60" s="124">
        <f>IF(ISNUMBER(Checks!$AD$736),TEXT(Checks!$AD$736,"DD-MMM-YY HH:MM")&amp;" "&amp;Checks!$P$736,"")&amp;IF(Checks!$AE$736="","",CHAR(10)&amp;Checks!$AE$736)</f>
        <v/>
      </c>
      <c r="H60" s="125">
        <f>IF(Checks!$AH$736="","",Checks!$AH$736)</f>
        <v/>
      </c>
    </row>
    <row r="61" ht="81" customHeight="1">
      <c r="A61" s="124">
        <f>Checks!$A$737&amp;CHAR(10)&amp;IF(Checks!$I$737="","",Checks!$I$737&amp;": ")&amp;Checks!$J$737</f>
        <v/>
      </c>
      <c r="B61" s="124">
        <f>Checks!$K$737&amp;IF(Checks!$O$737="","",IF(Checks!$K$737="","",CHAR(10))&amp;"Note: "&amp;Checks!$O$737)</f>
        <v/>
      </c>
      <c r="C61" s="124">
        <f>Checks!$N$737&amp;CHAR(10)&amp;IF(ISNUMBER(Checks!$R$737),TEXT(Checks!$R$737,"DD-MMM-YY HH:MM"),"")&amp;" "&amp;Checks!$P$737</f>
        <v/>
      </c>
      <c r="D61" s="124">
        <f>IF(Checks!$U$737="","",Checks!$U$737)&amp;IF(Checks!$AB$737="","",CHAR(10)&amp;"CA: "&amp;Checks!$AB$737)</f>
        <v/>
      </c>
      <c r="E61" s="124">
        <f>IF(Checks!$V$737="","",Checks!$V$737)&amp;IF(Checks!$AC$737="","",IF(Checks!$V$737="","",CHAR(10))&amp;"N/A just.: "&amp;Checks!$AC$737)&amp;IF(Checks!$W$737="","",CHAR(10)&amp;"Batch: "&amp;Checks!$W$737)&amp;IF(AND(Checks!$X$737="",Checks!$Y$737=""),"",CHAR(10)&amp;"Exp: "&amp;Checks!$X$737&amp;"  /  Act: "&amp;Checks!$Y$737)</f>
        <v/>
      </c>
      <c r="F61" s="124">
        <f>IF(Checks!$Z$737="","","Evidence: "&amp;Checks!$Z$737)&amp;IF(Checks!$AA$737="","",IF(Checks!$Z$737="","",CHAR(10))&amp;"CA: "&amp;Checks!$AA$737)</f>
        <v/>
      </c>
      <c r="G61" s="124">
        <f>IF(ISNUMBER(Checks!$AD$737),TEXT(Checks!$AD$737,"DD-MMM-YY HH:MM")&amp;" "&amp;Checks!$P$737,"")&amp;IF(Checks!$AE$737="","",CHAR(10)&amp;Checks!$AE$737)</f>
        <v/>
      </c>
      <c r="H61" s="125">
        <f>IF(Checks!$AH$737="","",Checks!$AH$737)</f>
        <v/>
      </c>
    </row>
    <row r="62" ht="81" customHeight="1">
      <c r="A62" s="124">
        <f>Checks!$A$738&amp;CHAR(10)&amp;IF(Checks!$I$738="","",Checks!$I$738&amp;": ")&amp;Checks!$J$738</f>
        <v/>
      </c>
      <c r="B62" s="124">
        <f>Checks!$K$738&amp;IF(Checks!$O$738="","",IF(Checks!$K$738="","",CHAR(10))&amp;"Note: "&amp;Checks!$O$738)</f>
        <v/>
      </c>
      <c r="C62" s="124">
        <f>Checks!$N$738&amp;CHAR(10)&amp;IF(ISNUMBER(Checks!$R$738),TEXT(Checks!$R$738,"DD-MMM-YY HH:MM"),"")&amp;" "&amp;Checks!$P$738</f>
        <v/>
      </c>
      <c r="D62" s="124">
        <f>IF(Checks!$U$738="","",Checks!$U$738)&amp;IF(Checks!$AB$738="","",CHAR(10)&amp;"CA: "&amp;Checks!$AB$738)</f>
        <v/>
      </c>
      <c r="E62" s="124">
        <f>IF(Checks!$V$738="","",Checks!$V$738)&amp;IF(Checks!$AC$738="","",IF(Checks!$V$738="","",CHAR(10))&amp;"N/A just.: "&amp;Checks!$AC$738)&amp;IF(Checks!$W$738="","",CHAR(10)&amp;"Batch: "&amp;Checks!$W$738)&amp;IF(AND(Checks!$X$738="",Checks!$Y$738=""),"",CHAR(10)&amp;"Exp: "&amp;Checks!$X$738&amp;"  /  Act: "&amp;Checks!$Y$738)</f>
        <v/>
      </c>
      <c r="F62" s="124">
        <f>IF(Checks!$Z$738="","","Evidence: "&amp;Checks!$Z$738)&amp;IF(Checks!$AA$738="","",IF(Checks!$Z$738="","",CHAR(10))&amp;"CA: "&amp;Checks!$AA$738)</f>
        <v/>
      </c>
      <c r="G62" s="124">
        <f>IF(ISNUMBER(Checks!$AD$738),TEXT(Checks!$AD$738,"DD-MMM-YY HH:MM")&amp;" "&amp;Checks!$P$738,"")&amp;IF(Checks!$AE$738="","",CHAR(10)&amp;Checks!$AE$738)</f>
        <v/>
      </c>
      <c r="H62" s="125">
        <f>IF(Checks!$AH$738="","",Checks!$AH$738)</f>
        <v/>
      </c>
    </row>
    <row r="63" ht="81" customHeight="1">
      <c r="A63" s="124">
        <f>Checks!$A$739&amp;CHAR(10)&amp;IF(Checks!$I$739="","",Checks!$I$739&amp;": ")&amp;Checks!$J$739</f>
        <v/>
      </c>
      <c r="B63" s="124">
        <f>Checks!$K$739&amp;IF(Checks!$O$739="","",IF(Checks!$K$739="","",CHAR(10))&amp;"Note: "&amp;Checks!$O$739)</f>
        <v/>
      </c>
      <c r="C63" s="124">
        <f>Checks!$N$739&amp;CHAR(10)&amp;IF(ISNUMBER(Checks!$R$739),TEXT(Checks!$R$739,"DD-MMM-YY HH:MM"),"")&amp;" "&amp;Checks!$P$739</f>
        <v/>
      </c>
      <c r="D63" s="124">
        <f>IF(Checks!$U$739="","",Checks!$U$739)&amp;IF(Checks!$AB$739="","",CHAR(10)&amp;"CA: "&amp;Checks!$AB$739)</f>
        <v/>
      </c>
      <c r="E63" s="124">
        <f>IF(Checks!$V$739="","",Checks!$V$739)&amp;IF(Checks!$AC$739="","",IF(Checks!$V$739="","",CHAR(10))&amp;"N/A just.: "&amp;Checks!$AC$739)&amp;IF(Checks!$W$739="","",CHAR(10)&amp;"Batch: "&amp;Checks!$W$739)&amp;IF(AND(Checks!$X$739="",Checks!$Y$739=""),"",CHAR(10)&amp;"Exp: "&amp;Checks!$X$739&amp;"  /  Act: "&amp;Checks!$Y$739)</f>
        <v/>
      </c>
      <c r="F63" s="124">
        <f>IF(Checks!$Z$739="","","Evidence: "&amp;Checks!$Z$739)&amp;IF(Checks!$AA$739="","",IF(Checks!$Z$739="","",CHAR(10))&amp;"CA: "&amp;Checks!$AA$739)</f>
        <v/>
      </c>
      <c r="G63" s="124">
        <f>IF(ISNUMBER(Checks!$AD$739),TEXT(Checks!$AD$739,"DD-MMM-YY HH:MM")&amp;" "&amp;Checks!$P$739,"")&amp;IF(Checks!$AE$739="","",CHAR(10)&amp;Checks!$AE$739)</f>
        <v/>
      </c>
      <c r="H63" s="125">
        <f>IF(Checks!$AH$739="","",Checks!$AH$739)</f>
        <v/>
      </c>
    </row>
    <row r="64" ht="81" customHeight="1">
      <c r="A64" s="124">
        <f>Checks!$A$740&amp;CHAR(10)&amp;IF(Checks!$I$740="","",Checks!$I$740&amp;": ")&amp;Checks!$J$740</f>
        <v/>
      </c>
      <c r="B64" s="124">
        <f>Checks!$K$740&amp;IF(Checks!$O$740="","",IF(Checks!$K$740="","",CHAR(10))&amp;"Note: "&amp;Checks!$O$740)</f>
        <v/>
      </c>
      <c r="C64" s="124">
        <f>Checks!$N$740&amp;CHAR(10)&amp;IF(ISNUMBER(Checks!$R$740),TEXT(Checks!$R$740,"DD-MMM-YY HH:MM"),"")&amp;" "&amp;Checks!$P$740</f>
        <v/>
      </c>
      <c r="D64" s="124">
        <f>IF(Checks!$U$740="","",Checks!$U$740)&amp;IF(Checks!$AB$740="","",CHAR(10)&amp;"CA: "&amp;Checks!$AB$740)</f>
        <v/>
      </c>
      <c r="E64" s="124">
        <f>IF(Checks!$V$740="","",Checks!$V$740)&amp;IF(Checks!$AC$740="","",IF(Checks!$V$740="","",CHAR(10))&amp;"N/A just.: "&amp;Checks!$AC$740)&amp;IF(Checks!$W$740="","",CHAR(10)&amp;"Batch: "&amp;Checks!$W$740)&amp;IF(AND(Checks!$X$740="",Checks!$Y$740=""),"",CHAR(10)&amp;"Exp: "&amp;Checks!$X$740&amp;"  /  Act: "&amp;Checks!$Y$740)</f>
        <v/>
      </c>
      <c r="F64" s="124">
        <f>IF(Checks!$Z$740="","","Evidence: "&amp;Checks!$Z$740)&amp;IF(Checks!$AA$740="","",IF(Checks!$Z$740="","",CHAR(10))&amp;"CA: "&amp;Checks!$AA$740)</f>
        <v/>
      </c>
      <c r="G64" s="124">
        <f>IF(ISNUMBER(Checks!$AD$740),TEXT(Checks!$AD$740,"DD-MMM-YY HH:MM")&amp;" "&amp;Checks!$P$740,"")&amp;IF(Checks!$AE$740="","",CHAR(10)&amp;Checks!$AE$740)</f>
        <v/>
      </c>
      <c r="H64" s="125">
        <f>IF(Checks!$AH$740="","",Checks!$AH$740)</f>
        <v/>
      </c>
    </row>
    <row r="65" ht="81" customHeight="1">
      <c r="A65" s="124">
        <f>Checks!$A$741&amp;CHAR(10)&amp;IF(Checks!$I$741="","",Checks!$I$741&amp;": ")&amp;Checks!$J$741</f>
        <v/>
      </c>
      <c r="B65" s="124">
        <f>Checks!$K$741&amp;IF(Checks!$O$741="","",IF(Checks!$K$741="","",CHAR(10))&amp;"Note: "&amp;Checks!$O$741)</f>
        <v/>
      </c>
      <c r="C65" s="124">
        <f>Checks!$N$741&amp;CHAR(10)&amp;IF(ISNUMBER(Checks!$R$741),TEXT(Checks!$R$741,"DD-MMM-YY HH:MM"),"")&amp;" "&amp;Checks!$P$741</f>
        <v/>
      </c>
      <c r="D65" s="124">
        <f>IF(Checks!$U$741="","",Checks!$U$741)&amp;IF(Checks!$AB$741="","",CHAR(10)&amp;"CA: "&amp;Checks!$AB$741)</f>
        <v/>
      </c>
      <c r="E65" s="124">
        <f>IF(Checks!$V$741="","",Checks!$V$741)&amp;IF(Checks!$AC$741="","",IF(Checks!$V$741="","",CHAR(10))&amp;"N/A just.: "&amp;Checks!$AC$741)&amp;IF(Checks!$W$741="","",CHAR(10)&amp;"Batch: "&amp;Checks!$W$741)&amp;IF(AND(Checks!$X$741="",Checks!$Y$741=""),"",CHAR(10)&amp;"Exp: "&amp;Checks!$X$741&amp;"  /  Act: "&amp;Checks!$Y$741)</f>
        <v/>
      </c>
      <c r="F65" s="124">
        <f>IF(Checks!$Z$741="","","Evidence: "&amp;Checks!$Z$741)&amp;IF(Checks!$AA$741="","",IF(Checks!$Z$741="","",CHAR(10))&amp;"CA: "&amp;Checks!$AA$741)</f>
        <v/>
      </c>
      <c r="G65" s="124">
        <f>IF(ISNUMBER(Checks!$AD$741),TEXT(Checks!$AD$741,"DD-MMM-YY HH:MM")&amp;" "&amp;Checks!$P$741,"")&amp;IF(Checks!$AE$741="","",CHAR(10)&amp;Checks!$AE$741)</f>
        <v/>
      </c>
      <c r="H65" s="125">
        <f>IF(Checks!$AH$741="","",Checks!$AH$741)</f>
        <v/>
      </c>
    </row>
    <row r="66" ht="81" customHeight="1">
      <c r="A66" s="124">
        <f>Checks!$A$742&amp;CHAR(10)&amp;IF(Checks!$I$742="","",Checks!$I$742&amp;": ")&amp;Checks!$J$742</f>
        <v/>
      </c>
      <c r="B66" s="124">
        <f>Checks!$K$742&amp;IF(Checks!$O$742="","",IF(Checks!$K$742="","",CHAR(10))&amp;"Note: "&amp;Checks!$O$742)</f>
        <v/>
      </c>
      <c r="C66" s="124">
        <f>Checks!$N$742&amp;CHAR(10)&amp;IF(ISNUMBER(Checks!$R$742),TEXT(Checks!$R$742,"DD-MMM-YY HH:MM"),"")&amp;" "&amp;Checks!$P$742</f>
        <v/>
      </c>
      <c r="D66" s="124">
        <f>IF(Checks!$U$742="","",Checks!$U$742)&amp;IF(Checks!$AB$742="","",CHAR(10)&amp;"CA: "&amp;Checks!$AB$742)</f>
        <v/>
      </c>
      <c r="E66" s="124">
        <f>IF(Checks!$V$742="","",Checks!$V$742)&amp;IF(Checks!$AC$742="","",IF(Checks!$V$742="","",CHAR(10))&amp;"N/A just.: "&amp;Checks!$AC$742)&amp;IF(Checks!$W$742="","",CHAR(10)&amp;"Batch: "&amp;Checks!$W$742)&amp;IF(AND(Checks!$X$742="",Checks!$Y$742=""),"",CHAR(10)&amp;"Exp: "&amp;Checks!$X$742&amp;"  /  Act: "&amp;Checks!$Y$742)</f>
        <v/>
      </c>
      <c r="F66" s="124">
        <f>IF(Checks!$Z$742="","","Evidence: "&amp;Checks!$Z$742)&amp;IF(Checks!$AA$742="","",IF(Checks!$Z$742="","",CHAR(10))&amp;"CA: "&amp;Checks!$AA$742)</f>
        <v/>
      </c>
      <c r="G66" s="124">
        <f>IF(ISNUMBER(Checks!$AD$742),TEXT(Checks!$AD$742,"DD-MMM-YY HH:MM")&amp;" "&amp;Checks!$P$742,"")&amp;IF(Checks!$AE$742="","",CHAR(10)&amp;Checks!$AE$742)</f>
        <v/>
      </c>
      <c r="H66" s="125">
        <f>IF(Checks!$AH$742="","",Checks!$AH$742)</f>
        <v/>
      </c>
    </row>
    <row r="67" ht="81" customHeight="1">
      <c r="A67" s="124">
        <f>Checks!$A$743&amp;CHAR(10)&amp;IF(Checks!$I$743="","",Checks!$I$743&amp;": ")&amp;Checks!$J$743</f>
        <v/>
      </c>
      <c r="B67" s="124">
        <f>SUBSTITUTE(Checks!$K$743&amp;IF(Checks!$O$743="","",IF(Checks!$K$743="","",CHAR(10))&amp;"Note: "&amp;Checks!$O$743),"F&amp;B LINEN!","Ref: F&amp;B LINEN!")</f>
        <v/>
      </c>
      <c r="C67" s="124">
        <f>Checks!$N$743&amp;CHAR(10)&amp;IF(ISNUMBER(Checks!$R$743),TEXT(Checks!$R$743,"DD-MMM-YY HH:MM"),"")&amp;" "&amp;Checks!$P$743</f>
        <v/>
      </c>
      <c r="D67" s="124">
        <f>IF(Checks!$U$743="","",Checks!$U$743)&amp;IF(Checks!$AB$743="","",CHAR(10)&amp;"CA: "&amp;Checks!$AB$743)</f>
        <v/>
      </c>
      <c r="E67" s="124">
        <f>IF(Checks!$V$743="","",Checks!$V$743)&amp;IF(Checks!$AC$743="","",IF(Checks!$V$743="","",CHAR(10))&amp;"N/A just.: "&amp;Checks!$AC$743)&amp;IF(Checks!$W$743="","",CHAR(10)&amp;"Batch: "&amp;Checks!$W$743)&amp;IF(AND(Checks!$X$743="",Checks!$Y$743=""),"",CHAR(10)&amp;"Exp: "&amp;Checks!$X$743&amp;"  /  Act: "&amp;Checks!$Y$743)</f>
        <v/>
      </c>
      <c r="F67" s="124">
        <f>IF(Checks!$Z$743="","","Evidence: "&amp;Checks!$Z$743)&amp;IF(Checks!$AA$743="","",IF(Checks!$Z$743="","",CHAR(10))&amp;"CA: "&amp;Checks!$AA$743)</f>
        <v/>
      </c>
      <c r="G67" s="124">
        <f>IF(ISNUMBER(Checks!$AD$743),TEXT(Checks!$AD$743,"DD-MMM-YY HH:MM")&amp;" "&amp;Checks!$P$743,"")&amp;IF(Checks!$AE$743="","",CHAR(10)&amp;Checks!$AE$743)</f>
        <v/>
      </c>
      <c r="H67" s="125">
        <f>IF(Checks!$AH$743="","",Checks!$AH$743)</f>
        <v/>
      </c>
    </row>
    <row r="68" ht="81" customHeight="1">
      <c r="A68" s="124">
        <f>Checks!$A$744&amp;CHAR(10)&amp;IF(Checks!$I$744="","",Checks!$I$744&amp;": ")&amp;Checks!$J$744</f>
        <v/>
      </c>
      <c r="B68" s="124">
        <f>Checks!$K$744&amp;IF(Checks!$O$744="","",IF(Checks!$K$744="","",CHAR(10))&amp;"Note: "&amp;Checks!$O$744)</f>
        <v/>
      </c>
      <c r="C68" s="124">
        <f>Checks!$N$744&amp;CHAR(10)&amp;IF(ISNUMBER(Checks!$R$744),TEXT(Checks!$R$744,"DD-MMM-YY HH:MM"),"")&amp;" "&amp;Checks!$P$744</f>
        <v/>
      </c>
      <c r="D68" s="124">
        <f>IF(Checks!$U$744="","",Checks!$U$744)&amp;IF(Checks!$AB$744="","",CHAR(10)&amp;"CA: "&amp;Checks!$AB$744)</f>
        <v/>
      </c>
      <c r="E68" s="124">
        <f>IF(Checks!$V$744="","",Checks!$V$744)&amp;IF(Checks!$AC$744="","",IF(Checks!$V$744="","",CHAR(10))&amp;"N/A just.: "&amp;Checks!$AC$744)&amp;IF(Checks!$W$744="","",CHAR(10)&amp;"Batch: "&amp;Checks!$W$744)&amp;IF(AND(Checks!$X$744="",Checks!$Y$744=""),"",CHAR(10)&amp;"Exp: "&amp;Checks!$X$744&amp;"  /  Act: "&amp;Checks!$Y$744)</f>
        <v/>
      </c>
      <c r="F68" s="124">
        <f>IF(Checks!$Z$744="","","Evidence: "&amp;Checks!$Z$744)&amp;IF(Checks!$AA$744="","",IF(Checks!$Z$744="","",CHAR(10))&amp;"CA: "&amp;Checks!$AA$744)</f>
        <v/>
      </c>
      <c r="G68" s="124">
        <f>IF(ISNUMBER(Checks!$AD$744),TEXT(Checks!$AD$744,"DD-MMM-YY HH:MM")&amp;" "&amp;Checks!$P$744,"")&amp;IF(Checks!$AE$744="","",CHAR(10)&amp;Checks!$AE$744)</f>
        <v/>
      </c>
      <c r="H68" s="125">
        <f>IF(Checks!$AH$744="","",Checks!$AH$744)</f>
        <v/>
      </c>
    </row>
    <row r="69" ht="81" customHeight="1">
      <c r="A69" s="124">
        <f>Checks!$A$745&amp;CHAR(10)&amp;IF(Checks!$I$745="","",Checks!$I$745&amp;": ")&amp;Checks!$J$745</f>
        <v/>
      </c>
      <c r="B69" s="124">
        <f>Checks!$K$745&amp;IF(Checks!$O$745="","",IF(Checks!$K$745="","",CHAR(10))&amp;"Note: "&amp;Checks!$O$745)</f>
        <v/>
      </c>
      <c r="C69" s="124">
        <f>Checks!$N$745&amp;CHAR(10)&amp;IF(ISNUMBER(Checks!$R$745),TEXT(Checks!$R$745,"DD-MMM-YY HH:MM"),"")&amp;" "&amp;Checks!$P$745</f>
        <v/>
      </c>
      <c r="D69" s="124">
        <f>IF(Checks!$U$745="","",Checks!$U$745)&amp;IF(Checks!$AB$745="","",CHAR(10)&amp;"CA: "&amp;Checks!$AB$745)</f>
        <v/>
      </c>
      <c r="E69" s="124">
        <f>IF(Checks!$V$745="","",Checks!$V$745)&amp;IF(Checks!$AC$745="","",IF(Checks!$V$745="","",CHAR(10))&amp;"N/A just.: "&amp;Checks!$AC$745)&amp;IF(Checks!$W$745="","",CHAR(10)&amp;"Batch: "&amp;Checks!$W$745)&amp;IF(AND(Checks!$X$745="",Checks!$Y$745=""),"",CHAR(10)&amp;"Exp: "&amp;Checks!$X$745&amp;"  /  Act: "&amp;Checks!$Y$745)</f>
        <v/>
      </c>
      <c r="F69" s="124">
        <f>IF(Checks!$Z$745="","","Evidence: "&amp;Checks!$Z$745)&amp;IF(Checks!$AA$745="","",IF(Checks!$Z$745="","",CHAR(10))&amp;"CA: "&amp;Checks!$AA$745)</f>
        <v/>
      </c>
      <c r="G69" s="124">
        <f>IF(ISNUMBER(Checks!$AD$745),TEXT(Checks!$AD$745,"DD-MMM-YY HH:MM")&amp;" "&amp;Checks!$P$745,"")&amp;IF(Checks!$AE$745="","",CHAR(10)&amp;Checks!$AE$745)</f>
        <v/>
      </c>
      <c r="H69" s="125">
        <f>IF(Checks!$AH$745="","",Checks!$AH$745)</f>
        <v/>
      </c>
    </row>
    <row r="70" ht="81" customHeight="1">
      <c r="A70" s="124">
        <f>Checks!$A$746&amp;CHAR(10)&amp;IF(Checks!$I$746="","",Checks!$I$746&amp;": ")&amp;Checks!$J$746</f>
        <v/>
      </c>
      <c r="B70" s="124">
        <f>Checks!$K$746&amp;IF(Checks!$O$746="","",IF(Checks!$K$746="","",CHAR(10))&amp;"Note: "&amp;Checks!$O$746)</f>
        <v/>
      </c>
      <c r="C70" s="124">
        <f>Checks!$N$746&amp;CHAR(10)&amp;IF(ISNUMBER(Checks!$R$746),TEXT(Checks!$R$746,"DD-MMM-YY HH:MM"),"")&amp;" "&amp;Checks!$P$746</f>
        <v/>
      </c>
      <c r="D70" s="124">
        <f>IF(Checks!$U$746="","",Checks!$U$746)&amp;IF(Checks!$AB$746="","",CHAR(10)&amp;"CA: "&amp;Checks!$AB$746)</f>
        <v/>
      </c>
      <c r="E70" s="124">
        <f>IF(Checks!$V$746="","",Checks!$V$746)&amp;IF(Checks!$AC$746="","",IF(Checks!$V$746="","",CHAR(10))&amp;"N/A just.: "&amp;Checks!$AC$746)&amp;IF(Checks!$W$746="","",CHAR(10)&amp;"Batch: "&amp;Checks!$W$746)&amp;IF(AND(Checks!$X$746="",Checks!$Y$746=""),"",CHAR(10)&amp;"Exp: "&amp;Checks!$X$746&amp;"  /  Act: "&amp;Checks!$Y$746)</f>
        <v/>
      </c>
      <c r="F70" s="124">
        <f>IF(Checks!$Z$746="","","Evidence: "&amp;Checks!$Z$746)&amp;IF(Checks!$AA$746="","",IF(Checks!$Z$746="","",CHAR(10))&amp;"CA: "&amp;Checks!$AA$746)</f>
        <v/>
      </c>
      <c r="G70" s="124">
        <f>IF(ISNUMBER(Checks!$AD$746),TEXT(Checks!$AD$746,"DD-MMM-YY HH:MM")&amp;" "&amp;Checks!$P$746,"")&amp;IF(Checks!$AE$746="","",CHAR(10)&amp;Checks!$AE$746)</f>
        <v/>
      </c>
      <c r="H70" s="125">
        <f>IF(Checks!$AH$746="","",Checks!$AH$746)</f>
        <v/>
      </c>
    </row>
    <row r="71" ht="81" customHeight="1">
      <c r="A71" s="124">
        <f>Checks!$A$747&amp;CHAR(10)&amp;IF(Checks!$I$747="","",Checks!$I$747&amp;": ")&amp;Checks!$J$747</f>
        <v/>
      </c>
      <c r="B71" s="124">
        <f>Checks!$K$747&amp;IF(Checks!$O$747="","",IF(Checks!$K$747="","",CHAR(10))&amp;"Note: "&amp;Checks!$O$747)</f>
        <v/>
      </c>
      <c r="C71" s="124">
        <f>Checks!$N$747&amp;CHAR(10)&amp;IF(ISNUMBER(Checks!$R$747),TEXT(Checks!$R$747,"DD-MMM-YY HH:MM"),"")&amp;" "&amp;Checks!$P$747</f>
        <v/>
      </c>
      <c r="D71" s="124">
        <f>IF(Checks!$U$747="","",Checks!$U$747)&amp;IF(Checks!$AB$747="","",CHAR(10)&amp;"CA: "&amp;Checks!$AB$747)</f>
        <v/>
      </c>
      <c r="E71" s="124">
        <f>IF(Checks!$V$747="","",Checks!$V$747)&amp;IF(Checks!$AC$747="","",IF(Checks!$V$747="","",CHAR(10))&amp;"N/A just.: "&amp;Checks!$AC$747)&amp;IF(Checks!$W$747="","",CHAR(10)&amp;"Batch: "&amp;Checks!$W$747)&amp;IF(AND(Checks!$X$747="",Checks!$Y$747=""),"",CHAR(10)&amp;"Exp: "&amp;Checks!$X$747&amp;"  /  Act: "&amp;Checks!$Y$747)</f>
        <v/>
      </c>
      <c r="F71" s="124">
        <f>IF(Checks!$Z$747="","","Evidence: "&amp;Checks!$Z$747)&amp;IF(Checks!$AA$747="","",IF(Checks!$Z$747="","",CHAR(10))&amp;"CA: "&amp;Checks!$AA$747)</f>
        <v/>
      </c>
      <c r="G71" s="124">
        <f>IF(ISNUMBER(Checks!$AD$747),TEXT(Checks!$AD$747,"DD-MMM-YY HH:MM")&amp;" "&amp;Checks!$P$747,"")&amp;IF(Checks!$AE$747="","",CHAR(10)&amp;Checks!$AE$747)</f>
        <v/>
      </c>
      <c r="H71" s="125">
        <f>IF(Checks!$AH$747="","",Checks!$AH$747)</f>
        <v/>
      </c>
    </row>
    <row r="72" ht="81" customHeight="1">
      <c r="A72" s="124">
        <f>Checks!$A$748&amp;CHAR(10)&amp;IF(Checks!$I$748="","",Checks!$I$748&amp;": ")&amp;Checks!$J$748</f>
        <v/>
      </c>
      <c r="B72" s="124">
        <f>Checks!$K$748&amp;IF(Checks!$O$748="","",IF(Checks!$K$748="","",CHAR(10))&amp;"Note: "&amp;Checks!$O$748)</f>
        <v/>
      </c>
      <c r="C72" s="124">
        <f>Checks!$N$748&amp;CHAR(10)&amp;IF(ISNUMBER(Checks!$R$748),TEXT(Checks!$R$748,"DD-MMM-YY HH:MM"),"")&amp;" "&amp;Checks!$P$748</f>
        <v/>
      </c>
      <c r="D72" s="124">
        <f>IF(Checks!$U$748="","",Checks!$U$748)&amp;IF(Checks!$AB$748="","",CHAR(10)&amp;"CA: "&amp;Checks!$AB$748)</f>
        <v/>
      </c>
      <c r="E72" s="124">
        <f>IF(Checks!$V$748="","",Checks!$V$748)&amp;IF(Checks!$AC$748="","",IF(Checks!$V$748="","",CHAR(10))&amp;"N/A just.: "&amp;Checks!$AC$748)&amp;IF(Checks!$W$748="","",CHAR(10)&amp;"Batch: "&amp;Checks!$W$748)&amp;IF(AND(Checks!$X$748="",Checks!$Y$748=""),"",CHAR(10)&amp;"Exp: "&amp;Checks!$X$748&amp;"  /  Act: "&amp;Checks!$Y$748)</f>
        <v/>
      </c>
      <c r="F72" s="124">
        <f>IF(Checks!$Z$748="","","Evidence: "&amp;Checks!$Z$748)&amp;IF(Checks!$AA$748="","",IF(Checks!$Z$748="","",CHAR(10))&amp;"CA: "&amp;Checks!$AA$748)</f>
        <v/>
      </c>
      <c r="G72" s="124">
        <f>IF(ISNUMBER(Checks!$AD$748),TEXT(Checks!$AD$748,"DD-MMM-YY HH:MM")&amp;" "&amp;Checks!$P$748,"")&amp;IF(Checks!$AE$748="","",CHAR(10)&amp;Checks!$AE$748)</f>
        <v/>
      </c>
      <c r="H72" s="125">
        <f>IF(Checks!$AH$748="","",Checks!$AH$748)</f>
        <v/>
      </c>
    </row>
    <row r="74" ht="24" customHeight="1">
      <c r="A74" s="126" t="inlineStr">
        <is>
          <t>EXCEL INSERTION AREA (on-screen only, not printed) – A1 Galley Loading Diagram: Insert &gt; Picture here. On paper: staple behind this sheet as page A1.</t>
        </is>
      </c>
      <c r="B74" s="127" t="n"/>
      <c r="C74" s="127" t="n"/>
      <c r="D74" s="128" t="n"/>
      <c r="E74" s="126" t="inlineStr">
        <is>
          <t>EXCEL INSERTION AREA (on-screen only, not printed) – A2 Menu Checklist: Insert &gt; Picture here. On paper: staple behind this sheet as page A2.</t>
        </is>
      </c>
      <c r="F74" s="127" t="n"/>
      <c r="G74" s="127" t="n"/>
      <c r="H74" s="128" t="n"/>
    </row>
    <row r="75" ht="22" customHeight="1">
      <c r="A75" s="129" t="n"/>
      <c r="B75" s="130" t="n"/>
      <c r="C75" s="130" t="n"/>
      <c r="D75" s="131" t="n"/>
      <c r="E75" s="129" t="n"/>
      <c r="F75" s="130" t="n"/>
      <c r="G75" s="130" t="n"/>
      <c r="H75" s="131" t="n"/>
    </row>
    <row r="76" ht="22" customHeight="1">
      <c r="A76" s="132" t="n"/>
      <c r="B76" s="130" t="n"/>
      <c r="C76" s="130" t="n"/>
      <c r="D76" s="131" t="n"/>
      <c r="E76" s="132" t="n"/>
      <c r="F76" s="130" t="n"/>
      <c r="G76" s="130" t="n"/>
      <c r="H76" s="131" t="n"/>
    </row>
    <row r="77" ht="22" customHeight="1">
      <c r="A77" s="132" t="n"/>
      <c r="B77" s="130" t="n"/>
      <c r="C77" s="130" t="n"/>
      <c r="D77" s="131" t="n"/>
      <c r="E77" s="132" t="n"/>
      <c r="F77" s="130" t="n"/>
      <c r="G77" s="130" t="n"/>
      <c r="H77" s="131" t="n"/>
    </row>
    <row r="78" ht="22" customHeight="1">
      <c r="A78" s="132" t="n"/>
      <c r="B78" s="130" t="n"/>
      <c r="C78" s="130" t="n"/>
      <c r="D78" s="131" t="n"/>
      <c r="E78" s="132" t="n"/>
      <c r="F78" s="130" t="n"/>
      <c r="G78" s="130" t="n"/>
      <c r="H78" s="131" t="n"/>
    </row>
    <row r="79" ht="22" customHeight="1">
      <c r="A79" s="132" t="n"/>
      <c r="B79" s="130" t="n"/>
      <c r="C79" s="130" t="n"/>
      <c r="D79" s="131" t="n"/>
      <c r="E79" s="132" t="n"/>
      <c r="F79" s="130" t="n"/>
      <c r="G79" s="130" t="n"/>
      <c r="H79" s="131" t="n"/>
    </row>
    <row r="80" ht="22" customHeight="1">
      <c r="A80" s="132" t="n"/>
      <c r="B80" s="130" t="n"/>
      <c r="C80" s="130" t="n"/>
      <c r="D80" s="131" t="n"/>
      <c r="E80" s="132" t="n"/>
      <c r="F80" s="130" t="n"/>
      <c r="G80" s="130" t="n"/>
      <c r="H80" s="131" t="n"/>
    </row>
    <row r="81" ht="22" customHeight="1">
      <c r="A81" s="132" t="n"/>
      <c r="B81" s="130" t="n"/>
      <c r="C81" s="130" t="n"/>
      <c r="D81" s="131" t="n"/>
      <c r="E81" s="132" t="n"/>
      <c r="F81" s="130" t="n"/>
      <c r="G81" s="130" t="n"/>
      <c r="H81" s="131" t="n"/>
    </row>
    <row r="82" ht="22" customHeight="1">
      <c r="A82" s="132" t="n"/>
      <c r="B82" s="130" t="n"/>
      <c r="C82" s="130" t="n"/>
      <c r="D82" s="131" t="n"/>
      <c r="E82" s="132" t="n"/>
      <c r="F82" s="130" t="n"/>
      <c r="G82" s="130" t="n"/>
      <c r="H82" s="131" t="n"/>
    </row>
    <row r="83" ht="22" customHeight="1">
      <c r="A83" s="132" t="n"/>
      <c r="B83" s="130" t="n"/>
      <c r="C83" s="130" t="n"/>
      <c r="D83" s="131" t="n"/>
      <c r="E83" s="132" t="n"/>
      <c r="F83" s="130" t="n"/>
      <c r="G83" s="130" t="n"/>
      <c r="H83" s="131" t="n"/>
    </row>
    <row r="84" ht="22" customHeight="1">
      <c r="A84" s="133" t="n"/>
      <c r="B84" s="134" t="n"/>
      <c r="C84" s="134" t="n"/>
      <c r="D84" s="135" t="n"/>
      <c r="E84" s="133" t="n"/>
      <c r="F84" s="134" t="n"/>
      <c r="G84" s="134" t="n"/>
      <c r="H84" s="135" t="n"/>
    </row>
  </sheetData>
  <mergeCells count="46">
    <mergeCell ref="B11:D11"/>
    <mergeCell ref="F18:H18"/>
    <mergeCell ref="C15:D15"/>
    <mergeCell ref="B8:D8"/>
    <mergeCell ref="G11:H11"/>
    <mergeCell ref="C14:D14"/>
    <mergeCell ref="F2:H2"/>
    <mergeCell ref="F17:H17"/>
    <mergeCell ref="A1:H1"/>
    <mergeCell ref="G8:H8"/>
    <mergeCell ref="E75:H84"/>
    <mergeCell ref="B10:D10"/>
    <mergeCell ref="G7:H7"/>
    <mergeCell ref="F13:H13"/>
    <mergeCell ref="B16:E16"/>
    <mergeCell ref="B9:D9"/>
    <mergeCell ref="C17:E17"/>
    <mergeCell ref="G6:H6"/>
    <mergeCell ref="A18:B18"/>
    <mergeCell ref="B6:D6"/>
    <mergeCell ref="G3:H3"/>
    <mergeCell ref="A56:H56"/>
    <mergeCell ref="B5:D5"/>
    <mergeCell ref="F14:H14"/>
    <mergeCell ref="C19:E19"/>
    <mergeCell ref="B4:D4"/>
    <mergeCell ref="G5:H5"/>
    <mergeCell ref="C18:E18"/>
    <mergeCell ref="A17:B17"/>
    <mergeCell ref="B7:D7"/>
    <mergeCell ref="A32:H32"/>
    <mergeCell ref="A75:D84"/>
    <mergeCell ref="A22:H22"/>
    <mergeCell ref="G4:H4"/>
    <mergeCell ref="F16:H16"/>
    <mergeCell ref="B3:D3"/>
    <mergeCell ref="F19:H19"/>
    <mergeCell ref="A74:D74"/>
    <mergeCell ref="A12:D12"/>
    <mergeCell ref="A19:B19"/>
    <mergeCell ref="A20:H20"/>
    <mergeCell ref="E74:H74"/>
    <mergeCell ref="C13:D13"/>
    <mergeCell ref="F15:H15"/>
    <mergeCell ref="B2:D2"/>
    <mergeCell ref="A34:H34"/>
  </mergeCells>
  <conditionalFormatting sqref="F2:H2">
    <cfRule type="expression" priority="1" dxfId="13" stopIfTrue="1">
      <formula>LEFT($F$2,5)="READY"</formula>
    </cfRule>
    <cfRule type="expression" priority="2" dxfId="14" stopIfTrue="1">
      <formula>LEFT($F$2,9)="NOT READY"</formula>
    </cfRule>
    <cfRule type="expression" priority="3" dxfId="15" stopIfTrue="1">
      <formula>$F$2&lt;&gt;""</formula>
    </cfRule>
  </conditionalFormatting>
  <conditionalFormatting sqref="F9">
    <cfRule type="expression" priority="4" dxfId="14">
      <formula>AND(ISNUMBER(F9),F9&gt;0)</formula>
    </cfRule>
  </conditionalFormatting>
  <conditionalFormatting sqref="G9">
    <cfRule type="expression" priority="5" dxfId="14">
      <formula>AND(ISNUMBER(G9),G9&gt;0)</formula>
    </cfRule>
  </conditionalFormatting>
  <conditionalFormatting sqref="H9">
    <cfRule type="expression" priority="6" dxfId="14">
      <formula>AND(ISNUMBER(H9),H9&gt;0)</formula>
    </cfRule>
  </conditionalFormatting>
  <conditionalFormatting sqref="H10">
    <cfRule type="expression" priority="7" dxfId="14">
      <formula>AND(ISNUMBER(H10),H10&gt;0)</formula>
    </cfRule>
  </conditionalFormatting>
  <conditionalFormatting sqref="E14">
    <cfRule type="expression" priority="8" dxfId="16" stopIfTrue="1">
      <formula>LEFT($E$14,11)="OUTSTANDING"</formula>
    </cfRule>
    <cfRule type="expression" priority="9" dxfId="13">
      <formula>$E$14="ON FILE"</formula>
    </cfRule>
  </conditionalFormatting>
  <conditionalFormatting sqref="E15">
    <cfRule type="expression" priority="10" dxfId="16" stopIfTrue="1">
      <formula>LEFT($E$15,11)="OUTSTANDING"</formula>
    </cfRule>
    <cfRule type="expression" priority="11" dxfId="13">
      <formula>$E$15="ON FILE"</formula>
    </cfRule>
  </conditionalFormatting>
  <conditionalFormatting sqref="H23:H72">
    <cfRule type="expression" priority="12" dxfId="17" stopIfTrue="1">
      <formula>LEFT($H23,8)="COMPLETE"</formula>
    </cfRule>
    <cfRule type="expression" priority="13" dxfId="14" stopIfTrue="1">
      <formula>OR(LEFT($H23,7)="OVERDUE",LEFT($H23,4)="FAIL",LEFT($H23,7)="INVALID")</formula>
    </cfRule>
    <cfRule type="expression" priority="14" dxfId="18" stopIfTrue="1">
      <formula>LEFT($H23,4)="OPEN"</formula>
    </cfRule>
    <cfRule type="expression" priority="15" dxfId="19" stopIfTrue="1">
      <formula>LEFT($H23,3)="N/A"</formula>
    </cfRule>
  </conditionalFormatting>
  <conditionalFormatting sqref="A23:G72">
    <cfRule type="expression" priority="16" dxfId="20">
      <formula>LEFT($H23,3)="N/A"</formula>
    </cfRule>
  </conditionalFormatting>
  <conditionalFormatting sqref="D23:D72">
    <cfRule type="expression" priority="17" dxfId="14">
      <formula>LEFT($D23,4)="Fail"</formula>
    </cfRule>
  </conditionalFormatting>
  <printOptions horizontalCentered="1"/>
  <pageMargins left="0.25" right="0.25" top="0.45" bottom="0.45" header="0.2" footer="0.2"/>
  <pageSetup orientation="landscape" paperSize="9" fitToHeight="0" fitToWidth="1"/>
  <headerFooter>
    <oddHeader>&amp;L&amp;"Arial"&amp;8 MAGCS – Skytrax 2026 catering readiness&amp;R&amp;"Arial,Bold"&amp;8 F22 MH0002 30-Oct-26 KUL-LHR Class BC</oddHeader>
    <oddFooter>&amp;L&amp;"Arial,Bold"&amp;8 F22 MH0002 30-Oct-26 KUL-LHR Class BC&amp;C&amp;"Arial"&amp;8 Printed: ____________________&amp;R&amp;"Arial"&amp;8 F22  Page &amp;P of &amp;N</oddFooter>
    <evenHeader/>
    <evenFooter/>
    <firstHeader/>
    <firstFooter/>
  </headerFooter>
  <rowBreaks count="3" manualBreakCount="3">
    <brk id="20" min="0" max="16383" man="1"/>
    <brk id="33"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2026-09-28T10:44:25Z</dcterms:created>
  <dcterms:modified xsi:type="dcterms:W3CDTF">2026-09-28T10:44:30Z</dcterms:modified>
</cp:coreProperties>
</file>